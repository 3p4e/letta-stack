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Agent Zero\My Drive\1. PP\ASSETS\APPS\ACME_SOP\AM_VALALL\"/>
    </mc:Choice>
  </mc:AlternateContent>
  <xr:revisionPtr revIDLastSave="97" documentId="13_ncr:1_{D3FA2CCD-53B8-4350-9128-6D6C0D43EDFD}" xr6:coauthVersionLast="47" xr6:coauthVersionMax="47" xr10:uidLastSave="{44805198-025A-4855-9587-F648C24358B0}"/>
  <bookViews>
    <workbookView xWindow="-108" yWindow="-108" windowWidth="23256" windowHeight="12456" xr2:uid="{00000000-000D-0000-FFFF-FFFF00000000}"/>
  </bookViews>
  <sheets>
    <sheet name="T1&amp;T2_G2=3dec. " sheetId="20" r:id="rId1"/>
    <sheet name="T1&amp;T2_G2=4dec.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nJ5+NnTXgXMSE00MlHvgX9A/1cAfujzukn155w0wbtk="/>
    </ext>
  </extLst>
</workbook>
</file>

<file path=xl/calcChain.xml><?xml version="1.0" encoding="utf-8"?>
<calcChain xmlns="http://schemas.openxmlformats.org/spreadsheetml/2006/main">
  <c r="F6" i="18" l="1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" i="18"/>
  <c r="U50" i="20"/>
  <c r="Y50" i="20" s="1"/>
  <c r="AA50" i="20" s="1"/>
  <c r="AC50" i="20" s="1"/>
  <c r="P50" i="20"/>
  <c r="O50" i="20"/>
  <c r="G50" i="20"/>
  <c r="U49" i="20"/>
  <c r="Y49" i="20" s="1"/>
  <c r="AA49" i="20" s="1"/>
  <c r="AC49" i="20" s="1"/>
  <c r="P49" i="20"/>
  <c r="O49" i="20"/>
  <c r="G49" i="20"/>
  <c r="U48" i="20"/>
  <c r="Y48" i="20" s="1"/>
  <c r="AA48" i="20" s="1"/>
  <c r="AC48" i="20" s="1"/>
  <c r="P48" i="20"/>
  <c r="O48" i="20"/>
  <c r="G48" i="20"/>
  <c r="U47" i="20"/>
  <c r="Y47" i="20" s="1"/>
  <c r="AA47" i="20" s="1"/>
  <c r="AC47" i="20" s="1"/>
  <c r="P47" i="20"/>
  <c r="O47" i="20"/>
  <c r="G47" i="20"/>
  <c r="U46" i="20"/>
  <c r="Y46" i="20" s="1"/>
  <c r="AA46" i="20" s="1"/>
  <c r="AC46" i="20" s="1"/>
  <c r="P46" i="20"/>
  <c r="O46" i="20"/>
  <c r="G46" i="20"/>
  <c r="U45" i="20"/>
  <c r="Y45" i="20" s="1"/>
  <c r="AA45" i="20" s="1"/>
  <c r="AC45" i="20" s="1"/>
  <c r="P45" i="20"/>
  <c r="O45" i="20"/>
  <c r="G45" i="20"/>
  <c r="U44" i="20"/>
  <c r="Y44" i="20" s="1"/>
  <c r="AA44" i="20" s="1"/>
  <c r="AC44" i="20" s="1"/>
  <c r="P44" i="20"/>
  <c r="O44" i="20"/>
  <c r="G44" i="20"/>
  <c r="U43" i="20"/>
  <c r="Y43" i="20" s="1"/>
  <c r="AA43" i="20" s="1"/>
  <c r="AC43" i="20" s="1"/>
  <c r="P43" i="20"/>
  <c r="O43" i="20"/>
  <c r="G43" i="20"/>
  <c r="U42" i="20"/>
  <c r="Y42" i="20" s="1"/>
  <c r="AA42" i="20" s="1"/>
  <c r="AC42" i="20" s="1"/>
  <c r="P42" i="20"/>
  <c r="O42" i="20"/>
  <c r="G42" i="20"/>
  <c r="U41" i="20"/>
  <c r="Y41" i="20" s="1"/>
  <c r="AA41" i="20" s="1"/>
  <c r="AC41" i="20" s="1"/>
  <c r="P41" i="20"/>
  <c r="O41" i="20"/>
  <c r="G41" i="20"/>
  <c r="U40" i="20"/>
  <c r="Y40" i="20" s="1"/>
  <c r="AA40" i="20" s="1"/>
  <c r="AC40" i="20" s="1"/>
  <c r="P40" i="20"/>
  <c r="O40" i="20"/>
  <c r="G40" i="20"/>
  <c r="U39" i="20"/>
  <c r="Y39" i="20" s="1"/>
  <c r="AA39" i="20" s="1"/>
  <c r="AC39" i="20" s="1"/>
  <c r="P39" i="20"/>
  <c r="O39" i="20"/>
  <c r="G39" i="20"/>
  <c r="U38" i="20"/>
  <c r="Y38" i="20" s="1"/>
  <c r="AA38" i="20" s="1"/>
  <c r="AC38" i="20" s="1"/>
  <c r="P38" i="20"/>
  <c r="O38" i="20"/>
  <c r="G38" i="20"/>
  <c r="U37" i="20"/>
  <c r="Y37" i="20" s="1"/>
  <c r="AA37" i="20" s="1"/>
  <c r="AC37" i="20" s="1"/>
  <c r="P37" i="20"/>
  <c r="O37" i="20"/>
  <c r="G37" i="20"/>
  <c r="U36" i="20"/>
  <c r="Y36" i="20" s="1"/>
  <c r="AA36" i="20" s="1"/>
  <c r="AC36" i="20" s="1"/>
  <c r="P36" i="20"/>
  <c r="O36" i="20"/>
  <c r="G36" i="20"/>
  <c r="U35" i="20"/>
  <c r="Y35" i="20" s="1"/>
  <c r="AA35" i="20" s="1"/>
  <c r="AC35" i="20" s="1"/>
  <c r="P35" i="20"/>
  <c r="O35" i="20"/>
  <c r="G35" i="20"/>
  <c r="U34" i="20"/>
  <c r="Y34" i="20" s="1"/>
  <c r="AA34" i="20" s="1"/>
  <c r="AC34" i="20" s="1"/>
  <c r="P34" i="20"/>
  <c r="O34" i="20"/>
  <c r="G34" i="20"/>
  <c r="U33" i="20"/>
  <c r="Y33" i="20" s="1"/>
  <c r="AA33" i="20" s="1"/>
  <c r="AC33" i="20" s="1"/>
  <c r="P33" i="20"/>
  <c r="O33" i="20"/>
  <c r="G33" i="20"/>
  <c r="U32" i="20"/>
  <c r="Y32" i="20" s="1"/>
  <c r="AA32" i="20" s="1"/>
  <c r="AC32" i="20" s="1"/>
  <c r="P32" i="20"/>
  <c r="O32" i="20"/>
  <c r="G32" i="20"/>
  <c r="U31" i="20"/>
  <c r="Y31" i="20" s="1"/>
  <c r="AA31" i="20" s="1"/>
  <c r="AC31" i="20" s="1"/>
  <c r="P31" i="20"/>
  <c r="O31" i="20"/>
  <c r="G31" i="20"/>
  <c r="U30" i="20"/>
  <c r="Y30" i="20" s="1"/>
  <c r="AA30" i="20" s="1"/>
  <c r="AC30" i="20" s="1"/>
  <c r="P30" i="20"/>
  <c r="O30" i="20"/>
  <c r="G30" i="20"/>
  <c r="U29" i="20"/>
  <c r="Y29" i="20" s="1"/>
  <c r="AA29" i="20" s="1"/>
  <c r="AC29" i="20" s="1"/>
  <c r="P29" i="20"/>
  <c r="O29" i="20"/>
  <c r="G29" i="20"/>
  <c r="U28" i="20"/>
  <c r="Y28" i="20" s="1"/>
  <c r="AA28" i="20" s="1"/>
  <c r="AC28" i="20" s="1"/>
  <c r="P28" i="20"/>
  <c r="O28" i="20"/>
  <c r="G28" i="20"/>
  <c r="U27" i="20"/>
  <c r="Y27" i="20" s="1"/>
  <c r="AA27" i="20" s="1"/>
  <c r="AC27" i="20" s="1"/>
  <c r="P27" i="20"/>
  <c r="O27" i="20"/>
  <c r="G27" i="20"/>
  <c r="U26" i="20"/>
  <c r="Y26" i="20" s="1"/>
  <c r="AA26" i="20" s="1"/>
  <c r="AC26" i="20" s="1"/>
  <c r="P26" i="20"/>
  <c r="O26" i="20"/>
  <c r="G26" i="20"/>
  <c r="U25" i="20"/>
  <c r="Y25" i="20" s="1"/>
  <c r="AA25" i="20" s="1"/>
  <c r="AC25" i="20" s="1"/>
  <c r="P25" i="20"/>
  <c r="O25" i="20"/>
  <c r="G25" i="20"/>
  <c r="U24" i="20"/>
  <c r="Y24" i="20" s="1"/>
  <c r="AA24" i="20" s="1"/>
  <c r="AC24" i="20" s="1"/>
  <c r="P24" i="20"/>
  <c r="O24" i="20"/>
  <c r="G24" i="20"/>
  <c r="U23" i="20"/>
  <c r="Y23" i="20" s="1"/>
  <c r="AA23" i="20" s="1"/>
  <c r="AC23" i="20" s="1"/>
  <c r="P23" i="20"/>
  <c r="O23" i="20"/>
  <c r="G23" i="20"/>
  <c r="U22" i="20"/>
  <c r="Y22" i="20" s="1"/>
  <c r="AA22" i="20" s="1"/>
  <c r="AC22" i="20" s="1"/>
  <c r="P22" i="20"/>
  <c r="O22" i="20"/>
  <c r="G22" i="20"/>
  <c r="U21" i="20"/>
  <c r="Y21" i="20" s="1"/>
  <c r="AA21" i="20" s="1"/>
  <c r="AC21" i="20" s="1"/>
  <c r="P21" i="20"/>
  <c r="O21" i="20"/>
  <c r="G21" i="20"/>
  <c r="U20" i="20"/>
  <c r="Y20" i="20" s="1"/>
  <c r="AA20" i="20" s="1"/>
  <c r="AC20" i="20" s="1"/>
  <c r="P20" i="20"/>
  <c r="O20" i="20"/>
  <c r="G20" i="20"/>
  <c r="U19" i="20"/>
  <c r="Y19" i="20" s="1"/>
  <c r="AA19" i="20" s="1"/>
  <c r="AC19" i="20" s="1"/>
  <c r="P19" i="20"/>
  <c r="O19" i="20"/>
  <c r="G19" i="20"/>
  <c r="U18" i="20"/>
  <c r="Y18" i="20" s="1"/>
  <c r="AA18" i="20" s="1"/>
  <c r="AC18" i="20" s="1"/>
  <c r="P18" i="20"/>
  <c r="O18" i="20"/>
  <c r="G18" i="20"/>
  <c r="U17" i="20"/>
  <c r="Y17" i="20" s="1"/>
  <c r="AA17" i="20" s="1"/>
  <c r="AC17" i="20" s="1"/>
  <c r="P17" i="20"/>
  <c r="O17" i="20"/>
  <c r="G17" i="20"/>
  <c r="U16" i="20"/>
  <c r="Y16" i="20" s="1"/>
  <c r="AA16" i="20" s="1"/>
  <c r="AC16" i="20" s="1"/>
  <c r="P16" i="20"/>
  <c r="O16" i="20"/>
  <c r="G16" i="20"/>
  <c r="U15" i="20"/>
  <c r="Y15" i="20" s="1"/>
  <c r="AA15" i="20" s="1"/>
  <c r="AC15" i="20" s="1"/>
  <c r="P15" i="20"/>
  <c r="O15" i="20"/>
  <c r="G15" i="20"/>
  <c r="U14" i="20"/>
  <c r="Y14" i="20" s="1"/>
  <c r="AA14" i="20" s="1"/>
  <c r="AC14" i="20" s="1"/>
  <c r="P14" i="20"/>
  <c r="O14" i="20"/>
  <c r="G14" i="20"/>
  <c r="U13" i="20"/>
  <c r="Y13" i="20" s="1"/>
  <c r="AA13" i="20" s="1"/>
  <c r="AC13" i="20" s="1"/>
  <c r="P13" i="20"/>
  <c r="O13" i="20"/>
  <c r="G13" i="20"/>
  <c r="U12" i="20"/>
  <c r="Y12" i="20" s="1"/>
  <c r="AA12" i="20" s="1"/>
  <c r="AC12" i="20" s="1"/>
  <c r="P12" i="20"/>
  <c r="O12" i="20"/>
  <c r="G12" i="20"/>
  <c r="U11" i="20"/>
  <c r="Y11" i="20" s="1"/>
  <c r="AA11" i="20" s="1"/>
  <c r="AC11" i="20" s="1"/>
  <c r="P11" i="20"/>
  <c r="O11" i="20"/>
  <c r="G11" i="20"/>
  <c r="U10" i="20"/>
  <c r="Y10" i="20" s="1"/>
  <c r="AA10" i="20" s="1"/>
  <c r="AC10" i="20" s="1"/>
  <c r="P10" i="20"/>
  <c r="O10" i="20"/>
  <c r="G10" i="20"/>
  <c r="U9" i="20"/>
  <c r="Y9" i="20" s="1"/>
  <c r="AA9" i="20" s="1"/>
  <c r="AC9" i="20" s="1"/>
  <c r="P9" i="20"/>
  <c r="O9" i="20"/>
  <c r="G9" i="20"/>
  <c r="U8" i="20"/>
  <c r="Y8" i="20" s="1"/>
  <c r="AA8" i="20" s="1"/>
  <c r="AC8" i="20" s="1"/>
  <c r="P8" i="20"/>
  <c r="O8" i="20"/>
  <c r="G8" i="20"/>
  <c r="U7" i="20"/>
  <c r="Y7" i="20" s="1"/>
  <c r="AA7" i="20" s="1"/>
  <c r="AC7" i="20" s="1"/>
  <c r="P7" i="20"/>
  <c r="O7" i="20"/>
  <c r="G7" i="20"/>
  <c r="U6" i="20"/>
  <c r="Y6" i="20" s="1"/>
  <c r="AA6" i="20" s="1"/>
  <c r="AC6" i="20" s="1"/>
  <c r="P6" i="20"/>
  <c r="O6" i="20"/>
  <c r="G6" i="20"/>
  <c r="U5" i="20"/>
  <c r="Y5" i="20" s="1"/>
  <c r="AA5" i="20" s="1"/>
  <c r="AC5" i="20" s="1"/>
  <c r="P5" i="20"/>
  <c r="O5" i="20"/>
  <c r="N5" i="20"/>
  <c r="G5" i="20"/>
  <c r="O3" i="20"/>
  <c r="U13" i="18"/>
  <c r="Y13" i="18" s="1"/>
  <c r="U14" i="18"/>
  <c r="Y14" i="18" s="1"/>
  <c r="U15" i="18"/>
  <c r="Y15" i="18" s="1"/>
  <c r="U16" i="18"/>
  <c r="Y16" i="18" s="1"/>
  <c r="U17" i="18"/>
  <c r="Y17" i="18" s="1"/>
  <c r="U18" i="18"/>
  <c r="Y18" i="18" s="1"/>
  <c r="U19" i="18"/>
  <c r="Y19" i="18" s="1"/>
  <c r="AA19" i="18" s="1"/>
  <c r="AC19" i="18" s="1"/>
  <c r="G19" i="18" s="1"/>
  <c r="U20" i="18"/>
  <c r="Y20" i="18" s="1"/>
  <c r="U21" i="18"/>
  <c r="Y21" i="18" s="1"/>
  <c r="U22" i="18"/>
  <c r="Y22" i="18" s="1"/>
  <c r="U23" i="18"/>
  <c r="Y23" i="18" s="1"/>
  <c r="U24" i="18"/>
  <c r="Y24" i="18" s="1"/>
  <c r="U25" i="18"/>
  <c r="Y25" i="18" s="1"/>
  <c r="U26" i="18"/>
  <c r="Y26" i="18" s="1"/>
  <c r="U27" i="18"/>
  <c r="Y27" i="18" s="1"/>
  <c r="U28" i="18"/>
  <c r="Y28" i="18" s="1"/>
  <c r="U29" i="18"/>
  <c r="Y29" i="18" s="1"/>
  <c r="U30" i="18"/>
  <c r="Y30" i="18" s="1"/>
  <c r="U31" i="18"/>
  <c r="Y31" i="18" s="1"/>
  <c r="U32" i="18"/>
  <c r="Y32" i="18" s="1"/>
  <c r="U33" i="18"/>
  <c r="Y33" i="18" s="1"/>
  <c r="U34" i="18"/>
  <c r="Y34" i="18" s="1"/>
  <c r="U35" i="18"/>
  <c r="Y35" i="18" s="1"/>
  <c r="U36" i="18"/>
  <c r="Y36" i="18" s="1"/>
  <c r="U37" i="18"/>
  <c r="Y37" i="18" s="1"/>
  <c r="U38" i="18"/>
  <c r="Y38" i="18" s="1"/>
  <c r="U39" i="18"/>
  <c r="Y39" i="18" s="1"/>
  <c r="U40" i="18"/>
  <c r="Y40" i="18" s="1"/>
  <c r="U41" i="18"/>
  <c r="Y41" i="18" s="1"/>
  <c r="U42" i="18"/>
  <c r="Y42" i="18" s="1"/>
  <c r="U43" i="18"/>
  <c r="Y43" i="18" s="1"/>
  <c r="U44" i="18"/>
  <c r="Y44" i="18" s="1"/>
  <c r="U45" i="18"/>
  <c r="Y45" i="18" s="1"/>
  <c r="U46" i="18"/>
  <c r="Y46" i="18" s="1"/>
  <c r="U47" i="18"/>
  <c r="Y47" i="18" s="1"/>
  <c r="U48" i="18"/>
  <c r="Y48" i="18" s="1"/>
  <c r="U49" i="18"/>
  <c r="Y49" i="18" s="1"/>
  <c r="U50" i="18"/>
  <c r="Y50" i="18" s="1"/>
  <c r="U6" i="18"/>
  <c r="Y6" i="18" s="1"/>
  <c r="U7" i="18"/>
  <c r="Y7" i="18" s="1"/>
  <c r="U8" i="18"/>
  <c r="Y8" i="18" s="1"/>
  <c r="U9" i="18"/>
  <c r="Y9" i="18" s="1"/>
  <c r="U10" i="18"/>
  <c r="Y10" i="18" s="1"/>
  <c r="U11" i="18"/>
  <c r="Y11" i="18" s="1"/>
  <c r="U12" i="18"/>
  <c r="Y12" i="18" s="1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6" i="18"/>
  <c r="O5" i="18"/>
  <c r="N5" i="18"/>
  <c r="U5" i="18"/>
  <c r="Y5" i="18" s="1"/>
  <c r="O3" i="18"/>
  <c r="L19" i="18" l="1"/>
  <c r="L19" i="20"/>
  <c r="G52" i="20"/>
  <c r="G53" i="20" s="1"/>
  <c r="I5" i="20"/>
  <c r="K5" i="20" s="1"/>
  <c r="I6" i="20"/>
  <c r="K6" i="20" s="1"/>
  <c r="I7" i="20"/>
  <c r="K7" i="20" s="1"/>
  <c r="I8" i="20"/>
  <c r="K8" i="20" s="1"/>
  <c r="I9" i="20"/>
  <c r="K9" i="20" s="1"/>
  <c r="I10" i="20"/>
  <c r="K10" i="20" s="1"/>
  <c r="I11" i="20"/>
  <c r="K11" i="20" s="1"/>
  <c r="I12" i="20"/>
  <c r="K12" i="20" s="1"/>
  <c r="I13" i="20"/>
  <c r="K13" i="20" s="1"/>
  <c r="I14" i="20"/>
  <c r="K14" i="20" s="1"/>
  <c r="I15" i="20"/>
  <c r="K15" i="20" s="1"/>
  <c r="I16" i="20"/>
  <c r="K16" i="20" s="1"/>
  <c r="I17" i="20"/>
  <c r="K17" i="20" s="1"/>
  <c r="I18" i="20"/>
  <c r="K18" i="20" s="1"/>
  <c r="I19" i="20"/>
  <c r="K19" i="20" s="1"/>
  <c r="I20" i="20"/>
  <c r="K20" i="20" s="1"/>
  <c r="I21" i="20"/>
  <c r="K21" i="20" s="1"/>
  <c r="I22" i="20"/>
  <c r="K22" i="20" s="1"/>
  <c r="I23" i="20"/>
  <c r="K23" i="20" s="1"/>
  <c r="I24" i="20"/>
  <c r="K24" i="20" s="1"/>
  <c r="I25" i="20"/>
  <c r="K25" i="20" s="1"/>
  <c r="I26" i="20"/>
  <c r="K26" i="20" s="1"/>
  <c r="I27" i="20"/>
  <c r="K27" i="20" s="1"/>
  <c r="I28" i="20"/>
  <c r="K28" i="20" s="1"/>
  <c r="I29" i="20"/>
  <c r="K29" i="20" s="1"/>
  <c r="I30" i="20"/>
  <c r="K30" i="20" s="1"/>
  <c r="I31" i="20"/>
  <c r="K31" i="20" s="1"/>
  <c r="I32" i="20"/>
  <c r="K32" i="20" s="1"/>
  <c r="I33" i="20"/>
  <c r="K33" i="20" s="1"/>
  <c r="I34" i="20"/>
  <c r="K34" i="20" s="1"/>
  <c r="I35" i="20"/>
  <c r="K35" i="20" s="1"/>
  <c r="I36" i="20"/>
  <c r="K36" i="20" s="1"/>
  <c r="I37" i="20"/>
  <c r="K37" i="20" s="1"/>
  <c r="I38" i="20"/>
  <c r="K38" i="20" s="1"/>
  <c r="I39" i="20"/>
  <c r="K39" i="20" s="1"/>
  <c r="I40" i="20"/>
  <c r="K40" i="20" s="1"/>
  <c r="I41" i="20"/>
  <c r="K41" i="20" s="1"/>
  <c r="I42" i="20"/>
  <c r="K42" i="20" s="1"/>
  <c r="I43" i="20"/>
  <c r="K43" i="20" s="1"/>
  <c r="I44" i="20"/>
  <c r="K44" i="20" s="1"/>
  <c r="I45" i="20"/>
  <c r="K45" i="20" s="1"/>
  <c r="I46" i="20"/>
  <c r="K46" i="20" s="1"/>
  <c r="I47" i="20"/>
  <c r="K47" i="20" s="1"/>
  <c r="I48" i="20"/>
  <c r="K48" i="20" s="1"/>
  <c r="I49" i="20"/>
  <c r="K49" i="20" s="1"/>
  <c r="I50" i="20"/>
  <c r="K50" i="20" s="1"/>
  <c r="AA34" i="18"/>
  <c r="AC34" i="18" s="1"/>
  <c r="G34" i="18" s="1"/>
  <c r="AA50" i="18"/>
  <c r="AC50" i="18" s="1"/>
  <c r="AA18" i="18"/>
  <c r="AC18" i="18" s="1"/>
  <c r="G18" i="18" s="1"/>
  <c r="AA41" i="18"/>
  <c r="AC41" i="18" s="1"/>
  <c r="G41" i="18" s="1"/>
  <c r="AA25" i="18"/>
  <c r="AC25" i="18" s="1"/>
  <c r="G25" i="18" s="1"/>
  <c r="AA43" i="18"/>
  <c r="AC43" i="18" s="1"/>
  <c r="G43" i="18" s="1"/>
  <c r="AA35" i="18"/>
  <c r="AC35" i="18" s="1"/>
  <c r="G35" i="18" s="1"/>
  <c r="AA27" i="18"/>
  <c r="AC27" i="18" s="1"/>
  <c r="G27" i="18" s="1"/>
  <c r="AA13" i="18"/>
  <c r="AC13" i="18" s="1"/>
  <c r="G13" i="18" s="1"/>
  <c r="AA21" i="18"/>
  <c r="AC21" i="18" s="1"/>
  <c r="G21" i="18" s="1"/>
  <c r="AA29" i="18"/>
  <c r="AC29" i="18" s="1"/>
  <c r="G29" i="18" s="1"/>
  <c r="AA45" i="18"/>
  <c r="AC45" i="18" s="1"/>
  <c r="G45" i="18" s="1"/>
  <c r="AA7" i="18"/>
  <c r="AC7" i="18" s="1"/>
  <c r="G7" i="18" s="1"/>
  <c r="AA44" i="18"/>
  <c r="AC44" i="18" s="1"/>
  <c r="G44" i="18" s="1"/>
  <c r="AA36" i="18"/>
  <c r="AC36" i="18" s="1"/>
  <c r="G36" i="18" s="1"/>
  <c r="AA28" i="18"/>
  <c r="AC28" i="18" s="1"/>
  <c r="G28" i="18" s="1"/>
  <c r="AA20" i="18"/>
  <c r="AC20" i="18" s="1"/>
  <c r="G20" i="18" s="1"/>
  <c r="AA6" i="18"/>
  <c r="AC6" i="18" s="1"/>
  <c r="G6" i="18" s="1"/>
  <c r="AA37" i="18"/>
  <c r="AC37" i="18" s="1"/>
  <c r="G37" i="18" s="1"/>
  <c r="AA26" i="18"/>
  <c r="AC26" i="18" s="1"/>
  <c r="G26" i="18" s="1"/>
  <c r="AA12" i="18"/>
  <c r="AC12" i="18" s="1"/>
  <c r="G12" i="18" s="1"/>
  <c r="AA17" i="18"/>
  <c r="AC17" i="18" s="1"/>
  <c r="G17" i="18" s="1"/>
  <c r="AA33" i="18"/>
  <c r="AC33" i="18" s="1"/>
  <c r="G33" i="18" s="1"/>
  <c r="AA49" i="18"/>
  <c r="AC49" i="18" s="1"/>
  <c r="G49" i="18" s="1"/>
  <c r="AA9" i="18"/>
  <c r="AC9" i="18" s="1"/>
  <c r="G9" i="18" s="1"/>
  <c r="AA8" i="18"/>
  <c r="AC8" i="18" s="1"/>
  <c r="G8" i="18" s="1"/>
  <c r="AA48" i="18"/>
  <c r="AC48" i="18" s="1"/>
  <c r="G48" i="18" s="1"/>
  <c r="AA40" i="18"/>
  <c r="AC40" i="18" s="1"/>
  <c r="G40" i="18" s="1"/>
  <c r="AA32" i="18"/>
  <c r="AC32" i="18" s="1"/>
  <c r="G32" i="18" s="1"/>
  <c r="AA24" i="18"/>
  <c r="AC24" i="18" s="1"/>
  <c r="G24" i="18" s="1"/>
  <c r="AA16" i="18"/>
  <c r="AC16" i="18" s="1"/>
  <c r="G16" i="18" s="1"/>
  <c r="AA10" i="18"/>
  <c r="AC10" i="18" s="1"/>
  <c r="G10" i="18" s="1"/>
  <c r="AA42" i="18"/>
  <c r="AC42" i="18" s="1"/>
  <c r="G42" i="18" s="1"/>
  <c r="AA5" i="18"/>
  <c r="AC5" i="18" s="1"/>
  <c r="G5" i="18" s="1"/>
  <c r="AA11" i="18"/>
  <c r="AC11" i="18" s="1"/>
  <c r="G11" i="18" s="1"/>
  <c r="AA47" i="18"/>
  <c r="AC47" i="18" s="1"/>
  <c r="G47" i="18" s="1"/>
  <c r="AA39" i="18"/>
  <c r="AC39" i="18" s="1"/>
  <c r="G39" i="18" s="1"/>
  <c r="AA31" i="18"/>
  <c r="AC31" i="18" s="1"/>
  <c r="G31" i="18" s="1"/>
  <c r="AA23" i="18"/>
  <c r="AC23" i="18" s="1"/>
  <c r="G23" i="18" s="1"/>
  <c r="AA15" i="18"/>
  <c r="AC15" i="18" s="1"/>
  <c r="G15" i="18" s="1"/>
  <c r="AA46" i="18"/>
  <c r="AC46" i="18" s="1"/>
  <c r="G46" i="18" s="1"/>
  <c r="AA38" i="18"/>
  <c r="AC38" i="18" s="1"/>
  <c r="G38" i="18" s="1"/>
  <c r="AA30" i="18"/>
  <c r="AC30" i="18" s="1"/>
  <c r="G30" i="18" s="1"/>
  <c r="AA22" i="18"/>
  <c r="AC22" i="18" s="1"/>
  <c r="G22" i="18" s="1"/>
  <c r="AA14" i="18"/>
  <c r="AC14" i="18" s="1"/>
  <c r="G14" i="18" s="1"/>
  <c r="G50" i="18"/>
  <c r="L50" i="18" l="1"/>
  <c r="L50" i="20"/>
  <c r="L14" i="18"/>
  <c r="L14" i="20"/>
  <c r="L22" i="18"/>
  <c r="L22" i="20"/>
  <c r="L30" i="18"/>
  <c r="L30" i="20"/>
  <c r="L38" i="18"/>
  <c r="L38" i="20"/>
  <c r="L46" i="18"/>
  <c r="L46" i="20"/>
  <c r="L15" i="18"/>
  <c r="L15" i="20"/>
  <c r="L23" i="18"/>
  <c r="L23" i="20"/>
  <c r="L31" i="18"/>
  <c r="L31" i="20"/>
  <c r="L39" i="18"/>
  <c r="L39" i="20"/>
  <c r="L47" i="18"/>
  <c r="L47" i="20"/>
  <c r="L11" i="18"/>
  <c r="L11" i="20"/>
  <c r="L5" i="18"/>
  <c r="L5" i="20"/>
  <c r="L42" i="18"/>
  <c r="L42" i="20"/>
  <c r="L10" i="18"/>
  <c r="L10" i="20"/>
  <c r="L16" i="18"/>
  <c r="L16" i="20"/>
  <c r="L24" i="18"/>
  <c r="L24" i="20"/>
  <c r="L32" i="18"/>
  <c r="L32" i="20"/>
  <c r="L40" i="18"/>
  <c r="L40" i="20"/>
  <c r="L48" i="18"/>
  <c r="L48" i="20"/>
  <c r="L8" i="18"/>
  <c r="L8" i="20"/>
  <c r="L9" i="18"/>
  <c r="L9" i="20"/>
  <c r="L49" i="18"/>
  <c r="L49" i="20"/>
  <c r="L33" i="18"/>
  <c r="L33" i="20"/>
  <c r="L17" i="18"/>
  <c r="L17" i="20"/>
  <c r="L12" i="18"/>
  <c r="L12" i="20"/>
  <c r="L26" i="18"/>
  <c r="L26" i="20"/>
  <c r="L37" i="18"/>
  <c r="L37" i="20"/>
  <c r="L6" i="18"/>
  <c r="L6" i="20"/>
  <c r="L20" i="18"/>
  <c r="L20" i="20"/>
  <c r="L28" i="18"/>
  <c r="L28" i="20"/>
  <c r="L36" i="18"/>
  <c r="L36" i="20"/>
  <c r="L44" i="18"/>
  <c r="L44" i="20"/>
  <c r="L7" i="18"/>
  <c r="L7" i="20"/>
  <c r="L45" i="18"/>
  <c r="L45" i="20"/>
  <c r="L29" i="18"/>
  <c r="L29" i="20"/>
  <c r="L21" i="18"/>
  <c r="L21" i="20"/>
  <c r="L13" i="18"/>
  <c r="L13" i="20"/>
  <c r="L27" i="18"/>
  <c r="L27" i="20"/>
  <c r="L35" i="18"/>
  <c r="L35" i="20"/>
  <c r="L43" i="18"/>
  <c r="L43" i="20"/>
  <c r="L25" i="18"/>
  <c r="L25" i="20"/>
  <c r="L41" i="18"/>
  <c r="L41" i="20"/>
  <c r="L18" i="18"/>
  <c r="L18" i="20"/>
  <c r="L34" i="18"/>
  <c r="L34" i="20"/>
  <c r="K54" i="20"/>
  <c r="K55" i="20" s="1"/>
  <c r="K56" i="20" s="1"/>
  <c r="G52" i="18"/>
  <c r="G53" i="18" s="1"/>
  <c r="I28" i="18" s="1"/>
  <c r="K28" i="18" s="1"/>
  <c r="I47" i="18" l="1"/>
  <c r="K47" i="18" s="1"/>
  <c r="I32" i="18"/>
  <c r="K32" i="18" s="1"/>
  <c r="I42" i="18"/>
  <c r="K42" i="18" s="1"/>
  <c r="I20" i="18"/>
  <c r="K20" i="18" s="1"/>
  <c r="I7" i="18"/>
  <c r="K7" i="18" s="1"/>
  <c r="I39" i="18"/>
  <c r="K39" i="18" s="1"/>
  <c r="I17" i="18"/>
  <c r="K17" i="18" s="1"/>
  <c r="I45" i="18"/>
  <c r="K45" i="18" s="1"/>
  <c r="I22" i="18"/>
  <c r="K22" i="18" s="1"/>
  <c r="I15" i="18"/>
  <c r="K15" i="18" s="1"/>
  <c r="I43" i="18"/>
  <c r="K43" i="18" s="1"/>
  <c r="I50" i="18"/>
  <c r="K50" i="18" s="1"/>
  <c r="I25" i="18"/>
  <c r="K25" i="18" s="1"/>
  <c r="I34" i="18"/>
  <c r="K34" i="18" s="1"/>
  <c r="I6" i="18"/>
  <c r="K6" i="18" s="1"/>
  <c r="I14" i="18"/>
  <c r="K14" i="18" s="1"/>
  <c r="I48" i="18"/>
  <c r="K48" i="18" s="1"/>
  <c r="I31" i="18"/>
  <c r="K31" i="18" s="1"/>
  <c r="I5" i="18"/>
  <c r="K5" i="18" s="1"/>
  <c r="I8" i="18"/>
  <c r="K8" i="18" s="1"/>
  <c r="I38" i="18"/>
  <c r="K38" i="18" s="1"/>
  <c r="I40" i="18"/>
  <c r="K40" i="18" s="1"/>
  <c r="I16" i="18"/>
  <c r="K16" i="18" s="1"/>
  <c r="I10" i="18"/>
  <c r="K10" i="18" s="1"/>
  <c r="I26" i="18"/>
  <c r="K26" i="18" s="1"/>
  <c r="I24" i="18"/>
  <c r="K24" i="18" s="1"/>
  <c r="I12" i="18"/>
  <c r="K12" i="18" s="1"/>
  <c r="I33" i="18"/>
  <c r="K33" i="18" s="1"/>
  <c r="I30" i="18"/>
  <c r="K30" i="18" s="1"/>
  <c r="I36" i="18"/>
  <c r="K36" i="18" s="1"/>
  <c r="I46" i="18"/>
  <c r="K46" i="18" s="1"/>
  <c r="I37" i="18"/>
  <c r="K37" i="18" s="1"/>
  <c r="I9" i="18"/>
  <c r="K9" i="18" s="1"/>
  <c r="I35" i="18"/>
  <c r="K35" i="18" s="1"/>
  <c r="I11" i="18"/>
  <c r="K11" i="18" s="1"/>
  <c r="I13" i="18"/>
  <c r="K13" i="18" s="1"/>
  <c r="I49" i="18"/>
  <c r="K49" i="18" s="1"/>
  <c r="I18" i="18"/>
  <c r="K18" i="18" s="1"/>
  <c r="I27" i="18"/>
  <c r="K27" i="18" s="1"/>
  <c r="I29" i="18"/>
  <c r="K29" i="18" s="1"/>
  <c r="I23" i="18"/>
  <c r="K23" i="18" s="1"/>
  <c r="I41" i="18"/>
  <c r="K41" i="18" s="1"/>
  <c r="I21" i="18"/>
  <c r="K21" i="18" s="1"/>
  <c r="I44" i="18"/>
  <c r="K44" i="18" s="1"/>
  <c r="I19" i="18"/>
  <c r="K19" i="18" s="1"/>
  <c r="K54" i="18" l="1"/>
  <c r="K55" i="18" s="1"/>
  <c r="K56" i="18" s="1"/>
</calcChain>
</file>

<file path=xl/sharedStrings.xml><?xml version="1.0" encoding="utf-8"?>
<sst xmlns="http://schemas.openxmlformats.org/spreadsheetml/2006/main" count="235" uniqueCount="117">
  <si>
    <t>Ph.Eur 2.2.32. LoD (&gt;1.00000g | 40°C | 20mBar | 24h);</t>
  </si>
  <si>
    <t>Ph.Eur 2.2.32. LoD (40°C | 20mBar | 24h)</t>
  </si>
  <si>
    <t>Sample Size (N)</t>
  </si>
  <si>
    <r>
      <t>051026_AM02.2_s1_</t>
    </r>
    <r>
      <rPr>
        <b/>
        <sz val="10"/>
        <color rgb="FFFF0000"/>
        <rFont val="Arial Narrow"/>
      </rPr>
      <t>GG1024</t>
    </r>
  </si>
  <si>
    <t>Sample ID</t>
  </si>
  <si>
    <t xml:space="preserve">Batch No. </t>
  </si>
  <si>
    <r>
      <t>%MC</t>
    </r>
    <r>
      <rPr>
        <b/>
        <vertAlign val="subscript"/>
        <sz val="16"/>
        <color theme="1"/>
        <rFont val="Arial Narrow"/>
      </rPr>
      <t>DO</t>
    </r>
  </si>
  <si>
    <r>
      <rPr>
        <b/>
        <sz val="11"/>
        <color theme="1"/>
        <rFont val="Arial Narrow"/>
      </rPr>
      <t>%MC</t>
    </r>
    <r>
      <rPr>
        <b/>
        <vertAlign val="subscript"/>
        <sz val="11"/>
        <color theme="1"/>
        <rFont val="Arial Narrow"/>
      </rPr>
      <t>DO</t>
    </r>
    <r>
      <rPr>
        <b/>
        <sz val="11"/>
        <color theme="1"/>
        <rFont val="Arial Narrow"/>
      </rPr>
      <t>-MEAN</t>
    </r>
  </si>
  <si>
    <r>
      <rPr>
        <b/>
        <sz val="11"/>
        <color theme="1"/>
        <rFont val="Arial Narrow"/>
      </rPr>
      <t>(%MC</t>
    </r>
    <r>
      <rPr>
        <b/>
        <vertAlign val="subscript"/>
        <sz val="11"/>
        <color theme="1"/>
        <rFont val="Arial Narrow"/>
      </rPr>
      <t>DO</t>
    </r>
    <r>
      <rPr>
        <b/>
        <sz val="11"/>
        <color theme="1"/>
        <rFont val="Arial Narrow"/>
      </rPr>
      <t>-MEAN)</t>
    </r>
    <r>
      <rPr>
        <b/>
        <vertAlign val="superscript"/>
        <sz val="11"/>
        <color theme="1"/>
        <rFont val="Arial Narrow"/>
      </rPr>
      <t>2</t>
    </r>
  </si>
  <si>
    <t>Delta G2-G2</t>
  </si>
  <si>
    <t>Vegeglassi (g)</t>
  </si>
  <si>
    <t>Net (g)</t>
  </si>
  <si>
    <t>G1 = Gross 1 (g)</t>
  </si>
  <si>
    <t>G2 = Gross 2 (g)</t>
  </si>
  <si>
    <t>G1 - G1</t>
  </si>
  <si>
    <t>Net - (G1 - G2)</t>
  </si>
  <si>
    <t>%[Net - (G1-G2)]</t>
  </si>
  <si>
    <t>T1&amp;T2; 05.10.2026</t>
  </si>
  <si>
    <t>n1</t>
  </si>
  <si>
    <t>051026_AM02.2_S1</t>
  </si>
  <si>
    <t>n2</t>
  </si>
  <si>
    <t>051026_AM02.2_S2</t>
  </si>
  <si>
    <t>n3</t>
  </si>
  <si>
    <t>051026_AM02.2_S3</t>
  </si>
  <si>
    <t>n4</t>
  </si>
  <si>
    <t>051026_AM02.2_S4</t>
  </si>
  <si>
    <t>n5</t>
  </si>
  <si>
    <t>051026_AM02.2_S5</t>
  </si>
  <si>
    <t>n6</t>
  </si>
  <si>
    <t>051026_AM02.2_S6</t>
  </si>
  <si>
    <t>n7</t>
  </si>
  <si>
    <t>051026_AM02.2_S7</t>
  </si>
  <si>
    <t>n8</t>
  </si>
  <si>
    <t>051026_AM02.2_S8</t>
  </si>
  <si>
    <t>n9</t>
  </si>
  <si>
    <t>051026_AM02.2_S9</t>
  </si>
  <si>
    <t>n10</t>
  </si>
  <si>
    <t>051026_AM02.2_S10</t>
  </si>
  <si>
    <t>n11</t>
  </si>
  <si>
    <t>051026_AM02.2_S11</t>
  </si>
  <si>
    <t>n12</t>
  </si>
  <si>
    <t>051026_AM02.2_S12</t>
  </si>
  <si>
    <t>n13</t>
  </si>
  <si>
    <t>051026_AM02.2_S13</t>
  </si>
  <si>
    <t>n14</t>
  </si>
  <si>
    <t>051026_AM02.2_S14</t>
  </si>
  <si>
    <t>n15</t>
  </si>
  <si>
    <t>051026_AM02.2_S15</t>
  </si>
  <si>
    <t>n16</t>
  </si>
  <si>
    <t>051026_AM02.2_S16</t>
  </si>
  <si>
    <t>n17</t>
  </si>
  <si>
    <t>051026_AM02.2_S17</t>
  </si>
  <si>
    <t>n18</t>
  </si>
  <si>
    <t>051026_AM02.2_S18</t>
  </si>
  <si>
    <t>n19</t>
  </si>
  <si>
    <t>051026_AM02.2_S19</t>
  </si>
  <si>
    <t>n20</t>
  </si>
  <si>
    <t>051026_AM02.2_S20</t>
  </si>
  <si>
    <t>n21</t>
  </si>
  <si>
    <t>051026_AM02.2_S21</t>
  </si>
  <si>
    <t>n22</t>
  </si>
  <si>
    <t>051026_AM02.2_S22</t>
  </si>
  <si>
    <t>n23</t>
  </si>
  <si>
    <t>051026_AM02.2_S23</t>
  </si>
  <si>
    <t>n24</t>
  </si>
  <si>
    <t>051026_AM02.2_S24</t>
  </si>
  <si>
    <t>n25</t>
  </si>
  <si>
    <t>051026_AM02.2_S25</t>
  </si>
  <si>
    <t>n26</t>
  </si>
  <si>
    <t>051026_AM02.2_S26</t>
  </si>
  <si>
    <t>n27</t>
  </si>
  <si>
    <t>051026_AM02.2_S27</t>
  </si>
  <si>
    <t>n28</t>
  </si>
  <si>
    <t>051026_AM02.2_S28</t>
  </si>
  <si>
    <t>n29</t>
  </si>
  <si>
    <t>051026_AM02.2_S29</t>
  </si>
  <si>
    <t>n30</t>
  </si>
  <si>
    <t>051026_AM02.2_S30</t>
  </si>
  <si>
    <t>n31</t>
  </si>
  <si>
    <t>051026_AM02.2_S31</t>
  </si>
  <si>
    <t>n32</t>
  </si>
  <si>
    <t>051026_AM02.2_S32</t>
  </si>
  <si>
    <t>n33</t>
  </si>
  <si>
    <t>051026_AM02.2_S33</t>
  </si>
  <si>
    <t>n34</t>
  </si>
  <si>
    <t>051026_AM02.2_S34</t>
  </si>
  <si>
    <t>n35</t>
  </si>
  <si>
    <t>051026_AM02.2_S35</t>
  </si>
  <si>
    <t>n36</t>
  </si>
  <si>
    <t>051026_AM02.2_S36</t>
  </si>
  <si>
    <t>n37</t>
  </si>
  <si>
    <t>051026_AM02.2_S37</t>
  </si>
  <si>
    <t>n38</t>
  </si>
  <si>
    <t>051026_AM02.2_S38</t>
  </si>
  <si>
    <t>n39</t>
  </si>
  <si>
    <t>051026_AM02.2_S39</t>
  </si>
  <si>
    <t>n40</t>
  </si>
  <si>
    <t>051026_AM02.2_S40</t>
  </si>
  <si>
    <t>n41</t>
  </si>
  <si>
    <t>051026_AM02.2_S41</t>
  </si>
  <si>
    <t>n42</t>
  </si>
  <si>
    <t>051026_AM02.2_S42</t>
  </si>
  <si>
    <t>n43</t>
  </si>
  <si>
    <t>051026_AM02.2_S43</t>
  </si>
  <si>
    <t>n44</t>
  </si>
  <si>
    <t>051026_AM02.2_S44</t>
  </si>
  <si>
    <t>n45</t>
  </si>
  <si>
    <t>051026_AM02.2_S45</t>
  </si>
  <si>
    <t>n46</t>
  </si>
  <si>
    <t>051026_AM02.2_S46</t>
  </si>
  <si>
    <t>SUM</t>
  </si>
  <si>
    <t>MEAN</t>
  </si>
  <si>
    <r>
      <rPr>
        <b/>
        <sz val="11"/>
        <color theme="1"/>
        <rFont val="Arial Narrow"/>
      </rPr>
      <t>SUM(%MC</t>
    </r>
    <r>
      <rPr>
        <b/>
        <vertAlign val="subscript"/>
        <sz val="11"/>
        <color theme="1"/>
        <rFont val="Arial Narrow"/>
      </rPr>
      <t>DO</t>
    </r>
    <r>
      <rPr>
        <b/>
        <sz val="11"/>
        <color theme="1"/>
        <rFont val="Arial Narrow"/>
      </rPr>
      <t>-MEAN)</t>
    </r>
    <r>
      <rPr>
        <b/>
        <vertAlign val="superscript"/>
        <sz val="11"/>
        <color theme="1"/>
        <rFont val="Arial Narrow"/>
      </rPr>
      <t>2</t>
    </r>
  </si>
  <si>
    <r>
      <rPr>
        <b/>
        <sz val="11"/>
        <color theme="1"/>
        <rFont val="Arial Narrow"/>
      </rPr>
      <t>{SUM(%MC</t>
    </r>
    <r>
      <rPr>
        <b/>
        <vertAlign val="subscript"/>
        <sz val="11"/>
        <color theme="1"/>
        <rFont val="Arial Narrow"/>
      </rPr>
      <t>DO</t>
    </r>
    <r>
      <rPr>
        <b/>
        <sz val="11"/>
        <color theme="1"/>
        <rFont val="Arial Narrow"/>
      </rPr>
      <t>-MEAN)</t>
    </r>
    <r>
      <rPr>
        <b/>
        <vertAlign val="superscript"/>
        <sz val="11"/>
        <color theme="1"/>
        <rFont val="Arial Narrow"/>
      </rPr>
      <t>2</t>
    </r>
    <r>
      <rPr>
        <b/>
        <sz val="11"/>
        <color theme="1"/>
        <rFont val="Arial Narrow"/>
      </rPr>
      <t>} / (N-1)</t>
    </r>
  </si>
  <si>
    <r>
      <rPr>
        <b/>
        <sz val="14"/>
        <color theme="1"/>
        <rFont val="Arial Narrow"/>
      </rPr>
      <t>SD</t>
    </r>
    <r>
      <rPr>
        <b/>
        <vertAlign val="subscript"/>
        <sz val="14"/>
        <color theme="1"/>
        <rFont val="Arial Narrow"/>
      </rPr>
      <t>DO</t>
    </r>
  </si>
  <si>
    <t>0.0001g</t>
  </si>
  <si>
    <r>
      <rPr>
        <b/>
        <sz val="11"/>
        <color theme="1"/>
        <rFont val="Arial Narrow"/>
      </rPr>
      <t>%MC</t>
    </r>
    <r>
      <rPr>
        <b/>
        <vertAlign val="subscript"/>
        <sz val="11"/>
        <color theme="1"/>
        <rFont val="Arial Narrow"/>
      </rPr>
      <t>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</si>
</sst>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00"/>
    <numFmt numFmtId="167" formatCode="0.0"/>
  </numFmts>
  <fonts count="24">
    <font>
      <sz val="11"/>
      <color theme="1"/>
      <name val="Calibri"/>
      <scheme val="minor"/>
    </font>
    <font>
      <sz val="11"/>
      <name val="Calibri"/>
    </font>
    <font>
      <b/>
      <sz val="11"/>
      <color rgb="FF000000"/>
      <name val="Arial Narrow"/>
    </font>
    <font>
      <sz val="11"/>
      <color theme="1"/>
      <name val="Arial Narrow"/>
    </font>
    <font>
      <b/>
      <sz val="14"/>
      <color theme="1"/>
      <name val="Arial Narrow"/>
    </font>
    <font>
      <sz val="12"/>
      <color theme="1"/>
      <name val="Arial Narrow"/>
    </font>
    <font>
      <b/>
      <sz val="10"/>
      <color rgb="FF000000"/>
      <name val="Arial Narrow"/>
    </font>
    <font>
      <b/>
      <sz val="11"/>
      <color theme="1"/>
      <name val="Arial Narrow"/>
    </font>
    <font>
      <sz val="20"/>
      <color theme="1"/>
      <name val="Arial Narrow"/>
    </font>
    <font>
      <b/>
      <sz val="12"/>
      <color rgb="FF000000"/>
      <name val="Arial Narrow"/>
    </font>
    <font>
      <b/>
      <sz val="10"/>
      <color theme="1"/>
      <name val="Arial Narrow"/>
    </font>
    <font>
      <b/>
      <sz val="12"/>
      <color theme="1"/>
      <name val="Arial Narrow"/>
    </font>
    <font>
      <b/>
      <sz val="16"/>
      <color theme="1"/>
      <name val="Arial Narrow"/>
    </font>
    <font>
      <b/>
      <vertAlign val="subscript"/>
      <sz val="14"/>
      <color theme="1"/>
      <name val="Arial Narrow"/>
    </font>
    <font>
      <b/>
      <vertAlign val="superscript"/>
      <sz val="11"/>
      <color theme="1"/>
      <name val="Arial Narrow"/>
    </font>
    <font>
      <b/>
      <vertAlign val="subscript"/>
      <sz val="11"/>
      <color theme="1"/>
      <name val="Arial Narrow"/>
    </font>
    <font>
      <sz val="8"/>
      <name val="Calibri"/>
      <scheme val="minor"/>
    </font>
    <font>
      <sz val="11"/>
      <color theme="1"/>
      <name val="Calibri"/>
      <scheme val="minor"/>
    </font>
    <font>
      <sz val="10"/>
      <color rgb="FF000000"/>
      <name val="Calibri"/>
      <family val="2"/>
    </font>
    <font>
      <b/>
      <sz val="14"/>
      <color theme="1"/>
      <name val="Arial Narrow"/>
      <family val="2"/>
    </font>
    <font>
      <sz val="10"/>
      <color rgb="FFFF0000"/>
      <name val="Arial Narrow"/>
    </font>
    <font>
      <b/>
      <sz val="10"/>
      <color rgb="FFFF0000"/>
      <name val="Arial Narrow"/>
    </font>
    <font>
      <b/>
      <vertAlign val="subscript"/>
      <sz val="16"/>
      <color theme="1"/>
      <name val="Arial Narrow"/>
    </font>
    <font>
      <b/>
      <sz val="16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B547E"/>
      </left>
      <right style="medium">
        <color rgb="FF2B547E"/>
      </right>
      <top style="medium">
        <color rgb="FF2B547E"/>
      </top>
      <bottom style="medium">
        <color rgb="FF2B547E"/>
      </bottom>
      <diagonal/>
    </border>
    <border>
      <left style="medium">
        <color rgb="FF2B547E"/>
      </left>
      <right/>
      <top style="medium">
        <color rgb="FF2B547E"/>
      </top>
      <bottom style="medium">
        <color rgb="FF2B547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1"/>
  </cellStyleXfs>
  <cellXfs count="65">
    <xf numFmtId="0" fontId="0" fillId="0" borderId="0" xfId="0"/>
    <xf numFmtId="164" fontId="2" fillId="2" borderId="1" xfId="1" applyNumberFormat="1" applyFont="1" applyFill="1" applyAlignment="1">
      <alignment horizontal="center" vertical="center" wrapText="1"/>
    </xf>
    <xf numFmtId="164" fontId="2" fillId="0" borderId="1" xfId="1" applyNumberFormat="1" applyFont="1" applyAlignment="1">
      <alignment horizontal="center" vertical="center" wrapText="1"/>
    </xf>
    <xf numFmtId="164" fontId="3" fillId="0" borderId="1" xfId="1" applyNumberFormat="1" applyFont="1" applyAlignment="1">
      <alignment horizontal="center" vertical="center" wrapText="1"/>
    </xf>
    <xf numFmtId="164" fontId="4" fillId="0" borderId="1" xfId="1" applyNumberFormat="1" applyFont="1" applyAlignment="1">
      <alignment vertical="center" wrapText="1"/>
    </xf>
    <xf numFmtId="164" fontId="5" fillId="0" borderId="1" xfId="1" applyNumberFormat="1" applyFont="1" applyAlignment="1">
      <alignment horizontal="center" vertical="center" wrapText="1"/>
    </xf>
    <xf numFmtId="0" fontId="17" fillId="0" borderId="1" xfId="1"/>
    <xf numFmtId="164" fontId="6" fillId="4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Alignment="1">
      <alignment horizontal="center" vertical="center" wrapText="1"/>
    </xf>
    <xf numFmtId="165" fontId="8" fillId="0" borderId="1" xfId="1" applyNumberFormat="1" applyFont="1" applyAlignment="1">
      <alignment vertical="center" wrapText="1"/>
    </xf>
    <xf numFmtId="2" fontId="8" fillId="0" borderId="1" xfId="1" applyNumberFormat="1" applyFont="1" applyAlignment="1">
      <alignment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7" fillId="3" borderId="2" xfId="1" applyNumberFormat="1" applyFont="1" applyFill="1" applyBorder="1" applyAlignment="1">
      <alignment horizontal="center" vertical="center" wrapText="1"/>
    </xf>
    <xf numFmtId="164" fontId="7" fillId="0" borderId="1" xfId="1" applyNumberFormat="1" applyFont="1" applyAlignment="1">
      <alignment horizontal="center" vertical="center" wrapText="1"/>
    </xf>
    <xf numFmtId="164" fontId="7" fillId="3" borderId="4" xfId="1" applyNumberFormat="1" applyFont="1" applyFill="1" applyBorder="1" applyAlignment="1">
      <alignment horizontal="center" vertical="center" wrapText="1"/>
    </xf>
    <xf numFmtId="164" fontId="2" fillId="3" borderId="4" xfId="1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66" fontId="3" fillId="0" borderId="2" xfId="1" applyNumberFormat="1" applyFont="1" applyBorder="1" applyAlignment="1">
      <alignment horizontal="center" vertical="center" wrapText="1"/>
    </xf>
    <xf numFmtId="166" fontId="3" fillId="0" borderId="1" xfId="1" applyNumberFormat="1" applyFont="1" applyAlignment="1">
      <alignment horizontal="center" vertical="center" wrapText="1"/>
    </xf>
    <xf numFmtId="164" fontId="3" fillId="0" borderId="9" xfId="1" applyNumberFormat="1" applyFont="1" applyBorder="1" applyAlignment="1">
      <alignment horizontal="left" vertical="center" wrapText="1"/>
    </xf>
    <xf numFmtId="164" fontId="3" fillId="0" borderId="9" xfId="1" applyNumberFormat="1" applyFont="1" applyBorder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166" fontId="3" fillId="8" borderId="2" xfId="1" applyNumberFormat="1" applyFont="1" applyFill="1" applyBorder="1" applyAlignment="1">
      <alignment horizontal="center" vertical="center" wrapText="1"/>
    </xf>
    <xf numFmtId="166" fontId="3" fillId="6" borderId="2" xfId="1" applyNumberFormat="1" applyFont="1" applyFill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1" xfId="1" applyNumberFormat="1" applyFont="1" applyAlignment="1">
      <alignment horizontal="center" vertical="center" wrapText="1"/>
    </xf>
    <xf numFmtId="167" fontId="4" fillId="5" borderId="1" xfId="1" applyNumberFormat="1" applyFont="1" applyFill="1" applyAlignment="1">
      <alignment horizontal="center" vertical="center" wrapText="1"/>
    </xf>
    <xf numFmtId="167" fontId="4" fillId="8" borderId="2" xfId="1" applyNumberFormat="1" applyFont="1" applyFill="1" applyBorder="1" applyAlignment="1">
      <alignment horizontal="center" vertical="center" wrapText="1"/>
    </xf>
    <xf numFmtId="167" fontId="4" fillId="0" borderId="1" xfId="1" applyNumberFormat="1" applyFont="1" applyAlignment="1">
      <alignment horizontal="center" vertical="center" wrapText="1"/>
    </xf>
    <xf numFmtId="164" fontId="3" fillId="0" borderId="1" xfId="1" applyNumberFormat="1" applyFont="1" applyAlignment="1">
      <alignment vertical="center" wrapText="1"/>
    </xf>
    <xf numFmtId="164" fontId="9" fillId="0" borderId="1" xfId="1" applyNumberFormat="1" applyFont="1" applyAlignment="1">
      <alignment horizontal="center" vertical="center" wrapText="1"/>
    </xf>
    <xf numFmtId="165" fontId="4" fillId="0" borderId="1" xfId="1" applyNumberFormat="1" applyFont="1" applyAlignment="1">
      <alignment horizontal="center" vertical="center" wrapText="1"/>
    </xf>
    <xf numFmtId="164" fontId="12" fillId="0" borderId="1" xfId="1" applyNumberFormat="1" applyFont="1" applyAlignment="1">
      <alignment horizontal="right" vertical="center" wrapText="1"/>
    </xf>
    <xf numFmtId="167" fontId="12" fillId="0" borderId="1" xfId="1" applyNumberFormat="1" applyFont="1" applyAlignment="1">
      <alignment horizontal="left" vertical="center" wrapText="1"/>
    </xf>
    <xf numFmtId="167" fontId="7" fillId="0" borderId="1" xfId="1" applyNumberFormat="1" applyFont="1" applyAlignment="1">
      <alignment horizontal="center" vertical="center" wrapText="1"/>
    </xf>
    <xf numFmtId="167" fontId="11" fillId="7" borderId="1" xfId="1" applyNumberFormat="1" applyFont="1" applyFill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66" fontId="3" fillId="9" borderId="2" xfId="1" applyNumberFormat="1" applyFont="1" applyFill="1" applyBorder="1" applyAlignment="1">
      <alignment horizontal="center" vertical="center" wrapText="1"/>
    </xf>
    <xf numFmtId="0" fontId="1" fillId="0" borderId="7" xfId="1" applyFont="1" applyBorder="1"/>
    <xf numFmtId="164" fontId="2" fillId="2" borderId="5" xfId="1" applyNumberFormat="1" applyFont="1" applyFill="1" applyBorder="1" applyAlignment="1">
      <alignment horizontal="center" vertical="center" wrapText="1"/>
    </xf>
    <xf numFmtId="164" fontId="9" fillId="2" borderId="5" xfId="1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164" fontId="7" fillId="3" borderId="5" xfId="1" applyNumberFormat="1" applyFont="1" applyFill="1" applyBorder="1" applyAlignment="1">
      <alignment horizontal="right" vertical="center" wrapText="1"/>
    </xf>
    <xf numFmtId="164" fontId="4" fillId="2" borderId="5" xfId="1" applyNumberFormat="1" applyFont="1" applyFill="1" applyBorder="1" applyAlignment="1">
      <alignment horizontal="right" vertical="center" wrapText="1"/>
    </xf>
    <xf numFmtId="164" fontId="2" fillId="3" borderId="5" xfId="1" applyNumberFormat="1" applyFont="1" applyFill="1" applyBorder="1" applyAlignment="1">
      <alignment horizontal="right" vertical="center" wrapText="1"/>
    </xf>
    <xf numFmtId="164" fontId="20" fillId="0" borderId="1" xfId="1" applyNumberFormat="1" applyFont="1" applyAlignment="1">
      <alignment horizontal="center" vertical="center" wrapText="1"/>
    </xf>
    <xf numFmtId="164" fontId="3" fillId="10" borderId="1" xfId="1" applyNumberFormat="1" applyFont="1" applyFill="1" applyAlignment="1">
      <alignment horizontal="center" vertical="center" wrapText="1"/>
    </xf>
    <xf numFmtId="164" fontId="7" fillId="10" borderId="2" xfId="1" applyNumberFormat="1" applyFont="1" applyFill="1" applyBorder="1" applyAlignment="1">
      <alignment horizontal="center" vertical="center" wrapText="1"/>
    </xf>
    <xf numFmtId="164" fontId="7" fillId="3" borderId="5" xfId="1" applyNumberFormat="1" applyFont="1" applyFill="1" applyBorder="1" applyAlignment="1">
      <alignment horizontal="center" vertical="center" wrapText="1"/>
    </xf>
    <xf numFmtId="164" fontId="7" fillId="3" borderId="8" xfId="1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2" fontId="19" fillId="8" borderId="12" xfId="1" applyNumberFormat="1" applyFont="1" applyFill="1" applyBorder="1" applyAlignment="1">
      <alignment horizontal="center" vertical="center" wrapText="1"/>
    </xf>
    <xf numFmtId="2" fontId="19" fillId="8" borderId="13" xfId="1" applyNumberFormat="1" applyFont="1" applyFill="1" applyBorder="1" applyAlignment="1">
      <alignment horizontal="center" vertical="center" wrapText="1"/>
    </xf>
    <xf numFmtId="2" fontId="19" fillId="8" borderId="14" xfId="1" applyNumberFormat="1" applyFont="1" applyFill="1" applyBorder="1" applyAlignment="1">
      <alignment horizontal="center" vertical="center" wrapText="1"/>
    </xf>
    <xf numFmtId="164" fontId="12" fillId="3" borderId="2" xfId="1" applyNumberFormat="1" applyFont="1" applyFill="1" applyBorder="1" applyAlignment="1">
      <alignment horizontal="center" vertical="center" wrapText="1"/>
    </xf>
    <xf numFmtId="2" fontId="23" fillId="8" borderId="7" xfId="1" applyNumberFormat="1" applyFont="1" applyFill="1" applyBorder="1" applyAlignment="1">
      <alignment horizontal="center" vertical="center" wrapText="1"/>
    </xf>
    <xf numFmtId="0" fontId="1" fillId="0" borderId="6" xfId="1" applyFont="1" applyBorder="1" applyAlignment="1"/>
    <xf numFmtId="0" fontId="1" fillId="0" borderId="7" xfId="1" applyFont="1" applyBorder="1" applyAlignment="1"/>
  </cellXfs>
  <cellStyles count="2">
    <cellStyle name="Normal" xfId="0" builtinId="0"/>
    <cellStyle name="Normal 2" xfId="1" xr:uid="{806D827B-11C2-461E-9B02-1066E9571003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19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A882FD-978F-4230-B66A-A9F56C0CCFE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23b4d5d-608d-4165-a1cf-d32d9297706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7CDA-A3A3-450F-82EE-B88ADCA128F5}">
  <dimension ref="A1:AN1011"/>
  <sheetViews>
    <sheetView tabSelected="1" topLeftCell="A34" zoomScale="115" zoomScaleNormal="115" workbookViewId="0">
      <selection activeCell="G4" sqref="G4:G50"/>
    </sheetView>
  </sheetViews>
  <sheetFormatPr defaultColWidth="14.42578125" defaultRowHeight="15" customHeight="1"/>
  <cols>
    <col min="1" max="1" width="7.28515625" style="6" customWidth="1"/>
    <col min="2" max="2" width="12.7109375" style="6" customWidth="1"/>
    <col min="3" max="3" width="5.7109375" style="6" customWidth="1"/>
    <col min="4" max="4" width="3" style="6" customWidth="1"/>
    <col min="5" max="5" width="24.5703125" style="6" customWidth="1"/>
    <col min="6" max="6" width="12" style="6" customWidth="1"/>
    <col min="7" max="7" width="11.28515625" style="6" customWidth="1"/>
    <col min="8" max="8" width="2.7109375" style="6" customWidth="1"/>
    <col min="9" max="9" width="14.28515625" style="6" customWidth="1"/>
    <col min="10" max="10" width="2.42578125" style="6" customWidth="1"/>
    <col min="11" max="11" width="16.28515625" style="6" customWidth="1"/>
    <col min="12" max="12" width="13" style="6" customWidth="1"/>
    <col min="13" max="13" width="4.28515625" style="6" customWidth="1"/>
    <col min="14" max="14" width="12.28515625" style="6" customWidth="1"/>
    <col min="15" max="15" width="6.42578125" style="6" customWidth="1"/>
    <col min="16" max="16" width="23" style="6" customWidth="1"/>
    <col min="17" max="17" width="14.28515625" style="6" customWidth="1"/>
    <col min="18" max="18" width="2.28515625" style="6" customWidth="1"/>
    <col min="19" max="19" width="12.28515625" style="6" customWidth="1"/>
    <col min="20" max="20" width="2.7109375" style="6" customWidth="1"/>
    <col min="21" max="21" width="14.5703125" style="6" customWidth="1"/>
    <col min="22" max="22" width="2.42578125" style="6" customWidth="1"/>
    <col min="23" max="23" width="15" style="6" customWidth="1"/>
    <col min="24" max="24" width="2.28515625" style="6" customWidth="1"/>
    <col min="25" max="25" width="14.28515625" style="6" customWidth="1"/>
    <col min="26" max="26" width="2.42578125" style="6" customWidth="1"/>
    <col min="27" max="27" width="14.28515625" style="6" customWidth="1"/>
    <col min="28" max="28" width="2.42578125" style="6" customWidth="1"/>
    <col min="29" max="32" width="14.5703125" style="6" customWidth="1"/>
    <col min="33" max="36" width="9.28515625" style="3" customWidth="1"/>
    <col min="37" max="37" width="9.28515625" style="6" customWidth="1"/>
    <col min="38" max="38" width="12.28515625" style="6" customWidth="1"/>
    <col min="39" max="39" width="3.42578125" style="6" customWidth="1"/>
    <col min="40" max="40" width="17.28515625" style="6" customWidth="1"/>
    <col min="41" max="16384" width="14.42578125" style="6"/>
  </cols>
  <sheetData>
    <row r="1" spans="1:40" ht="15" customHeight="1">
      <c r="A1" s="1"/>
      <c r="B1" s="4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1"/>
      <c r="M1" s="2"/>
      <c r="N1" s="44" t="s">
        <v>1</v>
      </c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  <c r="AD1" s="3"/>
      <c r="AE1" s="3"/>
      <c r="AF1" s="3"/>
      <c r="AK1" s="3"/>
      <c r="AL1" s="4"/>
      <c r="AM1" s="5"/>
      <c r="AN1" s="4"/>
    </row>
    <row r="2" spans="1:40" ht="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K2" s="3"/>
      <c r="AL2" s="4"/>
      <c r="AM2" s="5"/>
      <c r="AN2" s="4"/>
    </row>
    <row r="3" spans="1:40" ht="17.25" customHeight="1">
      <c r="A3" s="3"/>
      <c r="B3" s="9" t="s">
        <v>2</v>
      </c>
      <c r="C3" s="8">
        <v>46</v>
      </c>
      <c r="D3" s="10"/>
      <c r="E3" s="50" t="s">
        <v>3</v>
      </c>
      <c r="F3" s="50"/>
      <c r="G3" s="3"/>
      <c r="H3" s="3"/>
      <c r="I3" s="3"/>
      <c r="J3" s="3"/>
      <c r="K3" s="3"/>
      <c r="L3" s="3"/>
      <c r="M3" s="3"/>
      <c r="N3" s="7" t="s">
        <v>2</v>
      </c>
      <c r="O3" s="8">
        <f>C3</f>
        <v>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K3" s="3"/>
      <c r="AL3" s="11"/>
      <c r="AM3" s="3"/>
      <c r="AN3" s="12"/>
    </row>
    <row r="4" spans="1:40" ht="15.75" customHeight="1">
      <c r="A4" s="15"/>
      <c r="B4" s="13"/>
      <c r="C4" s="3"/>
      <c r="D4" s="3"/>
      <c r="E4" s="16" t="s">
        <v>4</v>
      </c>
      <c r="F4" s="54" t="s">
        <v>5</v>
      </c>
      <c r="G4" s="61" t="s">
        <v>6</v>
      </c>
      <c r="H4" s="3"/>
      <c r="I4" s="14" t="s">
        <v>7</v>
      </c>
      <c r="J4" s="3"/>
      <c r="K4" s="53" t="s">
        <v>8</v>
      </c>
      <c r="L4" s="52" t="s">
        <v>9</v>
      </c>
      <c r="M4" s="3"/>
      <c r="N4" s="3"/>
      <c r="O4" s="3"/>
      <c r="P4" s="17" t="s">
        <v>4</v>
      </c>
      <c r="Q4" s="18" t="s">
        <v>10</v>
      </c>
      <c r="R4" s="3"/>
      <c r="S4" s="18" t="s">
        <v>11</v>
      </c>
      <c r="T4" s="3"/>
      <c r="U4" s="18" t="s">
        <v>12</v>
      </c>
      <c r="V4" s="3"/>
      <c r="W4" s="18" t="s">
        <v>13</v>
      </c>
      <c r="X4" s="3"/>
      <c r="Y4" s="18" t="s">
        <v>14</v>
      </c>
      <c r="Z4" s="3"/>
      <c r="AA4" s="18" t="s">
        <v>15</v>
      </c>
      <c r="AB4" s="3"/>
      <c r="AC4" s="18" t="s">
        <v>16</v>
      </c>
      <c r="AD4" s="3"/>
      <c r="AE4" s="3"/>
      <c r="AF4" s="3"/>
      <c r="AK4" s="3"/>
      <c r="AL4" s="11"/>
      <c r="AM4" s="3"/>
      <c r="AN4" s="12"/>
    </row>
    <row r="5" spans="1:40" ht="15.75" customHeight="1">
      <c r="A5" s="21"/>
      <c r="B5" s="45" t="s">
        <v>17</v>
      </c>
      <c r="C5" s="19" t="s">
        <v>18</v>
      </c>
      <c r="D5" s="3"/>
      <c r="E5" s="55" t="s">
        <v>19</v>
      </c>
      <c r="F5" s="56"/>
      <c r="G5" s="62">
        <f>100-AC5</f>
        <v>9.6014492753621425</v>
      </c>
      <c r="H5" s="3"/>
      <c r="I5" s="19">
        <f>G5-G53</f>
        <v>1.1820351251686194</v>
      </c>
      <c r="J5" s="3"/>
      <c r="K5" s="20">
        <f t="shared" ref="K5:K50" si="0">POWER(I5,2)</f>
        <v>1.3972070371323937</v>
      </c>
      <c r="L5" s="21">
        <f>G5-'T1&amp;T2_G2=4dec.'!G5</f>
        <v>-6.0688405797066025E-2</v>
      </c>
      <c r="M5" s="21"/>
      <c r="N5" s="46" t="str">
        <f>B5</f>
        <v>T1&amp;T2; 05.10.2026</v>
      </c>
      <c r="O5" s="23" t="str">
        <f>C5</f>
        <v>n1</v>
      </c>
      <c r="P5" s="22" t="str">
        <f>E5</f>
        <v>051026_AM02.2_S1</v>
      </c>
      <c r="Q5" s="24">
        <v>18.077999999999999</v>
      </c>
      <c r="R5" s="3"/>
      <c r="S5" s="25">
        <v>1.1040000000000001</v>
      </c>
      <c r="T5" s="3"/>
      <c r="U5" s="20">
        <f t="shared" ref="U5:U50" si="1">Q5+S5</f>
        <v>19.181999999999999</v>
      </c>
      <c r="V5" s="3"/>
      <c r="W5" s="26">
        <v>19.076000000000001</v>
      </c>
      <c r="X5" s="3"/>
      <c r="Y5" s="20">
        <f>U5-W5</f>
        <v>0.1059999999999981</v>
      </c>
      <c r="Z5" s="3"/>
      <c r="AA5" s="19">
        <f>S5-Y5</f>
        <v>0.998000000000002</v>
      </c>
      <c r="AB5" s="3"/>
      <c r="AC5" s="20">
        <f>AA5*100/S5</f>
        <v>90.398550724637857</v>
      </c>
      <c r="AD5" s="3"/>
      <c r="AE5" s="3"/>
      <c r="AF5" s="3"/>
      <c r="AK5" s="3"/>
      <c r="AL5" s="3"/>
      <c r="AM5" s="3"/>
      <c r="AN5" s="3"/>
    </row>
    <row r="6" spans="1:40" ht="15.75" customHeight="1">
      <c r="A6" s="21"/>
      <c r="B6" s="45"/>
      <c r="C6" s="19" t="s">
        <v>20</v>
      </c>
      <c r="D6" s="3"/>
      <c r="E6" s="55" t="s">
        <v>21</v>
      </c>
      <c r="F6" s="56"/>
      <c r="G6" s="62">
        <f>100-AC6</f>
        <v>8.663594470046192</v>
      </c>
      <c r="H6" s="3"/>
      <c r="I6" s="19">
        <f>G6-G53</f>
        <v>0.24418031985266886</v>
      </c>
      <c r="J6" s="3"/>
      <c r="K6" s="20">
        <f t="shared" si="0"/>
        <v>5.962402860335167E-2</v>
      </c>
      <c r="L6" s="21">
        <f>G6-'T1&amp;T2_G2=4dec.'!G6</f>
        <v>6.4516129033052039E-3</v>
      </c>
      <c r="M6" s="21"/>
      <c r="N6" s="46"/>
      <c r="O6" s="23" t="str">
        <f>C6</f>
        <v>n2</v>
      </c>
      <c r="P6" s="22" t="str">
        <f t="shared" ref="P6:P50" si="2">E6</f>
        <v>051026_AM02.2_S2</v>
      </c>
      <c r="Q6" s="24">
        <v>18.321999999999999</v>
      </c>
      <c r="R6" s="3"/>
      <c r="S6" s="25">
        <v>1.085</v>
      </c>
      <c r="T6" s="3"/>
      <c r="U6" s="20">
        <f t="shared" si="1"/>
        <v>19.407</v>
      </c>
      <c r="V6" s="3"/>
      <c r="W6" s="26">
        <v>19.312999999999999</v>
      </c>
      <c r="X6" s="3"/>
      <c r="Y6" s="20">
        <f>U6-W6</f>
        <v>9.4000000000001194E-2</v>
      </c>
      <c r="Z6" s="3"/>
      <c r="AA6" s="19">
        <f>S6-Y6</f>
        <v>0.99099999999999877</v>
      </c>
      <c r="AB6" s="3"/>
      <c r="AC6" s="20">
        <f>AA6*100/S6</f>
        <v>91.336405529953808</v>
      </c>
      <c r="AD6" s="3"/>
      <c r="AE6" s="3"/>
      <c r="AF6" s="3"/>
      <c r="AK6" s="3"/>
      <c r="AL6" s="3"/>
      <c r="AM6" s="3"/>
      <c r="AN6" s="3"/>
    </row>
    <row r="7" spans="1:40" ht="15.75" customHeight="1">
      <c r="A7" s="21"/>
      <c r="B7" s="45"/>
      <c r="C7" s="19" t="s">
        <v>22</v>
      </c>
      <c r="D7" s="3"/>
      <c r="E7" s="55" t="s">
        <v>23</v>
      </c>
      <c r="F7" s="56"/>
      <c r="G7" s="62">
        <f>100-AC7</f>
        <v>7.5536480686693039</v>
      </c>
      <c r="H7" s="3"/>
      <c r="I7" s="19">
        <f>G7-G53</f>
        <v>-0.86576608152421919</v>
      </c>
      <c r="J7" s="3"/>
      <c r="K7" s="20">
        <f t="shared" si="0"/>
        <v>0.74955090791780099</v>
      </c>
      <c r="L7" s="21">
        <f>G7-'T1&amp;T2_G2=4dec.'!G7</f>
        <v>-3.2618025751062873E-2</v>
      </c>
      <c r="M7" s="21"/>
      <c r="N7" s="46"/>
      <c r="O7" s="23" t="str">
        <f t="shared" ref="O7:O50" si="3">C7</f>
        <v>n3</v>
      </c>
      <c r="P7" s="22" t="str">
        <f t="shared" si="2"/>
        <v>051026_AM02.2_S3</v>
      </c>
      <c r="Q7" s="24">
        <v>17.86</v>
      </c>
      <c r="R7" s="3"/>
      <c r="S7" s="25">
        <v>1.165</v>
      </c>
      <c r="T7" s="3"/>
      <c r="U7" s="20">
        <f t="shared" si="1"/>
        <v>19.024999999999999</v>
      </c>
      <c r="V7" s="3"/>
      <c r="W7" s="26">
        <v>18.937000000000001</v>
      </c>
      <c r="X7" s="3"/>
      <c r="Y7" s="20">
        <f>U7-W7</f>
        <v>8.7999999999997414E-2</v>
      </c>
      <c r="Z7" s="3"/>
      <c r="AA7" s="19">
        <f>S7-Y7</f>
        <v>1.0770000000000026</v>
      </c>
      <c r="AB7" s="3"/>
      <c r="AC7" s="20">
        <f>AA7*100/S7</f>
        <v>92.446351931330696</v>
      </c>
      <c r="AD7" s="3"/>
      <c r="AE7" s="3"/>
      <c r="AF7" s="3"/>
      <c r="AK7" s="3"/>
      <c r="AL7" s="3"/>
      <c r="AM7" s="3"/>
      <c r="AN7" s="3"/>
    </row>
    <row r="8" spans="1:40" ht="15.75" customHeight="1">
      <c r="A8" s="21"/>
      <c r="B8" s="45"/>
      <c r="C8" s="19" t="s">
        <v>24</v>
      </c>
      <c r="D8" s="3"/>
      <c r="E8" s="55" t="s">
        <v>25</v>
      </c>
      <c r="F8" s="56"/>
      <c r="G8" s="62">
        <f>100-AC8</f>
        <v>8.547794117647058</v>
      </c>
      <c r="H8" s="3"/>
      <c r="I8" s="19">
        <f>G8-G53</f>
        <v>0.12837996745353486</v>
      </c>
      <c r="J8" s="3"/>
      <c r="K8" s="20">
        <f t="shared" si="0"/>
        <v>1.648141604337067E-2</v>
      </c>
      <c r="L8" s="21">
        <f>G8-'T1&amp;T2_G2=4dec.'!G8</f>
        <v>-4.1360294117708918E-2</v>
      </c>
      <c r="M8" s="21"/>
      <c r="N8" s="46"/>
      <c r="O8" s="23" t="str">
        <f t="shared" si="3"/>
        <v>n4</v>
      </c>
      <c r="P8" s="22" t="str">
        <f t="shared" si="2"/>
        <v>051026_AM02.2_S4</v>
      </c>
      <c r="Q8" s="24">
        <v>18.079999999999998</v>
      </c>
      <c r="R8" s="3"/>
      <c r="S8" s="25">
        <v>1.0880000000000001</v>
      </c>
      <c r="T8" s="3"/>
      <c r="U8" s="20">
        <f t="shared" si="1"/>
        <v>19.167999999999999</v>
      </c>
      <c r="V8" s="3"/>
      <c r="W8" s="26">
        <v>19.074999999999999</v>
      </c>
      <c r="X8" s="3"/>
      <c r="Y8" s="20">
        <f>U8-W8</f>
        <v>9.2999999999999972E-2</v>
      </c>
      <c r="Z8" s="3"/>
      <c r="AA8" s="19">
        <f>S8-Y8</f>
        <v>0.99500000000000011</v>
      </c>
      <c r="AB8" s="3"/>
      <c r="AC8" s="20">
        <f>AA8*100/S8</f>
        <v>91.452205882352942</v>
      </c>
      <c r="AD8" s="3"/>
      <c r="AE8" s="3"/>
      <c r="AF8" s="3"/>
      <c r="AK8" s="3"/>
      <c r="AL8" s="3"/>
      <c r="AM8" s="3"/>
      <c r="AN8" s="3"/>
    </row>
    <row r="9" spans="1:40" ht="15.75" customHeight="1">
      <c r="A9" s="21"/>
      <c r="B9" s="45"/>
      <c r="C9" s="19" t="s">
        <v>26</v>
      </c>
      <c r="D9" s="3"/>
      <c r="E9" s="55" t="s">
        <v>27</v>
      </c>
      <c r="F9" s="56"/>
      <c r="G9" s="62">
        <f>100-AC9</f>
        <v>5.4493307839390184</v>
      </c>
      <c r="H9" s="3"/>
      <c r="I9" s="19">
        <f>G9-G53</f>
        <v>-2.9700833662545048</v>
      </c>
      <c r="J9" s="3"/>
      <c r="K9" s="20">
        <f t="shared" si="0"/>
        <v>8.8213952025016908</v>
      </c>
      <c r="L9" s="21">
        <f>G9-'T1&amp;T2_G2=4dec.'!G9</f>
        <v>-9.6558317399356497E-2</v>
      </c>
      <c r="M9" s="21"/>
      <c r="N9" s="46"/>
      <c r="O9" s="23" t="str">
        <f t="shared" si="3"/>
        <v>n5</v>
      </c>
      <c r="P9" s="22" t="str">
        <f t="shared" si="2"/>
        <v>051026_AM02.2_S5</v>
      </c>
      <c r="Q9" s="24">
        <v>18.385000000000002</v>
      </c>
      <c r="R9" s="3"/>
      <c r="S9" s="25">
        <v>1.046</v>
      </c>
      <c r="T9" s="3"/>
      <c r="U9" s="20">
        <f t="shared" si="1"/>
        <v>19.431000000000001</v>
      </c>
      <c r="V9" s="3"/>
      <c r="W9" s="26">
        <v>19.373999999999999</v>
      </c>
      <c r="X9" s="3"/>
      <c r="Y9" s="20">
        <f>U9-W9</f>
        <v>5.700000000000216E-2</v>
      </c>
      <c r="Z9" s="3"/>
      <c r="AA9" s="19">
        <f>S9-Y9</f>
        <v>0.98899999999999788</v>
      </c>
      <c r="AB9" s="3"/>
      <c r="AC9" s="20">
        <f>AA9*100/S9</f>
        <v>94.550669216060982</v>
      </c>
      <c r="AD9" s="3"/>
      <c r="AE9" s="3"/>
      <c r="AF9" s="3"/>
      <c r="AK9" s="3"/>
      <c r="AL9" s="3"/>
      <c r="AM9" s="3"/>
      <c r="AN9" s="3"/>
    </row>
    <row r="10" spans="1:40" ht="15.75" customHeight="1">
      <c r="A10" s="21"/>
      <c r="B10" s="45"/>
      <c r="C10" s="19" t="s">
        <v>28</v>
      </c>
      <c r="D10" s="3"/>
      <c r="E10" s="55" t="s">
        <v>29</v>
      </c>
      <c r="F10" s="56"/>
      <c r="G10" s="62">
        <f>100-AC10</f>
        <v>7.2878228782288375</v>
      </c>
      <c r="H10" s="3"/>
      <c r="I10" s="19">
        <f>G10-G53</f>
        <v>-1.1315912719646857</v>
      </c>
      <c r="J10" s="3"/>
      <c r="K10" s="20">
        <f t="shared" si="0"/>
        <v>1.2804988067866552</v>
      </c>
      <c r="L10" s="21">
        <f>G10-'T1&amp;T2_G2=4dec.'!G10</f>
        <v>-0.10793357933597747</v>
      </c>
      <c r="M10" s="21"/>
      <c r="N10" s="46"/>
      <c r="O10" s="23" t="str">
        <f t="shared" si="3"/>
        <v>n6</v>
      </c>
      <c r="P10" s="22" t="str">
        <f t="shared" si="2"/>
        <v>051026_AM02.2_S6</v>
      </c>
      <c r="Q10" s="24">
        <v>19.760000000000002</v>
      </c>
      <c r="R10" s="3"/>
      <c r="S10" s="25">
        <v>1.0840000000000001</v>
      </c>
      <c r="T10" s="3"/>
      <c r="U10" s="20">
        <f t="shared" si="1"/>
        <v>20.844000000000001</v>
      </c>
      <c r="V10" s="3"/>
      <c r="W10" s="26">
        <v>20.765000000000001</v>
      </c>
      <c r="X10" s="3"/>
      <c r="Y10" s="20">
        <f>U10-W10</f>
        <v>7.9000000000000625E-2</v>
      </c>
      <c r="Z10" s="3"/>
      <c r="AA10" s="19">
        <f>S10-Y10</f>
        <v>1.0049999999999994</v>
      </c>
      <c r="AB10" s="3"/>
      <c r="AC10" s="20">
        <f>AA10*100/S10</f>
        <v>92.712177121771163</v>
      </c>
      <c r="AD10" s="3"/>
      <c r="AE10" s="3"/>
      <c r="AF10" s="3"/>
      <c r="AK10" s="3"/>
      <c r="AL10" s="3"/>
      <c r="AM10" s="3"/>
      <c r="AN10" s="3"/>
    </row>
    <row r="11" spans="1:40" ht="15.75" customHeight="1">
      <c r="A11" s="21"/>
      <c r="B11" s="45"/>
      <c r="C11" s="19" t="s">
        <v>30</v>
      </c>
      <c r="D11" s="3"/>
      <c r="E11" s="55" t="s">
        <v>31</v>
      </c>
      <c r="F11" s="56"/>
      <c r="G11" s="62">
        <f>100-AC11</f>
        <v>9.8605577689243233</v>
      </c>
      <c r="H11" s="3"/>
      <c r="I11" s="19">
        <f>G11-G53</f>
        <v>1.4411436187308002</v>
      </c>
      <c r="J11" s="3"/>
      <c r="K11" s="20">
        <f t="shared" si="0"/>
        <v>2.076894929808506</v>
      </c>
      <c r="L11" s="21">
        <f>G11-'T1&amp;T2_G2=4dec.'!G11</f>
        <v>7.968127490102006E-3</v>
      </c>
      <c r="M11" s="21"/>
      <c r="N11" s="46"/>
      <c r="O11" s="23" t="str">
        <f t="shared" si="3"/>
        <v>n7</v>
      </c>
      <c r="P11" s="22" t="str">
        <f t="shared" si="2"/>
        <v>051026_AM02.2_S7</v>
      </c>
      <c r="Q11" s="24">
        <v>18.771999999999998</v>
      </c>
      <c r="R11" s="3"/>
      <c r="S11" s="25">
        <v>1.004</v>
      </c>
      <c r="T11" s="3"/>
      <c r="U11" s="20">
        <f t="shared" si="1"/>
        <v>19.776</v>
      </c>
      <c r="V11" s="3"/>
      <c r="W11" s="26">
        <v>19.677</v>
      </c>
      <c r="X11" s="3"/>
      <c r="Y11" s="20">
        <f>U11-W11</f>
        <v>9.9000000000000199E-2</v>
      </c>
      <c r="Z11" s="3"/>
      <c r="AA11" s="19">
        <f>S11-Y11</f>
        <v>0.9049999999999998</v>
      </c>
      <c r="AB11" s="3"/>
      <c r="AC11" s="20">
        <f>AA11*100/S11</f>
        <v>90.139442231075677</v>
      </c>
      <c r="AD11" s="3"/>
      <c r="AE11" s="3"/>
      <c r="AF11" s="3"/>
      <c r="AK11" s="3"/>
      <c r="AL11" s="3"/>
      <c r="AM11" s="3"/>
      <c r="AN11" s="3"/>
    </row>
    <row r="12" spans="1:40" ht="15.75" customHeight="1">
      <c r="A12" s="21"/>
      <c r="B12" s="45"/>
      <c r="C12" s="19" t="s">
        <v>32</v>
      </c>
      <c r="D12" s="3"/>
      <c r="E12" s="55" t="s">
        <v>33</v>
      </c>
      <c r="F12" s="56"/>
      <c r="G12" s="62">
        <f>100-AC12</f>
        <v>9.5327102803738626</v>
      </c>
      <c r="H12" s="3"/>
      <c r="I12" s="19">
        <f>G12-G53</f>
        <v>1.1132961301803395</v>
      </c>
      <c r="J12" s="3"/>
      <c r="K12" s="20">
        <f t="shared" si="0"/>
        <v>1.2394282734745194</v>
      </c>
      <c r="L12" s="21">
        <f>G12-'T1&amp;T2_G2=4dec.'!G12</f>
        <v>6.5420560748492562E-3</v>
      </c>
      <c r="M12" s="21"/>
      <c r="N12" s="46"/>
      <c r="O12" s="23" t="str">
        <f t="shared" si="3"/>
        <v>n8</v>
      </c>
      <c r="P12" s="22" t="str">
        <f t="shared" si="2"/>
        <v>051026_AM02.2_S8</v>
      </c>
      <c r="Q12" s="24">
        <v>18.036999999999999</v>
      </c>
      <c r="R12" s="3"/>
      <c r="S12" s="25">
        <v>1.07</v>
      </c>
      <c r="T12" s="3"/>
      <c r="U12" s="20">
        <f t="shared" si="1"/>
        <v>19.106999999999999</v>
      </c>
      <c r="V12" s="3"/>
      <c r="W12" s="26">
        <v>19.004999999999999</v>
      </c>
      <c r="X12" s="3"/>
      <c r="Y12" s="20">
        <f>U12-W12</f>
        <v>0.10200000000000031</v>
      </c>
      <c r="Z12" s="3"/>
      <c r="AA12" s="19">
        <f>S12-Y12</f>
        <v>0.96799999999999975</v>
      </c>
      <c r="AB12" s="3"/>
      <c r="AC12" s="20">
        <f>AA12*100/S12</f>
        <v>90.467289719626137</v>
      </c>
      <c r="AD12" s="3"/>
      <c r="AE12" s="3"/>
      <c r="AF12" s="3"/>
      <c r="AK12" s="3"/>
      <c r="AL12" s="3"/>
      <c r="AM12" s="3"/>
      <c r="AN12" s="3"/>
    </row>
    <row r="13" spans="1:40" ht="15.75" customHeight="1">
      <c r="A13" s="21"/>
      <c r="B13" s="45"/>
      <c r="C13" s="19" t="s">
        <v>34</v>
      </c>
      <c r="D13" s="3"/>
      <c r="E13" s="55" t="s">
        <v>35</v>
      </c>
      <c r="F13" s="56"/>
      <c r="G13" s="62">
        <f>100-AC13</f>
        <v>7.9923882017126147</v>
      </c>
      <c r="H13" s="3"/>
      <c r="I13" s="19">
        <f>G13-G53</f>
        <v>-0.42702594848090847</v>
      </c>
      <c r="J13" s="3"/>
      <c r="K13" s="20">
        <f t="shared" si="0"/>
        <v>0.1823511606760195</v>
      </c>
      <c r="L13" s="21">
        <f>G13-'T1&amp;T2_G2=4dec.'!G13</f>
        <v>2.9495718363349965E-2</v>
      </c>
      <c r="M13" s="21"/>
      <c r="N13" s="46"/>
      <c r="O13" s="23" t="str">
        <f t="shared" si="3"/>
        <v>n9</v>
      </c>
      <c r="P13" s="22" t="str">
        <f t="shared" si="2"/>
        <v>051026_AM02.2_S9</v>
      </c>
      <c r="Q13" s="24">
        <v>18.719000000000001</v>
      </c>
      <c r="R13" s="3"/>
      <c r="S13" s="25">
        <v>1.0509999999999999</v>
      </c>
      <c r="T13" s="3"/>
      <c r="U13" s="20">
        <f t="shared" si="1"/>
        <v>19.77</v>
      </c>
      <c r="V13" s="3"/>
      <c r="W13" s="26">
        <v>19.686</v>
      </c>
      <c r="X13" s="3"/>
      <c r="Y13" s="20">
        <f>U13-W13</f>
        <v>8.3999999999999631E-2</v>
      </c>
      <c r="Z13" s="3"/>
      <c r="AA13" s="19">
        <f>S13-Y13</f>
        <v>0.9670000000000003</v>
      </c>
      <c r="AB13" s="3"/>
      <c r="AC13" s="20">
        <f>AA13*100/S13</f>
        <v>92.007611798287385</v>
      </c>
      <c r="AD13" s="3"/>
      <c r="AE13" s="3"/>
      <c r="AF13" s="3"/>
      <c r="AK13" s="3"/>
      <c r="AL13" s="3"/>
      <c r="AM13" s="3"/>
      <c r="AN13" s="3"/>
    </row>
    <row r="14" spans="1:40" ht="15.75" customHeight="1">
      <c r="A14" s="21"/>
      <c r="B14" s="45"/>
      <c r="C14" s="19" t="s">
        <v>36</v>
      </c>
      <c r="D14" s="3"/>
      <c r="E14" s="55" t="s">
        <v>37</v>
      </c>
      <c r="F14" s="56"/>
      <c r="G14" s="62">
        <f>100-AC14</f>
        <v>8.0691642651296434</v>
      </c>
      <c r="H14" s="3"/>
      <c r="I14" s="19">
        <f>G14-G53</f>
        <v>-0.35024988506387977</v>
      </c>
      <c r="J14" s="3"/>
      <c r="K14" s="20">
        <f t="shared" si="0"/>
        <v>0.122674981987261</v>
      </c>
      <c r="L14" s="21">
        <f>G14-'T1&amp;T2_G2=4dec.'!G14</f>
        <v>3.2660902977696082E-2</v>
      </c>
      <c r="M14" s="21"/>
      <c r="N14" s="46"/>
      <c r="O14" s="23" t="str">
        <f t="shared" si="3"/>
        <v>n10</v>
      </c>
      <c r="P14" s="22" t="str">
        <f t="shared" si="2"/>
        <v>051026_AM02.2_S10</v>
      </c>
      <c r="Q14" s="24">
        <v>18.535</v>
      </c>
      <c r="R14" s="3"/>
      <c r="S14" s="25">
        <v>1.0409999999999999</v>
      </c>
      <c r="T14" s="3"/>
      <c r="U14" s="20">
        <f t="shared" si="1"/>
        <v>19.576000000000001</v>
      </c>
      <c r="V14" s="3"/>
      <c r="W14" s="26">
        <v>19.492000000000001</v>
      </c>
      <c r="X14" s="3"/>
      <c r="Y14" s="20">
        <f>U14-W14</f>
        <v>8.3999999999999631E-2</v>
      </c>
      <c r="Z14" s="3"/>
      <c r="AA14" s="19">
        <f>S14-Y14</f>
        <v>0.95700000000000029</v>
      </c>
      <c r="AB14" s="3"/>
      <c r="AC14" s="20">
        <f>AA14*100/S14</f>
        <v>91.930835734870357</v>
      </c>
      <c r="AD14" s="3"/>
      <c r="AE14" s="3"/>
      <c r="AF14" s="3"/>
      <c r="AK14" s="3"/>
      <c r="AL14" s="3"/>
      <c r="AM14" s="3"/>
      <c r="AN14" s="3"/>
    </row>
    <row r="15" spans="1:40" ht="15.75" customHeight="1">
      <c r="A15" s="21"/>
      <c r="B15" s="45"/>
      <c r="C15" s="19" t="s">
        <v>38</v>
      </c>
      <c r="D15" s="3"/>
      <c r="E15" s="55" t="s">
        <v>39</v>
      </c>
      <c r="F15" s="56"/>
      <c r="G15" s="62">
        <f>100-AC15</f>
        <v>6.8665377176013465</v>
      </c>
      <c r="H15" s="3"/>
      <c r="I15" s="19">
        <f>G15-G53</f>
        <v>-1.5528764325921767</v>
      </c>
      <c r="J15" s="3"/>
      <c r="K15" s="20">
        <f t="shared" si="0"/>
        <v>2.4114252149002051</v>
      </c>
      <c r="L15" s="21">
        <f>G15-'T1&amp;T2_G2=4dec.'!G15</f>
        <v>2.5145067697991408E-2</v>
      </c>
      <c r="M15" s="21"/>
      <c r="N15" s="46"/>
      <c r="O15" s="23" t="str">
        <f t="shared" si="3"/>
        <v>n11</v>
      </c>
      <c r="P15" s="22" t="str">
        <f t="shared" si="2"/>
        <v>051026_AM02.2_S11</v>
      </c>
      <c r="Q15" s="24">
        <v>18.471</v>
      </c>
      <c r="R15" s="3"/>
      <c r="S15" s="25">
        <v>1.034</v>
      </c>
      <c r="T15" s="3"/>
      <c r="U15" s="20">
        <f t="shared" si="1"/>
        <v>19.504999999999999</v>
      </c>
      <c r="V15" s="3"/>
      <c r="W15" s="26">
        <v>19.434000000000001</v>
      </c>
      <c r="X15" s="3"/>
      <c r="Y15" s="20">
        <f>U15-W15</f>
        <v>7.0999999999997954E-2</v>
      </c>
      <c r="Z15" s="3"/>
      <c r="AA15" s="19">
        <f>S15-Y15</f>
        <v>0.96300000000000208</v>
      </c>
      <c r="AB15" s="3"/>
      <c r="AC15" s="20">
        <f>AA15*100/S15</f>
        <v>93.133462282398654</v>
      </c>
      <c r="AD15" s="3"/>
      <c r="AE15" s="3"/>
      <c r="AF15" s="3"/>
      <c r="AK15" s="3"/>
      <c r="AL15" s="3"/>
      <c r="AM15" s="3"/>
      <c r="AN15" s="3"/>
    </row>
    <row r="16" spans="1:40" ht="15.75" customHeight="1">
      <c r="A16" s="21"/>
      <c r="B16" s="45"/>
      <c r="C16" s="19" t="s">
        <v>40</v>
      </c>
      <c r="D16" s="3"/>
      <c r="E16" s="55" t="s">
        <v>41</v>
      </c>
      <c r="F16" s="56"/>
      <c r="G16" s="62">
        <f>100-AC16</f>
        <v>9.072978303747405</v>
      </c>
      <c r="H16" s="3"/>
      <c r="I16" s="19">
        <f>G16-G53</f>
        <v>0.65356415355388187</v>
      </c>
      <c r="J16" s="3"/>
      <c r="K16" s="20">
        <f t="shared" si="0"/>
        <v>0.42714610281060206</v>
      </c>
      <c r="L16" s="21">
        <f>G16-'T1&amp;T2_G2=4dec.'!G16</f>
        <v>3.9447731755331006E-2</v>
      </c>
      <c r="M16" s="21"/>
      <c r="N16" s="46"/>
      <c r="O16" s="23" t="str">
        <f t="shared" si="3"/>
        <v>n12</v>
      </c>
      <c r="P16" s="22" t="str">
        <f t="shared" si="2"/>
        <v>051026_AM02.2_S12</v>
      </c>
      <c r="Q16" s="24">
        <v>17.878</v>
      </c>
      <c r="R16" s="3"/>
      <c r="S16" s="25">
        <v>1.014</v>
      </c>
      <c r="T16" s="3"/>
      <c r="U16" s="20">
        <f t="shared" si="1"/>
        <v>18.891999999999999</v>
      </c>
      <c r="V16" s="3"/>
      <c r="W16" s="26">
        <v>18.8</v>
      </c>
      <c r="X16" s="3"/>
      <c r="Y16" s="20">
        <f>U16-W16</f>
        <v>9.1999999999998749E-2</v>
      </c>
      <c r="Z16" s="3"/>
      <c r="AA16" s="19">
        <f>S16-Y16</f>
        <v>0.92200000000000126</v>
      </c>
      <c r="AB16" s="3"/>
      <c r="AC16" s="20">
        <f>AA16*100/S16</f>
        <v>90.927021696252595</v>
      </c>
      <c r="AD16" s="3"/>
      <c r="AE16" s="3"/>
      <c r="AF16" s="3"/>
      <c r="AK16" s="3"/>
      <c r="AL16" s="3"/>
      <c r="AM16" s="3"/>
      <c r="AN16" s="3"/>
    </row>
    <row r="17" spans="1:40" ht="15.75" customHeight="1">
      <c r="A17" s="21"/>
      <c r="B17" s="45"/>
      <c r="C17" s="19" t="s">
        <v>42</v>
      </c>
      <c r="D17" s="3"/>
      <c r="E17" s="55" t="s">
        <v>43</v>
      </c>
      <c r="F17" s="56"/>
      <c r="G17" s="62">
        <f>100-AC17</f>
        <v>10.18609206660129</v>
      </c>
      <c r="H17" s="3"/>
      <c r="I17" s="19">
        <f>G17-G53</f>
        <v>1.7666779164077671</v>
      </c>
      <c r="J17" s="3"/>
      <c r="K17" s="20">
        <f t="shared" si="0"/>
        <v>3.121150860322889</v>
      </c>
      <c r="L17" s="21">
        <f>G17-'T1&amp;T2_G2=4dec.'!G17</f>
        <v>3.9177277179149428E-2</v>
      </c>
      <c r="M17" s="21"/>
      <c r="N17" s="46"/>
      <c r="O17" s="23" t="str">
        <f t="shared" si="3"/>
        <v>n13</v>
      </c>
      <c r="P17" s="22" t="str">
        <f t="shared" si="2"/>
        <v>051026_AM02.2_S13</v>
      </c>
      <c r="Q17" s="24">
        <v>18.41</v>
      </c>
      <c r="R17" s="3"/>
      <c r="S17" s="25">
        <v>1.0209999999999999</v>
      </c>
      <c r="T17" s="3"/>
      <c r="U17" s="20">
        <f t="shared" si="1"/>
        <v>19.431000000000001</v>
      </c>
      <c r="V17" s="3"/>
      <c r="W17" s="26">
        <v>19.327000000000002</v>
      </c>
      <c r="X17" s="3"/>
      <c r="Y17" s="20">
        <f>U17-W17</f>
        <v>0.1039999999999992</v>
      </c>
      <c r="Z17" s="3"/>
      <c r="AA17" s="19">
        <f>S17-Y17</f>
        <v>0.9170000000000007</v>
      </c>
      <c r="AB17" s="3"/>
      <c r="AC17" s="20">
        <f>AA17*100/S17</f>
        <v>89.81390793339871</v>
      </c>
      <c r="AD17" s="3"/>
      <c r="AE17" s="3"/>
      <c r="AF17" s="3"/>
      <c r="AK17" s="3"/>
      <c r="AL17" s="3"/>
      <c r="AM17" s="3"/>
      <c r="AN17" s="3"/>
    </row>
    <row r="18" spans="1:40" ht="15.75" customHeight="1">
      <c r="A18" s="21"/>
      <c r="B18" s="45"/>
      <c r="C18" s="19" t="s">
        <v>44</v>
      </c>
      <c r="D18" s="3"/>
      <c r="E18" s="55" t="s">
        <v>45</v>
      </c>
      <c r="F18" s="56"/>
      <c r="G18" s="62">
        <f>100-AC18</f>
        <v>8.5009140767824505</v>
      </c>
      <c r="H18" s="3"/>
      <c r="I18" s="19">
        <f>G18-G53</f>
        <v>8.1499926588927352E-2</v>
      </c>
      <c r="J18" s="3"/>
      <c r="K18" s="20">
        <f t="shared" si="0"/>
        <v>6.6422380340005471E-3</v>
      </c>
      <c r="L18" s="21">
        <f>G18-'T1&amp;T2_G2=4dec.'!G18</f>
        <v>-4.57038391227087E-2</v>
      </c>
      <c r="M18" s="21"/>
      <c r="N18" s="46"/>
      <c r="O18" s="23" t="str">
        <f t="shared" si="3"/>
        <v>n14</v>
      </c>
      <c r="P18" s="22" t="str">
        <f t="shared" si="2"/>
        <v>051026_AM02.2_S14</v>
      </c>
      <c r="Q18" s="24">
        <v>18.099</v>
      </c>
      <c r="R18" s="3"/>
      <c r="S18" s="25">
        <v>1.0940000000000001</v>
      </c>
      <c r="T18" s="3"/>
      <c r="U18" s="20">
        <f t="shared" si="1"/>
        <v>19.193000000000001</v>
      </c>
      <c r="V18" s="3"/>
      <c r="W18" s="41">
        <v>19.100000000000001</v>
      </c>
      <c r="X18" s="3"/>
      <c r="Y18" s="20">
        <f>U18-W18</f>
        <v>9.2999999999999972E-2</v>
      </c>
      <c r="Z18" s="3"/>
      <c r="AA18" s="19">
        <f>S18-Y18</f>
        <v>1.0010000000000001</v>
      </c>
      <c r="AB18" s="3"/>
      <c r="AC18" s="20">
        <f>AA18*100/S18</f>
        <v>91.49908592321755</v>
      </c>
      <c r="AD18" s="3"/>
      <c r="AE18" s="3"/>
      <c r="AF18" s="3"/>
      <c r="AK18" s="3"/>
      <c r="AL18" s="3"/>
      <c r="AM18" s="3"/>
      <c r="AN18" s="3"/>
    </row>
    <row r="19" spans="1:40" ht="15.75" customHeight="1">
      <c r="A19" s="21"/>
      <c r="B19" s="45"/>
      <c r="C19" s="19" t="s">
        <v>46</v>
      </c>
      <c r="D19" s="3"/>
      <c r="E19" s="55" t="s">
        <v>47</v>
      </c>
      <c r="F19" s="56"/>
      <c r="G19" s="62">
        <f>100-AC19</f>
        <v>8.8669950738916157</v>
      </c>
      <c r="H19" s="3"/>
      <c r="I19" s="19">
        <f>G19-G53</f>
        <v>0.44758092369809255</v>
      </c>
      <c r="J19" s="3"/>
      <c r="K19" s="20">
        <f t="shared" si="0"/>
        <v>0.20032868325843775</v>
      </c>
      <c r="L19" s="21">
        <f>G19-'T1&amp;T2_G2=4dec.'!G19</f>
        <v>4.9261083744070788E-2</v>
      </c>
      <c r="M19" s="21"/>
      <c r="N19" s="46"/>
      <c r="O19" s="23" t="str">
        <f t="shared" si="3"/>
        <v>n15</v>
      </c>
      <c r="P19" s="22" t="str">
        <f t="shared" si="2"/>
        <v>051026_AM02.2_S15</v>
      </c>
      <c r="Q19" s="24">
        <v>18.515999999999998</v>
      </c>
      <c r="R19" s="3"/>
      <c r="S19" s="25">
        <v>1.0149999999999999</v>
      </c>
      <c r="T19" s="3"/>
      <c r="U19" s="20">
        <f t="shared" si="1"/>
        <v>19.530999999999999</v>
      </c>
      <c r="V19" s="3"/>
      <c r="W19" s="26">
        <v>19.440999999999999</v>
      </c>
      <c r="X19" s="3"/>
      <c r="Y19" s="20">
        <f>U19-W19</f>
        <v>8.9999999999999858E-2</v>
      </c>
      <c r="Z19" s="3"/>
      <c r="AA19" s="19">
        <f>S19-Y19</f>
        <v>0.92500000000000004</v>
      </c>
      <c r="AB19" s="3"/>
      <c r="AC19" s="20">
        <f>AA19*100/S19</f>
        <v>91.133004926108384</v>
      </c>
      <c r="AD19" s="3"/>
      <c r="AE19" s="3"/>
      <c r="AF19" s="3"/>
      <c r="AK19" s="3"/>
      <c r="AL19" s="3"/>
      <c r="AM19" s="3"/>
      <c r="AN19" s="3"/>
    </row>
    <row r="20" spans="1:40" ht="15.75" customHeight="1">
      <c r="A20" s="21"/>
      <c r="B20" s="45"/>
      <c r="C20" s="19" t="s">
        <v>48</v>
      </c>
      <c r="D20" s="3"/>
      <c r="E20" s="55" t="s">
        <v>49</v>
      </c>
      <c r="F20" s="56"/>
      <c r="G20" s="62">
        <f>100-AC20</f>
        <v>7.1630537229029727</v>
      </c>
      <c r="H20" s="3"/>
      <c r="I20" s="19">
        <f>G20-G53</f>
        <v>-1.2563604272905504</v>
      </c>
      <c r="J20" s="3"/>
      <c r="K20" s="20">
        <f t="shared" si="0"/>
        <v>1.5784415232616944</v>
      </c>
      <c r="L20" s="21">
        <f>G20-'T1&amp;T2_G2=4dec.'!G20</f>
        <v>-8.4825636192064735E-2</v>
      </c>
      <c r="M20" s="21"/>
      <c r="N20" s="46"/>
      <c r="O20" s="23" t="str">
        <f t="shared" si="3"/>
        <v>n16</v>
      </c>
      <c r="P20" s="22" t="str">
        <f t="shared" si="2"/>
        <v>051026_AM02.2_S16</v>
      </c>
      <c r="Q20" s="24">
        <v>17.706</v>
      </c>
      <c r="R20" s="3"/>
      <c r="S20" s="25">
        <v>1.0609999999999999</v>
      </c>
      <c r="T20" s="3"/>
      <c r="U20" s="20">
        <f t="shared" si="1"/>
        <v>18.766999999999999</v>
      </c>
      <c r="V20" s="3"/>
      <c r="W20" s="26">
        <v>18.690999999999999</v>
      </c>
      <c r="X20" s="3"/>
      <c r="Y20" s="20">
        <f>U20-W20</f>
        <v>7.6000000000000512E-2</v>
      </c>
      <c r="Z20" s="3"/>
      <c r="AA20" s="19">
        <f>S20-Y20</f>
        <v>0.98499999999999943</v>
      </c>
      <c r="AB20" s="3"/>
      <c r="AC20" s="20">
        <f>AA20*100/S20</f>
        <v>92.836946277097027</v>
      </c>
      <c r="AD20" s="3"/>
      <c r="AE20" s="3"/>
      <c r="AF20" s="3"/>
      <c r="AK20" s="3"/>
      <c r="AL20" s="3"/>
      <c r="AM20" s="3"/>
      <c r="AN20" s="3"/>
    </row>
    <row r="21" spans="1:40" ht="15.75" customHeight="1">
      <c r="A21" s="21"/>
      <c r="B21" s="45"/>
      <c r="C21" s="19" t="s">
        <v>50</v>
      </c>
      <c r="D21" s="3"/>
      <c r="E21" s="55" t="s">
        <v>51</v>
      </c>
      <c r="F21" s="56"/>
      <c r="G21" s="62">
        <f>100-AC21</f>
        <v>9.3150684931503918</v>
      </c>
      <c r="H21" s="3"/>
      <c r="I21" s="19">
        <f>G21-G53</f>
        <v>0.89565434295686863</v>
      </c>
      <c r="J21" s="3"/>
      <c r="K21" s="20">
        <f t="shared" si="0"/>
        <v>0.80219670205750004</v>
      </c>
      <c r="L21" s="21">
        <f>G21-'T1&amp;T2_G2=4dec.'!G21</f>
        <v>5.479452054781575E-2</v>
      </c>
      <c r="M21" s="21"/>
      <c r="N21" s="46"/>
      <c r="O21" s="23" t="str">
        <f t="shared" si="3"/>
        <v>n17</v>
      </c>
      <c r="P21" s="22" t="str">
        <f t="shared" si="2"/>
        <v>051026_AM02.2_S17</v>
      </c>
      <c r="Q21" s="24">
        <v>18.713999999999999</v>
      </c>
      <c r="R21" s="3"/>
      <c r="S21" s="25">
        <v>1.095</v>
      </c>
      <c r="T21" s="3"/>
      <c r="U21" s="20">
        <f t="shared" si="1"/>
        <v>19.808999999999997</v>
      </c>
      <c r="V21" s="3"/>
      <c r="W21" s="26">
        <v>19.707000000000001</v>
      </c>
      <c r="X21" s="3"/>
      <c r="Y21" s="20">
        <f>U21-W21</f>
        <v>0.10199999999999676</v>
      </c>
      <c r="Z21" s="3"/>
      <c r="AA21" s="19">
        <f>S21-Y21</f>
        <v>0.99300000000000321</v>
      </c>
      <c r="AB21" s="3"/>
      <c r="AC21" s="20">
        <f>AA21*100/S21</f>
        <v>90.684931506849608</v>
      </c>
      <c r="AD21" s="3"/>
      <c r="AE21" s="3"/>
      <c r="AF21" s="3"/>
      <c r="AK21" s="3"/>
      <c r="AL21" s="3"/>
      <c r="AM21" s="3"/>
      <c r="AN21" s="3"/>
    </row>
    <row r="22" spans="1:40" ht="15.75" customHeight="1">
      <c r="A22" s="21"/>
      <c r="B22" s="45"/>
      <c r="C22" s="19" t="s">
        <v>52</v>
      </c>
      <c r="D22" s="3"/>
      <c r="E22" s="55" t="s">
        <v>53</v>
      </c>
      <c r="F22" s="56"/>
      <c r="G22" s="62">
        <f>100-AC22</f>
        <v>10.037174721189643</v>
      </c>
      <c r="H22" s="3"/>
      <c r="I22" s="19">
        <f>G22-G53</f>
        <v>1.6177605709961203</v>
      </c>
      <c r="J22" s="3"/>
      <c r="K22" s="20">
        <f t="shared" si="0"/>
        <v>2.6171492650696928</v>
      </c>
      <c r="L22" s="21">
        <f>G22-'T1&amp;T2_G2=4dec.'!G22</f>
        <v>2.7881040892125952E-2</v>
      </c>
      <c r="M22" s="21"/>
      <c r="N22" s="46"/>
      <c r="O22" s="23" t="str">
        <f t="shared" si="3"/>
        <v>n18</v>
      </c>
      <c r="P22" s="22" t="str">
        <f t="shared" si="2"/>
        <v>051026_AM02.2_S18</v>
      </c>
      <c r="Q22" s="24">
        <v>18.076000000000001</v>
      </c>
      <c r="R22" s="3"/>
      <c r="S22" s="25">
        <v>1.0760000000000001</v>
      </c>
      <c r="T22" s="3"/>
      <c r="U22" s="20">
        <f t="shared" si="1"/>
        <v>19.152000000000001</v>
      </c>
      <c r="V22" s="3"/>
      <c r="W22" s="26">
        <v>19.044</v>
      </c>
      <c r="X22" s="3"/>
      <c r="Y22" s="20">
        <f>U22-W22</f>
        <v>0.10800000000000054</v>
      </c>
      <c r="Z22" s="3"/>
      <c r="AA22" s="19">
        <f>S22-Y22</f>
        <v>0.96799999999999953</v>
      </c>
      <c r="AB22" s="3"/>
      <c r="AC22" s="20">
        <f>AA22*100/S22</f>
        <v>89.962825278810357</v>
      </c>
      <c r="AD22" s="3"/>
      <c r="AE22" s="3"/>
      <c r="AF22" s="3"/>
      <c r="AK22" s="3"/>
      <c r="AL22" s="3"/>
      <c r="AM22" s="3"/>
      <c r="AN22" s="3"/>
    </row>
    <row r="23" spans="1:40" ht="15.75" customHeight="1">
      <c r="A23" s="21"/>
      <c r="B23" s="45"/>
      <c r="C23" s="19" t="s">
        <v>54</v>
      </c>
      <c r="D23" s="3"/>
      <c r="E23" s="55" t="s">
        <v>55</v>
      </c>
      <c r="F23" s="56"/>
      <c r="G23" s="62">
        <f>100-AC23</f>
        <v>6.3314711359405464</v>
      </c>
      <c r="H23" s="3"/>
      <c r="I23" s="19">
        <f>G23-G53</f>
        <v>-2.0879430142529767</v>
      </c>
      <c r="J23" s="3"/>
      <c r="K23" s="20">
        <f t="shared" si="0"/>
        <v>4.3595060307678057</v>
      </c>
      <c r="L23" s="21">
        <f>G23-'T1&amp;T2_G2=4dec.'!G23</f>
        <v>9.310986964607082E-3</v>
      </c>
      <c r="M23" s="21"/>
      <c r="N23" s="46"/>
      <c r="O23" s="23" t="str">
        <f t="shared" si="3"/>
        <v>n19</v>
      </c>
      <c r="P23" s="22" t="str">
        <f t="shared" si="2"/>
        <v>051026_AM02.2_S19</v>
      </c>
      <c r="Q23" s="24">
        <v>19.059000000000001</v>
      </c>
      <c r="R23" s="3"/>
      <c r="S23" s="25">
        <v>1.0740000000000001</v>
      </c>
      <c r="T23" s="3"/>
      <c r="U23" s="20">
        <f t="shared" si="1"/>
        <v>20.133000000000003</v>
      </c>
      <c r="V23" s="3"/>
      <c r="W23" s="26">
        <v>20.065000000000001</v>
      </c>
      <c r="X23" s="3"/>
      <c r="Y23" s="20">
        <f>U23-W23</f>
        <v>6.8000000000001393E-2</v>
      </c>
      <c r="Z23" s="3"/>
      <c r="AA23" s="19">
        <f>S23-Y23</f>
        <v>1.0059999999999987</v>
      </c>
      <c r="AB23" s="3"/>
      <c r="AC23" s="20">
        <f>AA23*100/S23</f>
        <v>93.668528864059454</v>
      </c>
      <c r="AD23" s="3"/>
      <c r="AE23" s="3"/>
      <c r="AF23" s="3"/>
      <c r="AK23" s="3"/>
      <c r="AL23" s="3"/>
      <c r="AM23" s="3"/>
      <c r="AN23" s="3"/>
    </row>
    <row r="24" spans="1:40" ht="15.75" customHeight="1">
      <c r="A24" s="21"/>
      <c r="B24" s="45"/>
      <c r="C24" s="19" t="s">
        <v>56</v>
      </c>
      <c r="D24" s="3"/>
      <c r="E24" s="55" t="s">
        <v>57</v>
      </c>
      <c r="F24" s="56"/>
      <c r="G24" s="62">
        <f>100-AC24</f>
        <v>6.9767441860464459</v>
      </c>
      <c r="H24" s="3"/>
      <c r="I24" s="19">
        <f>G24-G53</f>
        <v>-1.4426699641470773</v>
      </c>
      <c r="J24" s="3"/>
      <c r="K24" s="20">
        <f t="shared" si="0"/>
        <v>2.0812966254521292</v>
      </c>
      <c r="L24" s="21">
        <f>G24-'T1&amp;T2_G2=4dec.'!G24</f>
        <v>1.8604651163087738E-2</v>
      </c>
      <c r="M24" s="21"/>
      <c r="N24" s="46"/>
      <c r="O24" s="23" t="str">
        <f t="shared" si="3"/>
        <v>n20</v>
      </c>
      <c r="P24" s="22" t="str">
        <f t="shared" si="2"/>
        <v>051026_AM02.2_S20</v>
      </c>
      <c r="Q24" s="24">
        <v>18.117999999999999</v>
      </c>
      <c r="R24" s="3"/>
      <c r="S24" s="25">
        <v>1.075</v>
      </c>
      <c r="T24" s="3"/>
      <c r="U24" s="20">
        <f t="shared" si="1"/>
        <v>19.192999999999998</v>
      </c>
      <c r="V24" s="3"/>
      <c r="W24" s="26">
        <v>19.117999999999999</v>
      </c>
      <c r="X24" s="3"/>
      <c r="Y24" s="20">
        <f>U24-W24</f>
        <v>7.4999999999999289E-2</v>
      </c>
      <c r="Z24" s="3"/>
      <c r="AA24" s="19">
        <f>S24-Y24</f>
        <v>1.0000000000000007</v>
      </c>
      <c r="AB24" s="3"/>
      <c r="AC24" s="20">
        <f>AA24*100/S24</f>
        <v>93.023255813953554</v>
      </c>
      <c r="AD24" s="3"/>
      <c r="AE24" s="3"/>
      <c r="AF24" s="3"/>
      <c r="AK24" s="3"/>
      <c r="AL24" s="3"/>
      <c r="AM24" s="3"/>
      <c r="AN24" s="3"/>
    </row>
    <row r="25" spans="1:40" ht="15.75" customHeight="1">
      <c r="A25" s="21"/>
      <c r="B25" s="45"/>
      <c r="C25" s="19" t="s">
        <v>58</v>
      </c>
      <c r="D25" s="3"/>
      <c r="E25" s="55" t="s">
        <v>59</v>
      </c>
      <c r="F25" s="56"/>
      <c r="G25" s="62">
        <f>100-AC25</f>
        <v>7.4257425742577112</v>
      </c>
      <c r="H25" s="3"/>
      <c r="I25" s="19">
        <f>G25-G53</f>
        <v>-0.9936715759358119</v>
      </c>
      <c r="J25" s="3"/>
      <c r="K25" s="20">
        <f t="shared" si="0"/>
        <v>0.98738320082275999</v>
      </c>
      <c r="L25" s="21">
        <f>G25-'T1&amp;T2_G2=4dec.'!G25</f>
        <v>-1.9801980197968305E-2</v>
      </c>
      <c r="M25" s="21"/>
      <c r="N25" s="46"/>
      <c r="O25" s="23" t="str">
        <f t="shared" si="3"/>
        <v>n21</v>
      </c>
      <c r="P25" s="22" t="str">
        <f t="shared" si="2"/>
        <v>051026_AM02.2_S21</v>
      </c>
      <c r="Q25" s="24">
        <v>17.875</v>
      </c>
      <c r="R25" s="3"/>
      <c r="S25" s="25">
        <v>1.01</v>
      </c>
      <c r="T25" s="3"/>
      <c r="U25" s="20">
        <f t="shared" si="1"/>
        <v>18.885000000000002</v>
      </c>
      <c r="V25" s="3"/>
      <c r="W25" s="26">
        <v>18.809999999999999</v>
      </c>
      <c r="X25" s="3"/>
      <c r="Y25" s="20">
        <f>U25-W25</f>
        <v>7.5000000000002842E-2</v>
      </c>
      <c r="Z25" s="3"/>
      <c r="AA25" s="19">
        <f>S25-Y25</f>
        <v>0.93499999999999717</v>
      </c>
      <c r="AB25" s="3"/>
      <c r="AC25" s="20">
        <f>AA25*100/S25</f>
        <v>92.574257425742289</v>
      </c>
      <c r="AD25" s="3"/>
      <c r="AE25" s="3"/>
      <c r="AF25" s="3"/>
      <c r="AK25" s="3"/>
      <c r="AL25" s="3"/>
      <c r="AM25" s="3"/>
      <c r="AN25" s="3"/>
    </row>
    <row r="26" spans="1:40" ht="15.75" customHeight="1">
      <c r="A26" s="21"/>
      <c r="B26" s="45"/>
      <c r="C26" s="19" t="s">
        <v>60</v>
      </c>
      <c r="D26" s="3"/>
      <c r="E26" s="55" t="s">
        <v>61</v>
      </c>
      <c r="F26" s="56"/>
      <c r="G26" s="62">
        <f>100-AC26</f>
        <v>8.0000000000001847</v>
      </c>
      <c r="H26" s="3"/>
      <c r="I26" s="19">
        <f>G26-G53</f>
        <v>-0.41941415019333839</v>
      </c>
      <c r="J26" s="3"/>
      <c r="K26" s="20">
        <f t="shared" si="0"/>
        <v>0.17590822938240022</v>
      </c>
      <c r="L26" s="21">
        <f>G26-'T1&amp;T2_G2=4dec.'!G26</f>
        <v>9.3023255814060235E-2</v>
      </c>
      <c r="M26" s="21"/>
      <c r="N26" s="46"/>
      <c r="O26" s="23" t="str">
        <f t="shared" si="3"/>
        <v>n22</v>
      </c>
      <c r="P26" s="22" t="str">
        <f t="shared" si="2"/>
        <v>051026_AM02.2_S22</v>
      </c>
      <c r="Q26" s="24">
        <v>17.783000000000001</v>
      </c>
      <c r="R26" s="3"/>
      <c r="S26" s="25">
        <v>1.075</v>
      </c>
      <c r="T26" s="3"/>
      <c r="U26" s="20">
        <f t="shared" si="1"/>
        <v>18.858000000000001</v>
      </c>
      <c r="V26" s="3"/>
      <c r="W26" s="26">
        <v>18.771999999999998</v>
      </c>
      <c r="X26" s="3"/>
      <c r="Y26" s="20">
        <f>U26-W26</f>
        <v>8.6000000000002075E-2</v>
      </c>
      <c r="Z26" s="3"/>
      <c r="AA26" s="19">
        <f>S26-Y26</f>
        <v>0.98899999999999788</v>
      </c>
      <c r="AB26" s="3"/>
      <c r="AC26" s="20">
        <f>AA26*100/S26</f>
        <v>91.999999999999815</v>
      </c>
      <c r="AD26" s="3"/>
      <c r="AE26" s="3"/>
      <c r="AF26" s="3"/>
      <c r="AK26" s="3"/>
      <c r="AL26" s="3"/>
      <c r="AM26" s="3"/>
      <c r="AN26" s="3"/>
    </row>
    <row r="27" spans="1:40" ht="15.75" customHeight="1">
      <c r="A27" s="21"/>
      <c r="B27" s="45"/>
      <c r="C27" s="19" t="s">
        <v>62</v>
      </c>
      <c r="D27" s="3"/>
      <c r="E27" s="55" t="s">
        <v>63</v>
      </c>
      <c r="F27" s="56"/>
      <c r="G27" s="62">
        <f>100-AC27</f>
        <v>8.8206144697719111</v>
      </c>
      <c r="H27" s="3"/>
      <c r="I27" s="19">
        <f>G27-G53</f>
        <v>0.40120031957838798</v>
      </c>
      <c r="J27" s="3"/>
      <c r="K27" s="20">
        <f t="shared" si="0"/>
        <v>0.16096169642980065</v>
      </c>
      <c r="L27" s="21">
        <f>G27-'T1&amp;T2_G2=4dec.'!G27</f>
        <v>-4.9554013875010128E-2</v>
      </c>
      <c r="M27" s="21"/>
      <c r="N27" s="46"/>
      <c r="O27" s="23" t="str">
        <f t="shared" si="3"/>
        <v>n23</v>
      </c>
      <c r="P27" s="22" t="str">
        <f t="shared" si="2"/>
        <v>051026_AM02.2_S23</v>
      </c>
      <c r="Q27" s="24">
        <v>17.361999999999998</v>
      </c>
      <c r="R27" s="3"/>
      <c r="S27" s="25">
        <v>1.0089999999999999</v>
      </c>
      <c r="T27" s="3"/>
      <c r="U27" s="20">
        <f t="shared" si="1"/>
        <v>18.370999999999999</v>
      </c>
      <c r="V27" s="3"/>
      <c r="W27" s="26">
        <v>18.282</v>
      </c>
      <c r="X27" s="3"/>
      <c r="Y27" s="20">
        <f>U27-W27</f>
        <v>8.8999999999998636E-2</v>
      </c>
      <c r="Z27" s="3"/>
      <c r="AA27" s="19">
        <f>S27-Y27</f>
        <v>0.92000000000000126</v>
      </c>
      <c r="AB27" s="3"/>
      <c r="AC27" s="20">
        <f>AA27*100/S27</f>
        <v>91.179385530228089</v>
      </c>
      <c r="AD27" s="3"/>
      <c r="AE27" s="3"/>
      <c r="AF27" s="3"/>
      <c r="AK27" s="3"/>
      <c r="AL27" s="3"/>
      <c r="AM27" s="3"/>
      <c r="AN27" s="3"/>
    </row>
    <row r="28" spans="1:40" ht="15.75" customHeight="1">
      <c r="A28" s="21"/>
      <c r="B28" s="45"/>
      <c r="C28" s="19" t="s">
        <v>64</v>
      </c>
      <c r="D28" s="3"/>
      <c r="E28" s="55" t="s">
        <v>65</v>
      </c>
      <c r="F28" s="56"/>
      <c r="G28" s="62">
        <f>100-AC28</f>
        <v>8.0708661417319973</v>
      </c>
      <c r="H28" s="3"/>
      <c r="I28" s="19">
        <f>G28-G53</f>
        <v>-0.34854800846152578</v>
      </c>
      <c r="J28" s="3"/>
      <c r="K28" s="20">
        <f t="shared" si="0"/>
        <v>0.12148571420249585</v>
      </c>
      <c r="L28" s="21">
        <f>G28-'T1&amp;T2_G2=4dec.'!G28</f>
        <v>5.9055118110094895E-2</v>
      </c>
      <c r="M28" s="21"/>
      <c r="N28" s="46"/>
      <c r="O28" s="23" t="str">
        <f t="shared" si="3"/>
        <v>n24</v>
      </c>
      <c r="P28" s="22" t="str">
        <f t="shared" si="2"/>
        <v>051026_AM02.2_S24</v>
      </c>
      <c r="Q28" s="24">
        <v>19.018000000000001</v>
      </c>
      <c r="R28" s="3"/>
      <c r="S28" s="25">
        <v>1.016</v>
      </c>
      <c r="T28" s="3"/>
      <c r="U28" s="20">
        <f t="shared" si="1"/>
        <v>20.033999999999999</v>
      </c>
      <c r="V28" s="3"/>
      <c r="W28" s="26">
        <v>19.952000000000002</v>
      </c>
      <c r="X28" s="3"/>
      <c r="Y28" s="20">
        <f>U28-W28</f>
        <v>8.1999999999997186E-2</v>
      </c>
      <c r="Z28" s="3"/>
      <c r="AA28" s="19">
        <f>S28-Y28</f>
        <v>0.93400000000000283</v>
      </c>
      <c r="AB28" s="3"/>
      <c r="AC28" s="20">
        <f>AA28*100/S28</f>
        <v>91.929133858268003</v>
      </c>
      <c r="AD28" s="3"/>
      <c r="AE28" s="3"/>
      <c r="AF28" s="3"/>
      <c r="AK28" s="3"/>
      <c r="AL28" s="3"/>
      <c r="AM28" s="3"/>
      <c r="AN28" s="3"/>
    </row>
    <row r="29" spans="1:40" ht="15.75" customHeight="1">
      <c r="A29" s="21"/>
      <c r="B29" s="45"/>
      <c r="C29" s="19" t="s">
        <v>66</v>
      </c>
      <c r="D29" s="3"/>
      <c r="E29" s="55" t="s">
        <v>67</v>
      </c>
      <c r="F29" s="56"/>
      <c r="G29" s="62">
        <f>100-AC29</f>
        <v>8.4313725490194713</v>
      </c>
      <c r="H29" s="3"/>
      <c r="I29" s="19">
        <f>G29-G53</f>
        <v>1.195839882594818E-2</v>
      </c>
      <c r="J29" s="3"/>
      <c r="K29" s="20">
        <f t="shared" si="0"/>
        <v>1.4300330248043881E-4</v>
      </c>
      <c r="L29" s="21">
        <f>G29-'T1&amp;T2_G2=4dec.'!G29</f>
        <v>-4.9019607843021618E-2</v>
      </c>
      <c r="M29" s="21"/>
      <c r="N29" s="46"/>
      <c r="O29" s="23" t="str">
        <f t="shared" si="3"/>
        <v>n25</v>
      </c>
      <c r="P29" s="22" t="str">
        <f t="shared" si="2"/>
        <v>051026_AM02.2_S25</v>
      </c>
      <c r="Q29" s="24">
        <v>17.923999999999999</v>
      </c>
      <c r="R29" s="3"/>
      <c r="S29" s="25">
        <v>1.02</v>
      </c>
      <c r="T29" s="3"/>
      <c r="U29" s="20">
        <f t="shared" si="1"/>
        <v>18.943999999999999</v>
      </c>
      <c r="V29" s="3"/>
      <c r="W29" s="26">
        <v>18.858000000000001</v>
      </c>
      <c r="X29" s="3"/>
      <c r="Y29" s="20">
        <f>U29-W29</f>
        <v>8.5999999999998522E-2</v>
      </c>
      <c r="Z29" s="3"/>
      <c r="AA29" s="19">
        <f>S29-Y29</f>
        <v>0.9340000000000015</v>
      </c>
      <c r="AB29" s="3"/>
      <c r="AC29" s="20">
        <f>AA29*100/S29</f>
        <v>91.568627450980529</v>
      </c>
      <c r="AD29" s="3"/>
      <c r="AE29" s="3"/>
      <c r="AF29" s="3"/>
      <c r="AK29" s="3"/>
      <c r="AL29" s="3"/>
      <c r="AM29" s="3"/>
      <c r="AN29" s="3"/>
    </row>
    <row r="30" spans="1:40" ht="15.75" customHeight="1">
      <c r="A30" s="21"/>
      <c r="B30" s="45"/>
      <c r="C30" s="19" t="s">
        <v>68</v>
      </c>
      <c r="D30" s="3"/>
      <c r="E30" s="55" t="s">
        <v>69</v>
      </c>
      <c r="F30" s="56"/>
      <c r="G30" s="62">
        <f>100-AC30</f>
        <v>8.3412322274879074</v>
      </c>
      <c r="H30" s="3"/>
      <c r="I30" s="19">
        <f>G30-G53</f>
        <v>-7.8181922705615747E-2</v>
      </c>
      <c r="J30" s="3"/>
      <c r="K30" s="20">
        <f t="shared" si="0"/>
        <v>6.1124130379468754E-3</v>
      </c>
      <c r="L30" s="21">
        <f>G30-'T1&amp;T2_G2=4dec.'!G30</f>
        <v>-9.478672985750336E-3</v>
      </c>
      <c r="M30" s="21"/>
      <c r="N30" s="46"/>
      <c r="O30" s="23" t="str">
        <f t="shared" si="3"/>
        <v>n26</v>
      </c>
      <c r="P30" s="22" t="str">
        <f t="shared" si="2"/>
        <v>051026_AM02.2_S26</v>
      </c>
      <c r="Q30" s="24">
        <v>18.204999999999998</v>
      </c>
      <c r="R30" s="3"/>
      <c r="S30" s="25">
        <v>1.0549999999999999</v>
      </c>
      <c r="T30" s="3"/>
      <c r="U30" s="20">
        <f t="shared" si="1"/>
        <v>19.259999999999998</v>
      </c>
      <c r="V30" s="3"/>
      <c r="W30" s="26">
        <v>19.172000000000001</v>
      </c>
      <c r="X30" s="3"/>
      <c r="Y30" s="20">
        <f>U30-W30</f>
        <v>8.7999999999997414E-2</v>
      </c>
      <c r="Z30" s="3"/>
      <c r="AA30" s="19">
        <f>S30-Y30</f>
        <v>0.96700000000000252</v>
      </c>
      <c r="AB30" s="3"/>
      <c r="AC30" s="20">
        <f>AA30*100/S30</f>
        <v>91.658767772512093</v>
      </c>
      <c r="AD30" s="3"/>
      <c r="AE30" s="3"/>
      <c r="AF30" s="3"/>
      <c r="AK30" s="3"/>
      <c r="AL30" s="3"/>
      <c r="AM30" s="3"/>
      <c r="AN30" s="3"/>
    </row>
    <row r="31" spans="1:40" ht="15.75" customHeight="1">
      <c r="A31" s="21"/>
      <c r="B31" s="45"/>
      <c r="C31" s="19" t="s">
        <v>70</v>
      </c>
      <c r="D31" s="3"/>
      <c r="E31" s="55" t="s">
        <v>71</v>
      </c>
      <c r="F31" s="56"/>
      <c r="G31" s="62">
        <f>100-AC31</f>
        <v>7.2978303747532607</v>
      </c>
      <c r="H31" s="3"/>
      <c r="I31" s="19">
        <f>G31-G53</f>
        <v>-1.1215837754402624</v>
      </c>
      <c r="J31" s="3"/>
      <c r="K31" s="20">
        <f t="shared" si="0"/>
        <v>1.2579501653308331</v>
      </c>
      <c r="L31" s="21">
        <f>G31-'T1&amp;T2_G2=4dec.'!G31</f>
        <v>-9.8619329388327515E-3</v>
      </c>
      <c r="M31" s="21"/>
      <c r="N31" s="46"/>
      <c r="O31" s="23" t="str">
        <f t="shared" si="3"/>
        <v>n27</v>
      </c>
      <c r="P31" s="22" t="str">
        <f t="shared" si="2"/>
        <v>051026_AM02.2_S27</v>
      </c>
      <c r="Q31" s="24">
        <v>18.140999999999998</v>
      </c>
      <c r="R31" s="3"/>
      <c r="S31" s="25">
        <v>1.014</v>
      </c>
      <c r="T31" s="3"/>
      <c r="U31" s="20">
        <f t="shared" si="1"/>
        <v>19.154999999999998</v>
      </c>
      <c r="V31" s="3"/>
      <c r="W31" s="26">
        <v>19.081</v>
      </c>
      <c r="X31" s="3"/>
      <c r="Y31" s="20">
        <f>U31-W31</f>
        <v>7.3999999999998067E-2</v>
      </c>
      <c r="Z31" s="3"/>
      <c r="AA31" s="19">
        <f>S31-Y31</f>
        <v>0.94000000000000195</v>
      </c>
      <c r="AB31" s="3"/>
      <c r="AC31" s="20">
        <f>AA31*100/S31</f>
        <v>92.702169625246739</v>
      </c>
      <c r="AD31" s="3"/>
      <c r="AE31" s="3"/>
      <c r="AF31" s="3"/>
      <c r="AK31" s="3"/>
      <c r="AL31" s="3"/>
      <c r="AM31" s="3"/>
      <c r="AN31" s="3"/>
    </row>
    <row r="32" spans="1:40" ht="15.75" customHeight="1">
      <c r="A32" s="21"/>
      <c r="B32" s="45"/>
      <c r="C32" s="19" t="s">
        <v>72</v>
      </c>
      <c r="D32" s="3"/>
      <c r="E32" s="55" t="s">
        <v>73</v>
      </c>
      <c r="F32" s="56"/>
      <c r="G32" s="62">
        <f>100-AC32</f>
        <v>9.5643939393938524</v>
      </c>
      <c r="H32" s="3"/>
      <c r="I32" s="19">
        <f>G32-G53</f>
        <v>1.1449797892003293</v>
      </c>
      <c r="J32" s="3"/>
      <c r="K32" s="20">
        <f t="shared" si="0"/>
        <v>1.3109787176772305</v>
      </c>
      <c r="L32" s="21">
        <f>G32-'T1&amp;T2_G2=4dec.'!G32</f>
        <v>1.8939393939348292E-2</v>
      </c>
      <c r="M32" s="21"/>
      <c r="N32" s="46"/>
      <c r="O32" s="23" t="str">
        <f t="shared" si="3"/>
        <v>n28</v>
      </c>
      <c r="P32" s="22" t="str">
        <f t="shared" si="2"/>
        <v>051026_AM02.2_S28</v>
      </c>
      <c r="Q32" s="24">
        <v>18.61</v>
      </c>
      <c r="R32" s="3"/>
      <c r="S32" s="25">
        <v>1.056</v>
      </c>
      <c r="T32" s="3"/>
      <c r="U32" s="20">
        <f t="shared" si="1"/>
        <v>19.666</v>
      </c>
      <c r="V32" s="3"/>
      <c r="W32" s="26">
        <v>19.565000000000001</v>
      </c>
      <c r="X32" s="3"/>
      <c r="Y32" s="20">
        <f>U32-W32</f>
        <v>0.10099999999999909</v>
      </c>
      <c r="Z32" s="3"/>
      <c r="AA32" s="19">
        <f>S32-Y32</f>
        <v>0.95500000000000096</v>
      </c>
      <c r="AB32" s="3"/>
      <c r="AC32" s="20">
        <f>AA32*100/S32</f>
        <v>90.435606060606148</v>
      </c>
      <c r="AD32" s="3"/>
      <c r="AE32" s="3"/>
      <c r="AF32" s="3"/>
      <c r="AK32" s="3"/>
      <c r="AL32" s="3"/>
      <c r="AM32" s="3"/>
      <c r="AN32" s="3"/>
    </row>
    <row r="33" spans="1:40" ht="15.75" customHeight="1">
      <c r="A33" s="21"/>
      <c r="B33" s="45"/>
      <c r="C33" s="19" t="s">
        <v>74</v>
      </c>
      <c r="D33" s="3"/>
      <c r="E33" s="55" t="s">
        <v>75</v>
      </c>
      <c r="F33" s="56"/>
      <c r="G33" s="62">
        <f>100-AC33</f>
        <v>7.3193916349808177</v>
      </c>
      <c r="H33" s="3"/>
      <c r="I33" s="19">
        <f>G33-G53</f>
        <v>-1.1000225152127054</v>
      </c>
      <c r="J33" s="3"/>
      <c r="K33" s="20">
        <f t="shared" si="0"/>
        <v>1.2100495339748867</v>
      </c>
      <c r="L33" s="21">
        <f>G33-'T1&amp;T2_G2=4dec.'!G33</f>
        <v>7.6045627376245761E-2</v>
      </c>
      <c r="M33" s="21"/>
      <c r="N33" s="46"/>
      <c r="O33" s="23" t="str">
        <f t="shared" si="3"/>
        <v>n29</v>
      </c>
      <c r="P33" s="22" t="str">
        <f t="shared" si="2"/>
        <v>051026_AM02.2_S29</v>
      </c>
      <c r="Q33" s="24">
        <v>18.093</v>
      </c>
      <c r="R33" s="3"/>
      <c r="S33" s="25">
        <v>1.052</v>
      </c>
      <c r="T33" s="3"/>
      <c r="U33" s="20">
        <f t="shared" si="1"/>
        <v>19.145</v>
      </c>
      <c r="V33" s="3"/>
      <c r="W33" s="26">
        <v>19.068000000000001</v>
      </c>
      <c r="X33" s="3"/>
      <c r="Y33" s="20">
        <f>U33-W33</f>
        <v>7.6999999999998181E-2</v>
      </c>
      <c r="Z33" s="3"/>
      <c r="AA33" s="19">
        <f>S33-Y33</f>
        <v>0.97500000000000187</v>
      </c>
      <c r="AB33" s="3"/>
      <c r="AC33" s="20">
        <f>AA33*100/S33</f>
        <v>92.680608365019182</v>
      </c>
      <c r="AD33" s="3"/>
      <c r="AE33" s="3"/>
      <c r="AF33" s="3"/>
      <c r="AK33" s="3"/>
      <c r="AL33" s="3"/>
      <c r="AM33" s="3"/>
      <c r="AN33" s="3"/>
    </row>
    <row r="34" spans="1:40" ht="15.75" customHeight="1">
      <c r="A34" s="21"/>
      <c r="B34" s="45"/>
      <c r="C34" s="19" t="s">
        <v>76</v>
      </c>
      <c r="D34" s="3"/>
      <c r="E34" s="55" t="s">
        <v>77</v>
      </c>
      <c r="F34" s="56"/>
      <c r="G34" s="62">
        <f>100-AC34</f>
        <v>10.604558969276439</v>
      </c>
      <c r="H34" s="3"/>
      <c r="I34" s="19">
        <f>G34-G53</f>
        <v>2.1851448190829164</v>
      </c>
      <c r="J34" s="3"/>
      <c r="K34" s="20">
        <f t="shared" si="0"/>
        <v>4.7748578803649115</v>
      </c>
      <c r="L34" s="21">
        <f>G34-'T1&amp;T2_G2=4dec.'!G34</f>
        <v>-5.946481665036174E-2</v>
      </c>
      <c r="M34" s="21"/>
      <c r="N34" s="46"/>
      <c r="O34" s="23" t="str">
        <f t="shared" si="3"/>
        <v>n30</v>
      </c>
      <c r="P34" s="22" t="str">
        <f t="shared" si="2"/>
        <v>051026_AM02.2_S30</v>
      </c>
      <c r="Q34" s="24">
        <v>18.602</v>
      </c>
      <c r="R34" s="3"/>
      <c r="S34" s="25">
        <v>1.0089999999999999</v>
      </c>
      <c r="T34" s="3"/>
      <c r="U34" s="20">
        <f t="shared" si="1"/>
        <v>19.611000000000001</v>
      </c>
      <c r="V34" s="3"/>
      <c r="W34" s="26">
        <v>19.504000000000001</v>
      </c>
      <c r="X34" s="3"/>
      <c r="Y34" s="20">
        <f>U34-W34</f>
        <v>0.10699999999999932</v>
      </c>
      <c r="Z34" s="3"/>
      <c r="AA34" s="19">
        <f>S34-Y34</f>
        <v>0.90200000000000058</v>
      </c>
      <c r="AB34" s="3"/>
      <c r="AC34" s="20">
        <f>AA34*100/S34</f>
        <v>89.395441030723561</v>
      </c>
      <c r="AD34" s="3"/>
      <c r="AE34" s="3"/>
      <c r="AF34" s="3"/>
      <c r="AK34" s="3"/>
      <c r="AL34" s="3"/>
      <c r="AM34" s="3"/>
      <c r="AN34" s="3"/>
    </row>
    <row r="35" spans="1:40" ht="15.75" customHeight="1">
      <c r="A35" s="21"/>
      <c r="B35" s="45"/>
      <c r="C35" s="19" t="s">
        <v>78</v>
      </c>
      <c r="D35" s="3"/>
      <c r="E35" s="55" t="s">
        <v>79</v>
      </c>
      <c r="F35" s="56"/>
      <c r="G35" s="62">
        <f>100-AC35</f>
        <v>6.7437379576108185</v>
      </c>
      <c r="H35" s="3"/>
      <c r="I35" s="19">
        <f>G35-G53</f>
        <v>-1.6756761925827046</v>
      </c>
      <c r="J35" s="3"/>
      <c r="K35" s="20">
        <f t="shared" si="0"/>
        <v>2.8078907023884692</v>
      </c>
      <c r="L35" s="21">
        <f>G35-'T1&amp;T2_G2=4dec.'!G35</f>
        <v>2.8901734104323396E-2</v>
      </c>
      <c r="M35" s="21"/>
      <c r="N35" s="46"/>
      <c r="O35" s="23" t="str">
        <f t="shared" si="3"/>
        <v>n31</v>
      </c>
      <c r="P35" s="22" t="str">
        <f t="shared" si="2"/>
        <v>051026_AM02.2_S31</v>
      </c>
      <c r="Q35" s="24">
        <v>17.559999999999999</v>
      </c>
      <c r="R35" s="3"/>
      <c r="S35" s="25">
        <v>1.038</v>
      </c>
      <c r="T35" s="3"/>
      <c r="U35" s="20">
        <f t="shared" si="1"/>
        <v>18.597999999999999</v>
      </c>
      <c r="V35" s="3"/>
      <c r="W35" s="26">
        <v>18.527999999999999</v>
      </c>
      <c r="X35" s="3"/>
      <c r="Y35" s="20">
        <f>U35-W35</f>
        <v>7.0000000000000284E-2</v>
      </c>
      <c r="Z35" s="3"/>
      <c r="AA35" s="19">
        <f>S35-Y35</f>
        <v>0.96799999999999975</v>
      </c>
      <c r="AB35" s="3"/>
      <c r="AC35" s="20">
        <f>AA35*100/S35</f>
        <v>93.256262042389181</v>
      </c>
      <c r="AD35" s="3"/>
      <c r="AE35" s="3"/>
      <c r="AF35" s="3"/>
      <c r="AK35" s="3"/>
      <c r="AL35" s="3"/>
      <c r="AM35" s="3"/>
      <c r="AN35" s="3"/>
    </row>
    <row r="36" spans="1:40" ht="15.75" customHeight="1">
      <c r="A36" s="21"/>
      <c r="B36" s="45"/>
      <c r="C36" s="19" t="s">
        <v>80</v>
      </c>
      <c r="D36" s="3"/>
      <c r="E36" s="55" t="s">
        <v>81</v>
      </c>
      <c r="F36" s="56"/>
      <c r="G36" s="62">
        <f>100-AC36</f>
        <v>10.377358490565655</v>
      </c>
      <c r="H36" s="3"/>
      <c r="I36" s="19">
        <f>G36-G53</f>
        <v>1.9579443403721317</v>
      </c>
      <c r="J36" s="3"/>
      <c r="K36" s="20">
        <f t="shared" si="0"/>
        <v>3.8335460399952619</v>
      </c>
      <c r="L36" s="21">
        <f>G36-'T1&amp;T2_G2=4dec.'!G36</f>
        <v>0.10377358490542576</v>
      </c>
      <c r="M36" s="21"/>
      <c r="N36" s="46"/>
      <c r="O36" s="23" t="str">
        <f t="shared" si="3"/>
        <v>n32</v>
      </c>
      <c r="P36" s="22" t="str">
        <f t="shared" si="2"/>
        <v>051026_AM02.2_S32</v>
      </c>
      <c r="Q36" s="24">
        <v>18.588999999999999</v>
      </c>
      <c r="R36" s="3"/>
      <c r="S36" s="25">
        <v>1.06</v>
      </c>
      <c r="T36" s="3"/>
      <c r="U36" s="20">
        <f t="shared" si="1"/>
        <v>19.648999999999997</v>
      </c>
      <c r="V36" s="3"/>
      <c r="W36" s="26">
        <v>19.539000000000001</v>
      </c>
      <c r="X36" s="3"/>
      <c r="Y36" s="20">
        <f>U36-W36</f>
        <v>0.10999999999999588</v>
      </c>
      <c r="Z36" s="3"/>
      <c r="AA36" s="19">
        <f>S36-Y36</f>
        <v>0.95000000000000417</v>
      </c>
      <c r="AB36" s="3"/>
      <c r="AC36" s="20">
        <f>AA36*100/S36</f>
        <v>89.622641509434345</v>
      </c>
      <c r="AD36" s="3"/>
      <c r="AE36" s="3"/>
      <c r="AF36" s="3"/>
      <c r="AK36" s="3"/>
      <c r="AL36" s="3"/>
      <c r="AM36" s="3"/>
      <c r="AN36" s="3"/>
    </row>
    <row r="37" spans="1:40" ht="15.75" customHeight="1">
      <c r="A37" s="21"/>
      <c r="B37" s="45"/>
      <c r="C37" s="19" t="s">
        <v>82</v>
      </c>
      <c r="D37" s="3"/>
      <c r="E37" s="55" t="s">
        <v>83</v>
      </c>
      <c r="F37" s="56"/>
      <c r="G37" s="62">
        <f>100-AC37</f>
        <v>9.2219020172910717</v>
      </c>
      <c r="H37" s="3"/>
      <c r="I37" s="19">
        <f>G37-G53</f>
        <v>0.8024878670975486</v>
      </c>
      <c r="J37" s="3"/>
      <c r="K37" s="20">
        <f t="shared" si="0"/>
        <v>0.64398677683877281</v>
      </c>
      <c r="L37" s="21">
        <f>G37-'T1&amp;T2_G2=4dec.'!G37</f>
        <v>9.6061479346474243E-3</v>
      </c>
      <c r="M37" s="21"/>
      <c r="N37" s="46"/>
      <c r="O37" s="23" t="str">
        <f t="shared" si="3"/>
        <v>n33</v>
      </c>
      <c r="P37" s="22" t="str">
        <f t="shared" si="2"/>
        <v>051026_AM02.2_S33</v>
      </c>
      <c r="Q37" s="24">
        <v>18.986999999999998</v>
      </c>
      <c r="R37" s="3"/>
      <c r="S37" s="25">
        <v>1.0409999999999999</v>
      </c>
      <c r="T37" s="3"/>
      <c r="U37" s="20">
        <f t="shared" si="1"/>
        <v>20.027999999999999</v>
      </c>
      <c r="V37" s="3"/>
      <c r="W37" s="26">
        <v>19.931999999999999</v>
      </c>
      <c r="X37" s="3"/>
      <c r="Y37" s="20">
        <f>U37-W37</f>
        <v>9.6000000000000085E-2</v>
      </c>
      <c r="Z37" s="3"/>
      <c r="AA37" s="19">
        <f>S37-Y37</f>
        <v>0.94499999999999984</v>
      </c>
      <c r="AB37" s="3"/>
      <c r="AC37" s="20">
        <f>AA37*100/S37</f>
        <v>90.778097982708928</v>
      </c>
      <c r="AD37" s="3"/>
      <c r="AE37" s="3"/>
      <c r="AF37" s="3"/>
      <c r="AK37" s="3"/>
      <c r="AL37" s="3"/>
      <c r="AM37" s="3"/>
      <c r="AN37" s="3"/>
    </row>
    <row r="38" spans="1:40" ht="15.75" customHeight="1">
      <c r="A38" s="21"/>
      <c r="B38" s="45"/>
      <c r="C38" s="19" t="s">
        <v>84</v>
      </c>
      <c r="D38" s="3"/>
      <c r="E38" s="55" t="s">
        <v>85</v>
      </c>
      <c r="F38" s="56"/>
      <c r="G38" s="62">
        <f>100-AC38</f>
        <v>9.3253968253965951</v>
      </c>
      <c r="H38" s="3"/>
      <c r="I38" s="19">
        <f>G38-G53</f>
        <v>0.90598267520307196</v>
      </c>
      <c r="J38" s="3"/>
      <c r="K38" s="20">
        <f t="shared" si="0"/>
        <v>0.82080460776811504</v>
      </c>
      <c r="L38" s="21">
        <f>G38-'T1&amp;T2_G2=4dec.'!G38</f>
        <v>3.9682539682445395E-2</v>
      </c>
      <c r="M38" s="21"/>
      <c r="N38" s="46"/>
      <c r="O38" s="23" t="str">
        <f t="shared" si="3"/>
        <v>n34</v>
      </c>
      <c r="P38" s="22" t="str">
        <f t="shared" si="2"/>
        <v>051026_AM02.2_S34</v>
      </c>
      <c r="Q38" s="24">
        <v>18.516999999999999</v>
      </c>
      <c r="R38" s="3"/>
      <c r="S38" s="25">
        <v>1.008</v>
      </c>
      <c r="T38" s="3"/>
      <c r="U38" s="20">
        <f t="shared" si="1"/>
        <v>19.524999999999999</v>
      </c>
      <c r="V38" s="3"/>
      <c r="W38" s="26">
        <v>19.431000000000001</v>
      </c>
      <c r="X38" s="3"/>
      <c r="Y38" s="20">
        <f>U38-W38</f>
        <v>9.3999999999997641E-2</v>
      </c>
      <c r="Z38" s="3"/>
      <c r="AA38" s="19">
        <f>S38-Y38</f>
        <v>0.91400000000000237</v>
      </c>
      <c r="AB38" s="3"/>
      <c r="AC38" s="20">
        <f>AA38*100/S38</f>
        <v>90.674603174603405</v>
      </c>
      <c r="AD38" s="3"/>
      <c r="AE38" s="3"/>
      <c r="AF38" s="3"/>
      <c r="AK38" s="3"/>
      <c r="AL38" s="3"/>
      <c r="AM38" s="3"/>
      <c r="AN38" s="3"/>
    </row>
    <row r="39" spans="1:40" ht="15.75" customHeight="1">
      <c r="A39" s="21"/>
      <c r="B39" s="45"/>
      <c r="C39" s="19" t="s">
        <v>86</v>
      </c>
      <c r="D39" s="3"/>
      <c r="E39" s="55" t="s">
        <v>87</v>
      </c>
      <c r="F39" s="56"/>
      <c r="G39" s="62">
        <f>100-AC39</f>
        <v>6.2317429406037093</v>
      </c>
      <c r="H39" s="3"/>
      <c r="I39" s="19">
        <f>G39-G53</f>
        <v>-2.1876712095898139</v>
      </c>
      <c r="J39" s="3"/>
      <c r="K39" s="20">
        <f t="shared" si="0"/>
        <v>4.7859053212681593</v>
      </c>
      <c r="L39" s="21">
        <f>G39-'T1&amp;T2_G2=4dec.'!G39</f>
        <v>-3.8948393379030222E-2</v>
      </c>
      <c r="M39" s="21"/>
      <c r="N39" s="46"/>
      <c r="O39" s="23" t="str">
        <f t="shared" si="3"/>
        <v>n35</v>
      </c>
      <c r="P39" s="22" t="str">
        <f t="shared" si="2"/>
        <v>051026_AM02.2_S35</v>
      </c>
      <c r="Q39" s="24">
        <v>17.622</v>
      </c>
      <c r="R39" s="3"/>
      <c r="S39" s="25">
        <v>1.0269999999999999</v>
      </c>
      <c r="T39" s="3"/>
      <c r="U39" s="20">
        <f t="shared" si="1"/>
        <v>18.649000000000001</v>
      </c>
      <c r="V39" s="3"/>
      <c r="W39" s="26">
        <v>18.585000000000001</v>
      </c>
      <c r="X39" s="3"/>
      <c r="Y39" s="20">
        <f>U39-W39</f>
        <v>6.4000000000000057E-2</v>
      </c>
      <c r="Z39" s="3"/>
      <c r="AA39" s="19">
        <f>S39-Y39</f>
        <v>0.96299999999999986</v>
      </c>
      <c r="AB39" s="3"/>
      <c r="AC39" s="20">
        <f>AA39*100/S39</f>
        <v>93.768257059396291</v>
      </c>
      <c r="AD39" s="3"/>
      <c r="AE39" s="3"/>
      <c r="AF39" s="3"/>
      <c r="AK39" s="3"/>
      <c r="AL39" s="3"/>
      <c r="AM39" s="3"/>
      <c r="AN39" s="3"/>
    </row>
    <row r="40" spans="1:40" ht="15.75" customHeight="1">
      <c r="A40" s="21"/>
      <c r="B40" s="45"/>
      <c r="C40" s="19" t="s">
        <v>88</v>
      </c>
      <c r="D40" s="3"/>
      <c r="E40" s="55" t="s">
        <v>89</v>
      </c>
      <c r="F40" s="56"/>
      <c r="G40" s="62">
        <f>100-AC40</f>
        <v>6.7505720823799749</v>
      </c>
      <c r="H40" s="3"/>
      <c r="I40" s="19">
        <f>G40-G53</f>
        <v>-1.6688420678135483</v>
      </c>
      <c r="J40" s="3"/>
      <c r="K40" s="20">
        <f t="shared" si="0"/>
        <v>2.7850338473041996</v>
      </c>
      <c r="L40" s="21">
        <f>G40-'T1&amp;T2_G2=4dec.'!G40</f>
        <v>-2.2883295194461084E-2</v>
      </c>
      <c r="M40" s="21"/>
      <c r="N40" s="46"/>
      <c r="O40" s="23" t="str">
        <f t="shared" si="3"/>
        <v>n36</v>
      </c>
      <c r="P40" s="22" t="str">
        <f t="shared" si="2"/>
        <v>051026_AM02.2_S36</v>
      </c>
      <c r="Q40" s="24">
        <v>13.712</v>
      </c>
      <c r="R40" s="3"/>
      <c r="S40" s="25">
        <v>0.874</v>
      </c>
      <c r="T40" s="3"/>
      <c r="U40" s="20">
        <f t="shared" si="1"/>
        <v>14.586</v>
      </c>
      <c r="V40" s="3"/>
      <c r="W40" s="26">
        <v>14.526999999999999</v>
      </c>
      <c r="X40" s="3"/>
      <c r="Y40" s="20">
        <f>U40-W40</f>
        <v>5.9000000000001052E-2</v>
      </c>
      <c r="Z40" s="3"/>
      <c r="AA40" s="19">
        <f>S40-Y40</f>
        <v>0.81499999999999895</v>
      </c>
      <c r="AB40" s="3"/>
      <c r="AC40" s="20">
        <f>AA40*100/S40</f>
        <v>93.249427917620025</v>
      </c>
      <c r="AD40" s="3"/>
      <c r="AE40" s="3"/>
      <c r="AF40" s="3"/>
      <c r="AK40" s="3"/>
      <c r="AL40" s="3"/>
      <c r="AM40" s="3"/>
      <c r="AN40" s="3"/>
    </row>
    <row r="41" spans="1:40" ht="15.75" customHeight="1">
      <c r="A41" s="21"/>
      <c r="B41" s="45"/>
      <c r="C41" s="19" t="s">
        <v>90</v>
      </c>
      <c r="D41" s="3"/>
      <c r="E41" s="55" t="s">
        <v>91</v>
      </c>
      <c r="F41" s="56"/>
      <c r="G41" s="62">
        <f>100-AC41</f>
        <v>9.6806387225548463</v>
      </c>
      <c r="H41" s="3"/>
      <c r="I41" s="19">
        <f>G41-G53</f>
        <v>1.2612245723613231</v>
      </c>
      <c r="J41" s="3"/>
      <c r="K41" s="20">
        <f t="shared" si="0"/>
        <v>1.5906874219280025</v>
      </c>
      <c r="L41" s="21">
        <f>G41-'T1&amp;T2_G2=4dec.'!G41</f>
        <v>-1.9960079840444678E-2</v>
      </c>
      <c r="M41" s="21"/>
      <c r="N41" s="46"/>
      <c r="O41" s="23" t="str">
        <f t="shared" si="3"/>
        <v>n37</v>
      </c>
      <c r="P41" s="22" t="str">
        <f t="shared" si="2"/>
        <v>051026_AM02.2_S37</v>
      </c>
      <c r="Q41" s="24">
        <v>13.581</v>
      </c>
      <c r="R41" s="3"/>
      <c r="S41" s="25">
        <v>1.002</v>
      </c>
      <c r="T41" s="3"/>
      <c r="U41" s="20">
        <f t="shared" si="1"/>
        <v>14.583</v>
      </c>
      <c r="V41" s="3"/>
      <c r="W41" s="26">
        <v>14.486000000000001</v>
      </c>
      <c r="X41" s="3"/>
      <c r="Y41" s="20">
        <f>U41-W41</f>
        <v>9.6999999999999531E-2</v>
      </c>
      <c r="Z41" s="3"/>
      <c r="AA41" s="19">
        <f>S41-Y41</f>
        <v>0.90500000000000047</v>
      </c>
      <c r="AB41" s="3"/>
      <c r="AC41" s="20">
        <f>AA41*100/S41</f>
        <v>90.319361277445154</v>
      </c>
      <c r="AD41" s="3"/>
      <c r="AE41" s="3"/>
      <c r="AF41" s="3"/>
      <c r="AK41" s="3"/>
      <c r="AL41" s="3"/>
      <c r="AM41" s="3"/>
      <c r="AN41" s="3"/>
    </row>
    <row r="42" spans="1:40" ht="15.75" customHeight="1">
      <c r="A42" s="21"/>
      <c r="B42" s="45"/>
      <c r="C42" s="19" t="s">
        <v>92</v>
      </c>
      <c r="D42" s="3"/>
      <c r="E42" s="55" t="s">
        <v>93</v>
      </c>
      <c r="F42" s="56"/>
      <c r="G42" s="62">
        <f>100-AC42</f>
        <v>9.060402684563698</v>
      </c>
      <c r="H42" s="3"/>
      <c r="I42" s="19">
        <f>G42-G53</f>
        <v>0.64098853437017489</v>
      </c>
      <c r="J42" s="3"/>
      <c r="K42" s="20">
        <f t="shared" si="0"/>
        <v>0.4108663011940249</v>
      </c>
      <c r="L42" s="21">
        <f>G42-'T1&amp;T2_G2=4dec.'!G42</f>
        <v>8.9485458612955426E-2</v>
      </c>
      <c r="M42" s="21"/>
      <c r="N42" s="46"/>
      <c r="O42" s="23" t="str">
        <f t="shared" si="3"/>
        <v>n38</v>
      </c>
      <c r="P42" s="22" t="str">
        <f t="shared" si="2"/>
        <v>051026_AM02.2_S38</v>
      </c>
      <c r="Q42" s="24">
        <v>13.718</v>
      </c>
      <c r="R42" s="3"/>
      <c r="S42" s="25">
        <v>0.89400000000000002</v>
      </c>
      <c r="T42" s="3"/>
      <c r="U42" s="20">
        <f t="shared" si="1"/>
        <v>14.612</v>
      </c>
      <c r="V42" s="3"/>
      <c r="W42" s="26">
        <v>14.531000000000001</v>
      </c>
      <c r="X42" s="3"/>
      <c r="Y42" s="20">
        <f>U42-W42</f>
        <v>8.0999999999999517E-2</v>
      </c>
      <c r="Z42" s="3"/>
      <c r="AA42" s="19">
        <f>S42-Y42</f>
        <v>0.8130000000000005</v>
      </c>
      <c r="AB42" s="3"/>
      <c r="AC42" s="20">
        <f>AA42*100/S42</f>
        <v>90.939597315436302</v>
      </c>
      <c r="AD42" s="3"/>
      <c r="AE42" s="3"/>
      <c r="AF42" s="3"/>
      <c r="AK42" s="3"/>
      <c r="AL42" s="3"/>
      <c r="AM42" s="3"/>
      <c r="AN42" s="3"/>
    </row>
    <row r="43" spans="1:40" ht="15.75" customHeight="1">
      <c r="A43" s="21"/>
      <c r="B43" s="45"/>
      <c r="C43" s="19" t="s">
        <v>94</v>
      </c>
      <c r="D43" s="3"/>
      <c r="E43" s="55" t="s">
        <v>95</v>
      </c>
      <c r="F43" s="56"/>
      <c r="G43" s="62">
        <f>100-AC43</f>
        <v>11.207729468599169</v>
      </c>
      <c r="H43" s="3"/>
      <c r="I43" s="19">
        <f>G43-G53</f>
        <v>2.7883153184056457</v>
      </c>
      <c r="J43" s="3"/>
      <c r="K43" s="20">
        <f t="shared" si="0"/>
        <v>7.7747023148555776</v>
      </c>
      <c r="L43" s="21">
        <f>G43-'T1&amp;T2_G2=4dec.'!G43</f>
        <v>9.6618357487727735E-3</v>
      </c>
      <c r="M43" s="21"/>
      <c r="N43" s="46"/>
      <c r="O43" s="23" t="str">
        <f t="shared" si="3"/>
        <v>n39</v>
      </c>
      <c r="P43" s="22" t="str">
        <f t="shared" si="2"/>
        <v>051026_AM02.2_S39</v>
      </c>
      <c r="Q43" s="24">
        <v>13.268000000000001</v>
      </c>
      <c r="R43" s="3"/>
      <c r="S43" s="25">
        <v>1.0349999999999999</v>
      </c>
      <c r="T43" s="3"/>
      <c r="U43" s="20">
        <f t="shared" si="1"/>
        <v>14.303000000000001</v>
      </c>
      <c r="V43" s="3"/>
      <c r="W43" s="26">
        <v>14.186999999999999</v>
      </c>
      <c r="X43" s="3"/>
      <c r="Y43" s="20">
        <f>U43-W43</f>
        <v>0.11600000000000144</v>
      </c>
      <c r="Z43" s="3"/>
      <c r="AA43" s="19">
        <f>S43-Y43</f>
        <v>0.91899999999999848</v>
      </c>
      <c r="AB43" s="3"/>
      <c r="AC43" s="20">
        <f>AA43*100/S43</f>
        <v>88.792270531400831</v>
      </c>
      <c r="AD43" s="3"/>
      <c r="AE43" s="3"/>
      <c r="AF43" s="3"/>
      <c r="AK43" s="3"/>
      <c r="AL43" s="3"/>
      <c r="AM43" s="3"/>
      <c r="AN43" s="3"/>
    </row>
    <row r="44" spans="1:40" ht="15.75" customHeight="1">
      <c r="A44" s="21"/>
      <c r="B44" s="45"/>
      <c r="C44" s="19" t="s">
        <v>96</v>
      </c>
      <c r="D44" s="3"/>
      <c r="E44" s="55" t="s">
        <v>97</v>
      </c>
      <c r="F44" s="56"/>
      <c r="G44" s="62">
        <f>100-AC44</f>
        <v>6.9813176007865962</v>
      </c>
      <c r="H44" s="3"/>
      <c r="I44" s="19">
        <f>G44-G53</f>
        <v>-1.4380965494069269</v>
      </c>
      <c r="J44" s="3"/>
      <c r="K44" s="20">
        <f t="shared" si="0"/>
        <v>2.0681216854161097</v>
      </c>
      <c r="L44" s="21">
        <f>G44-'T1&amp;T2_G2=4dec.'!G44</f>
        <v>5.8997050147524988E-2</v>
      </c>
      <c r="M44" s="21"/>
      <c r="N44" s="46"/>
      <c r="O44" s="23" t="str">
        <f t="shared" si="3"/>
        <v>n40</v>
      </c>
      <c r="P44" s="22" t="str">
        <f t="shared" si="2"/>
        <v>051026_AM02.2_S40</v>
      </c>
      <c r="Q44" s="24">
        <v>13.268000000000001</v>
      </c>
      <c r="R44" s="3"/>
      <c r="S44" s="25">
        <v>1.0169999999999999</v>
      </c>
      <c r="T44" s="3"/>
      <c r="U44" s="20">
        <f t="shared" si="1"/>
        <v>14.285</v>
      </c>
      <c r="V44" s="3"/>
      <c r="W44" s="26">
        <v>14.214</v>
      </c>
      <c r="X44" s="3"/>
      <c r="Y44" s="20">
        <f>U44-W44</f>
        <v>7.099999999999973E-2</v>
      </c>
      <c r="Z44" s="3"/>
      <c r="AA44" s="19">
        <f>S44-Y44</f>
        <v>0.94600000000000017</v>
      </c>
      <c r="AB44" s="3"/>
      <c r="AC44" s="20">
        <f>AA44*100/S44</f>
        <v>93.018682399213404</v>
      </c>
      <c r="AD44" s="3"/>
      <c r="AE44" s="3"/>
      <c r="AF44" s="3"/>
      <c r="AK44" s="3"/>
      <c r="AL44" s="3"/>
      <c r="AM44" s="3"/>
      <c r="AN44" s="3"/>
    </row>
    <row r="45" spans="1:40" ht="15.75" customHeight="1">
      <c r="A45" s="21"/>
      <c r="B45" s="45"/>
      <c r="C45" s="19" t="s">
        <v>98</v>
      </c>
      <c r="D45" s="3"/>
      <c r="E45" s="55" t="s">
        <v>99</v>
      </c>
      <c r="F45" s="56"/>
      <c r="G45" s="62">
        <f>100-AC45</f>
        <v>8.2070707070706419</v>
      </c>
      <c r="H45" s="3"/>
      <c r="I45" s="19">
        <f>G45-G53</f>
        <v>-0.21234344312288123</v>
      </c>
      <c r="J45" s="3"/>
      <c r="K45" s="20">
        <f t="shared" si="0"/>
        <v>4.5089737837280291E-2</v>
      </c>
      <c r="L45" s="21">
        <f>G45-'T1&amp;T2_G2=4dec.'!G45</f>
        <v>-3.7878787878923958E-2</v>
      </c>
      <c r="M45" s="21"/>
      <c r="N45" s="46"/>
      <c r="O45" s="23" t="str">
        <f t="shared" si="3"/>
        <v>n41</v>
      </c>
      <c r="P45" s="22" t="str">
        <f t="shared" si="2"/>
        <v>051026_AM02.2_S41</v>
      </c>
      <c r="Q45" s="24">
        <v>13.654</v>
      </c>
      <c r="R45" s="3"/>
      <c r="S45" s="25">
        <v>0.79200000000000004</v>
      </c>
      <c r="T45" s="3"/>
      <c r="U45" s="20">
        <f t="shared" si="1"/>
        <v>14.446</v>
      </c>
      <c r="V45" s="3"/>
      <c r="W45" s="26">
        <v>14.381</v>
      </c>
      <c r="X45" s="3"/>
      <c r="Y45" s="20">
        <f>U45-W45</f>
        <v>6.4999999999999503E-2</v>
      </c>
      <c r="Z45" s="3"/>
      <c r="AA45" s="19">
        <f>S45-Y45</f>
        <v>0.72700000000000053</v>
      </c>
      <c r="AB45" s="3"/>
      <c r="AC45" s="20">
        <f>AA45*100/S45</f>
        <v>91.792929292929358</v>
      </c>
      <c r="AD45" s="3"/>
      <c r="AE45" s="3"/>
      <c r="AF45" s="3"/>
      <c r="AK45" s="3"/>
      <c r="AL45" s="3"/>
      <c r="AM45" s="3"/>
      <c r="AN45" s="3"/>
    </row>
    <row r="46" spans="1:40" ht="15.75" customHeight="1">
      <c r="A46" s="21"/>
      <c r="B46" s="45"/>
      <c r="C46" s="19" t="s">
        <v>100</v>
      </c>
      <c r="D46" s="3"/>
      <c r="E46" s="55" t="s">
        <v>101</v>
      </c>
      <c r="F46" s="56"/>
      <c r="G46" s="62">
        <f>100-AC46</f>
        <v>7.4115044247787694</v>
      </c>
      <c r="H46" s="3"/>
      <c r="I46" s="19">
        <f>G46-G53</f>
        <v>-1.0079097254147538</v>
      </c>
      <c r="J46" s="3"/>
      <c r="K46" s="20">
        <f t="shared" si="0"/>
        <v>1.0158820145856444</v>
      </c>
      <c r="L46" s="21">
        <f>G46-'T1&amp;T2_G2=4dec.'!G46</f>
        <v>8.8495575221216427E-2</v>
      </c>
      <c r="M46" s="21"/>
      <c r="N46" s="46"/>
      <c r="O46" s="23" t="str">
        <f t="shared" si="3"/>
        <v>n42</v>
      </c>
      <c r="P46" s="22" t="str">
        <f t="shared" si="2"/>
        <v>051026_AM02.2_S42</v>
      </c>
      <c r="Q46" s="24">
        <v>13.563000000000001</v>
      </c>
      <c r="R46" s="3"/>
      <c r="S46" s="25">
        <v>0.90400000000000003</v>
      </c>
      <c r="T46" s="3"/>
      <c r="U46" s="20">
        <f t="shared" si="1"/>
        <v>14.467000000000001</v>
      </c>
      <c r="V46" s="3"/>
      <c r="W46" s="26">
        <v>14.4</v>
      </c>
      <c r="X46" s="3"/>
      <c r="Y46" s="20">
        <f>U46-W46</f>
        <v>6.7000000000000171E-2</v>
      </c>
      <c r="Z46" s="3"/>
      <c r="AA46" s="19">
        <f>S46-Y46</f>
        <v>0.83699999999999986</v>
      </c>
      <c r="AB46" s="3"/>
      <c r="AC46" s="20">
        <f>AA46*100/S46</f>
        <v>92.588495575221231</v>
      </c>
      <c r="AD46" s="3"/>
      <c r="AE46" s="3"/>
      <c r="AF46" s="3"/>
      <c r="AK46" s="3"/>
      <c r="AL46" s="3"/>
      <c r="AM46" s="3"/>
      <c r="AN46" s="3"/>
    </row>
    <row r="47" spans="1:40" ht="15.75" customHeight="1">
      <c r="A47" s="21"/>
      <c r="B47" s="45"/>
      <c r="C47" s="19" t="s">
        <v>102</v>
      </c>
      <c r="D47" s="3"/>
      <c r="E47" s="55" t="s">
        <v>103</v>
      </c>
      <c r="F47" s="56"/>
      <c r="G47" s="62">
        <f>100-AC47</f>
        <v>9.5760450637414465</v>
      </c>
      <c r="H47" s="3"/>
      <c r="I47" s="19">
        <f>G47-G53</f>
        <v>1.1566309135479234</v>
      </c>
      <c r="J47" s="3"/>
      <c r="K47" s="20">
        <f t="shared" si="0"/>
        <v>1.3377950701747037</v>
      </c>
      <c r="L47" s="21">
        <f>G47-'T1&amp;T2_G2=4dec.'!G47</f>
        <v>1.9764798893120883E-2</v>
      </c>
      <c r="M47" s="21"/>
      <c r="N47" s="46"/>
      <c r="O47" s="23" t="str">
        <f t="shared" si="3"/>
        <v>n43</v>
      </c>
      <c r="P47" s="22" t="str">
        <f t="shared" si="2"/>
        <v>051026_AM02.2_S43</v>
      </c>
      <c r="Q47" s="24">
        <v>13.404999999999999</v>
      </c>
      <c r="R47" s="3"/>
      <c r="S47" s="25">
        <v>1.0119</v>
      </c>
      <c r="T47" s="3"/>
      <c r="U47" s="20">
        <f t="shared" si="1"/>
        <v>14.4169</v>
      </c>
      <c r="V47" s="3"/>
      <c r="W47" s="26">
        <v>14.32</v>
      </c>
      <c r="X47" s="3"/>
      <c r="Y47" s="20">
        <f>U47-W47</f>
        <v>9.6899999999999764E-2</v>
      </c>
      <c r="Z47" s="3"/>
      <c r="AA47" s="19">
        <f>S47-Y47</f>
        <v>0.91500000000000026</v>
      </c>
      <c r="AB47" s="3"/>
      <c r="AC47" s="20">
        <f>AA47*100/S47</f>
        <v>90.423954936258554</v>
      </c>
      <c r="AD47" s="3"/>
      <c r="AE47" s="3"/>
      <c r="AF47" s="3"/>
      <c r="AK47" s="3"/>
      <c r="AL47" s="3"/>
      <c r="AM47" s="3"/>
      <c r="AN47" s="3"/>
    </row>
    <row r="48" spans="1:40" ht="15.75" customHeight="1">
      <c r="A48" s="21"/>
      <c r="B48" s="45"/>
      <c r="C48" s="19" t="s">
        <v>104</v>
      </c>
      <c r="D48" s="3"/>
      <c r="E48" s="55" t="s">
        <v>105</v>
      </c>
      <c r="F48" s="56"/>
      <c r="G48" s="62">
        <f>100-AC48</f>
        <v>10.175438596491418</v>
      </c>
      <c r="H48" s="3"/>
      <c r="I48" s="19">
        <f>G48-G53</f>
        <v>1.7560244462978947</v>
      </c>
      <c r="J48" s="3"/>
      <c r="K48" s="20">
        <f t="shared" si="0"/>
        <v>3.0836218559958275</v>
      </c>
      <c r="L48" s="21">
        <f>G48-'T1&amp;T2_G2=4dec.'!G48</f>
        <v>-1.1695906432720449E-2</v>
      </c>
      <c r="M48" s="21"/>
      <c r="N48" s="46"/>
      <c r="O48" s="23" t="str">
        <f t="shared" si="3"/>
        <v>n44</v>
      </c>
      <c r="P48" s="22" t="str">
        <f t="shared" si="2"/>
        <v>051026_AM02.2_S44</v>
      </c>
      <c r="Q48" s="24">
        <v>12.711</v>
      </c>
      <c r="R48" s="3"/>
      <c r="S48" s="25">
        <v>0.85499999999999998</v>
      </c>
      <c r="T48" s="3"/>
      <c r="U48" s="20">
        <f t="shared" si="1"/>
        <v>13.566000000000001</v>
      </c>
      <c r="V48" s="3"/>
      <c r="W48" s="26">
        <v>13.478999999999999</v>
      </c>
      <c r="X48" s="3"/>
      <c r="Y48" s="20">
        <f>U48-W48</f>
        <v>8.7000000000001521E-2</v>
      </c>
      <c r="Z48" s="3"/>
      <c r="AA48" s="19">
        <f>S48-Y48</f>
        <v>0.76799999999999846</v>
      </c>
      <c r="AB48" s="3"/>
      <c r="AC48" s="20">
        <f>AA48*100/S48</f>
        <v>89.824561403508582</v>
      </c>
      <c r="AD48" s="3"/>
      <c r="AE48" s="3"/>
      <c r="AF48" s="3"/>
      <c r="AK48" s="3"/>
      <c r="AL48" s="3"/>
      <c r="AM48" s="3"/>
      <c r="AN48" s="3"/>
    </row>
    <row r="49" spans="1:40" ht="15.75" customHeight="1">
      <c r="A49" s="21"/>
      <c r="B49" s="45"/>
      <c r="C49" s="19" t="s">
        <v>106</v>
      </c>
      <c r="D49" s="3"/>
      <c r="E49" s="55" t="s">
        <v>107</v>
      </c>
      <c r="F49" s="56"/>
      <c r="G49" s="62">
        <f>100-AC49</f>
        <v>6.6742081447964949</v>
      </c>
      <c r="H49" s="3"/>
      <c r="I49" s="19">
        <f>G49-G53</f>
        <v>-1.7452060053970282</v>
      </c>
      <c r="J49" s="3"/>
      <c r="K49" s="20">
        <f t="shared" si="0"/>
        <v>3.0457440012738521</v>
      </c>
      <c r="L49" s="21">
        <f>G49-'T1&amp;T2_G2=4dec.'!G49</f>
        <v>-1.131221719454345E-2</v>
      </c>
      <c r="M49" s="21"/>
      <c r="N49" s="46"/>
      <c r="O49" s="23" t="str">
        <f t="shared" si="3"/>
        <v>n45</v>
      </c>
      <c r="P49" s="22" t="str">
        <f t="shared" si="2"/>
        <v>051026_AM02.2_S45</v>
      </c>
      <c r="Q49" s="24">
        <v>13.66</v>
      </c>
      <c r="R49" s="3"/>
      <c r="S49" s="25">
        <v>0.88400000000000001</v>
      </c>
      <c r="T49" s="3"/>
      <c r="U49" s="20">
        <f t="shared" si="1"/>
        <v>14.544</v>
      </c>
      <c r="V49" s="3"/>
      <c r="W49" s="26">
        <v>14.484999999999999</v>
      </c>
      <c r="X49" s="3"/>
      <c r="Y49" s="20">
        <f>U49-W49</f>
        <v>5.9000000000001052E-2</v>
      </c>
      <c r="Z49" s="3"/>
      <c r="AA49" s="19">
        <f>S49-Y49</f>
        <v>0.82499999999999896</v>
      </c>
      <c r="AB49" s="3"/>
      <c r="AC49" s="20">
        <f>AA49*100/S49</f>
        <v>93.325791855203505</v>
      </c>
      <c r="AD49" s="3"/>
      <c r="AE49" s="3"/>
      <c r="AF49" s="3"/>
      <c r="AK49" s="3"/>
      <c r="AL49" s="3"/>
      <c r="AM49" s="3"/>
      <c r="AN49" s="3"/>
    </row>
    <row r="50" spans="1:40" ht="15.75" customHeight="1">
      <c r="A50" s="21"/>
      <c r="B50" s="45"/>
      <c r="C50" s="19" t="s">
        <v>108</v>
      </c>
      <c r="D50" s="3"/>
      <c r="E50" s="55" t="s">
        <v>109</v>
      </c>
      <c r="F50" s="56"/>
      <c r="G50" s="62">
        <f>100-AC50</f>
        <v>9.9164926931105271</v>
      </c>
      <c r="H50" s="3"/>
      <c r="I50" s="19">
        <f>G50-G53</f>
        <v>1.4970785429170039</v>
      </c>
      <c r="J50" s="3"/>
      <c r="K50" s="20">
        <f t="shared" si="0"/>
        <v>2.2412441636624996</v>
      </c>
      <c r="L50" s="21">
        <f>G50-'T1&amp;T2_G2=4dec.'!G50</f>
        <v>-7.3068893528201784E-2</v>
      </c>
      <c r="M50" s="21"/>
      <c r="N50" s="46"/>
      <c r="O50" s="23" t="str">
        <f t="shared" si="3"/>
        <v>n46</v>
      </c>
      <c r="P50" s="22" t="str">
        <f t="shared" si="2"/>
        <v>051026_AM02.2_S46</v>
      </c>
      <c r="Q50" s="24">
        <v>13.702999999999999</v>
      </c>
      <c r="R50" s="3"/>
      <c r="S50" s="25">
        <v>0.95799999999999996</v>
      </c>
      <c r="T50" s="3"/>
      <c r="U50" s="20">
        <f t="shared" si="1"/>
        <v>14.661</v>
      </c>
      <c r="V50" s="3"/>
      <c r="W50" s="26">
        <v>14.566000000000001</v>
      </c>
      <c r="X50" s="3"/>
      <c r="Y50" s="20">
        <f>U50-W50</f>
        <v>9.4999999999998863E-2</v>
      </c>
      <c r="Z50" s="3"/>
      <c r="AA50" s="19">
        <f>S50-Y50</f>
        <v>0.8630000000000011</v>
      </c>
      <c r="AB50" s="3"/>
      <c r="AC50" s="20">
        <f>AA50*100/S50</f>
        <v>90.083507306889473</v>
      </c>
      <c r="AD50" s="3"/>
      <c r="AE50" s="3"/>
      <c r="AF50" s="3"/>
      <c r="AK50" s="3"/>
      <c r="AL50" s="3"/>
      <c r="AM50" s="3"/>
      <c r="AN50" s="3"/>
    </row>
    <row r="51" spans="1:40" ht="7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1"/>
      <c r="M51" s="3"/>
      <c r="N51" s="3"/>
      <c r="O51" s="2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K51" s="3"/>
      <c r="AL51" s="3"/>
      <c r="AM51" s="3"/>
      <c r="AN51" s="3"/>
    </row>
    <row r="52" spans="1:40" ht="20.25" customHeight="1">
      <c r="A52" s="3"/>
      <c r="B52" s="49" t="s">
        <v>110</v>
      </c>
      <c r="C52" s="63"/>
      <c r="D52" s="63"/>
      <c r="E52" s="64"/>
      <c r="F52" s="42"/>
      <c r="G52" s="27">
        <f>SUM(G5:G50)</f>
        <v>387.29305090890205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K52" s="15"/>
      <c r="AL52" s="3"/>
      <c r="AM52" s="3"/>
      <c r="AN52" s="3"/>
    </row>
    <row r="53" spans="1:40" ht="21" customHeight="1">
      <c r="A53" s="3"/>
      <c r="B53" s="49" t="s">
        <v>111</v>
      </c>
      <c r="C53" s="63"/>
      <c r="D53" s="63"/>
      <c r="E53" s="64"/>
      <c r="F53" s="42"/>
      <c r="G53" s="28">
        <f>G52/C3</f>
        <v>8.4194141501935231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K53" s="15"/>
      <c r="AL53" s="29"/>
      <c r="AM53" s="3"/>
      <c r="AN53" s="3"/>
    </row>
    <row r="54" spans="1:40" ht="16.5" customHeight="1">
      <c r="A54" s="21"/>
      <c r="B54" s="47" t="s">
        <v>112</v>
      </c>
      <c r="C54" s="63"/>
      <c r="D54" s="63"/>
      <c r="E54" s="63"/>
      <c r="F54" s="63"/>
      <c r="G54" s="63"/>
      <c r="H54" s="63"/>
      <c r="I54" s="63"/>
      <c r="J54" s="64"/>
      <c r="K54" s="20">
        <f>SUM(K5:K50)</f>
        <v>81.848142407878797</v>
      </c>
      <c r="L54" s="21"/>
      <c r="M54" s="21"/>
      <c r="N54" s="21"/>
      <c r="O54" s="21"/>
      <c r="P54" s="21"/>
      <c r="Q54" s="21"/>
      <c r="R54" s="21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K54" s="3"/>
      <c r="AL54" s="3"/>
      <c r="AM54" s="3"/>
      <c r="AN54" s="3"/>
    </row>
    <row r="55" spans="1:40" ht="16.5" customHeight="1">
      <c r="A55" s="3"/>
      <c r="B55" s="47" t="s">
        <v>113</v>
      </c>
      <c r="C55" s="63"/>
      <c r="D55" s="63"/>
      <c r="E55" s="63"/>
      <c r="F55" s="63"/>
      <c r="G55" s="63"/>
      <c r="H55" s="63"/>
      <c r="I55" s="63"/>
      <c r="J55" s="64"/>
      <c r="K55" s="19">
        <f>K54/(C3-1)</f>
        <v>1.8188476090639734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K55" s="3"/>
      <c r="AL55" s="3"/>
      <c r="AM55" s="3"/>
      <c r="AN55" s="3"/>
    </row>
    <row r="56" spans="1:40" ht="18" customHeight="1">
      <c r="A56" s="30"/>
      <c r="B56" s="48" t="s">
        <v>114</v>
      </c>
      <c r="C56" s="63"/>
      <c r="D56" s="63"/>
      <c r="E56" s="63"/>
      <c r="F56" s="63"/>
      <c r="G56" s="63"/>
      <c r="H56" s="63"/>
      <c r="I56" s="63"/>
      <c r="J56" s="64"/>
      <c r="K56" s="31">
        <f>SQRT(K55)</f>
        <v>1.3486465841961612</v>
      </c>
      <c r="L56" s="32"/>
      <c r="M56" s="32"/>
      <c r="N56" s="32"/>
      <c r="O56" s="32"/>
      <c r="P56" s="32"/>
      <c r="Q56" s="32"/>
      <c r="R56" s="32"/>
      <c r="S56" s="32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K56" s="3"/>
      <c r="AL56" s="3"/>
      <c r="AM56" s="3"/>
      <c r="AN56" s="3"/>
    </row>
    <row r="57" spans="1:40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K57" s="3"/>
      <c r="AL57" s="3"/>
      <c r="AM57" s="3"/>
      <c r="AN57" s="3"/>
    </row>
    <row r="58" spans="1:40" ht="16.5" customHeight="1">
      <c r="A58" s="3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K58" s="3"/>
      <c r="AL58" s="3"/>
      <c r="AM58" s="3"/>
      <c r="AN58" s="3"/>
    </row>
    <row r="59" spans="1:40" ht="16.5" customHeight="1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4"/>
      <c r="AE59" s="34"/>
      <c r="AF59" s="34"/>
      <c r="AK59" s="3"/>
      <c r="AL59" s="3"/>
      <c r="AM59" s="3"/>
      <c r="AN59" s="3"/>
    </row>
    <row r="60" spans="1:40" ht="8.25" customHeight="1">
      <c r="A60" s="3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K60" s="3"/>
      <c r="AL60" s="3"/>
      <c r="AM60" s="3"/>
      <c r="AN60" s="3"/>
    </row>
    <row r="61" spans="1:40" ht="18.75" customHeight="1">
      <c r="A61" s="3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K61" s="3"/>
      <c r="AL61" s="3"/>
      <c r="AM61" s="3"/>
      <c r="AN61" s="3"/>
    </row>
    <row r="62" spans="1:40" ht="17.25" customHeight="1">
      <c r="A62" s="3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2"/>
      <c r="AE62" s="2"/>
      <c r="AF62" s="2"/>
      <c r="AK62" s="3"/>
      <c r="AL62" s="3"/>
      <c r="AM62" s="3"/>
      <c r="AN62" s="3"/>
    </row>
    <row r="63" spans="1:40" ht="17.25" customHeight="1">
      <c r="A63" s="3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21"/>
      <c r="AE63" s="21"/>
      <c r="AF63" s="21"/>
      <c r="AK63" s="3"/>
      <c r="AL63" s="3"/>
      <c r="AM63" s="3"/>
      <c r="AN63" s="3"/>
    </row>
    <row r="64" spans="1:40" ht="17.25" customHeight="1">
      <c r="A64" s="3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21"/>
      <c r="AE64" s="21"/>
      <c r="AF64" s="21"/>
      <c r="AK64" s="3"/>
      <c r="AL64" s="3"/>
      <c r="AM64" s="3"/>
      <c r="AN64" s="3"/>
    </row>
    <row r="65" spans="1:40" ht="17.25" customHeight="1">
      <c r="A65" s="3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21"/>
      <c r="AE65" s="21"/>
      <c r="AF65" s="21"/>
      <c r="AK65" s="3"/>
      <c r="AL65" s="3"/>
      <c r="AM65" s="3"/>
      <c r="AN65" s="3"/>
    </row>
    <row r="66" spans="1:40" ht="17.25" customHeight="1">
      <c r="A66" s="3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1"/>
      <c r="AE66" s="21"/>
      <c r="AF66" s="21"/>
      <c r="AK66" s="3"/>
      <c r="AL66" s="3"/>
      <c r="AM66" s="3"/>
      <c r="AN66" s="3"/>
    </row>
    <row r="67" spans="1:40" ht="17.25" customHeight="1">
      <c r="A67" s="3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1"/>
      <c r="AE67" s="21"/>
      <c r="AF67" s="21"/>
      <c r="AK67" s="3"/>
      <c r="AL67" s="3"/>
      <c r="AM67" s="3"/>
      <c r="AN67" s="3"/>
    </row>
    <row r="68" spans="1:40" ht="17.25" customHeight="1">
      <c r="A68" s="3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1"/>
      <c r="AE68" s="21"/>
      <c r="AF68" s="21"/>
      <c r="AK68" s="3"/>
      <c r="AL68" s="3"/>
      <c r="AM68" s="3"/>
      <c r="AN68" s="3"/>
    </row>
    <row r="69" spans="1:40" ht="17.25" customHeight="1">
      <c r="A69" s="3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1"/>
      <c r="AE69" s="21"/>
      <c r="AF69" s="21"/>
      <c r="AK69" s="3"/>
      <c r="AL69" s="3"/>
      <c r="AM69" s="3"/>
      <c r="AN69" s="3"/>
    </row>
    <row r="70" spans="1:40" ht="17.25" customHeight="1">
      <c r="A70" s="3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1"/>
      <c r="AE70" s="21"/>
      <c r="AF70" s="21"/>
      <c r="AK70" s="3"/>
      <c r="AL70" s="3"/>
      <c r="AM70" s="3"/>
      <c r="AN70" s="3"/>
    </row>
    <row r="71" spans="1:40" ht="17.25" customHeight="1">
      <c r="A71" s="3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1"/>
      <c r="AE71" s="21"/>
      <c r="AF71" s="21"/>
      <c r="AK71" s="3"/>
      <c r="AL71" s="3"/>
      <c r="AM71" s="3"/>
      <c r="AN71" s="3"/>
    </row>
    <row r="72" spans="1:40" ht="17.25" customHeight="1">
      <c r="A72" s="3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21"/>
      <c r="AE72" s="21"/>
      <c r="AF72" s="21"/>
      <c r="AK72" s="3"/>
      <c r="AL72" s="3"/>
      <c r="AM72" s="3"/>
      <c r="AN72" s="3"/>
    </row>
    <row r="73" spans="1:40" ht="17.25" customHeight="1">
      <c r="A73" s="3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21"/>
      <c r="AE73" s="21"/>
      <c r="AF73" s="21"/>
      <c r="AK73" s="3"/>
      <c r="AL73" s="3"/>
      <c r="AM73" s="3"/>
      <c r="AN73" s="3"/>
    </row>
    <row r="74" spans="1:40" ht="17.25" customHeight="1">
      <c r="A74" s="3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21"/>
      <c r="AE74" s="21"/>
      <c r="AF74" s="21"/>
      <c r="AK74" s="3"/>
      <c r="AL74" s="3"/>
      <c r="AM74" s="3"/>
      <c r="AN74" s="3"/>
    </row>
    <row r="75" spans="1:40" ht="17.25" customHeight="1">
      <c r="A75" s="3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21"/>
      <c r="AE75" s="21"/>
      <c r="AF75" s="21"/>
      <c r="AK75" s="3"/>
      <c r="AL75" s="3"/>
      <c r="AM75" s="3"/>
      <c r="AN75" s="3"/>
    </row>
    <row r="76" spans="1:40" ht="17.25" customHeight="1">
      <c r="A76" s="3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21"/>
      <c r="AE76" s="21"/>
      <c r="AF76" s="21"/>
      <c r="AK76" s="3"/>
      <c r="AL76" s="3"/>
      <c r="AM76" s="3"/>
      <c r="AN76" s="3"/>
    </row>
    <row r="77" spans="1:40" ht="17.25" customHeight="1">
      <c r="A77" s="3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21"/>
      <c r="AE77" s="21"/>
      <c r="AF77" s="21"/>
      <c r="AK77" s="3"/>
      <c r="AL77" s="3"/>
      <c r="AM77" s="3"/>
      <c r="AN77" s="3"/>
    </row>
    <row r="78" spans="1:40" ht="17.25" customHeight="1">
      <c r="A78" s="3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21"/>
      <c r="AE78" s="21"/>
      <c r="AF78" s="21"/>
      <c r="AK78" s="3"/>
      <c r="AL78" s="3"/>
      <c r="AM78" s="3"/>
      <c r="AN78" s="3"/>
    </row>
    <row r="79" spans="1:40" ht="17.25" customHeight="1">
      <c r="A79" s="3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1"/>
      <c r="AE79" s="21"/>
      <c r="AF79" s="21"/>
      <c r="AK79" s="3"/>
      <c r="AL79" s="3"/>
      <c r="AM79" s="3"/>
      <c r="AN79" s="3"/>
    </row>
    <row r="80" spans="1:40" ht="17.25" customHeight="1">
      <c r="A80" s="3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21"/>
      <c r="AE80" s="21"/>
      <c r="AF80" s="21"/>
      <c r="AK80" s="3"/>
      <c r="AL80" s="3"/>
      <c r="AM80" s="3"/>
      <c r="AN80" s="3"/>
    </row>
    <row r="81" spans="1:40" ht="17.25" customHeight="1">
      <c r="A81" s="3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21"/>
      <c r="AE81" s="21"/>
      <c r="AF81" s="21"/>
      <c r="AK81" s="3"/>
      <c r="AL81" s="3"/>
      <c r="AM81" s="3"/>
      <c r="AN81" s="3"/>
    </row>
    <row r="82" spans="1:40" ht="17.25" customHeight="1">
      <c r="A82" s="3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1"/>
      <c r="AE82" s="21"/>
      <c r="AF82" s="21"/>
      <c r="AK82" s="3"/>
      <c r="AL82" s="3"/>
      <c r="AM82" s="3"/>
      <c r="AN82" s="3"/>
    </row>
    <row r="83" spans="1:40" ht="17.25" customHeight="1">
      <c r="A83" s="3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1"/>
      <c r="AE83" s="21"/>
      <c r="AF83" s="21"/>
      <c r="AK83" s="3"/>
      <c r="AL83" s="3"/>
      <c r="AM83" s="3"/>
      <c r="AN83" s="3"/>
    </row>
    <row r="84" spans="1:40" ht="17.25" customHeight="1">
      <c r="A84" s="3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1"/>
      <c r="AE84" s="21"/>
      <c r="AF84" s="21"/>
      <c r="AK84" s="3"/>
      <c r="AL84" s="3"/>
      <c r="AM84" s="3"/>
      <c r="AN84" s="3"/>
    </row>
    <row r="85" spans="1:40" ht="17.25" customHeight="1">
      <c r="A85" s="3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1"/>
      <c r="AE85" s="21"/>
      <c r="AF85" s="21"/>
      <c r="AK85" s="3"/>
      <c r="AL85" s="3"/>
      <c r="AM85" s="3"/>
      <c r="AN85" s="3"/>
    </row>
    <row r="86" spans="1:40" ht="17.25" customHeight="1">
      <c r="A86" s="3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1"/>
      <c r="AE86" s="21"/>
      <c r="AF86" s="21"/>
      <c r="AK86" s="3"/>
      <c r="AL86" s="3"/>
      <c r="AM86" s="3"/>
      <c r="AN86" s="3"/>
    </row>
    <row r="87" spans="1:40" ht="17.25" customHeight="1">
      <c r="A87" s="3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21"/>
      <c r="AE87" s="21"/>
      <c r="AF87" s="21"/>
      <c r="AK87" s="3"/>
      <c r="AL87" s="3"/>
      <c r="AM87" s="3"/>
      <c r="AN87" s="3"/>
    </row>
    <row r="88" spans="1:40" ht="17.25" customHeight="1">
      <c r="A88" s="3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21"/>
      <c r="AE88" s="21"/>
      <c r="AF88" s="21"/>
      <c r="AK88" s="3"/>
      <c r="AL88" s="3"/>
      <c r="AM88" s="3"/>
      <c r="AN88" s="3"/>
    </row>
    <row r="89" spans="1:40" ht="17.25" customHeight="1">
      <c r="A89" s="3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21"/>
      <c r="AE89" s="21"/>
      <c r="AF89" s="21"/>
      <c r="AK89" s="3"/>
      <c r="AL89" s="3"/>
      <c r="AM89" s="3"/>
      <c r="AN89" s="3"/>
    </row>
    <row r="90" spans="1:40" ht="17.25" customHeight="1">
      <c r="A90" s="3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21"/>
      <c r="AE90" s="21"/>
      <c r="AF90" s="21"/>
      <c r="AK90" s="3"/>
      <c r="AL90" s="3"/>
      <c r="AM90" s="3"/>
      <c r="AN90" s="3"/>
    </row>
    <row r="91" spans="1:40" ht="13.5" customHeight="1">
      <c r="A91" s="3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21"/>
      <c r="AE91" s="21"/>
      <c r="AF91" s="21"/>
      <c r="AK91" s="3"/>
      <c r="AL91" s="3"/>
      <c r="AM91" s="3"/>
      <c r="AN91" s="3"/>
    </row>
    <row r="92" spans="1:40" ht="15.75" customHeight="1">
      <c r="A92" s="3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21"/>
      <c r="AE92" s="21"/>
      <c r="AF92" s="21"/>
      <c r="AK92" s="3"/>
      <c r="AL92" s="3"/>
      <c r="AM92" s="3"/>
      <c r="AN92" s="3"/>
    </row>
    <row r="93" spans="1:40" ht="15.75" customHeight="1">
      <c r="A93" s="3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21"/>
      <c r="AE93" s="21"/>
      <c r="AF93" s="21"/>
      <c r="AK93" s="3"/>
      <c r="AL93" s="3"/>
      <c r="AM93" s="3"/>
      <c r="AN93" s="3"/>
    </row>
    <row r="94" spans="1:40" ht="16.5" customHeight="1">
      <c r="A94" s="3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21"/>
      <c r="AE94" s="21"/>
      <c r="AF94" s="21"/>
      <c r="AK94" s="3"/>
      <c r="AL94" s="3"/>
      <c r="AM94" s="3"/>
      <c r="AN94" s="3"/>
    </row>
    <row r="95" spans="1:40" ht="17.25" customHeight="1">
      <c r="A95" s="3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21"/>
      <c r="AE95" s="21"/>
      <c r="AF95" s="21"/>
      <c r="AK95" s="3"/>
      <c r="AL95" s="3"/>
      <c r="AM95" s="3"/>
      <c r="AN95" s="3"/>
    </row>
    <row r="96" spans="1:40" ht="15" customHeight="1">
      <c r="A96" s="3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21"/>
      <c r="AE96" s="21"/>
      <c r="AF96" s="21"/>
      <c r="AK96" s="3"/>
      <c r="AL96" s="3"/>
      <c r="AM96" s="3"/>
      <c r="AN96" s="3"/>
    </row>
    <row r="97" spans="1:40" ht="18.75" customHeight="1">
      <c r="A97" s="3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1"/>
      <c r="AE97" s="21"/>
      <c r="AF97" s="21"/>
      <c r="AK97" s="3"/>
      <c r="AL97" s="3"/>
      <c r="AM97" s="3"/>
      <c r="AN97" s="3"/>
    </row>
    <row r="98" spans="1:40" ht="6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K98" s="3"/>
      <c r="AL98" s="3"/>
      <c r="AM98" s="3"/>
      <c r="AN98" s="3"/>
    </row>
    <row r="99" spans="1:40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K99" s="3"/>
      <c r="AL99" s="3"/>
      <c r="AM99" s="3"/>
      <c r="AN99" s="3"/>
    </row>
    <row r="100" spans="1:4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K100" s="3"/>
      <c r="AL100" s="3"/>
      <c r="AM100" s="3"/>
      <c r="AN100" s="3"/>
    </row>
    <row r="101" spans="1:40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K101" s="3"/>
      <c r="AL101" s="3"/>
      <c r="AM101" s="3"/>
      <c r="AN101" s="3"/>
    </row>
    <row r="102" spans="1:40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K102" s="3"/>
      <c r="AL102" s="3"/>
      <c r="AM102" s="3"/>
      <c r="AN102" s="3"/>
    </row>
    <row r="103" spans="1:40" ht="18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K103" s="3"/>
      <c r="AL103" s="3"/>
      <c r="AM103" s="3"/>
      <c r="AN103" s="3"/>
    </row>
    <row r="104" spans="1:40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K104" s="3"/>
      <c r="AL104" s="3"/>
      <c r="AM104" s="3"/>
      <c r="AN104" s="3"/>
    </row>
    <row r="105" spans="1:40" ht="21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K105" s="3"/>
      <c r="AL105" s="3"/>
      <c r="AM105" s="3"/>
      <c r="AN105" s="3"/>
    </row>
    <row r="106" spans="1:40" ht="20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K106" s="3"/>
      <c r="AL106" s="3"/>
      <c r="AM106" s="3"/>
      <c r="AN106" s="3"/>
    </row>
    <row r="107" spans="1:40" ht="16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6"/>
      <c r="N107" s="3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K107" s="3"/>
      <c r="AL107" s="3"/>
      <c r="AM107" s="3"/>
      <c r="AN107" s="3"/>
    </row>
    <row r="108" spans="1:40" ht="16.5" customHeight="1">
      <c r="A108" s="1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6"/>
      <c r="N108" s="3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K108" s="3"/>
      <c r="AL108" s="3"/>
      <c r="AM108" s="3"/>
      <c r="AN108" s="3"/>
    </row>
    <row r="109" spans="1:40" ht="16.5" customHeight="1">
      <c r="A109" s="38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6"/>
      <c r="N109" s="3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K109" s="3"/>
      <c r="AL109" s="3"/>
      <c r="AM109" s="3"/>
      <c r="AN109" s="3"/>
    </row>
    <row r="110" spans="1:40" ht="18.75" customHeight="1">
      <c r="A110" s="3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K110" s="3"/>
      <c r="AL110" s="3"/>
      <c r="AM110" s="3"/>
      <c r="AN110" s="3"/>
    </row>
    <row r="111" spans="1:40" ht="16.5" customHeight="1">
      <c r="A111" s="3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K111" s="3"/>
      <c r="AL111" s="3"/>
      <c r="AM111" s="3"/>
      <c r="AN111" s="3"/>
    </row>
    <row r="112" spans="1:40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K112" s="3"/>
      <c r="AL112" s="3"/>
      <c r="AM112" s="3"/>
      <c r="AN112" s="3"/>
    </row>
    <row r="113" spans="1:40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K113" s="3"/>
      <c r="AL113" s="3"/>
      <c r="AM113" s="3"/>
      <c r="AN113" s="3"/>
    </row>
    <row r="114" spans="1:40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K114" s="3"/>
      <c r="AL114" s="3"/>
      <c r="AM114" s="3"/>
      <c r="AN114" s="3"/>
    </row>
    <row r="115" spans="1:40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K115" s="3"/>
      <c r="AL115" s="3"/>
      <c r="AM115" s="3"/>
      <c r="AN115" s="3"/>
    </row>
    <row r="116" spans="1:40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K116" s="3"/>
      <c r="AL116" s="3"/>
      <c r="AM116" s="3"/>
      <c r="AN116" s="3"/>
    </row>
    <row r="117" spans="1:40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K117" s="3"/>
      <c r="AL117" s="3"/>
      <c r="AM117" s="3"/>
      <c r="AN117" s="3"/>
    </row>
    <row r="118" spans="1:40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K118" s="3"/>
      <c r="AL118" s="3"/>
      <c r="AM118" s="3"/>
      <c r="AN118" s="3"/>
    </row>
    <row r="119" spans="1:40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K119" s="3"/>
      <c r="AL119" s="3"/>
      <c r="AM119" s="3"/>
      <c r="AN119" s="3"/>
    </row>
    <row r="120" spans="1:4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K120" s="3"/>
      <c r="AL120" s="3"/>
      <c r="AM120" s="3"/>
      <c r="AN120" s="3"/>
    </row>
    <row r="121" spans="1:40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K121" s="3"/>
      <c r="AL121" s="3"/>
      <c r="AM121" s="3"/>
      <c r="AN121" s="3"/>
    </row>
    <row r="122" spans="1:40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K122" s="3"/>
      <c r="AL122" s="3"/>
      <c r="AM122" s="3"/>
      <c r="AN122" s="3"/>
    </row>
    <row r="123" spans="1:40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K123" s="3"/>
      <c r="AL123" s="3"/>
      <c r="AM123" s="3"/>
      <c r="AN123" s="3"/>
    </row>
    <row r="124" spans="1:40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K124" s="3"/>
      <c r="AL124" s="3"/>
      <c r="AM124" s="3"/>
      <c r="AN124" s="3"/>
    </row>
    <row r="125" spans="1:40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K125" s="3"/>
      <c r="AL125" s="3"/>
      <c r="AM125" s="3"/>
      <c r="AN125" s="3"/>
    </row>
    <row r="126" spans="1:40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K126" s="3"/>
      <c r="AL126" s="3"/>
      <c r="AM126" s="3"/>
      <c r="AN126" s="3"/>
    </row>
    <row r="127" spans="1:40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K127" s="3"/>
      <c r="AL127" s="3"/>
      <c r="AM127" s="3"/>
      <c r="AN127" s="3"/>
    </row>
    <row r="128" spans="1:40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K128" s="3"/>
      <c r="AL128" s="3"/>
      <c r="AM128" s="3"/>
      <c r="AN128" s="3"/>
    </row>
    <row r="129" spans="1:40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K129" s="3"/>
      <c r="AL129" s="3"/>
      <c r="AM129" s="3"/>
      <c r="AN129" s="3"/>
    </row>
    <row r="130" spans="1:4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K130" s="3"/>
      <c r="AL130" s="3"/>
      <c r="AM130" s="3"/>
      <c r="AN130" s="3"/>
    </row>
    <row r="131" spans="1:40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K131" s="3"/>
      <c r="AL131" s="3"/>
      <c r="AM131" s="3"/>
      <c r="AN131" s="3"/>
    </row>
    <row r="132" spans="1:40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K132" s="3"/>
      <c r="AL132" s="3"/>
      <c r="AM132" s="3"/>
      <c r="AN132" s="3"/>
    </row>
    <row r="133" spans="1:40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K133" s="3"/>
      <c r="AL133" s="3"/>
      <c r="AM133" s="3"/>
      <c r="AN133" s="3"/>
    </row>
    <row r="134" spans="1:40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K134" s="3"/>
      <c r="AL134" s="3"/>
      <c r="AM134" s="3"/>
      <c r="AN134" s="3"/>
    </row>
    <row r="135" spans="1:40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K135" s="3"/>
      <c r="AL135" s="3"/>
      <c r="AM135" s="3"/>
      <c r="AN135" s="3"/>
    </row>
    <row r="136" spans="1:40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K136" s="3"/>
      <c r="AL136" s="3"/>
      <c r="AM136" s="3"/>
      <c r="AN136" s="3"/>
    </row>
    <row r="137" spans="1:40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K137" s="3"/>
      <c r="AL137" s="3"/>
      <c r="AM137" s="3"/>
      <c r="AN137" s="3"/>
    </row>
    <row r="138" spans="1:40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K138" s="3"/>
      <c r="AL138" s="3"/>
      <c r="AM138" s="3"/>
      <c r="AN138" s="3"/>
    </row>
    <row r="139" spans="1:40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K139" s="3"/>
      <c r="AL139" s="3"/>
      <c r="AM139" s="3"/>
      <c r="AN139" s="3"/>
    </row>
    <row r="140" spans="1: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K140" s="3"/>
      <c r="AL140" s="3"/>
      <c r="AM140" s="3"/>
      <c r="AN140" s="3"/>
    </row>
    <row r="141" spans="1:40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K141" s="3"/>
      <c r="AL141" s="3"/>
      <c r="AM141" s="3"/>
      <c r="AN141" s="3"/>
    </row>
    <row r="142" spans="1:40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K142" s="3"/>
      <c r="AL142" s="3"/>
      <c r="AM142" s="3"/>
      <c r="AN142" s="3"/>
    </row>
    <row r="143" spans="1:40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K143" s="3"/>
      <c r="AL143" s="3"/>
      <c r="AM143" s="3"/>
      <c r="AN143" s="3"/>
    </row>
    <row r="144" spans="1:40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K144" s="3"/>
      <c r="AL144" s="3"/>
      <c r="AM144" s="3"/>
      <c r="AN144" s="3"/>
    </row>
    <row r="145" spans="1:40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K145" s="3"/>
      <c r="AL145" s="3"/>
      <c r="AM145" s="3"/>
      <c r="AN145" s="3"/>
    </row>
    <row r="146" spans="1:40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K146" s="3"/>
      <c r="AL146" s="3"/>
      <c r="AM146" s="3"/>
      <c r="AN146" s="3"/>
    </row>
    <row r="147" spans="1:40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K147" s="3"/>
      <c r="AL147" s="3"/>
      <c r="AM147" s="3"/>
      <c r="AN147" s="3"/>
    </row>
    <row r="148" spans="1:40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K148" s="3"/>
      <c r="AL148" s="3"/>
      <c r="AM148" s="3"/>
      <c r="AN148" s="3"/>
    </row>
    <row r="149" spans="1:40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K149" s="3"/>
      <c r="AL149" s="3"/>
      <c r="AM149" s="3"/>
      <c r="AN149" s="3"/>
    </row>
    <row r="150" spans="1:4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K150" s="3"/>
      <c r="AL150" s="3"/>
      <c r="AM150" s="3"/>
      <c r="AN150" s="3"/>
    </row>
    <row r="151" spans="1:40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K151" s="3"/>
      <c r="AL151" s="3"/>
      <c r="AM151" s="3"/>
      <c r="AN151" s="3"/>
    </row>
    <row r="152" spans="1:40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K152" s="3"/>
      <c r="AL152" s="3"/>
      <c r="AM152" s="3"/>
      <c r="AN152" s="3"/>
    </row>
    <row r="153" spans="1:40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K153" s="3"/>
      <c r="AL153" s="3"/>
      <c r="AM153" s="3"/>
      <c r="AN153" s="3"/>
    </row>
    <row r="154" spans="1:40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K154" s="3"/>
      <c r="AL154" s="3"/>
      <c r="AM154" s="3"/>
      <c r="AN154" s="3"/>
    </row>
    <row r="155" spans="1:40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K155" s="3"/>
      <c r="AL155" s="3"/>
      <c r="AM155" s="3"/>
      <c r="AN155" s="3"/>
    </row>
    <row r="156" spans="1:40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K156" s="3"/>
      <c r="AL156" s="3"/>
      <c r="AM156" s="3"/>
      <c r="AN156" s="3"/>
    </row>
    <row r="157" spans="1:40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K157" s="3"/>
      <c r="AL157" s="3"/>
      <c r="AM157" s="3"/>
      <c r="AN157" s="3"/>
    </row>
    <row r="158" spans="1:40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K158" s="3"/>
      <c r="AL158" s="3"/>
      <c r="AM158" s="3"/>
      <c r="AN158" s="3"/>
    </row>
    <row r="159" spans="1:40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K159" s="3"/>
      <c r="AL159" s="3"/>
      <c r="AM159" s="3"/>
      <c r="AN159" s="3"/>
    </row>
    <row r="160" spans="1:4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K160" s="3"/>
      <c r="AL160" s="3"/>
      <c r="AM160" s="3"/>
      <c r="AN160" s="3"/>
    </row>
    <row r="161" spans="1:40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K161" s="3"/>
      <c r="AL161" s="3"/>
      <c r="AM161" s="3"/>
      <c r="AN161" s="3"/>
    </row>
    <row r="162" spans="1:40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K162" s="3"/>
      <c r="AL162" s="3"/>
      <c r="AM162" s="3"/>
      <c r="AN162" s="3"/>
    </row>
    <row r="163" spans="1:40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K163" s="3"/>
      <c r="AL163" s="3"/>
      <c r="AM163" s="3"/>
      <c r="AN163" s="3"/>
    </row>
    <row r="164" spans="1:40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K164" s="3"/>
      <c r="AL164" s="3"/>
      <c r="AM164" s="3"/>
      <c r="AN164" s="3"/>
    </row>
    <row r="165" spans="1:40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K165" s="3"/>
      <c r="AL165" s="3"/>
      <c r="AM165" s="3"/>
      <c r="AN165" s="3"/>
    </row>
    <row r="166" spans="1:40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K166" s="3"/>
      <c r="AL166" s="3"/>
      <c r="AM166" s="3"/>
      <c r="AN166" s="3"/>
    </row>
    <row r="167" spans="1:40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K167" s="3"/>
      <c r="AL167" s="3"/>
      <c r="AM167" s="3"/>
      <c r="AN167" s="3"/>
    </row>
    <row r="168" spans="1:40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K168" s="3"/>
      <c r="AL168" s="3"/>
      <c r="AM168" s="3"/>
      <c r="AN168" s="3"/>
    </row>
    <row r="169" spans="1:40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K169" s="3"/>
      <c r="AL169" s="3"/>
      <c r="AM169" s="3"/>
      <c r="AN169" s="3"/>
    </row>
    <row r="170" spans="1:4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K170" s="3"/>
      <c r="AL170" s="3"/>
      <c r="AM170" s="3"/>
      <c r="AN170" s="3"/>
    </row>
    <row r="171" spans="1:40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K171" s="3"/>
      <c r="AL171" s="3"/>
      <c r="AM171" s="3"/>
      <c r="AN171" s="3"/>
    </row>
    <row r="172" spans="1:40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K172" s="3"/>
      <c r="AL172" s="3"/>
      <c r="AM172" s="3"/>
      <c r="AN172" s="3"/>
    </row>
    <row r="173" spans="1:40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K173" s="3"/>
      <c r="AL173" s="3"/>
      <c r="AM173" s="3"/>
      <c r="AN173" s="3"/>
    </row>
    <row r="174" spans="1:40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K174" s="3"/>
      <c r="AL174" s="3"/>
      <c r="AM174" s="3"/>
      <c r="AN174" s="3"/>
    </row>
    <row r="175" spans="1:40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K175" s="3"/>
      <c r="AL175" s="3"/>
      <c r="AM175" s="3"/>
      <c r="AN175" s="3"/>
    </row>
    <row r="176" spans="1:40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K176" s="3"/>
      <c r="AL176" s="3"/>
      <c r="AM176" s="3"/>
      <c r="AN176" s="3"/>
    </row>
    <row r="177" spans="1:40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K177" s="3"/>
      <c r="AL177" s="3"/>
      <c r="AM177" s="3"/>
      <c r="AN177" s="3"/>
    </row>
    <row r="178" spans="1:40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K178" s="3"/>
      <c r="AL178" s="3"/>
      <c r="AM178" s="3"/>
      <c r="AN178" s="3"/>
    </row>
    <row r="179" spans="1:40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K179" s="3"/>
      <c r="AL179" s="3"/>
      <c r="AM179" s="3"/>
      <c r="AN179" s="3"/>
    </row>
    <row r="180" spans="1:4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K180" s="3"/>
      <c r="AL180" s="3"/>
      <c r="AM180" s="3"/>
      <c r="AN180" s="3"/>
    </row>
    <row r="181" spans="1:40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K181" s="3"/>
      <c r="AL181" s="3"/>
      <c r="AM181" s="3"/>
      <c r="AN181" s="3"/>
    </row>
    <row r="182" spans="1:40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K182" s="3"/>
      <c r="AL182" s="3"/>
      <c r="AM182" s="3"/>
      <c r="AN182" s="3"/>
    </row>
    <row r="183" spans="1:40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K183" s="3"/>
      <c r="AL183" s="3"/>
      <c r="AM183" s="3"/>
      <c r="AN183" s="3"/>
    </row>
    <row r="184" spans="1:40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K184" s="3"/>
      <c r="AL184" s="3"/>
      <c r="AM184" s="3"/>
      <c r="AN184" s="3"/>
    </row>
    <row r="185" spans="1:40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K185" s="3"/>
      <c r="AL185" s="3"/>
      <c r="AM185" s="3"/>
      <c r="AN185" s="3"/>
    </row>
    <row r="186" spans="1:40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K186" s="3"/>
      <c r="AL186" s="3"/>
      <c r="AM186" s="3"/>
      <c r="AN186" s="3"/>
    </row>
    <row r="187" spans="1:40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K187" s="3"/>
      <c r="AL187" s="3"/>
      <c r="AM187" s="3"/>
      <c r="AN187" s="3"/>
    </row>
    <row r="188" spans="1:40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K188" s="3"/>
      <c r="AL188" s="3"/>
      <c r="AM188" s="3"/>
      <c r="AN188" s="3"/>
    </row>
    <row r="189" spans="1:40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K189" s="3"/>
      <c r="AL189" s="3"/>
      <c r="AM189" s="3"/>
      <c r="AN189" s="3"/>
    </row>
    <row r="190" spans="1:4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K190" s="3"/>
      <c r="AL190" s="3"/>
      <c r="AM190" s="3"/>
      <c r="AN190" s="3"/>
    </row>
    <row r="191" spans="1:40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K191" s="3"/>
      <c r="AL191" s="3"/>
      <c r="AM191" s="3"/>
      <c r="AN191" s="3"/>
    </row>
    <row r="192" spans="1:40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K192" s="3"/>
      <c r="AL192" s="3"/>
      <c r="AM192" s="3"/>
      <c r="AN192" s="3"/>
    </row>
    <row r="193" spans="1:40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K193" s="3"/>
      <c r="AL193" s="3"/>
      <c r="AM193" s="3"/>
      <c r="AN193" s="3"/>
    </row>
    <row r="194" spans="1:40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K194" s="3"/>
      <c r="AL194" s="3"/>
      <c r="AM194" s="3"/>
      <c r="AN194" s="3"/>
    </row>
    <row r="195" spans="1:40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K195" s="3"/>
      <c r="AL195" s="3"/>
      <c r="AM195" s="3"/>
      <c r="AN195" s="3"/>
    </row>
    <row r="196" spans="1:40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K196" s="3"/>
      <c r="AL196" s="3"/>
      <c r="AM196" s="3"/>
      <c r="AN196" s="3"/>
    </row>
    <row r="197" spans="1:40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K197" s="3"/>
      <c r="AL197" s="3"/>
      <c r="AM197" s="3"/>
      <c r="AN197" s="3"/>
    </row>
    <row r="198" spans="1:40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K198" s="3"/>
      <c r="AL198" s="3"/>
      <c r="AM198" s="3"/>
      <c r="AN198" s="3"/>
    </row>
    <row r="199" spans="1:40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K199" s="3"/>
      <c r="AL199" s="3"/>
      <c r="AM199" s="3"/>
      <c r="AN199" s="3"/>
    </row>
    <row r="200" spans="1:4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K200" s="3"/>
      <c r="AL200" s="3"/>
      <c r="AM200" s="3"/>
      <c r="AN200" s="3"/>
    </row>
    <row r="201" spans="1:40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K201" s="3"/>
      <c r="AL201" s="3"/>
      <c r="AM201" s="3"/>
      <c r="AN201" s="3"/>
    </row>
    <row r="202" spans="1:40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K202" s="3"/>
      <c r="AL202" s="3"/>
      <c r="AM202" s="3"/>
      <c r="AN202" s="3"/>
    </row>
    <row r="203" spans="1:40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K203" s="3"/>
      <c r="AL203" s="3"/>
      <c r="AM203" s="3"/>
      <c r="AN203" s="3"/>
    </row>
    <row r="204" spans="1:40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K204" s="3"/>
      <c r="AL204" s="3"/>
      <c r="AM204" s="3"/>
      <c r="AN204" s="3"/>
    </row>
    <row r="205" spans="1:40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K205" s="3"/>
      <c r="AL205" s="3"/>
      <c r="AM205" s="3"/>
      <c r="AN205" s="3"/>
    </row>
    <row r="206" spans="1:40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K206" s="3"/>
      <c r="AL206" s="3"/>
      <c r="AM206" s="3"/>
      <c r="AN206" s="3"/>
    </row>
    <row r="207" spans="1:40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K207" s="3"/>
      <c r="AL207" s="3"/>
      <c r="AM207" s="3"/>
      <c r="AN207" s="3"/>
    </row>
    <row r="208" spans="1:40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K208" s="3"/>
      <c r="AL208" s="3"/>
      <c r="AM208" s="3"/>
      <c r="AN208" s="3"/>
    </row>
    <row r="209" spans="1:40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K209" s="3"/>
      <c r="AL209" s="3"/>
      <c r="AM209" s="3"/>
      <c r="AN209" s="3"/>
    </row>
    <row r="210" spans="1:4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K210" s="3"/>
      <c r="AL210" s="3"/>
      <c r="AM210" s="3"/>
      <c r="AN210" s="3"/>
    </row>
    <row r="211" spans="1:40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K211" s="3"/>
      <c r="AL211" s="3"/>
      <c r="AM211" s="3"/>
      <c r="AN211" s="3"/>
    </row>
    <row r="212" spans="1:40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K212" s="3"/>
      <c r="AL212" s="3"/>
      <c r="AM212" s="3"/>
      <c r="AN212" s="3"/>
    </row>
    <row r="213" spans="1:40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K213" s="3"/>
      <c r="AL213" s="3"/>
      <c r="AM213" s="3"/>
      <c r="AN213" s="3"/>
    </row>
    <row r="214" spans="1:40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K214" s="3"/>
      <c r="AL214" s="3"/>
      <c r="AM214" s="3"/>
      <c r="AN214" s="3"/>
    </row>
    <row r="215" spans="1:40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K215" s="3"/>
      <c r="AL215" s="3"/>
      <c r="AM215" s="3"/>
      <c r="AN215" s="3"/>
    </row>
    <row r="216" spans="1:40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K216" s="3"/>
      <c r="AL216" s="3"/>
      <c r="AM216" s="3"/>
      <c r="AN216" s="3"/>
    </row>
    <row r="217" spans="1:40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K217" s="3"/>
      <c r="AL217" s="3"/>
      <c r="AM217" s="3"/>
      <c r="AN217" s="3"/>
    </row>
    <row r="218" spans="1:40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K218" s="3"/>
      <c r="AL218" s="3"/>
      <c r="AM218" s="3"/>
      <c r="AN218" s="3"/>
    </row>
    <row r="219" spans="1:40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K219" s="3"/>
      <c r="AL219" s="3"/>
      <c r="AM219" s="3"/>
      <c r="AN219" s="3"/>
    </row>
    <row r="220" spans="1:4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K220" s="3"/>
      <c r="AL220" s="3"/>
      <c r="AM220" s="3"/>
      <c r="AN220" s="3"/>
    </row>
    <row r="221" spans="1:40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K221" s="3"/>
      <c r="AL221" s="3"/>
      <c r="AM221" s="3"/>
      <c r="AN221" s="3"/>
    </row>
    <row r="222" spans="1:40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K222" s="3"/>
      <c r="AL222" s="3"/>
      <c r="AM222" s="3"/>
      <c r="AN222" s="3"/>
    </row>
    <row r="223" spans="1:40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K223" s="3"/>
      <c r="AL223" s="3"/>
      <c r="AM223" s="3"/>
      <c r="AN223" s="3"/>
    </row>
    <row r="224" spans="1:40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K224" s="3"/>
      <c r="AL224" s="3"/>
      <c r="AM224" s="3"/>
      <c r="AN224" s="3"/>
    </row>
    <row r="225" spans="1:40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K225" s="3"/>
      <c r="AL225" s="3"/>
      <c r="AM225" s="3"/>
      <c r="AN225" s="3"/>
    </row>
    <row r="226" spans="1:40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K226" s="3"/>
      <c r="AL226" s="3"/>
      <c r="AM226" s="3"/>
      <c r="AN226" s="3"/>
    </row>
    <row r="227" spans="1:40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K227" s="3"/>
      <c r="AL227" s="3"/>
      <c r="AM227" s="3"/>
      <c r="AN227" s="3"/>
    </row>
    <row r="228" spans="1:40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K228" s="3"/>
      <c r="AL228" s="3"/>
      <c r="AM228" s="3"/>
      <c r="AN228" s="3"/>
    </row>
    <row r="229" spans="1:40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K229" s="3"/>
      <c r="AL229" s="3"/>
      <c r="AM229" s="3"/>
      <c r="AN229" s="3"/>
    </row>
    <row r="230" spans="1:4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K230" s="3"/>
      <c r="AL230" s="3"/>
      <c r="AM230" s="3"/>
      <c r="AN230" s="3"/>
    </row>
    <row r="231" spans="1:40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K231" s="3"/>
      <c r="AL231" s="3"/>
      <c r="AM231" s="3"/>
      <c r="AN231" s="3"/>
    </row>
    <row r="232" spans="1:40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K232" s="3"/>
      <c r="AL232" s="3"/>
      <c r="AM232" s="3"/>
      <c r="AN232" s="3"/>
    </row>
    <row r="233" spans="1:40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K233" s="3"/>
      <c r="AL233" s="3"/>
      <c r="AM233" s="3"/>
      <c r="AN233" s="3"/>
    </row>
    <row r="234" spans="1:40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K234" s="3"/>
      <c r="AL234" s="3"/>
      <c r="AM234" s="3"/>
      <c r="AN234" s="3"/>
    </row>
    <row r="235" spans="1:40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K235" s="3"/>
      <c r="AL235" s="3"/>
      <c r="AM235" s="3"/>
      <c r="AN235" s="3"/>
    </row>
    <row r="236" spans="1:40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K236" s="3"/>
      <c r="AL236" s="3"/>
      <c r="AM236" s="3"/>
      <c r="AN236" s="3"/>
    </row>
    <row r="237" spans="1:40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K237" s="3"/>
      <c r="AL237" s="3"/>
      <c r="AM237" s="3"/>
      <c r="AN237" s="3"/>
    </row>
    <row r="238" spans="1:40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K238" s="3"/>
      <c r="AL238" s="3"/>
      <c r="AM238" s="3"/>
      <c r="AN238" s="3"/>
    </row>
    <row r="239" spans="1:40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K239" s="3"/>
      <c r="AL239" s="3"/>
      <c r="AM239" s="3"/>
      <c r="AN239" s="3"/>
    </row>
    <row r="240" spans="1: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K240" s="3"/>
      <c r="AL240" s="3"/>
      <c r="AM240" s="3"/>
      <c r="AN240" s="3"/>
    </row>
    <row r="241" spans="1:40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K241" s="3"/>
      <c r="AL241" s="3"/>
      <c r="AM241" s="3"/>
      <c r="AN241" s="3"/>
    </row>
    <row r="242" spans="1:40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K242" s="3"/>
      <c r="AL242" s="3"/>
      <c r="AM242" s="3"/>
      <c r="AN242" s="3"/>
    </row>
    <row r="243" spans="1:40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K243" s="3"/>
      <c r="AL243" s="3"/>
      <c r="AM243" s="3"/>
      <c r="AN243" s="3"/>
    </row>
    <row r="244" spans="1:40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K244" s="3"/>
      <c r="AL244" s="3"/>
      <c r="AM244" s="3"/>
      <c r="AN244" s="3"/>
    </row>
    <row r="245" spans="1:40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K245" s="3"/>
      <c r="AL245" s="3"/>
      <c r="AM245" s="3"/>
      <c r="AN245" s="3"/>
    </row>
    <row r="246" spans="1:40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K246" s="3"/>
      <c r="AL246" s="3"/>
      <c r="AM246" s="3"/>
      <c r="AN246" s="3"/>
    </row>
    <row r="247" spans="1:40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K247" s="3"/>
      <c r="AL247" s="3"/>
      <c r="AM247" s="3"/>
      <c r="AN247" s="3"/>
    </row>
    <row r="248" spans="1:40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K248" s="3"/>
      <c r="AL248" s="3"/>
      <c r="AM248" s="3"/>
      <c r="AN248" s="3"/>
    </row>
    <row r="249" spans="1:40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K249" s="3"/>
      <c r="AL249" s="3"/>
      <c r="AM249" s="3"/>
      <c r="AN249" s="3"/>
    </row>
    <row r="250" spans="1:4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K250" s="3"/>
      <c r="AL250" s="3"/>
      <c r="AM250" s="3"/>
      <c r="AN250" s="3"/>
    </row>
    <row r="251" spans="1:40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K251" s="3"/>
      <c r="AL251" s="3"/>
      <c r="AM251" s="3"/>
      <c r="AN251" s="3"/>
    </row>
    <row r="252" spans="1:40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K252" s="3"/>
      <c r="AL252" s="3"/>
      <c r="AM252" s="3"/>
      <c r="AN252" s="3"/>
    </row>
    <row r="253" spans="1:40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K253" s="3"/>
      <c r="AL253" s="3"/>
      <c r="AM253" s="3"/>
      <c r="AN253" s="3"/>
    </row>
    <row r="254" spans="1:40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K254" s="3"/>
      <c r="AL254" s="3"/>
      <c r="AM254" s="3"/>
      <c r="AN254" s="3"/>
    </row>
    <row r="255" spans="1:40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K255" s="3"/>
      <c r="AL255" s="3"/>
      <c r="AM255" s="3"/>
      <c r="AN255" s="3"/>
    </row>
    <row r="256" spans="1:40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K256" s="3"/>
      <c r="AL256" s="3"/>
      <c r="AM256" s="3"/>
      <c r="AN256" s="3"/>
    </row>
    <row r="257" spans="1:40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K257" s="3"/>
      <c r="AL257" s="3"/>
      <c r="AM257" s="3"/>
      <c r="AN257" s="3"/>
    </row>
    <row r="258" spans="1:40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K258" s="3"/>
      <c r="AL258" s="3"/>
      <c r="AM258" s="3"/>
      <c r="AN258" s="3"/>
    </row>
    <row r="259" spans="1:40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K259" s="3"/>
      <c r="AL259" s="3"/>
      <c r="AM259" s="3"/>
      <c r="AN259" s="3"/>
    </row>
    <row r="260" spans="1:4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K260" s="3"/>
      <c r="AL260" s="3"/>
      <c r="AM260" s="3"/>
      <c r="AN260" s="3"/>
    </row>
    <row r="261" spans="1:40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K261" s="3"/>
      <c r="AL261" s="3"/>
      <c r="AM261" s="3"/>
      <c r="AN261" s="3"/>
    </row>
    <row r="262" spans="1:40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K262" s="3"/>
      <c r="AL262" s="3"/>
      <c r="AM262" s="3"/>
      <c r="AN262" s="3"/>
    </row>
    <row r="263" spans="1:40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K263" s="3"/>
      <c r="AL263" s="3"/>
      <c r="AM263" s="3"/>
      <c r="AN263" s="3"/>
    </row>
    <row r="264" spans="1:40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K264" s="3"/>
      <c r="AL264" s="3"/>
      <c r="AM264" s="3"/>
      <c r="AN264" s="3"/>
    </row>
    <row r="265" spans="1:40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K265" s="3"/>
      <c r="AL265" s="3"/>
      <c r="AM265" s="3"/>
      <c r="AN265" s="3"/>
    </row>
    <row r="266" spans="1:40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K266" s="3"/>
      <c r="AL266" s="3"/>
      <c r="AM266" s="3"/>
      <c r="AN266" s="3"/>
    </row>
    <row r="267" spans="1:40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K267" s="3"/>
      <c r="AL267" s="3"/>
      <c r="AM267" s="3"/>
      <c r="AN267" s="3"/>
    </row>
    <row r="268" spans="1:40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K268" s="3"/>
      <c r="AL268" s="3"/>
      <c r="AM268" s="3"/>
      <c r="AN268" s="3"/>
    </row>
    <row r="269" spans="1:40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K269" s="3"/>
      <c r="AL269" s="3"/>
      <c r="AM269" s="3"/>
      <c r="AN269" s="3"/>
    </row>
    <row r="270" spans="1:4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K270" s="3"/>
      <c r="AL270" s="3"/>
      <c r="AM270" s="3"/>
      <c r="AN270" s="3"/>
    </row>
    <row r="271" spans="1:40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K271" s="3"/>
      <c r="AL271" s="3"/>
      <c r="AM271" s="3"/>
      <c r="AN271" s="3"/>
    </row>
    <row r="272" spans="1:40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K272" s="3"/>
      <c r="AL272" s="3"/>
      <c r="AM272" s="3"/>
      <c r="AN272" s="3"/>
    </row>
    <row r="273" spans="1:40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K273" s="3"/>
      <c r="AL273" s="3"/>
      <c r="AM273" s="3"/>
      <c r="AN273" s="3"/>
    </row>
    <row r="274" spans="1:40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K274" s="3"/>
      <c r="AL274" s="3"/>
      <c r="AM274" s="3"/>
      <c r="AN274" s="3"/>
    </row>
    <row r="275" spans="1:40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K275" s="3"/>
      <c r="AL275" s="3"/>
      <c r="AM275" s="3"/>
      <c r="AN275" s="3"/>
    </row>
    <row r="276" spans="1:40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K276" s="3"/>
      <c r="AL276" s="3"/>
      <c r="AM276" s="3"/>
      <c r="AN276" s="3"/>
    </row>
    <row r="277" spans="1:40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K277" s="3"/>
      <c r="AL277" s="3"/>
      <c r="AM277" s="3"/>
      <c r="AN277" s="3"/>
    </row>
    <row r="278" spans="1:40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K278" s="3"/>
      <c r="AL278" s="3"/>
      <c r="AM278" s="3"/>
      <c r="AN278" s="3"/>
    </row>
    <row r="279" spans="1:40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K279" s="3"/>
      <c r="AL279" s="3"/>
      <c r="AM279" s="3"/>
      <c r="AN279" s="3"/>
    </row>
    <row r="280" spans="1:4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K280" s="3"/>
      <c r="AL280" s="3"/>
      <c r="AM280" s="3"/>
      <c r="AN280" s="3"/>
    </row>
    <row r="281" spans="1:40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K281" s="3"/>
      <c r="AL281" s="3"/>
      <c r="AM281" s="3"/>
      <c r="AN281" s="3"/>
    </row>
    <row r="282" spans="1:40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K282" s="3"/>
      <c r="AL282" s="3"/>
      <c r="AM282" s="3"/>
      <c r="AN282" s="3"/>
    </row>
    <row r="283" spans="1:40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K283" s="3"/>
      <c r="AL283" s="3"/>
      <c r="AM283" s="3"/>
      <c r="AN283" s="3"/>
    </row>
    <row r="284" spans="1:40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K284" s="3"/>
      <c r="AL284" s="3"/>
      <c r="AM284" s="3"/>
      <c r="AN284" s="3"/>
    </row>
    <row r="285" spans="1:40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K285" s="3"/>
      <c r="AL285" s="3"/>
      <c r="AM285" s="3"/>
      <c r="AN285" s="3"/>
    </row>
    <row r="286" spans="1:40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K286" s="3"/>
      <c r="AL286" s="3"/>
      <c r="AM286" s="3"/>
      <c r="AN286" s="3"/>
    </row>
    <row r="287" spans="1:40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K287" s="3"/>
      <c r="AL287" s="3"/>
      <c r="AM287" s="3"/>
      <c r="AN287" s="3"/>
    </row>
    <row r="288" spans="1:40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K288" s="3"/>
      <c r="AL288" s="3"/>
      <c r="AM288" s="3"/>
      <c r="AN288" s="3"/>
    </row>
    <row r="289" spans="1:40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K289" s="3"/>
      <c r="AL289" s="3"/>
      <c r="AM289" s="3"/>
      <c r="AN289" s="3"/>
    </row>
    <row r="290" spans="1:4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K290" s="3"/>
      <c r="AL290" s="3"/>
      <c r="AM290" s="3"/>
      <c r="AN290" s="3"/>
    </row>
    <row r="291" spans="1:40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K291" s="3"/>
      <c r="AL291" s="3"/>
      <c r="AM291" s="3"/>
      <c r="AN291" s="3"/>
    </row>
    <row r="292" spans="1:40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K292" s="3"/>
      <c r="AL292" s="3"/>
      <c r="AM292" s="3"/>
      <c r="AN292" s="3"/>
    </row>
    <row r="293" spans="1:40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K293" s="3"/>
      <c r="AL293" s="3"/>
      <c r="AM293" s="3"/>
      <c r="AN293" s="3"/>
    </row>
    <row r="294" spans="1:40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K294" s="3"/>
      <c r="AL294" s="3"/>
      <c r="AM294" s="3"/>
      <c r="AN294" s="3"/>
    </row>
    <row r="295" spans="1:40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K295" s="3"/>
      <c r="AL295" s="3"/>
      <c r="AM295" s="3"/>
      <c r="AN295" s="3"/>
    </row>
    <row r="296" spans="1:40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K296" s="3"/>
      <c r="AL296" s="3"/>
      <c r="AM296" s="3"/>
      <c r="AN296" s="3"/>
    </row>
    <row r="297" spans="1:40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K297" s="3"/>
      <c r="AL297" s="3"/>
      <c r="AM297" s="3"/>
      <c r="AN297" s="3"/>
    </row>
    <row r="298" spans="1:40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K298" s="3"/>
      <c r="AL298" s="3"/>
      <c r="AM298" s="3"/>
      <c r="AN298" s="3"/>
    </row>
    <row r="299" spans="1:40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K299" s="3"/>
      <c r="AL299" s="3"/>
      <c r="AM299" s="3"/>
      <c r="AN299" s="3"/>
    </row>
    <row r="300" spans="1:4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K300" s="3"/>
      <c r="AL300" s="3"/>
      <c r="AM300" s="3"/>
      <c r="AN300" s="3"/>
    </row>
    <row r="301" spans="1:40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K301" s="3"/>
      <c r="AL301" s="3"/>
      <c r="AM301" s="3"/>
      <c r="AN301" s="3"/>
    </row>
    <row r="302" spans="1:40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K302" s="3"/>
      <c r="AL302" s="3"/>
      <c r="AM302" s="3"/>
      <c r="AN302" s="3"/>
    </row>
    <row r="303" spans="1:40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K303" s="3"/>
      <c r="AL303" s="3"/>
      <c r="AM303" s="3"/>
      <c r="AN303" s="3"/>
    </row>
    <row r="304" spans="1:40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K304" s="3"/>
      <c r="AL304" s="3"/>
      <c r="AM304" s="3"/>
      <c r="AN304" s="3"/>
    </row>
    <row r="305" spans="1:40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K305" s="3"/>
      <c r="AL305" s="3"/>
      <c r="AM305" s="3"/>
      <c r="AN305" s="3"/>
    </row>
    <row r="306" spans="1:40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K306" s="3"/>
      <c r="AL306" s="3"/>
      <c r="AM306" s="3"/>
      <c r="AN306" s="3"/>
    </row>
    <row r="307" spans="1:40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K307" s="3"/>
      <c r="AL307" s="3"/>
      <c r="AM307" s="3"/>
      <c r="AN307" s="3"/>
    </row>
    <row r="308" spans="1:40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K308" s="3"/>
      <c r="AL308" s="3"/>
      <c r="AM308" s="3"/>
      <c r="AN308" s="3"/>
    </row>
    <row r="309" spans="1:40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K309" s="3"/>
      <c r="AL309" s="3"/>
      <c r="AM309" s="3"/>
      <c r="AN309" s="3"/>
    </row>
    <row r="310" spans="1:4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K310" s="3"/>
      <c r="AL310" s="3"/>
      <c r="AM310" s="3"/>
      <c r="AN310" s="3"/>
    </row>
    <row r="311" spans="1:40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K311" s="3"/>
      <c r="AL311" s="3"/>
      <c r="AM311" s="3"/>
      <c r="AN311" s="3"/>
    </row>
    <row r="312" spans="1:40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K312" s="3"/>
      <c r="AL312" s="3"/>
      <c r="AM312" s="3"/>
      <c r="AN312" s="3"/>
    </row>
    <row r="313" spans="1:40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K313" s="3"/>
      <c r="AL313" s="3"/>
      <c r="AM313" s="3"/>
      <c r="AN313" s="3"/>
    </row>
    <row r="314" spans="1:40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K314" s="3"/>
      <c r="AL314" s="3"/>
      <c r="AM314" s="3"/>
      <c r="AN314" s="3"/>
    </row>
    <row r="315" spans="1:40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K315" s="3"/>
      <c r="AL315" s="3"/>
      <c r="AM315" s="3"/>
      <c r="AN315" s="3"/>
    </row>
    <row r="316" spans="1:40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K316" s="3"/>
      <c r="AL316" s="3"/>
      <c r="AM316" s="3"/>
      <c r="AN316" s="3"/>
    </row>
    <row r="317" spans="1:40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K317" s="3"/>
      <c r="AL317" s="3"/>
      <c r="AM317" s="3"/>
      <c r="AN317" s="3"/>
    </row>
    <row r="318" spans="1:40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K318" s="3"/>
      <c r="AL318" s="3"/>
      <c r="AM318" s="3"/>
      <c r="AN318" s="3"/>
    </row>
    <row r="319" spans="1:40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K319" s="3"/>
      <c r="AL319" s="3"/>
      <c r="AM319" s="3"/>
      <c r="AN319" s="3"/>
    </row>
    <row r="320" spans="1:4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K320" s="3"/>
      <c r="AL320" s="3"/>
      <c r="AM320" s="3"/>
      <c r="AN320" s="3"/>
    </row>
    <row r="321" spans="1:40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K321" s="3"/>
      <c r="AL321" s="3"/>
      <c r="AM321" s="3"/>
      <c r="AN321" s="3"/>
    </row>
    <row r="322" spans="1:40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K322" s="3"/>
      <c r="AL322" s="3"/>
      <c r="AM322" s="3"/>
      <c r="AN322" s="3"/>
    </row>
    <row r="323" spans="1:40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K323" s="3"/>
      <c r="AL323" s="3"/>
      <c r="AM323" s="3"/>
      <c r="AN323" s="3"/>
    </row>
    <row r="324" spans="1:40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K324" s="3"/>
      <c r="AL324" s="3"/>
      <c r="AM324" s="3"/>
      <c r="AN324" s="3"/>
    </row>
    <row r="325" spans="1:40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K325" s="3"/>
      <c r="AL325" s="3"/>
      <c r="AM325" s="3"/>
      <c r="AN325" s="3"/>
    </row>
    <row r="326" spans="1:40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K326" s="3"/>
      <c r="AL326" s="3"/>
      <c r="AM326" s="3"/>
      <c r="AN326" s="3"/>
    </row>
    <row r="327" spans="1:40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K327" s="3"/>
      <c r="AL327" s="3"/>
      <c r="AM327" s="3"/>
      <c r="AN327" s="3"/>
    </row>
    <row r="328" spans="1:40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K328" s="3"/>
      <c r="AL328" s="3"/>
      <c r="AM328" s="3"/>
      <c r="AN328" s="3"/>
    </row>
    <row r="329" spans="1:40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K329" s="3"/>
      <c r="AL329" s="3"/>
      <c r="AM329" s="3"/>
      <c r="AN329" s="3"/>
    </row>
    <row r="330" spans="1:4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K330" s="3"/>
      <c r="AL330" s="3"/>
      <c r="AM330" s="3"/>
      <c r="AN330" s="3"/>
    </row>
    <row r="331" spans="1:40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K331" s="3"/>
      <c r="AL331" s="3"/>
      <c r="AM331" s="3"/>
      <c r="AN331" s="3"/>
    </row>
    <row r="332" spans="1:40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K332" s="3"/>
      <c r="AL332" s="3"/>
      <c r="AM332" s="3"/>
      <c r="AN332" s="3"/>
    </row>
    <row r="333" spans="1:40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K333" s="3"/>
      <c r="AL333" s="3"/>
      <c r="AM333" s="3"/>
      <c r="AN333" s="3"/>
    </row>
    <row r="334" spans="1:40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K334" s="3"/>
      <c r="AL334" s="3"/>
      <c r="AM334" s="3"/>
      <c r="AN334" s="3"/>
    </row>
    <row r="335" spans="1:40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K335" s="3"/>
      <c r="AL335" s="3"/>
      <c r="AM335" s="3"/>
      <c r="AN335" s="3"/>
    </row>
    <row r="336" spans="1:40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K336" s="3"/>
      <c r="AL336" s="3"/>
      <c r="AM336" s="3"/>
      <c r="AN336" s="3"/>
    </row>
    <row r="337" spans="1:40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K337" s="3"/>
      <c r="AL337" s="3"/>
      <c r="AM337" s="3"/>
      <c r="AN337" s="3"/>
    </row>
    <row r="338" spans="1:40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K338" s="3"/>
      <c r="AL338" s="3"/>
      <c r="AM338" s="3"/>
      <c r="AN338" s="3"/>
    </row>
    <row r="339" spans="1:40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K339" s="3"/>
      <c r="AL339" s="3"/>
      <c r="AM339" s="3"/>
      <c r="AN339" s="3"/>
    </row>
    <row r="340" spans="1: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K340" s="3"/>
      <c r="AL340" s="3"/>
      <c r="AM340" s="3"/>
      <c r="AN340" s="3"/>
    </row>
    <row r="341" spans="1:40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K341" s="3"/>
      <c r="AL341" s="3"/>
      <c r="AM341" s="3"/>
      <c r="AN341" s="3"/>
    </row>
    <row r="342" spans="1:40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K342" s="3"/>
      <c r="AL342" s="3"/>
      <c r="AM342" s="3"/>
      <c r="AN342" s="3"/>
    </row>
    <row r="343" spans="1:40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K343" s="3"/>
      <c r="AL343" s="3"/>
      <c r="AM343" s="3"/>
      <c r="AN343" s="3"/>
    </row>
    <row r="344" spans="1:40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K344" s="3"/>
      <c r="AL344" s="3"/>
      <c r="AM344" s="3"/>
      <c r="AN344" s="3"/>
    </row>
    <row r="345" spans="1:40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K345" s="3"/>
      <c r="AL345" s="3"/>
      <c r="AM345" s="3"/>
      <c r="AN345" s="3"/>
    </row>
    <row r="346" spans="1:40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K346" s="3"/>
      <c r="AL346" s="3"/>
      <c r="AM346" s="3"/>
      <c r="AN346" s="3"/>
    </row>
    <row r="347" spans="1:40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K347" s="3"/>
      <c r="AL347" s="3"/>
      <c r="AM347" s="3"/>
      <c r="AN347" s="3"/>
    </row>
    <row r="348" spans="1:40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K348" s="3"/>
      <c r="AL348" s="3"/>
      <c r="AM348" s="3"/>
      <c r="AN348" s="3"/>
    </row>
    <row r="349" spans="1:40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K349" s="3"/>
      <c r="AL349" s="3"/>
      <c r="AM349" s="3"/>
      <c r="AN349" s="3"/>
    </row>
    <row r="350" spans="1:4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K350" s="3"/>
      <c r="AL350" s="3"/>
      <c r="AM350" s="3"/>
      <c r="AN350" s="3"/>
    </row>
    <row r="351" spans="1:40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K351" s="3"/>
      <c r="AL351" s="3"/>
      <c r="AM351" s="3"/>
      <c r="AN351" s="3"/>
    </row>
    <row r="352" spans="1:40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K352" s="3"/>
      <c r="AL352" s="3"/>
      <c r="AM352" s="3"/>
      <c r="AN352" s="3"/>
    </row>
    <row r="353" spans="1:40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K353" s="3"/>
      <c r="AL353" s="3"/>
      <c r="AM353" s="3"/>
      <c r="AN353" s="3"/>
    </row>
    <row r="354" spans="1:40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K354" s="3"/>
      <c r="AL354" s="3"/>
      <c r="AM354" s="3"/>
      <c r="AN354" s="3"/>
    </row>
    <row r="355" spans="1:40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K355" s="3"/>
      <c r="AL355" s="3"/>
      <c r="AM355" s="3"/>
      <c r="AN355" s="3"/>
    </row>
    <row r="356" spans="1:40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K356" s="3"/>
      <c r="AL356" s="3"/>
      <c r="AM356" s="3"/>
      <c r="AN356" s="3"/>
    </row>
    <row r="357" spans="1:40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K357" s="3"/>
      <c r="AL357" s="3"/>
      <c r="AM357" s="3"/>
      <c r="AN357" s="3"/>
    </row>
    <row r="358" spans="1:40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K358" s="3"/>
      <c r="AL358" s="3"/>
      <c r="AM358" s="3"/>
      <c r="AN358" s="3"/>
    </row>
    <row r="359" spans="1:40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K359" s="3"/>
      <c r="AL359" s="3"/>
      <c r="AM359" s="3"/>
      <c r="AN359" s="3"/>
    </row>
    <row r="360" spans="1:4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K360" s="3"/>
      <c r="AL360" s="3"/>
      <c r="AM360" s="3"/>
      <c r="AN360" s="3"/>
    </row>
    <row r="361" spans="1:40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K361" s="3"/>
      <c r="AL361" s="3"/>
      <c r="AM361" s="3"/>
      <c r="AN361" s="3"/>
    </row>
    <row r="362" spans="1:40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K362" s="3"/>
      <c r="AL362" s="3"/>
      <c r="AM362" s="3"/>
      <c r="AN362" s="3"/>
    </row>
    <row r="363" spans="1:40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K363" s="3"/>
      <c r="AL363" s="3"/>
      <c r="AM363" s="3"/>
      <c r="AN363" s="3"/>
    </row>
    <row r="364" spans="1:40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K364" s="3"/>
      <c r="AL364" s="3"/>
      <c r="AM364" s="3"/>
      <c r="AN364" s="3"/>
    </row>
    <row r="365" spans="1:40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K365" s="3"/>
      <c r="AL365" s="3"/>
      <c r="AM365" s="3"/>
      <c r="AN365" s="3"/>
    </row>
    <row r="366" spans="1:40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K366" s="3"/>
      <c r="AL366" s="3"/>
      <c r="AM366" s="3"/>
      <c r="AN366" s="3"/>
    </row>
    <row r="367" spans="1:40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K367" s="3"/>
      <c r="AL367" s="3"/>
      <c r="AM367" s="3"/>
      <c r="AN367" s="3"/>
    </row>
    <row r="368" spans="1:40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K368" s="3"/>
      <c r="AL368" s="3"/>
      <c r="AM368" s="3"/>
      <c r="AN368" s="3"/>
    </row>
    <row r="369" spans="1:40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K369" s="3"/>
      <c r="AL369" s="3"/>
      <c r="AM369" s="3"/>
      <c r="AN369" s="3"/>
    </row>
    <row r="370" spans="1:4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K370" s="3"/>
      <c r="AL370" s="3"/>
      <c r="AM370" s="3"/>
      <c r="AN370" s="3"/>
    </row>
    <row r="371" spans="1:40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K371" s="3"/>
      <c r="AL371" s="3"/>
      <c r="AM371" s="3"/>
      <c r="AN371" s="3"/>
    </row>
    <row r="372" spans="1:40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K372" s="3"/>
      <c r="AL372" s="3"/>
      <c r="AM372" s="3"/>
      <c r="AN372" s="3"/>
    </row>
    <row r="373" spans="1:40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K373" s="3"/>
      <c r="AL373" s="3"/>
      <c r="AM373" s="3"/>
      <c r="AN373" s="3"/>
    </row>
    <row r="374" spans="1:40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K374" s="3"/>
      <c r="AL374" s="3"/>
      <c r="AM374" s="3"/>
      <c r="AN374" s="3"/>
    </row>
    <row r="375" spans="1:40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K375" s="3"/>
      <c r="AL375" s="3"/>
      <c r="AM375" s="3"/>
      <c r="AN375" s="3"/>
    </row>
    <row r="376" spans="1:40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K376" s="3"/>
      <c r="AL376" s="3"/>
      <c r="AM376" s="3"/>
      <c r="AN376" s="3"/>
    </row>
    <row r="377" spans="1:40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K377" s="3"/>
      <c r="AL377" s="3"/>
      <c r="AM377" s="3"/>
      <c r="AN377" s="3"/>
    </row>
    <row r="378" spans="1:40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K378" s="3"/>
      <c r="AL378" s="3"/>
      <c r="AM378" s="3"/>
      <c r="AN378" s="3"/>
    </row>
    <row r="379" spans="1:40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K379" s="3"/>
      <c r="AL379" s="3"/>
      <c r="AM379" s="3"/>
      <c r="AN379" s="3"/>
    </row>
    <row r="380" spans="1:4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K380" s="3"/>
      <c r="AL380" s="3"/>
      <c r="AM380" s="3"/>
      <c r="AN380" s="3"/>
    </row>
    <row r="381" spans="1:40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K381" s="3"/>
      <c r="AL381" s="3"/>
      <c r="AM381" s="3"/>
      <c r="AN381" s="3"/>
    </row>
    <row r="382" spans="1:40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K382" s="3"/>
      <c r="AL382" s="3"/>
      <c r="AM382" s="3"/>
      <c r="AN382" s="3"/>
    </row>
    <row r="383" spans="1:40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K383" s="3"/>
      <c r="AL383" s="3"/>
      <c r="AM383" s="3"/>
      <c r="AN383" s="3"/>
    </row>
    <row r="384" spans="1:40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K384" s="3"/>
      <c r="AL384" s="3"/>
      <c r="AM384" s="3"/>
      <c r="AN384" s="3"/>
    </row>
    <row r="385" spans="1:40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K385" s="3"/>
      <c r="AL385" s="3"/>
      <c r="AM385" s="3"/>
      <c r="AN385" s="3"/>
    </row>
    <row r="386" spans="1:40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K386" s="3"/>
      <c r="AL386" s="3"/>
      <c r="AM386" s="3"/>
      <c r="AN386" s="3"/>
    </row>
    <row r="387" spans="1:40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K387" s="3"/>
      <c r="AL387" s="3"/>
      <c r="AM387" s="3"/>
      <c r="AN387" s="3"/>
    </row>
    <row r="388" spans="1:40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K388" s="3"/>
      <c r="AL388" s="3"/>
      <c r="AM388" s="3"/>
      <c r="AN388" s="3"/>
    </row>
    <row r="389" spans="1:40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K389" s="3"/>
      <c r="AL389" s="3"/>
      <c r="AM389" s="3"/>
      <c r="AN389" s="3"/>
    </row>
    <row r="390" spans="1:4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K390" s="3"/>
      <c r="AL390" s="3"/>
      <c r="AM390" s="3"/>
      <c r="AN390" s="3"/>
    </row>
    <row r="391" spans="1:40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K391" s="3"/>
      <c r="AL391" s="3"/>
      <c r="AM391" s="3"/>
      <c r="AN391" s="3"/>
    </row>
    <row r="392" spans="1:40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K392" s="3"/>
      <c r="AL392" s="3"/>
      <c r="AM392" s="3"/>
      <c r="AN392" s="3"/>
    </row>
    <row r="393" spans="1:40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K393" s="3"/>
      <c r="AL393" s="3"/>
      <c r="AM393" s="3"/>
      <c r="AN393" s="3"/>
    </row>
    <row r="394" spans="1:40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K394" s="3"/>
      <c r="AL394" s="3"/>
      <c r="AM394" s="3"/>
      <c r="AN394" s="3"/>
    </row>
    <row r="395" spans="1:40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K395" s="3"/>
      <c r="AL395" s="3"/>
      <c r="AM395" s="3"/>
      <c r="AN395" s="3"/>
    </row>
    <row r="396" spans="1:40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K396" s="3"/>
      <c r="AL396" s="3"/>
      <c r="AM396" s="3"/>
      <c r="AN396" s="3"/>
    </row>
    <row r="397" spans="1:40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K397" s="3"/>
      <c r="AL397" s="3"/>
      <c r="AM397" s="3"/>
      <c r="AN397" s="3"/>
    </row>
    <row r="398" spans="1:40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K398" s="3"/>
      <c r="AL398" s="3"/>
      <c r="AM398" s="3"/>
      <c r="AN398" s="3"/>
    </row>
    <row r="399" spans="1:40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K399" s="3"/>
      <c r="AL399" s="3"/>
      <c r="AM399" s="3"/>
      <c r="AN399" s="3"/>
    </row>
    <row r="400" spans="1:4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K400" s="3"/>
      <c r="AL400" s="3"/>
      <c r="AM400" s="3"/>
      <c r="AN400" s="3"/>
    </row>
    <row r="401" spans="1:40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K401" s="3"/>
      <c r="AL401" s="3"/>
      <c r="AM401" s="3"/>
      <c r="AN401" s="3"/>
    </row>
    <row r="402" spans="1:40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K402" s="3"/>
      <c r="AL402" s="3"/>
      <c r="AM402" s="3"/>
      <c r="AN402" s="3"/>
    </row>
    <row r="403" spans="1:40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K403" s="3"/>
      <c r="AL403" s="3"/>
      <c r="AM403" s="3"/>
      <c r="AN403" s="3"/>
    </row>
    <row r="404" spans="1:40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K404" s="3"/>
      <c r="AL404" s="3"/>
      <c r="AM404" s="3"/>
      <c r="AN404" s="3"/>
    </row>
    <row r="405" spans="1:40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K405" s="3"/>
      <c r="AL405" s="3"/>
      <c r="AM405" s="3"/>
      <c r="AN405" s="3"/>
    </row>
    <row r="406" spans="1:40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K406" s="3"/>
      <c r="AL406" s="3"/>
      <c r="AM406" s="3"/>
      <c r="AN406" s="3"/>
    </row>
    <row r="407" spans="1:40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K407" s="3"/>
      <c r="AL407" s="3"/>
      <c r="AM407" s="3"/>
      <c r="AN407" s="3"/>
    </row>
    <row r="408" spans="1:40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K408" s="3"/>
      <c r="AL408" s="3"/>
      <c r="AM408" s="3"/>
      <c r="AN408" s="3"/>
    </row>
    <row r="409" spans="1:40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K409" s="3"/>
      <c r="AL409" s="3"/>
      <c r="AM409" s="3"/>
      <c r="AN409" s="3"/>
    </row>
    <row r="410" spans="1:4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K410" s="3"/>
      <c r="AL410" s="3"/>
      <c r="AM410" s="3"/>
      <c r="AN410" s="3"/>
    </row>
    <row r="411" spans="1:40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K411" s="3"/>
      <c r="AL411" s="3"/>
      <c r="AM411" s="3"/>
      <c r="AN411" s="3"/>
    </row>
    <row r="412" spans="1:40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K412" s="3"/>
      <c r="AL412" s="3"/>
      <c r="AM412" s="3"/>
      <c r="AN412" s="3"/>
    </row>
    <row r="413" spans="1:40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K413" s="3"/>
      <c r="AL413" s="3"/>
      <c r="AM413" s="3"/>
      <c r="AN413" s="3"/>
    </row>
    <row r="414" spans="1:40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K414" s="3"/>
      <c r="AL414" s="3"/>
      <c r="AM414" s="3"/>
      <c r="AN414" s="3"/>
    </row>
    <row r="415" spans="1:40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K415" s="3"/>
      <c r="AL415" s="3"/>
      <c r="AM415" s="3"/>
      <c r="AN415" s="3"/>
    </row>
    <row r="416" spans="1:40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K416" s="3"/>
      <c r="AL416" s="3"/>
      <c r="AM416" s="3"/>
      <c r="AN416" s="3"/>
    </row>
    <row r="417" spans="1:40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K417" s="3"/>
      <c r="AL417" s="3"/>
      <c r="AM417" s="3"/>
      <c r="AN417" s="3"/>
    </row>
    <row r="418" spans="1:40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K418" s="3"/>
      <c r="AL418" s="3"/>
      <c r="AM418" s="3"/>
      <c r="AN418" s="3"/>
    </row>
    <row r="419" spans="1:40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K419" s="3"/>
      <c r="AL419" s="3"/>
      <c r="AM419" s="3"/>
      <c r="AN419" s="3"/>
    </row>
    <row r="420" spans="1:4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K420" s="3"/>
      <c r="AL420" s="3"/>
      <c r="AM420" s="3"/>
      <c r="AN420" s="3"/>
    </row>
    <row r="421" spans="1:40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K421" s="3"/>
      <c r="AL421" s="3"/>
      <c r="AM421" s="3"/>
      <c r="AN421" s="3"/>
    </row>
    <row r="422" spans="1:40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K422" s="3"/>
      <c r="AL422" s="3"/>
      <c r="AM422" s="3"/>
      <c r="AN422" s="3"/>
    </row>
    <row r="423" spans="1:40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K423" s="3"/>
      <c r="AL423" s="3"/>
      <c r="AM423" s="3"/>
      <c r="AN423" s="3"/>
    </row>
    <row r="424" spans="1:40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K424" s="3"/>
      <c r="AL424" s="3"/>
      <c r="AM424" s="3"/>
      <c r="AN424" s="3"/>
    </row>
    <row r="425" spans="1:40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K425" s="3"/>
      <c r="AL425" s="3"/>
      <c r="AM425" s="3"/>
      <c r="AN425" s="3"/>
    </row>
    <row r="426" spans="1:40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K426" s="3"/>
      <c r="AL426" s="3"/>
      <c r="AM426" s="3"/>
      <c r="AN426" s="3"/>
    </row>
    <row r="427" spans="1:40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K427" s="3"/>
      <c r="AL427" s="3"/>
      <c r="AM427" s="3"/>
      <c r="AN427" s="3"/>
    </row>
    <row r="428" spans="1:40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K428" s="3"/>
      <c r="AL428" s="3"/>
      <c r="AM428" s="3"/>
      <c r="AN428" s="3"/>
    </row>
    <row r="429" spans="1:40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K429" s="3"/>
      <c r="AL429" s="3"/>
      <c r="AM429" s="3"/>
      <c r="AN429" s="3"/>
    </row>
    <row r="430" spans="1:4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K430" s="3"/>
      <c r="AL430" s="3"/>
      <c r="AM430" s="3"/>
      <c r="AN430" s="3"/>
    </row>
    <row r="431" spans="1:40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K431" s="3"/>
      <c r="AL431" s="3"/>
      <c r="AM431" s="3"/>
      <c r="AN431" s="3"/>
    </row>
    <row r="432" spans="1:40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K432" s="3"/>
      <c r="AL432" s="3"/>
      <c r="AM432" s="3"/>
      <c r="AN432" s="3"/>
    </row>
    <row r="433" spans="1:40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K433" s="3"/>
      <c r="AL433" s="3"/>
      <c r="AM433" s="3"/>
      <c r="AN433" s="3"/>
    </row>
    <row r="434" spans="1:40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K434" s="3"/>
      <c r="AL434" s="3"/>
      <c r="AM434" s="3"/>
      <c r="AN434" s="3"/>
    </row>
    <row r="435" spans="1:40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K435" s="3"/>
      <c r="AL435" s="3"/>
      <c r="AM435" s="3"/>
      <c r="AN435" s="3"/>
    </row>
    <row r="436" spans="1:40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K436" s="3"/>
      <c r="AL436" s="3"/>
      <c r="AM436" s="3"/>
      <c r="AN436" s="3"/>
    </row>
    <row r="437" spans="1:40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K437" s="3"/>
      <c r="AL437" s="3"/>
      <c r="AM437" s="3"/>
      <c r="AN437" s="3"/>
    </row>
    <row r="438" spans="1:40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K438" s="3"/>
      <c r="AL438" s="3"/>
      <c r="AM438" s="3"/>
      <c r="AN438" s="3"/>
    </row>
    <row r="439" spans="1:40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K439" s="3"/>
      <c r="AL439" s="3"/>
      <c r="AM439" s="3"/>
      <c r="AN439" s="3"/>
    </row>
    <row r="440" spans="1: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K440" s="3"/>
      <c r="AL440" s="3"/>
      <c r="AM440" s="3"/>
      <c r="AN440" s="3"/>
    </row>
    <row r="441" spans="1:40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K441" s="3"/>
      <c r="AL441" s="3"/>
      <c r="AM441" s="3"/>
      <c r="AN441" s="3"/>
    </row>
    <row r="442" spans="1:40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K442" s="3"/>
      <c r="AL442" s="3"/>
      <c r="AM442" s="3"/>
      <c r="AN442" s="3"/>
    </row>
    <row r="443" spans="1:40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K443" s="3"/>
      <c r="AL443" s="3"/>
      <c r="AM443" s="3"/>
      <c r="AN443" s="3"/>
    </row>
    <row r="444" spans="1:40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K444" s="3"/>
      <c r="AL444" s="3"/>
      <c r="AM444" s="3"/>
      <c r="AN444" s="3"/>
    </row>
    <row r="445" spans="1:40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K445" s="3"/>
      <c r="AL445" s="3"/>
      <c r="AM445" s="3"/>
      <c r="AN445" s="3"/>
    </row>
    <row r="446" spans="1:40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K446" s="3"/>
      <c r="AL446" s="3"/>
      <c r="AM446" s="3"/>
      <c r="AN446" s="3"/>
    </row>
    <row r="447" spans="1:40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K447" s="3"/>
      <c r="AL447" s="3"/>
      <c r="AM447" s="3"/>
      <c r="AN447" s="3"/>
    </row>
    <row r="448" spans="1:40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K448" s="3"/>
      <c r="AL448" s="3"/>
      <c r="AM448" s="3"/>
      <c r="AN448" s="3"/>
    </row>
    <row r="449" spans="1:40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K449" s="3"/>
      <c r="AL449" s="3"/>
      <c r="AM449" s="3"/>
      <c r="AN449" s="3"/>
    </row>
    <row r="450" spans="1:4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K450" s="3"/>
      <c r="AL450" s="3"/>
      <c r="AM450" s="3"/>
      <c r="AN450" s="3"/>
    </row>
    <row r="451" spans="1:40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K451" s="3"/>
      <c r="AL451" s="3"/>
      <c r="AM451" s="3"/>
      <c r="AN451" s="3"/>
    </row>
    <row r="452" spans="1:40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K452" s="3"/>
      <c r="AL452" s="3"/>
      <c r="AM452" s="3"/>
      <c r="AN452" s="3"/>
    </row>
    <row r="453" spans="1:40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K453" s="3"/>
      <c r="AL453" s="3"/>
      <c r="AM453" s="3"/>
      <c r="AN453" s="3"/>
    </row>
    <row r="454" spans="1:40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K454" s="3"/>
      <c r="AL454" s="3"/>
      <c r="AM454" s="3"/>
      <c r="AN454" s="3"/>
    </row>
    <row r="455" spans="1:40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K455" s="3"/>
      <c r="AL455" s="3"/>
      <c r="AM455" s="3"/>
      <c r="AN455" s="3"/>
    </row>
    <row r="456" spans="1:40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K456" s="3"/>
      <c r="AL456" s="3"/>
      <c r="AM456" s="3"/>
      <c r="AN456" s="3"/>
    </row>
    <row r="457" spans="1:40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K457" s="3"/>
      <c r="AL457" s="3"/>
      <c r="AM457" s="3"/>
      <c r="AN457" s="3"/>
    </row>
    <row r="458" spans="1:40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K458" s="3"/>
      <c r="AL458" s="3"/>
      <c r="AM458" s="3"/>
      <c r="AN458" s="3"/>
    </row>
    <row r="459" spans="1:40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K459" s="3"/>
      <c r="AL459" s="3"/>
      <c r="AM459" s="3"/>
      <c r="AN459" s="3"/>
    </row>
    <row r="460" spans="1:4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K460" s="3"/>
      <c r="AL460" s="3"/>
      <c r="AM460" s="3"/>
      <c r="AN460" s="3"/>
    </row>
    <row r="461" spans="1:40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K461" s="3"/>
      <c r="AL461" s="3"/>
      <c r="AM461" s="3"/>
      <c r="AN461" s="3"/>
    </row>
    <row r="462" spans="1:40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K462" s="3"/>
      <c r="AL462" s="3"/>
      <c r="AM462" s="3"/>
      <c r="AN462" s="3"/>
    </row>
    <row r="463" spans="1:40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K463" s="3"/>
      <c r="AL463" s="3"/>
      <c r="AM463" s="3"/>
      <c r="AN463" s="3"/>
    </row>
    <row r="464" spans="1:40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K464" s="3"/>
      <c r="AL464" s="3"/>
      <c r="AM464" s="3"/>
      <c r="AN464" s="3"/>
    </row>
    <row r="465" spans="1:40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K465" s="3"/>
      <c r="AL465" s="3"/>
      <c r="AM465" s="3"/>
      <c r="AN465" s="3"/>
    </row>
    <row r="466" spans="1:40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K466" s="3"/>
      <c r="AL466" s="3"/>
      <c r="AM466" s="3"/>
      <c r="AN466" s="3"/>
    </row>
    <row r="467" spans="1:40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K467" s="3"/>
      <c r="AL467" s="3"/>
      <c r="AM467" s="3"/>
      <c r="AN467" s="3"/>
    </row>
    <row r="468" spans="1:40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K468" s="3"/>
      <c r="AL468" s="3"/>
      <c r="AM468" s="3"/>
      <c r="AN468" s="3"/>
    </row>
    <row r="469" spans="1:40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K469" s="3"/>
      <c r="AL469" s="3"/>
      <c r="AM469" s="3"/>
      <c r="AN469" s="3"/>
    </row>
    <row r="470" spans="1:4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K470" s="3"/>
      <c r="AL470" s="3"/>
      <c r="AM470" s="3"/>
      <c r="AN470" s="3"/>
    </row>
    <row r="471" spans="1:40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K471" s="3"/>
      <c r="AL471" s="3"/>
      <c r="AM471" s="3"/>
      <c r="AN471" s="3"/>
    </row>
    <row r="472" spans="1:40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K472" s="3"/>
      <c r="AL472" s="3"/>
      <c r="AM472" s="3"/>
      <c r="AN472" s="3"/>
    </row>
    <row r="473" spans="1:40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K473" s="3"/>
      <c r="AL473" s="3"/>
      <c r="AM473" s="3"/>
      <c r="AN473" s="3"/>
    </row>
    <row r="474" spans="1:40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K474" s="3"/>
      <c r="AL474" s="3"/>
      <c r="AM474" s="3"/>
      <c r="AN474" s="3"/>
    </row>
    <row r="475" spans="1:40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K475" s="3"/>
      <c r="AL475" s="3"/>
      <c r="AM475" s="3"/>
      <c r="AN475" s="3"/>
    </row>
    <row r="476" spans="1:40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K476" s="3"/>
      <c r="AL476" s="3"/>
      <c r="AM476" s="3"/>
      <c r="AN476" s="3"/>
    </row>
    <row r="477" spans="1:40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K477" s="3"/>
      <c r="AL477" s="3"/>
      <c r="AM477" s="3"/>
      <c r="AN477" s="3"/>
    </row>
    <row r="478" spans="1:40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K478" s="3"/>
      <c r="AL478" s="3"/>
      <c r="AM478" s="3"/>
      <c r="AN478" s="3"/>
    </row>
    <row r="479" spans="1:40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K479" s="3"/>
      <c r="AL479" s="3"/>
      <c r="AM479" s="3"/>
      <c r="AN479" s="3"/>
    </row>
    <row r="480" spans="1:4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K480" s="3"/>
      <c r="AL480" s="3"/>
      <c r="AM480" s="3"/>
      <c r="AN480" s="3"/>
    </row>
    <row r="481" spans="1:40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K481" s="3"/>
      <c r="AL481" s="3"/>
      <c r="AM481" s="3"/>
      <c r="AN481" s="3"/>
    </row>
    <row r="482" spans="1:40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K482" s="3"/>
      <c r="AL482" s="3"/>
      <c r="AM482" s="3"/>
      <c r="AN482" s="3"/>
    </row>
    <row r="483" spans="1:40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K483" s="3"/>
      <c r="AL483" s="3"/>
      <c r="AM483" s="3"/>
      <c r="AN483" s="3"/>
    </row>
    <row r="484" spans="1:40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K484" s="3"/>
      <c r="AL484" s="3"/>
      <c r="AM484" s="3"/>
      <c r="AN484" s="3"/>
    </row>
    <row r="485" spans="1:40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K485" s="3"/>
      <c r="AL485" s="3"/>
      <c r="AM485" s="3"/>
      <c r="AN485" s="3"/>
    </row>
    <row r="486" spans="1:40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K486" s="3"/>
      <c r="AL486" s="3"/>
      <c r="AM486" s="3"/>
      <c r="AN486" s="3"/>
    </row>
    <row r="487" spans="1:40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K487" s="3"/>
      <c r="AL487" s="3"/>
      <c r="AM487" s="3"/>
      <c r="AN487" s="3"/>
    </row>
    <row r="488" spans="1:40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K488" s="3"/>
      <c r="AL488" s="3"/>
      <c r="AM488" s="3"/>
      <c r="AN488" s="3"/>
    </row>
    <row r="489" spans="1:40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K489" s="3"/>
      <c r="AL489" s="3"/>
      <c r="AM489" s="3"/>
      <c r="AN489" s="3"/>
    </row>
    <row r="490" spans="1:4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K490" s="3"/>
      <c r="AL490" s="3"/>
      <c r="AM490" s="3"/>
      <c r="AN490" s="3"/>
    </row>
    <row r="491" spans="1:40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K491" s="3"/>
      <c r="AL491" s="3"/>
      <c r="AM491" s="3"/>
      <c r="AN491" s="3"/>
    </row>
    <row r="492" spans="1:40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K492" s="3"/>
      <c r="AL492" s="3"/>
      <c r="AM492" s="3"/>
      <c r="AN492" s="3"/>
    </row>
    <row r="493" spans="1:40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K493" s="3"/>
      <c r="AL493" s="3"/>
      <c r="AM493" s="3"/>
      <c r="AN493" s="3"/>
    </row>
    <row r="494" spans="1:40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K494" s="3"/>
      <c r="AL494" s="3"/>
      <c r="AM494" s="3"/>
      <c r="AN494" s="3"/>
    </row>
    <row r="495" spans="1:40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K495" s="3"/>
      <c r="AL495" s="3"/>
      <c r="AM495" s="3"/>
      <c r="AN495" s="3"/>
    </row>
    <row r="496" spans="1:40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K496" s="3"/>
      <c r="AL496" s="3"/>
      <c r="AM496" s="3"/>
      <c r="AN496" s="3"/>
    </row>
    <row r="497" spans="1:40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K497" s="3"/>
      <c r="AL497" s="3"/>
      <c r="AM497" s="3"/>
      <c r="AN497" s="3"/>
    </row>
    <row r="498" spans="1:40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K498" s="3"/>
      <c r="AL498" s="3"/>
      <c r="AM498" s="3"/>
      <c r="AN498" s="3"/>
    </row>
    <row r="499" spans="1:40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K499" s="3"/>
      <c r="AL499" s="3"/>
      <c r="AM499" s="3"/>
      <c r="AN499" s="3"/>
    </row>
    <row r="500" spans="1:4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K500" s="3"/>
      <c r="AL500" s="3"/>
      <c r="AM500" s="3"/>
      <c r="AN500" s="3"/>
    </row>
    <row r="501" spans="1:40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K501" s="3"/>
      <c r="AL501" s="3"/>
      <c r="AM501" s="3"/>
      <c r="AN501" s="3"/>
    </row>
    <row r="502" spans="1:40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K502" s="3"/>
      <c r="AL502" s="3"/>
      <c r="AM502" s="3"/>
      <c r="AN502" s="3"/>
    </row>
    <row r="503" spans="1:40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K503" s="3"/>
      <c r="AL503" s="3"/>
      <c r="AM503" s="3"/>
      <c r="AN503" s="3"/>
    </row>
    <row r="504" spans="1:40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K504" s="3"/>
      <c r="AL504" s="3"/>
      <c r="AM504" s="3"/>
      <c r="AN504" s="3"/>
    </row>
    <row r="505" spans="1:40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K505" s="3"/>
      <c r="AL505" s="3"/>
      <c r="AM505" s="3"/>
      <c r="AN505" s="3"/>
    </row>
    <row r="506" spans="1:40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K506" s="3"/>
      <c r="AL506" s="3"/>
      <c r="AM506" s="3"/>
      <c r="AN506" s="3"/>
    </row>
    <row r="507" spans="1:40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K507" s="3"/>
      <c r="AL507" s="3"/>
      <c r="AM507" s="3"/>
      <c r="AN507" s="3"/>
    </row>
    <row r="508" spans="1:40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K508" s="3"/>
      <c r="AL508" s="3"/>
      <c r="AM508" s="3"/>
      <c r="AN508" s="3"/>
    </row>
    <row r="509" spans="1:40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K509" s="3"/>
      <c r="AL509" s="3"/>
      <c r="AM509" s="3"/>
      <c r="AN509" s="3"/>
    </row>
    <row r="510" spans="1:4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K510" s="3"/>
      <c r="AL510" s="3"/>
      <c r="AM510" s="3"/>
      <c r="AN510" s="3"/>
    </row>
    <row r="511" spans="1:40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K511" s="3"/>
      <c r="AL511" s="3"/>
      <c r="AM511" s="3"/>
      <c r="AN511" s="3"/>
    </row>
    <row r="512" spans="1:40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K512" s="3"/>
      <c r="AL512" s="3"/>
      <c r="AM512" s="3"/>
      <c r="AN512" s="3"/>
    </row>
    <row r="513" spans="1:40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K513" s="3"/>
      <c r="AL513" s="3"/>
      <c r="AM513" s="3"/>
      <c r="AN513" s="3"/>
    </row>
    <row r="514" spans="1:40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K514" s="3"/>
      <c r="AL514" s="3"/>
      <c r="AM514" s="3"/>
      <c r="AN514" s="3"/>
    </row>
    <row r="515" spans="1:40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K515" s="3"/>
      <c r="AL515" s="3"/>
      <c r="AM515" s="3"/>
      <c r="AN515" s="3"/>
    </row>
    <row r="516" spans="1:40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K516" s="3"/>
      <c r="AL516" s="3"/>
      <c r="AM516" s="3"/>
      <c r="AN516" s="3"/>
    </row>
    <row r="517" spans="1:40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K517" s="3"/>
      <c r="AL517" s="3"/>
      <c r="AM517" s="3"/>
      <c r="AN517" s="3"/>
    </row>
    <row r="518" spans="1:40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K518" s="3"/>
      <c r="AL518" s="3"/>
      <c r="AM518" s="3"/>
      <c r="AN518" s="3"/>
    </row>
    <row r="519" spans="1:40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K519" s="3"/>
      <c r="AL519" s="3"/>
      <c r="AM519" s="3"/>
      <c r="AN519" s="3"/>
    </row>
    <row r="520" spans="1:4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K520" s="3"/>
      <c r="AL520" s="3"/>
      <c r="AM520" s="3"/>
      <c r="AN520" s="3"/>
    </row>
    <row r="521" spans="1:40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K521" s="3"/>
      <c r="AL521" s="3"/>
      <c r="AM521" s="3"/>
      <c r="AN521" s="3"/>
    </row>
    <row r="522" spans="1:40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K522" s="3"/>
      <c r="AL522" s="3"/>
      <c r="AM522" s="3"/>
      <c r="AN522" s="3"/>
    </row>
    <row r="523" spans="1:40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K523" s="3"/>
      <c r="AL523" s="3"/>
      <c r="AM523" s="3"/>
      <c r="AN523" s="3"/>
    </row>
    <row r="524" spans="1:40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K524" s="3"/>
      <c r="AL524" s="3"/>
      <c r="AM524" s="3"/>
      <c r="AN524" s="3"/>
    </row>
    <row r="525" spans="1:40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K525" s="3"/>
      <c r="AL525" s="3"/>
      <c r="AM525" s="3"/>
      <c r="AN525" s="3"/>
    </row>
    <row r="526" spans="1:40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K526" s="3"/>
      <c r="AL526" s="3"/>
      <c r="AM526" s="3"/>
      <c r="AN526" s="3"/>
    </row>
    <row r="527" spans="1:40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K527" s="3"/>
      <c r="AL527" s="3"/>
      <c r="AM527" s="3"/>
      <c r="AN527" s="3"/>
    </row>
    <row r="528" spans="1:40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K528" s="3"/>
      <c r="AL528" s="3"/>
      <c r="AM528" s="3"/>
      <c r="AN528" s="3"/>
    </row>
    <row r="529" spans="1:40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K529" s="3"/>
      <c r="AL529" s="3"/>
      <c r="AM529" s="3"/>
      <c r="AN529" s="3"/>
    </row>
    <row r="530" spans="1:4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K530" s="3"/>
      <c r="AL530" s="3"/>
      <c r="AM530" s="3"/>
      <c r="AN530" s="3"/>
    </row>
    <row r="531" spans="1:40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K531" s="3"/>
      <c r="AL531" s="3"/>
      <c r="AM531" s="3"/>
      <c r="AN531" s="3"/>
    </row>
    <row r="532" spans="1:40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K532" s="3"/>
      <c r="AL532" s="3"/>
      <c r="AM532" s="3"/>
      <c r="AN532" s="3"/>
    </row>
    <row r="533" spans="1:40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K533" s="3"/>
      <c r="AL533" s="3"/>
      <c r="AM533" s="3"/>
      <c r="AN533" s="3"/>
    </row>
    <row r="534" spans="1:40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K534" s="3"/>
      <c r="AL534" s="3"/>
      <c r="AM534" s="3"/>
      <c r="AN534" s="3"/>
    </row>
    <row r="535" spans="1:40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K535" s="3"/>
      <c r="AL535" s="3"/>
      <c r="AM535" s="3"/>
      <c r="AN535" s="3"/>
    </row>
    <row r="536" spans="1:40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K536" s="3"/>
      <c r="AL536" s="3"/>
      <c r="AM536" s="3"/>
      <c r="AN536" s="3"/>
    </row>
    <row r="537" spans="1:40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K537" s="3"/>
      <c r="AL537" s="3"/>
      <c r="AM537" s="3"/>
      <c r="AN537" s="3"/>
    </row>
    <row r="538" spans="1:40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K538" s="3"/>
      <c r="AL538" s="3"/>
      <c r="AM538" s="3"/>
      <c r="AN538" s="3"/>
    </row>
    <row r="539" spans="1:40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K539" s="3"/>
      <c r="AL539" s="3"/>
      <c r="AM539" s="3"/>
      <c r="AN539" s="3"/>
    </row>
    <row r="540" spans="1: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K540" s="3"/>
      <c r="AL540" s="3"/>
      <c r="AM540" s="3"/>
      <c r="AN540" s="3"/>
    </row>
    <row r="541" spans="1:40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K541" s="3"/>
      <c r="AL541" s="3"/>
      <c r="AM541" s="3"/>
      <c r="AN541" s="3"/>
    </row>
    <row r="542" spans="1:40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K542" s="3"/>
      <c r="AL542" s="3"/>
      <c r="AM542" s="3"/>
      <c r="AN542" s="3"/>
    </row>
    <row r="543" spans="1:40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K543" s="3"/>
      <c r="AL543" s="3"/>
      <c r="AM543" s="3"/>
      <c r="AN543" s="3"/>
    </row>
    <row r="544" spans="1:40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K544" s="3"/>
      <c r="AL544" s="3"/>
      <c r="AM544" s="3"/>
      <c r="AN544" s="3"/>
    </row>
    <row r="545" spans="1:40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K545" s="3"/>
      <c r="AL545" s="3"/>
      <c r="AM545" s="3"/>
      <c r="AN545" s="3"/>
    </row>
    <row r="546" spans="1:40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K546" s="3"/>
      <c r="AL546" s="3"/>
      <c r="AM546" s="3"/>
      <c r="AN546" s="3"/>
    </row>
    <row r="547" spans="1:40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K547" s="3"/>
      <c r="AL547" s="3"/>
      <c r="AM547" s="3"/>
      <c r="AN547" s="3"/>
    </row>
    <row r="548" spans="1:40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K548" s="3"/>
      <c r="AL548" s="3"/>
      <c r="AM548" s="3"/>
      <c r="AN548" s="3"/>
    </row>
    <row r="549" spans="1:40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K549" s="3"/>
      <c r="AL549" s="3"/>
      <c r="AM549" s="3"/>
      <c r="AN549" s="3"/>
    </row>
    <row r="550" spans="1:4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K550" s="3"/>
      <c r="AL550" s="3"/>
      <c r="AM550" s="3"/>
      <c r="AN550" s="3"/>
    </row>
    <row r="551" spans="1:40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K551" s="3"/>
      <c r="AL551" s="3"/>
      <c r="AM551" s="3"/>
      <c r="AN551" s="3"/>
    </row>
    <row r="552" spans="1:40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K552" s="3"/>
      <c r="AL552" s="3"/>
      <c r="AM552" s="3"/>
      <c r="AN552" s="3"/>
    </row>
    <row r="553" spans="1:40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K553" s="3"/>
      <c r="AL553" s="3"/>
      <c r="AM553" s="3"/>
      <c r="AN553" s="3"/>
    </row>
    <row r="554" spans="1:40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K554" s="3"/>
      <c r="AL554" s="3"/>
      <c r="AM554" s="3"/>
      <c r="AN554" s="3"/>
    </row>
    <row r="555" spans="1:40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K555" s="3"/>
      <c r="AL555" s="3"/>
      <c r="AM555" s="3"/>
      <c r="AN555" s="3"/>
    </row>
    <row r="556" spans="1:40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K556" s="3"/>
      <c r="AL556" s="3"/>
      <c r="AM556" s="3"/>
      <c r="AN556" s="3"/>
    </row>
    <row r="557" spans="1:40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K557" s="3"/>
      <c r="AL557" s="3"/>
      <c r="AM557" s="3"/>
      <c r="AN557" s="3"/>
    </row>
    <row r="558" spans="1:40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K558" s="3"/>
      <c r="AL558" s="3"/>
      <c r="AM558" s="3"/>
      <c r="AN558" s="3"/>
    </row>
    <row r="559" spans="1:40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K559" s="3"/>
      <c r="AL559" s="3"/>
      <c r="AM559" s="3"/>
      <c r="AN559" s="3"/>
    </row>
    <row r="560" spans="1:4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K560" s="3"/>
      <c r="AL560" s="3"/>
      <c r="AM560" s="3"/>
      <c r="AN560" s="3"/>
    </row>
    <row r="561" spans="1:40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K561" s="3"/>
      <c r="AL561" s="3"/>
      <c r="AM561" s="3"/>
      <c r="AN561" s="3"/>
    </row>
    <row r="562" spans="1:40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K562" s="3"/>
      <c r="AL562" s="3"/>
      <c r="AM562" s="3"/>
      <c r="AN562" s="3"/>
    </row>
    <row r="563" spans="1:40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K563" s="3"/>
      <c r="AL563" s="3"/>
      <c r="AM563" s="3"/>
      <c r="AN563" s="3"/>
    </row>
    <row r="564" spans="1:40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K564" s="3"/>
      <c r="AL564" s="3"/>
      <c r="AM564" s="3"/>
      <c r="AN564" s="3"/>
    </row>
    <row r="565" spans="1:40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K565" s="3"/>
      <c r="AL565" s="3"/>
      <c r="AM565" s="3"/>
      <c r="AN565" s="3"/>
    </row>
    <row r="566" spans="1:40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K566" s="3"/>
      <c r="AL566" s="3"/>
      <c r="AM566" s="3"/>
      <c r="AN566" s="3"/>
    </row>
    <row r="567" spans="1:40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K567" s="3"/>
      <c r="AL567" s="3"/>
      <c r="AM567" s="3"/>
      <c r="AN567" s="3"/>
    </row>
    <row r="568" spans="1:40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K568" s="3"/>
      <c r="AL568" s="3"/>
      <c r="AM568" s="3"/>
      <c r="AN568" s="3"/>
    </row>
    <row r="569" spans="1:40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K569" s="3"/>
      <c r="AL569" s="3"/>
      <c r="AM569" s="3"/>
      <c r="AN569" s="3"/>
    </row>
    <row r="570" spans="1:4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K570" s="3"/>
      <c r="AL570" s="3"/>
      <c r="AM570" s="3"/>
      <c r="AN570" s="3"/>
    </row>
    <row r="571" spans="1:40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K571" s="3"/>
      <c r="AL571" s="3"/>
      <c r="AM571" s="3"/>
      <c r="AN571" s="3"/>
    </row>
    <row r="572" spans="1:40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K572" s="3"/>
      <c r="AL572" s="3"/>
      <c r="AM572" s="3"/>
      <c r="AN572" s="3"/>
    </row>
    <row r="573" spans="1:40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K573" s="3"/>
      <c r="AL573" s="3"/>
      <c r="AM573" s="3"/>
      <c r="AN573" s="3"/>
    </row>
    <row r="574" spans="1:40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K574" s="3"/>
      <c r="AL574" s="3"/>
      <c r="AM574" s="3"/>
      <c r="AN574" s="3"/>
    </row>
    <row r="575" spans="1:40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K575" s="3"/>
      <c r="AL575" s="3"/>
      <c r="AM575" s="3"/>
      <c r="AN575" s="3"/>
    </row>
    <row r="576" spans="1:40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K576" s="3"/>
      <c r="AL576" s="3"/>
      <c r="AM576" s="3"/>
      <c r="AN576" s="3"/>
    </row>
    <row r="577" spans="1:40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K577" s="3"/>
      <c r="AL577" s="3"/>
      <c r="AM577" s="3"/>
      <c r="AN577" s="3"/>
    </row>
    <row r="578" spans="1:40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K578" s="3"/>
      <c r="AL578" s="3"/>
      <c r="AM578" s="3"/>
      <c r="AN578" s="3"/>
    </row>
    <row r="579" spans="1:40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K579" s="3"/>
      <c r="AL579" s="3"/>
      <c r="AM579" s="3"/>
      <c r="AN579" s="3"/>
    </row>
    <row r="580" spans="1:4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K580" s="3"/>
      <c r="AL580" s="3"/>
      <c r="AM580" s="3"/>
      <c r="AN580" s="3"/>
    </row>
    <row r="581" spans="1:40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K581" s="3"/>
      <c r="AL581" s="3"/>
      <c r="AM581" s="3"/>
      <c r="AN581" s="3"/>
    </row>
    <row r="582" spans="1:40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K582" s="3"/>
      <c r="AL582" s="3"/>
      <c r="AM582" s="3"/>
      <c r="AN582" s="3"/>
    </row>
    <row r="583" spans="1:40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K583" s="3"/>
      <c r="AL583" s="3"/>
      <c r="AM583" s="3"/>
      <c r="AN583" s="3"/>
    </row>
    <row r="584" spans="1:40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K584" s="3"/>
      <c r="AL584" s="3"/>
      <c r="AM584" s="3"/>
      <c r="AN584" s="3"/>
    </row>
    <row r="585" spans="1:40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K585" s="3"/>
      <c r="AL585" s="3"/>
      <c r="AM585" s="3"/>
      <c r="AN585" s="3"/>
    </row>
    <row r="586" spans="1:40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K586" s="3"/>
      <c r="AL586" s="3"/>
      <c r="AM586" s="3"/>
      <c r="AN586" s="3"/>
    </row>
    <row r="587" spans="1:40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K587" s="3"/>
      <c r="AL587" s="3"/>
      <c r="AM587" s="3"/>
      <c r="AN587" s="3"/>
    </row>
    <row r="588" spans="1:40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K588" s="3"/>
      <c r="AL588" s="3"/>
      <c r="AM588" s="3"/>
      <c r="AN588" s="3"/>
    </row>
    <row r="589" spans="1:40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K589" s="3"/>
      <c r="AL589" s="3"/>
      <c r="AM589" s="3"/>
      <c r="AN589" s="3"/>
    </row>
    <row r="590" spans="1:4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K590" s="3"/>
      <c r="AL590" s="3"/>
      <c r="AM590" s="3"/>
      <c r="AN590" s="3"/>
    </row>
    <row r="591" spans="1:40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K591" s="3"/>
      <c r="AL591" s="3"/>
      <c r="AM591" s="3"/>
      <c r="AN591" s="3"/>
    </row>
    <row r="592" spans="1:40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K592" s="3"/>
      <c r="AL592" s="3"/>
      <c r="AM592" s="3"/>
      <c r="AN592" s="3"/>
    </row>
    <row r="593" spans="1:40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K593" s="3"/>
      <c r="AL593" s="3"/>
      <c r="AM593" s="3"/>
      <c r="AN593" s="3"/>
    </row>
    <row r="594" spans="1:40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K594" s="3"/>
      <c r="AL594" s="3"/>
      <c r="AM594" s="3"/>
      <c r="AN594" s="3"/>
    </row>
    <row r="595" spans="1:40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K595" s="3"/>
      <c r="AL595" s="3"/>
      <c r="AM595" s="3"/>
      <c r="AN595" s="3"/>
    </row>
    <row r="596" spans="1:40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K596" s="3"/>
      <c r="AL596" s="3"/>
      <c r="AM596" s="3"/>
      <c r="AN596" s="3"/>
    </row>
    <row r="597" spans="1:40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K597" s="3"/>
      <c r="AL597" s="3"/>
      <c r="AM597" s="3"/>
      <c r="AN597" s="3"/>
    </row>
    <row r="598" spans="1:40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K598" s="3"/>
      <c r="AL598" s="3"/>
      <c r="AM598" s="3"/>
      <c r="AN598" s="3"/>
    </row>
    <row r="599" spans="1:40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K599" s="3"/>
      <c r="AL599" s="3"/>
      <c r="AM599" s="3"/>
      <c r="AN599" s="3"/>
    </row>
    <row r="600" spans="1:4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K600" s="3"/>
      <c r="AL600" s="3"/>
      <c r="AM600" s="3"/>
      <c r="AN600" s="3"/>
    </row>
    <row r="601" spans="1:40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K601" s="3"/>
      <c r="AL601" s="3"/>
      <c r="AM601" s="3"/>
      <c r="AN601" s="3"/>
    </row>
    <row r="602" spans="1:40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K602" s="3"/>
      <c r="AL602" s="3"/>
      <c r="AM602" s="3"/>
      <c r="AN602" s="3"/>
    </row>
    <row r="603" spans="1:40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K603" s="3"/>
      <c r="AL603" s="3"/>
      <c r="AM603" s="3"/>
      <c r="AN603" s="3"/>
    </row>
    <row r="604" spans="1:40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K604" s="3"/>
      <c r="AL604" s="3"/>
      <c r="AM604" s="3"/>
      <c r="AN604" s="3"/>
    </row>
    <row r="605" spans="1:40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K605" s="3"/>
      <c r="AL605" s="3"/>
      <c r="AM605" s="3"/>
      <c r="AN605" s="3"/>
    </row>
    <row r="606" spans="1:40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K606" s="3"/>
      <c r="AL606" s="3"/>
      <c r="AM606" s="3"/>
      <c r="AN606" s="3"/>
    </row>
    <row r="607" spans="1:40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K607" s="3"/>
      <c r="AL607" s="3"/>
      <c r="AM607" s="3"/>
      <c r="AN607" s="3"/>
    </row>
    <row r="608" spans="1:40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K608" s="3"/>
      <c r="AL608" s="3"/>
      <c r="AM608" s="3"/>
      <c r="AN608" s="3"/>
    </row>
    <row r="609" spans="1:40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K609" s="3"/>
      <c r="AL609" s="3"/>
      <c r="AM609" s="3"/>
      <c r="AN609" s="3"/>
    </row>
    <row r="610" spans="1:4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K610" s="3"/>
      <c r="AL610" s="3"/>
      <c r="AM610" s="3"/>
      <c r="AN610" s="3"/>
    </row>
    <row r="611" spans="1:40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K611" s="3"/>
      <c r="AL611" s="3"/>
      <c r="AM611" s="3"/>
      <c r="AN611" s="3"/>
    </row>
    <row r="612" spans="1:40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K612" s="3"/>
      <c r="AL612" s="3"/>
      <c r="AM612" s="3"/>
      <c r="AN612" s="3"/>
    </row>
    <row r="613" spans="1:40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K613" s="3"/>
      <c r="AL613" s="3"/>
      <c r="AM613" s="3"/>
      <c r="AN613" s="3"/>
    </row>
    <row r="614" spans="1:40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K614" s="3"/>
      <c r="AL614" s="3"/>
      <c r="AM614" s="3"/>
      <c r="AN614" s="3"/>
    </row>
    <row r="615" spans="1:40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K615" s="3"/>
      <c r="AL615" s="3"/>
      <c r="AM615" s="3"/>
      <c r="AN615" s="3"/>
    </row>
    <row r="616" spans="1:40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K616" s="3"/>
      <c r="AL616" s="3"/>
      <c r="AM616" s="3"/>
      <c r="AN616" s="3"/>
    </row>
    <row r="617" spans="1:40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K617" s="3"/>
      <c r="AL617" s="3"/>
      <c r="AM617" s="3"/>
      <c r="AN617" s="3"/>
    </row>
    <row r="618" spans="1:40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K618" s="3"/>
      <c r="AL618" s="3"/>
      <c r="AM618" s="3"/>
      <c r="AN618" s="3"/>
    </row>
    <row r="619" spans="1:40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K619" s="3"/>
      <c r="AL619" s="3"/>
      <c r="AM619" s="3"/>
      <c r="AN619" s="3"/>
    </row>
    <row r="620" spans="1:4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K620" s="3"/>
      <c r="AL620" s="3"/>
      <c r="AM620" s="3"/>
      <c r="AN620" s="3"/>
    </row>
    <row r="621" spans="1:40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K621" s="3"/>
      <c r="AL621" s="3"/>
      <c r="AM621" s="3"/>
      <c r="AN621" s="3"/>
    </row>
    <row r="622" spans="1:40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K622" s="3"/>
      <c r="AL622" s="3"/>
      <c r="AM622" s="3"/>
      <c r="AN622" s="3"/>
    </row>
    <row r="623" spans="1:40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K623" s="3"/>
      <c r="AL623" s="3"/>
      <c r="AM623" s="3"/>
      <c r="AN623" s="3"/>
    </row>
    <row r="624" spans="1:40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K624" s="3"/>
      <c r="AL624" s="3"/>
      <c r="AM624" s="3"/>
      <c r="AN624" s="3"/>
    </row>
    <row r="625" spans="1:40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K625" s="3"/>
      <c r="AL625" s="3"/>
      <c r="AM625" s="3"/>
      <c r="AN625" s="3"/>
    </row>
    <row r="626" spans="1:40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K626" s="3"/>
      <c r="AL626" s="3"/>
      <c r="AM626" s="3"/>
      <c r="AN626" s="3"/>
    </row>
    <row r="627" spans="1:40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K627" s="3"/>
      <c r="AL627" s="3"/>
      <c r="AM627" s="3"/>
      <c r="AN627" s="3"/>
    </row>
    <row r="628" spans="1:40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K628" s="3"/>
      <c r="AL628" s="3"/>
      <c r="AM628" s="3"/>
      <c r="AN628" s="3"/>
    </row>
    <row r="629" spans="1:40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K629" s="3"/>
      <c r="AL629" s="3"/>
      <c r="AM629" s="3"/>
      <c r="AN629" s="3"/>
    </row>
    <row r="630" spans="1:4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K630" s="3"/>
      <c r="AL630" s="3"/>
      <c r="AM630" s="3"/>
      <c r="AN630" s="3"/>
    </row>
    <row r="631" spans="1:40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K631" s="3"/>
      <c r="AL631" s="3"/>
      <c r="AM631" s="3"/>
      <c r="AN631" s="3"/>
    </row>
    <row r="632" spans="1:40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K632" s="3"/>
      <c r="AL632" s="3"/>
      <c r="AM632" s="3"/>
      <c r="AN632" s="3"/>
    </row>
    <row r="633" spans="1:40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K633" s="3"/>
      <c r="AL633" s="3"/>
      <c r="AM633" s="3"/>
      <c r="AN633" s="3"/>
    </row>
    <row r="634" spans="1:40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K634" s="3"/>
      <c r="AL634" s="3"/>
      <c r="AM634" s="3"/>
      <c r="AN634" s="3"/>
    </row>
    <row r="635" spans="1:40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K635" s="3"/>
      <c r="AL635" s="3"/>
      <c r="AM635" s="3"/>
      <c r="AN635" s="3"/>
    </row>
    <row r="636" spans="1:40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K636" s="3"/>
      <c r="AL636" s="3"/>
      <c r="AM636" s="3"/>
      <c r="AN636" s="3"/>
    </row>
    <row r="637" spans="1:40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K637" s="3"/>
      <c r="AL637" s="3"/>
      <c r="AM637" s="3"/>
      <c r="AN637" s="3"/>
    </row>
    <row r="638" spans="1:40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K638" s="3"/>
      <c r="AL638" s="3"/>
      <c r="AM638" s="3"/>
      <c r="AN638" s="3"/>
    </row>
    <row r="639" spans="1:40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K639" s="3"/>
      <c r="AL639" s="3"/>
      <c r="AM639" s="3"/>
      <c r="AN639" s="3"/>
    </row>
    <row r="640" spans="1: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K640" s="3"/>
      <c r="AL640" s="3"/>
      <c r="AM640" s="3"/>
      <c r="AN640" s="3"/>
    </row>
    <row r="641" spans="1:40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K641" s="3"/>
      <c r="AL641" s="3"/>
      <c r="AM641" s="3"/>
      <c r="AN641" s="3"/>
    </row>
    <row r="642" spans="1:40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K642" s="3"/>
      <c r="AL642" s="3"/>
      <c r="AM642" s="3"/>
      <c r="AN642" s="3"/>
    </row>
    <row r="643" spans="1:40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K643" s="3"/>
      <c r="AL643" s="3"/>
      <c r="AM643" s="3"/>
      <c r="AN643" s="3"/>
    </row>
    <row r="644" spans="1:40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K644" s="3"/>
      <c r="AL644" s="3"/>
      <c r="AM644" s="3"/>
      <c r="AN644" s="3"/>
    </row>
    <row r="645" spans="1:40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K645" s="3"/>
      <c r="AL645" s="3"/>
      <c r="AM645" s="3"/>
      <c r="AN645" s="3"/>
    </row>
    <row r="646" spans="1:40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K646" s="3"/>
      <c r="AL646" s="3"/>
      <c r="AM646" s="3"/>
      <c r="AN646" s="3"/>
    </row>
    <row r="647" spans="1:40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K647" s="3"/>
      <c r="AL647" s="3"/>
      <c r="AM647" s="3"/>
      <c r="AN647" s="3"/>
    </row>
    <row r="648" spans="1:40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K648" s="3"/>
      <c r="AL648" s="3"/>
      <c r="AM648" s="3"/>
      <c r="AN648" s="3"/>
    </row>
    <row r="649" spans="1:40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K649" s="3"/>
      <c r="AL649" s="3"/>
      <c r="AM649" s="3"/>
      <c r="AN649" s="3"/>
    </row>
    <row r="650" spans="1:4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K650" s="3"/>
      <c r="AL650" s="3"/>
      <c r="AM650" s="3"/>
      <c r="AN650" s="3"/>
    </row>
    <row r="651" spans="1:40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K651" s="3"/>
      <c r="AL651" s="3"/>
      <c r="AM651" s="3"/>
      <c r="AN651" s="3"/>
    </row>
    <row r="652" spans="1:40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K652" s="3"/>
      <c r="AL652" s="3"/>
      <c r="AM652" s="3"/>
      <c r="AN652" s="3"/>
    </row>
    <row r="653" spans="1:40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K653" s="3"/>
      <c r="AL653" s="3"/>
      <c r="AM653" s="3"/>
      <c r="AN653" s="3"/>
    </row>
    <row r="654" spans="1:40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K654" s="3"/>
      <c r="AL654" s="3"/>
      <c r="AM654" s="3"/>
      <c r="AN654" s="3"/>
    </row>
    <row r="655" spans="1:40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K655" s="3"/>
      <c r="AL655" s="3"/>
      <c r="AM655" s="3"/>
      <c r="AN655" s="3"/>
    </row>
    <row r="656" spans="1:40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K656" s="3"/>
      <c r="AL656" s="3"/>
      <c r="AM656" s="3"/>
      <c r="AN656" s="3"/>
    </row>
    <row r="657" spans="1:40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K657" s="3"/>
      <c r="AL657" s="3"/>
      <c r="AM657" s="3"/>
      <c r="AN657" s="3"/>
    </row>
    <row r="658" spans="1:40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K658" s="3"/>
      <c r="AL658" s="3"/>
      <c r="AM658" s="3"/>
      <c r="AN658" s="3"/>
    </row>
    <row r="659" spans="1:40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K659" s="3"/>
      <c r="AL659" s="3"/>
      <c r="AM659" s="3"/>
      <c r="AN659" s="3"/>
    </row>
    <row r="660" spans="1:4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K660" s="3"/>
      <c r="AL660" s="3"/>
      <c r="AM660" s="3"/>
      <c r="AN660" s="3"/>
    </row>
    <row r="661" spans="1:40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K661" s="3"/>
      <c r="AL661" s="3"/>
      <c r="AM661" s="3"/>
      <c r="AN661" s="3"/>
    </row>
    <row r="662" spans="1:40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K662" s="3"/>
      <c r="AL662" s="3"/>
      <c r="AM662" s="3"/>
      <c r="AN662" s="3"/>
    </row>
    <row r="663" spans="1:40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K663" s="3"/>
      <c r="AL663" s="3"/>
      <c r="AM663" s="3"/>
      <c r="AN663" s="3"/>
    </row>
    <row r="664" spans="1:40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K664" s="3"/>
      <c r="AL664" s="3"/>
      <c r="AM664" s="3"/>
      <c r="AN664" s="3"/>
    </row>
    <row r="665" spans="1:40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K665" s="3"/>
      <c r="AL665" s="3"/>
      <c r="AM665" s="3"/>
      <c r="AN665" s="3"/>
    </row>
    <row r="666" spans="1:40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K666" s="3"/>
      <c r="AL666" s="3"/>
      <c r="AM666" s="3"/>
      <c r="AN666" s="3"/>
    </row>
    <row r="667" spans="1:40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K667" s="3"/>
      <c r="AL667" s="3"/>
      <c r="AM667" s="3"/>
      <c r="AN667" s="3"/>
    </row>
    <row r="668" spans="1:40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K668" s="3"/>
      <c r="AL668" s="3"/>
      <c r="AM668" s="3"/>
      <c r="AN668" s="3"/>
    </row>
    <row r="669" spans="1:40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K669" s="3"/>
      <c r="AL669" s="3"/>
      <c r="AM669" s="3"/>
      <c r="AN669" s="3"/>
    </row>
    <row r="670" spans="1:4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K670" s="3"/>
      <c r="AL670" s="3"/>
      <c r="AM670" s="3"/>
      <c r="AN670" s="3"/>
    </row>
    <row r="671" spans="1:40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K671" s="3"/>
      <c r="AL671" s="3"/>
      <c r="AM671" s="3"/>
      <c r="AN671" s="3"/>
    </row>
    <row r="672" spans="1:40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K672" s="3"/>
      <c r="AL672" s="3"/>
      <c r="AM672" s="3"/>
      <c r="AN672" s="3"/>
    </row>
    <row r="673" spans="1:40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K673" s="3"/>
      <c r="AL673" s="3"/>
      <c r="AM673" s="3"/>
      <c r="AN673" s="3"/>
    </row>
    <row r="674" spans="1:40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K674" s="3"/>
      <c r="AL674" s="3"/>
      <c r="AM674" s="3"/>
      <c r="AN674" s="3"/>
    </row>
    <row r="675" spans="1:40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K675" s="3"/>
      <c r="AL675" s="3"/>
      <c r="AM675" s="3"/>
      <c r="AN675" s="3"/>
    </row>
    <row r="676" spans="1:40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K676" s="3"/>
      <c r="AL676" s="3"/>
      <c r="AM676" s="3"/>
      <c r="AN676" s="3"/>
    </row>
    <row r="677" spans="1:40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K677" s="3"/>
      <c r="AL677" s="3"/>
      <c r="AM677" s="3"/>
      <c r="AN677" s="3"/>
    </row>
    <row r="678" spans="1:40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K678" s="3"/>
      <c r="AL678" s="3"/>
      <c r="AM678" s="3"/>
      <c r="AN678" s="3"/>
    </row>
    <row r="679" spans="1:40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K679" s="3"/>
      <c r="AL679" s="3"/>
      <c r="AM679" s="3"/>
      <c r="AN679" s="3"/>
    </row>
    <row r="680" spans="1:4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K680" s="3"/>
      <c r="AL680" s="3"/>
      <c r="AM680" s="3"/>
      <c r="AN680" s="3"/>
    </row>
    <row r="681" spans="1:40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K681" s="3"/>
      <c r="AL681" s="3"/>
      <c r="AM681" s="3"/>
      <c r="AN681" s="3"/>
    </row>
    <row r="682" spans="1:40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K682" s="3"/>
      <c r="AL682" s="3"/>
      <c r="AM682" s="3"/>
      <c r="AN682" s="3"/>
    </row>
    <row r="683" spans="1:40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K683" s="3"/>
      <c r="AL683" s="3"/>
      <c r="AM683" s="3"/>
      <c r="AN683" s="3"/>
    </row>
    <row r="684" spans="1:40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K684" s="3"/>
      <c r="AL684" s="3"/>
      <c r="AM684" s="3"/>
      <c r="AN684" s="3"/>
    </row>
    <row r="685" spans="1:40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K685" s="3"/>
      <c r="AL685" s="3"/>
      <c r="AM685" s="3"/>
      <c r="AN685" s="3"/>
    </row>
    <row r="686" spans="1:40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K686" s="3"/>
      <c r="AL686" s="3"/>
      <c r="AM686" s="3"/>
      <c r="AN686" s="3"/>
    </row>
    <row r="687" spans="1:40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K687" s="3"/>
      <c r="AL687" s="3"/>
      <c r="AM687" s="3"/>
      <c r="AN687" s="3"/>
    </row>
    <row r="688" spans="1:40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K688" s="3"/>
      <c r="AL688" s="3"/>
      <c r="AM688" s="3"/>
      <c r="AN688" s="3"/>
    </row>
    <row r="689" spans="1:40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K689" s="3"/>
      <c r="AL689" s="3"/>
      <c r="AM689" s="3"/>
      <c r="AN689" s="3"/>
    </row>
    <row r="690" spans="1:4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K690" s="3"/>
      <c r="AL690" s="3"/>
      <c r="AM690" s="3"/>
      <c r="AN690" s="3"/>
    </row>
    <row r="691" spans="1:40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K691" s="3"/>
      <c r="AL691" s="3"/>
      <c r="AM691" s="3"/>
      <c r="AN691" s="3"/>
    </row>
    <row r="692" spans="1:40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K692" s="3"/>
      <c r="AL692" s="3"/>
      <c r="AM692" s="3"/>
      <c r="AN692" s="3"/>
    </row>
    <row r="693" spans="1:40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K693" s="3"/>
      <c r="AL693" s="3"/>
      <c r="AM693" s="3"/>
      <c r="AN693" s="3"/>
    </row>
    <row r="694" spans="1:40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K694" s="3"/>
      <c r="AL694" s="3"/>
      <c r="AM694" s="3"/>
      <c r="AN694" s="3"/>
    </row>
    <row r="695" spans="1:40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K695" s="3"/>
      <c r="AL695" s="3"/>
      <c r="AM695" s="3"/>
      <c r="AN695" s="3"/>
    </row>
    <row r="696" spans="1:40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K696" s="3"/>
      <c r="AL696" s="3"/>
      <c r="AM696" s="3"/>
      <c r="AN696" s="3"/>
    </row>
    <row r="697" spans="1:40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K697" s="3"/>
      <c r="AL697" s="3"/>
      <c r="AM697" s="3"/>
      <c r="AN697" s="3"/>
    </row>
    <row r="698" spans="1:40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K698" s="3"/>
      <c r="AL698" s="3"/>
      <c r="AM698" s="3"/>
      <c r="AN698" s="3"/>
    </row>
    <row r="699" spans="1:40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K699" s="3"/>
      <c r="AL699" s="3"/>
      <c r="AM699" s="3"/>
      <c r="AN699" s="3"/>
    </row>
    <row r="700" spans="1:4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K700" s="3"/>
      <c r="AL700" s="3"/>
      <c r="AM700" s="3"/>
      <c r="AN700" s="3"/>
    </row>
    <row r="701" spans="1:40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K701" s="3"/>
      <c r="AL701" s="3"/>
      <c r="AM701" s="3"/>
      <c r="AN701" s="3"/>
    </row>
    <row r="702" spans="1:40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K702" s="3"/>
      <c r="AL702" s="3"/>
      <c r="AM702" s="3"/>
      <c r="AN702" s="3"/>
    </row>
    <row r="703" spans="1:40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K703" s="3"/>
      <c r="AL703" s="3"/>
      <c r="AM703" s="3"/>
      <c r="AN703" s="3"/>
    </row>
    <row r="704" spans="1:40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K704" s="3"/>
      <c r="AL704" s="3"/>
      <c r="AM704" s="3"/>
      <c r="AN704" s="3"/>
    </row>
    <row r="705" spans="1:40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K705" s="3"/>
      <c r="AL705" s="3"/>
      <c r="AM705" s="3"/>
      <c r="AN705" s="3"/>
    </row>
    <row r="706" spans="1:40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K706" s="3"/>
      <c r="AL706" s="3"/>
      <c r="AM706" s="3"/>
      <c r="AN706" s="3"/>
    </row>
    <row r="707" spans="1:40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K707" s="3"/>
      <c r="AL707" s="3"/>
      <c r="AM707" s="3"/>
      <c r="AN707" s="3"/>
    </row>
    <row r="708" spans="1:40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K708" s="3"/>
      <c r="AL708" s="3"/>
      <c r="AM708" s="3"/>
      <c r="AN708" s="3"/>
    </row>
    <row r="709" spans="1:40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K709" s="3"/>
      <c r="AL709" s="3"/>
      <c r="AM709" s="3"/>
      <c r="AN709" s="3"/>
    </row>
    <row r="710" spans="1:4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K710" s="3"/>
      <c r="AL710" s="3"/>
      <c r="AM710" s="3"/>
      <c r="AN710" s="3"/>
    </row>
    <row r="711" spans="1:40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K711" s="3"/>
      <c r="AL711" s="3"/>
      <c r="AM711" s="3"/>
      <c r="AN711" s="3"/>
    </row>
    <row r="712" spans="1:40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K712" s="3"/>
      <c r="AL712" s="3"/>
      <c r="AM712" s="3"/>
      <c r="AN712" s="3"/>
    </row>
    <row r="713" spans="1:40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K713" s="3"/>
      <c r="AL713" s="3"/>
      <c r="AM713" s="3"/>
      <c r="AN713" s="3"/>
    </row>
    <row r="714" spans="1:40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K714" s="3"/>
      <c r="AL714" s="3"/>
      <c r="AM714" s="3"/>
      <c r="AN714" s="3"/>
    </row>
    <row r="715" spans="1:40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K715" s="3"/>
      <c r="AL715" s="3"/>
      <c r="AM715" s="3"/>
      <c r="AN715" s="3"/>
    </row>
    <row r="716" spans="1:40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K716" s="3"/>
      <c r="AL716" s="3"/>
      <c r="AM716" s="3"/>
      <c r="AN716" s="3"/>
    </row>
    <row r="717" spans="1:40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K717" s="3"/>
      <c r="AL717" s="3"/>
      <c r="AM717" s="3"/>
      <c r="AN717" s="3"/>
    </row>
    <row r="718" spans="1:40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K718" s="3"/>
      <c r="AL718" s="3"/>
      <c r="AM718" s="3"/>
      <c r="AN718" s="3"/>
    </row>
    <row r="719" spans="1:40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K719" s="3"/>
      <c r="AL719" s="3"/>
      <c r="AM719" s="3"/>
      <c r="AN719" s="3"/>
    </row>
    <row r="720" spans="1:4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K720" s="3"/>
      <c r="AL720" s="3"/>
      <c r="AM720" s="3"/>
      <c r="AN720" s="3"/>
    </row>
    <row r="721" spans="1:40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K721" s="3"/>
      <c r="AL721" s="3"/>
      <c r="AM721" s="3"/>
      <c r="AN721" s="3"/>
    </row>
    <row r="722" spans="1:40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K722" s="3"/>
      <c r="AL722" s="3"/>
      <c r="AM722" s="3"/>
      <c r="AN722" s="3"/>
    </row>
    <row r="723" spans="1:40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K723" s="3"/>
      <c r="AL723" s="3"/>
      <c r="AM723" s="3"/>
      <c r="AN723" s="3"/>
    </row>
    <row r="724" spans="1:40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K724" s="3"/>
      <c r="AL724" s="3"/>
      <c r="AM724" s="3"/>
      <c r="AN724" s="3"/>
    </row>
    <row r="725" spans="1:40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K725" s="3"/>
      <c r="AL725" s="3"/>
      <c r="AM725" s="3"/>
      <c r="AN725" s="3"/>
    </row>
    <row r="726" spans="1:40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K726" s="3"/>
      <c r="AL726" s="3"/>
      <c r="AM726" s="3"/>
      <c r="AN726" s="3"/>
    </row>
    <row r="727" spans="1:40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K727" s="3"/>
      <c r="AL727" s="3"/>
      <c r="AM727" s="3"/>
      <c r="AN727" s="3"/>
    </row>
    <row r="728" spans="1:40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K728" s="3"/>
      <c r="AL728" s="3"/>
      <c r="AM728" s="3"/>
      <c r="AN728" s="3"/>
    </row>
    <row r="729" spans="1:40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K729" s="3"/>
      <c r="AL729" s="3"/>
      <c r="AM729" s="3"/>
      <c r="AN729" s="3"/>
    </row>
    <row r="730" spans="1:4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K730" s="3"/>
      <c r="AL730" s="3"/>
      <c r="AM730" s="3"/>
      <c r="AN730" s="3"/>
    </row>
    <row r="731" spans="1:40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K731" s="3"/>
      <c r="AL731" s="3"/>
      <c r="AM731" s="3"/>
      <c r="AN731" s="3"/>
    </row>
    <row r="732" spans="1:40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K732" s="3"/>
      <c r="AL732" s="3"/>
      <c r="AM732" s="3"/>
      <c r="AN732" s="3"/>
    </row>
    <row r="733" spans="1:40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K733" s="3"/>
      <c r="AL733" s="3"/>
      <c r="AM733" s="3"/>
      <c r="AN733" s="3"/>
    </row>
    <row r="734" spans="1:40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K734" s="3"/>
      <c r="AL734" s="3"/>
      <c r="AM734" s="3"/>
      <c r="AN734" s="3"/>
    </row>
    <row r="735" spans="1:40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K735" s="3"/>
      <c r="AL735" s="3"/>
      <c r="AM735" s="3"/>
      <c r="AN735" s="3"/>
    </row>
    <row r="736" spans="1:40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K736" s="3"/>
      <c r="AL736" s="3"/>
      <c r="AM736" s="3"/>
      <c r="AN736" s="3"/>
    </row>
    <row r="737" spans="1:40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K737" s="3"/>
      <c r="AL737" s="3"/>
      <c r="AM737" s="3"/>
      <c r="AN737" s="3"/>
    </row>
    <row r="738" spans="1:40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K738" s="3"/>
      <c r="AL738" s="3"/>
      <c r="AM738" s="3"/>
      <c r="AN738" s="3"/>
    </row>
    <row r="739" spans="1:40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K739" s="3"/>
      <c r="AL739" s="3"/>
      <c r="AM739" s="3"/>
      <c r="AN739" s="3"/>
    </row>
    <row r="740" spans="1: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K740" s="3"/>
      <c r="AL740" s="3"/>
      <c r="AM740" s="3"/>
      <c r="AN740" s="3"/>
    </row>
    <row r="741" spans="1:40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K741" s="3"/>
      <c r="AL741" s="3"/>
      <c r="AM741" s="3"/>
      <c r="AN741" s="3"/>
    </row>
    <row r="742" spans="1:40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K742" s="3"/>
      <c r="AL742" s="3"/>
      <c r="AM742" s="3"/>
      <c r="AN742" s="3"/>
    </row>
    <row r="743" spans="1:40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K743" s="3"/>
      <c r="AL743" s="3"/>
      <c r="AM743" s="3"/>
      <c r="AN743" s="3"/>
    </row>
    <row r="744" spans="1:40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K744" s="3"/>
      <c r="AL744" s="3"/>
      <c r="AM744" s="3"/>
      <c r="AN744" s="3"/>
    </row>
    <row r="745" spans="1:40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K745" s="3"/>
      <c r="AL745" s="3"/>
      <c r="AM745" s="3"/>
      <c r="AN745" s="3"/>
    </row>
    <row r="746" spans="1:40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K746" s="3"/>
      <c r="AL746" s="3"/>
      <c r="AM746" s="3"/>
      <c r="AN746" s="3"/>
    </row>
    <row r="747" spans="1:40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K747" s="3"/>
      <c r="AL747" s="3"/>
      <c r="AM747" s="3"/>
      <c r="AN747" s="3"/>
    </row>
    <row r="748" spans="1:40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K748" s="3"/>
      <c r="AL748" s="3"/>
      <c r="AM748" s="3"/>
      <c r="AN748" s="3"/>
    </row>
    <row r="749" spans="1:40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K749" s="3"/>
      <c r="AL749" s="3"/>
      <c r="AM749" s="3"/>
      <c r="AN749" s="3"/>
    </row>
    <row r="750" spans="1:4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K750" s="3"/>
      <c r="AL750" s="3"/>
      <c r="AM750" s="3"/>
      <c r="AN750" s="3"/>
    </row>
    <row r="751" spans="1:40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K751" s="3"/>
      <c r="AL751" s="3"/>
      <c r="AM751" s="3"/>
      <c r="AN751" s="3"/>
    </row>
    <row r="752" spans="1:40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K752" s="3"/>
      <c r="AL752" s="3"/>
      <c r="AM752" s="3"/>
      <c r="AN752" s="3"/>
    </row>
    <row r="753" spans="1:40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K753" s="3"/>
      <c r="AL753" s="3"/>
      <c r="AM753" s="3"/>
      <c r="AN753" s="3"/>
    </row>
    <row r="754" spans="1:40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K754" s="3"/>
      <c r="AL754" s="3"/>
      <c r="AM754" s="3"/>
      <c r="AN754" s="3"/>
    </row>
    <row r="755" spans="1:40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K755" s="3"/>
      <c r="AL755" s="3"/>
      <c r="AM755" s="3"/>
      <c r="AN755" s="3"/>
    </row>
    <row r="756" spans="1:40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K756" s="3"/>
      <c r="AL756" s="3"/>
      <c r="AM756" s="3"/>
      <c r="AN756" s="3"/>
    </row>
    <row r="757" spans="1:40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K757" s="3"/>
      <c r="AL757" s="3"/>
      <c r="AM757" s="3"/>
      <c r="AN757" s="3"/>
    </row>
    <row r="758" spans="1:40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K758" s="3"/>
      <c r="AL758" s="3"/>
      <c r="AM758" s="3"/>
      <c r="AN758" s="3"/>
    </row>
    <row r="759" spans="1:40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K759" s="3"/>
      <c r="AL759" s="3"/>
      <c r="AM759" s="3"/>
      <c r="AN759" s="3"/>
    </row>
    <row r="760" spans="1:4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K760" s="3"/>
      <c r="AL760" s="3"/>
      <c r="AM760" s="3"/>
      <c r="AN760" s="3"/>
    </row>
    <row r="761" spans="1:40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K761" s="3"/>
      <c r="AL761" s="3"/>
      <c r="AM761" s="3"/>
      <c r="AN761" s="3"/>
    </row>
    <row r="762" spans="1:40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K762" s="3"/>
      <c r="AL762" s="3"/>
      <c r="AM762" s="3"/>
      <c r="AN762" s="3"/>
    </row>
    <row r="763" spans="1:40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K763" s="3"/>
      <c r="AL763" s="3"/>
      <c r="AM763" s="3"/>
      <c r="AN763" s="3"/>
    </row>
    <row r="764" spans="1:40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K764" s="3"/>
      <c r="AL764" s="3"/>
      <c r="AM764" s="3"/>
      <c r="AN764" s="3"/>
    </row>
    <row r="765" spans="1:40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K765" s="3"/>
      <c r="AL765" s="3"/>
      <c r="AM765" s="3"/>
      <c r="AN765" s="3"/>
    </row>
    <row r="766" spans="1:40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K766" s="3"/>
      <c r="AL766" s="3"/>
      <c r="AM766" s="3"/>
      <c r="AN766" s="3"/>
    </row>
    <row r="767" spans="1:40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K767" s="3"/>
      <c r="AL767" s="3"/>
      <c r="AM767" s="3"/>
      <c r="AN767" s="3"/>
    </row>
    <row r="768" spans="1:40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K768" s="3"/>
      <c r="AL768" s="3"/>
      <c r="AM768" s="3"/>
      <c r="AN768" s="3"/>
    </row>
    <row r="769" spans="1:40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K769" s="3"/>
      <c r="AL769" s="3"/>
      <c r="AM769" s="3"/>
      <c r="AN769" s="3"/>
    </row>
    <row r="770" spans="1:4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K770" s="3"/>
      <c r="AL770" s="3"/>
      <c r="AM770" s="3"/>
      <c r="AN770" s="3"/>
    </row>
    <row r="771" spans="1:40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K771" s="3"/>
      <c r="AL771" s="3"/>
      <c r="AM771" s="3"/>
      <c r="AN771" s="3"/>
    </row>
    <row r="772" spans="1:40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K772" s="3"/>
      <c r="AL772" s="3"/>
      <c r="AM772" s="3"/>
      <c r="AN772" s="3"/>
    </row>
    <row r="773" spans="1:40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K773" s="3"/>
      <c r="AL773" s="3"/>
      <c r="AM773" s="3"/>
      <c r="AN773" s="3"/>
    </row>
    <row r="774" spans="1:40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K774" s="3"/>
      <c r="AL774" s="3"/>
      <c r="AM774" s="3"/>
      <c r="AN774" s="3"/>
    </row>
    <row r="775" spans="1:40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K775" s="3"/>
      <c r="AL775" s="3"/>
      <c r="AM775" s="3"/>
      <c r="AN775" s="3"/>
    </row>
    <row r="776" spans="1:40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K776" s="3"/>
      <c r="AL776" s="3"/>
      <c r="AM776" s="3"/>
      <c r="AN776" s="3"/>
    </row>
    <row r="777" spans="1:40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K777" s="3"/>
      <c r="AL777" s="3"/>
      <c r="AM777" s="3"/>
      <c r="AN777" s="3"/>
    </row>
    <row r="778" spans="1:40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K778" s="3"/>
      <c r="AL778" s="3"/>
      <c r="AM778" s="3"/>
      <c r="AN778" s="3"/>
    </row>
    <row r="779" spans="1:40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K779" s="3"/>
      <c r="AL779" s="3"/>
      <c r="AM779" s="3"/>
      <c r="AN779" s="3"/>
    </row>
    <row r="780" spans="1:4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K780" s="3"/>
      <c r="AL780" s="3"/>
      <c r="AM780" s="3"/>
      <c r="AN780" s="3"/>
    </row>
    <row r="781" spans="1:40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K781" s="3"/>
      <c r="AL781" s="3"/>
      <c r="AM781" s="3"/>
      <c r="AN781" s="3"/>
    </row>
    <row r="782" spans="1:40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K782" s="3"/>
      <c r="AL782" s="3"/>
      <c r="AM782" s="3"/>
      <c r="AN782" s="3"/>
    </row>
    <row r="783" spans="1:40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K783" s="3"/>
      <c r="AL783" s="3"/>
      <c r="AM783" s="3"/>
      <c r="AN783" s="3"/>
    </row>
    <row r="784" spans="1:40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K784" s="3"/>
      <c r="AL784" s="3"/>
      <c r="AM784" s="3"/>
      <c r="AN784" s="3"/>
    </row>
    <row r="785" spans="1:40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K785" s="3"/>
      <c r="AL785" s="3"/>
      <c r="AM785" s="3"/>
      <c r="AN785" s="3"/>
    </row>
    <row r="786" spans="1:40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K786" s="3"/>
      <c r="AL786" s="3"/>
      <c r="AM786" s="3"/>
      <c r="AN786" s="3"/>
    </row>
    <row r="787" spans="1:40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K787" s="3"/>
      <c r="AL787" s="3"/>
      <c r="AM787" s="3"/>
      <c r="AN787" s="3"/>
    </row>
    <row r="788" spans="1:40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K788" s="3"/>
      <c r="AL788" s="3"/>
      <c r="AM788" s="3"/>
      <c r="AN788" s="3"/>
    </row>
    <row r="789" spans="1:40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K789" s="3"/>
      <c r="AL789" s="3"/>
      <c r="AM789" s="3"/>
      <c r="AN789" s="3"/>
    </row>
    <row r="790" spans="1:4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K790" s="3"/>
      <c r="AL790" s="3"/>
      <c r="AM790" s="3"/>
      <c r="AN790" s="3"/>
    </row>
    <row r="791" spans="1:40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K791" s="3"/>
      <c r="AL791" s="3"/>
      <c r="AM791" s="3"/>
      <c r="AN791" s="3"/>
    </row>
    <row r="792" spans="1:40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K792" s="3"/>
      <c r="AL792" s="3"/>
      <c r="AM792" s="3"/>
      <c r="AN792" s="3"/>
    </row>
    <row r="793" spans="1:40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K793" s="3"/>
      <c r="AL793" s="3"/>
      <c r="AM793" s="3"/>
      <c r="AN793" s="3"/>
    </row>
    <row r="794" spans="1:40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K794" s="3"/>
      <c r="AL794" s="3"/>
      <c r="AM794" s="3"/>
      <c r="AN794" s="3"/>
    </row>
    <row r="795" spans="1:40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K795" s="3"/>
      <c r="AL795" s="3"/>
      <c r="AM795" s="3"/>
      <c r="AN795" s="3"/>
    </row>
    <row r="796" spans="1:40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K796" s="3"/>
      <c r="AL796" s="3"/>
      <c r="AM796" s="3"/>
      <c r="AN796" s="3"/>
    </row>
    <row r="797" spans="1:40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K797" s="3"/>
      <c r="AL797" s="3"/>
      <c r="AM797" s="3"/>
      <c r="AN797" s="3"/>
    </row>
    <row r="798" spans="1:40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K798" s="3"/>
      <c r="AL798" s="3"/>
      <c r="AM798" s="3"/>
      <c r="AN798" s="3"/>
    </row>
    <row r="799" spans="1:40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K799" s="3"/>
      <c r="AL799" s="3"/>
      <c r="AM799" s="3"/>
      <c r="AN799" s="3"/>
    </row>
    <row r="800" spans="1:4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K800" s="3"/>
      <c r="AL800" s="3"/>
      <c r="AM800" s="3"/>
      <c r="AN800" s="3"/>
    </row>
    <row r="801" spans="1:40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K801" s="3"/>
      <c r="AL801" s="3"/>
      <c r="AM801" s="3"/>
      <c r="AN801" s="3"/>
    </row>
    <row r="802" spans="1:40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K802" s="3"/>
      <c r="AL802" s="3"/>
      <c r="AM802" s="3"/>
      <c r="AN802" s="3"/>
    </row>
    <row r="803" spans="1:40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K803" s="3"/>
      <c r="AL803" s="3"/>
      <c r="AM803" s="3"/>
      <c r="AN803" s="3"/>
    </row>
    <row r="804" spans="1:40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K804" s="3"/>
      <c r="AL804" s="3"/>
      <c r="AM804" s="3"/>
      <c r="AN804" s="3"/>
    </row>
    <row r="805" spans="1:40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K805" s="3"/>
      <c r="AL805" s="3"/>
      <c r="AM805" s="3"/>
      <c r="AN805" s="3"/>
    </row>
    <row r="806" spans="1:40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K806" s="3"/>
      <c r="AL806" s="3"/>
      <c r="AM806" s="3"/>
      <c r="AN806" s="3"/>
    </row>
    <row r="807" spans="1:40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K807" s="3"/>
      <c r="AL807" s="3"/>
      <c r="AM807" s="3"/>
      <c r="AN807" s="3"/>
    </row>
    <row r="808" spans="1:40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K808" s="3"/>
      <c r="AL808" s="3"/>
      <c r="AM808" s="3"/>
      <c r="AN808" s="3"/>
    </row>
    <row r="809" spans="1:40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K809" s="3"/>
      <c r="AL809" s="3"/>
      <c r="AM809" s="3"/>
      <c r="AN809" s="3"/>
    </row>
    <row r="810" spans="1:4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K810" s="3"/>
      <c r="AL810" s="3"/>
      <c r="AM810" s="3"/>
      <c r="AN810" s="3"/>
    </row>
    <row r="811" spans="1:40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K811" s="3"/>
      <c r="AL811" s="3"/>
      <c r="AM811" s="3"/>
      <c r="AN811" s="3"/>
    </row>
    <row r="812" spans="1:40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K812" s="3"/>
      <c r="AL812" s="3"/>
      <c r="AM812" s="3"/>
      <c r="AN812" s="3"/>
    </row>
    <row r="813" spans="1:40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K813" s="3"/>
      <c r="AL813" s="3"/>
      <c r="AM813" s="3"/>
      <c r="AN813" s="3"/>
    </row>
    <row r="814" spans="1:40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K814" s="3"/>
      <c r="AL814" s="3"/>
      <c r="AM814" s="3"/>
      <c r="AN814" s="3"/>
    </row>
    <row r="815" spans="1:40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K815" s="3"/>
      <c r="AL815" s="3"/>
      <c r="AM815" s="3"/>
      <c r="AN815" s="3"/>
    </row>
    <row r="816" spans="1:40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K816" s="3"/>
      <c r="AL816" s="3"/>
      <c r="AM816" s="3"/>
      <c r="AN816" s="3"/>
    </row>
    <row r="817" spans="1:40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K817" s="3"/>
      <c r="AL817" s="3"/>
      <c r="AM817" s="3"/>
      <c r="AN817" s="3"/>
    </row>
    <row r="818" spans="1:40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K818" s="3"/>
      <c r="AL818" s="3"/>
      <c r="AM818" s="3"/>
      <c r="AN818" s="3"/>
    </row>
    <row r="819" spans="1:40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K819" s="3"/>
      <c r="AL819" s="3"/>
      <c r="AM819" s="3"/>
      <c r="AN819" s="3"/>
    </row>
    <row r="820" spans="1:4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K820" s="3"/>
      <c r="AL820" s="3"/>
      <c r="AM820" s="3"/>
      <c r="AN820" s="3"/>
    </row>
    <row r="821" spans="1:40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K821" s="3"/>
      <c r="AL821" s="3"/>
      <c r="AM821" s="3"/>
      <c r="AN821" s="3"/>
    </row>
    <row r="822" spans="1:40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K822" s="3"/>
      <c r="AL822" s="3"/>
      <c r="AM822" s="3"/>
      <c r="AN822" s="3"/>
    </row>
    <row r="823" spans="1:40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K823" s="3"/>
      <c r="AL823" s="3"/>
      <c r="AM823" s="3"/>
      <c r="AN823" s="3"/>
    </row>
    <row r="824" spans="1:40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K824" s="3"/>
      <c r="AL824" s="3"/>
      <c r="AM824" s="3"/>
      <c r="AN824" s="3"/>
    </row>
    <row r="825" spans="1:40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K825" s="3"/>
      <c r="AL825" s="3"/>
      <c r="AM825" s="3"/>
      <c r="AN825" s="3"/>
    </row>
    <row r="826" spans="1:40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K826" s="3"/>
      <c r="AL826" s="3"/>
      <c r="AM826" s="3"/>
      <c r="AN826" s="3"/>
    </row>
    <row r="827" spans="1:40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K827" s="3"/>
      <c r="AL827" s="3"/>
      <c r="AM827" s="3"/>
      <c r="AN827" s="3"/>
    </row>
    <row r="828" spans="1:40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K828" s="3"/>
      <c r="AL828" s="3"/>
      <c r="AM828" s="3"/>
      <c r="AN828" s="3"/>
    </row>
    <row r="829" spans="1:40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K829" s="3"/>
      <c r="AL829" s="3"/>
      <c r="AM829" s="3"/>
      <c r="AN829" s="3"/>
    </row>
    <row r="830" spans="1:4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K830" s="3"/>
      <c r="AL830" s="3"/>
      <c r="AM830" s="3"/>
      <c r="AN830" s="3"/>
    </row>
    <row r="831" spans="1:40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K831" s="3"/>
      <c r="AL831" s="3"/>
      <c r="AM831" s="3"/>
      <c r="AN831" s="3"/>
    </row>
    <row r="832" spans="1:40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K832" s="3"/>
      <c r="AL832" s="3"/>
      <c r="AM832" s="3"/>
      <c r="AN832" s="3"/>
    </row>
    <row r="833" spans="1:40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K833" s="3"/>
      <c r="AL833" s="3"/>
      <c r="AM833" s="3"/>
      <c r="AN833" s="3"/>
    </row>
    <row r="834" spans="1:40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K834" s="3"/>
      <c r="AL834" s="3"/>
      <c r="AM834" s="3"/>
      <c r="AN834" s="3"/>
    </row>
    <row r="835" spans="1:40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K835" s="3"/>
      <c r="AL835" s="3"/>
      <c r="AM835" s="3"/>
      <c r="AN835" s="3"/>
    </row>
    <row r="836" spans="1:40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K836" s="3"/>
      <c r="AL836" s="3"/>
      <c r="AM836" s="3"/>
      <c r="AN836" s="3"/>
    </row>
    <row r="837" spans="1:40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K837" s="3"/>
      <c r="AL837" s="3"/>
      <c r="AM837" s="3"/>
      <c r="AN837" s="3"/>
    </row>
    <row r="838" spans="1:40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K838" s="3"/>
      <c r="AL838" s="3"/>
      <c r="AM838" s="3"/>
      <c r="AN838" s="3"/>
    </row>
    <row r="839" spans="1:40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K839" s="3"/>
      <c r="AL839" s="3"/>
      <c r="AM839" s="3"/>
      <c r="AN839" s="3"/>
    </row>
    <row r="840" spans="1: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K840" s="3"/>
      <c r="AL840" s="3"/>
      <c r="AM840" s="3"/>
      <c r="AN840" s="3"/>
    </row>
    <row r="841" spans="1:40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K841" s="3"/>
      <c r="AL841" s="3"/>
      <c r="AM841" s="3"/>
      <c r="AN841" s="3"/>
    </row>
    <row r="842" spans="1:40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K842" s="3"/>
      <c r="AL842" s="3"/>
      <c r="AM842" s="3"/>
      <c r="AN842" s="3"/>
    </row>
    <row r="843" spans="1:40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K843" s="3"/>
      <c r="AL843" s="3"/>
      <c r="AM843" s="3"/>
      <c r="AN843" s="3"/>
    </row>
    <row r="844" spans="1:40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K844" s="3"/>
      <c r="AL844" s="3"/>
      <c r="AM844" s="3"/>
      <c r="AN844" s="3"/>
    </row>
    <row r="845" spans="1:40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K845" s="3"/>
      <c r="AL845" s="3"/>
      <c r="AM845" s="3"/>
      <c r="AN845" s="3"/>
    </row>
    <row r="846" spans="1:40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K846" s="3"/>
      <c r="AL846" s="3"/>
      <c r="AM846" s="3"/>
      <c r="AN846" s="3"/>
    </row>
    <row r="847" spans="1:40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K847" s="3"/>
      <c r="AL847" s="3"/>
      <c r="AM847" s="3"/>
      <c r="AN847" s="3"/>
    </row>
    <row r="848" spans="1:40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K848" s="3"/>
      <c r="AL848" s="3"/>
      <c r="AM848" s="3"/>
      <c r="AN848" s="3"/>
    </row>
    <row r="849" spans="1:40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K849" s="3"/>
      <c r="AL849" s="3"/>
      <c r="AM849" s="3"/>
      <c r="AN849" s="3"/>
    </row>
    <row r="850" spans="1:4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K850" s="3"/>
      <c r="AL850" s="3"/>
      <c r="AM850" s="3"/>
      <c r="AN850" s="3"/>
    </row>
    <row r="851" spans="1:40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K851" s="3"/>
      <c r="AL851" s="3"/>
      <c r="AM851" s="3"/>
      <c r="AN851" s="3"/>
    </row>
    <row r="852" spans="1:40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K852" s="3"/>
      <c r="AL852" s="3"/>
      <c r="AM852" s="3"/>
      <c r="AN852" s="3"/>
    </row>
    <row r="853" spans="1:40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K853" s="3"/>
      <c r="AL853" s="3"/>
      <c r="AM853" s="3"/>
      <c r="AN853" s="3"/>
    </row>
    <row r="854" spans="1:40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K854" s="3"/>
      <c r="AL854" s="3"/>
      <c r="AM854" s="3"/>
      <c r="AN854" s="3"/>
    </row>
    <row r="855" spans="1:40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K855" s="3"/>
      <c r="AL855" s="3"/>
      <c r="AM855" s="3"/>
      <c r="AN855" s="3"/>
    </row>
    <row r="856" spans="1:40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K856" s="3"/>
      <c r="AL856" s="3"/>
      <c r="AM856" s="3"/>
      <c r="AN856" s="3"/>
    </row>
    <row r="857" spans="1:40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K857" s="3"/>
      <c r="AL857" s="3"/>
      <c r="AM857" s="3"/>
      <c r="AN857" s="3"/>
    </row>
    <row r="858" spans="1:40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K858" s="3"/>
      <c r="AL858" s="3"/>
      <c r="AM858" s="3"/>
      <c r="AN858" s="3"/>
    </row>
    <row r="859" spans="1:40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K859" s="3"/>
      <c r="AL859" s="3"/>
      <c r="AM859" s="3"/>
      <c r="AN859" s="3"/>
    </row>
    <row r="860" spans="1:4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K860" s="3"/>
      <c r="AL860" s="3"/>
      <c r="AM860" s="3"/>
      <c r="AN860" s="3"/>
    </row>
    <row r="861" spans="1:40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K861" s="3"/>
      <c r="AL861" s="3"/>
      <c r="AM861" s="3"/>
      <c r="AN861" s="3"/>
    </row>
    <row r="862" spans="1:40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K862" s="3"/>
      <c r="AL862" s="3"/>
      <c r="AM862" s="3"/>
      <c r="AN862" s="3"/>
    </row>
    <row r="863" spans="1:40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K863" s="3"/>
      <c r="AL863" s="3"/>
      <c r="AM863" s="3"/>
      <c r="AN863" s="3"/>
    </row>
    <row r="864" spans="1:40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K864" s="3"/>
      <c r="AL864" s="3"/>
      <c r="AM864" s="3"/>
      <c r="AN864" s="3"/>
    </row>
    <row r="865" spans="1:40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K865" s="3"/>
      <c r="AL865" s="3"/>
      <c r="AM865" s="3"/>
      <c r="AN865" s="3"/>
    </row>
    <row r="866" spans="1:40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K866" s="3"/>
      <c r="AL866" s="3"/>
      <c r="AM866" s="3"/>
      <c r="AN866" s="3"/>
    </row>
    <row r="867" spans="1:40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K867" s="3"/>
      <c r="AL867" s="3"/>
      <c r="AM867" s="3"/>
      <c r="AN867" s="3"/>
    </row>
    <row r="868" spans="1:40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K868" s="3"/>
      <c r="AL868" s="3"/>
      <c r="AM868" s="3"/>
      <c r="AN868" s="3"/>
    </row>
    <row r="869" spans="1:40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K869" s="3"/>
      <c r="AL869" s="3"/>
      <c r="AM869" s="3"/>
      <c r="AN869" s="3"/>
    </row>
    <row r="870" spans="1:4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K870" s="3"/>
      <c r="AL870" s="3"/>
      <c r="AM870" s="3"/>
      <c r="AN870" s="3"/>
    </row>
    <row r="871" spans="1:40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K871" s="3"/>
      <c r="AL871" s="3"/>
      <c r="AM871" s="3"/>
      <c r="AN871" s="3"/>
    </row>
    <row r="872" spans="1:40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K872" s="3"/>
      <c r="AL872" s="3"/>
      <c r="AM872" s="3"/>
      <c r="AN872" s="3"/>
    </row>
    <row r="873" spans="1:40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K873" s="3"/>
      <c r="AL873" s="3"/>
      <c r="AM873" s="3"/>
      <c r="AN873" s="3"/>
    </row>
    <row r="874" spans="1:40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K874" s="3"/>
      <c r="AL874" s="3"/>
      <c r="AM874" s="3"/>
      <c r="AN874" s="3"/>
    </row>
    <row r="875" spans="1:40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K875" s="3"/>
      <c r="AL875" s="3"/>
      <c r="AM875" s="3"/>
      <c r="AN875" s="3"/>
    </row>
    <row r="876" spans="1:40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K876" s="3"/>
      <c r="AL876" s="3"/>
      <c r="AM876" s="3"/>
      <c r="AN876" s="3"/>
    </row>
    <row r="877" spans="1:40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K877" s="3"/>
      <c r="AL877" s="3"/>
      <c r="AM877" s="3"/>
      <c r="AN877" s="3"/>
    </row>
    <row r="878" spans="1:40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K878" s="3"/>
      <c r="AL878" s="3"/>
      <c r="AM878" s="3"/>
      <c r="AN878" s="3"/>
    </row>
    <row r="879" spans="1:40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K879" s="3"/>
      <c r="AL879" s="3"/>
      <c r="AM879" s="3"/>
      <c r="AN879" s="3"/>
    </row>
    <row r="880" spans="1:4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K880" s="3"/>
      <c r="AL880" s="3"/>
      <c r="AM880" s="3"/>
      <c r="AN880" s="3"/>
    </row>
    <row r="881" spans="1:40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K881" s="3"/>
      <c r="AL881" s="3"/>
      <c r="AM881" s="3"/>
      <c r="AN881" s="3"/>
    </row>
    <row r="882" spans="1:40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K882" s="3"/>
      <c r="AL882" s="3"/>
      <c r="AM882" s="3"/>
      <c r="AN882" s="3"/>
    </row>
    <row r="883" spans="1:40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K883" s="3"/>
      <c r="AL883" s="3"/>
      <c r="AM883" s="3"/>
      <c r="AN883" s="3"/>
    </row>
    <row r="884" spans="1:40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K884" s="3"/>
      <c r="AL884" s="3"/>
      <c r="AM884" s="3"/>
      <c r="AN884" s="3"/>
    </row>
    <row r="885" spans="1:40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K885" s="3"/>
      <c r="AL885" s="3"/>
      <c r="AM885" s="3"/>
      <c r="AN885" s="3"/>
    </row>
    <row r="886" spans="1:40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K886" s="3"/>
      <c r="AL886" s="3"/>
      <c r="AM886" s="3"/>
      <c r="AN886" s="3"/>
    </row>
    <row r="887" spans="1:40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K887" s="3"/>
      <c r="AL887" s="3"/>
      <c r="AM887" s="3"/>
      <c r="AN887" s="3"/>
    </row>
    <row r="888" spans="1:40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K888" s="3"/>
      <c r="AL888" s="3"/>
      <c r="AM888" s="3"/>
      <c r="AN888" s="3"/>
    </row>
    <row r="889" spans="1:40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K889" s="3"/>
      <c r="AL889" s="3"/>
      <c r="AM889" s="3"/>
      <c r="AN889" s="3"/>
    </row>
    <row r="890" spans="1:4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K890" s="3"/>
      <c r="AL890" s="3"/>
      <c r="AM890" s="3"/>
      <c r="AN890" s="3"/>
    </row>
    <row r="891" spans="1:40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K891" s="3"/>
      <c r="AL891" s="3"/>
      <c r="AM891" s="3"/>
      <c r="AN891" s="3"/>
    </row>
    <row r="892" spans="1:40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K892" s="3"/>
      <c r="AL892" s="3"/>
      <c r="AM892" s="3"/>
      <c r="AN892" s="3"/>
    </row>
    <row r="893" spans="1:40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K893" s="3"/>
      <c r="AL893" s="3"/>
      <c r="AM893" s="3"/>
      <c r="AN893" s="3"/>
    </row>
    <row r="894" spans="1:40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K894" s="3"/>
      <c r="AL894" s="3"/>
      <c r="AM894" s="3"/>
      <c r="AN894" s="3"/>
    </row>
    <row r="895" spans="1:40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K895" s="3"/>
      <c r="AL895" s="3"/>
      <c r="AM895" s="3"/>
      <c r="AN895" s="3"/>
    </row>
    <row r="896" spans="1:40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K896" s="3"/>
      <c r="AL896" s="3"/>
      <c r="AM896" s="3"/>
      <c r="AN896" s="3"/>
    </row>
    <row r="897" spans="1:40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K897" s="3"/>
      <c r="AL897" s="3"/>
      <c r="AM897" s="3"/>
      <c r="AN897" s="3"/>
    </row>
    <row r="898" spans="1:40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K898" s="3"/>
      <c r="AL898" s="3"/>
      <c r="AM898" s="3"/>
      <c r="AN898" s="3"/>
    </row>
    <row r="899" spans="1:40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K899" s="3"/>
      <c r="AL899" s="3"/>
      <c r="AM899" s="3"/>
      <c r="AN899" s="3"/>
    </row>
    <row r="900" spans="1:4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K900" s="3"/>
      <c r="AL900" s="3"/>
      <c r="AM900" s="3"/>
      <c r="AN900" s="3"/>
    </row>
    <row r="901" spans="1:40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K901" s="3"/>
      <c r="AL901" s="3"/>
      <c r="AM901" s="3"/>
      <c r="AN901" s="3"/>
    </row>
    <row r="902" spans="1:40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K902" s="3"/>
      <c r="AL902" s="3"/>
      <c r="AM902" s="3"/>
      <c r="AN902" s="3"/>
    </row>
    <row r="903" spans="1:40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K903" s="3"/>
      <c r="AL903" s="3"/>
      <c r="AM903" s="3"/>
      <c r="AN903" s="3"/>
    </row>
    <row r="904" spans="1:40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K904" s="3"/>
      <c r="AL904" s="3"/>
      <c r="AM904" s="3"/>
      <c r="AN904" s="3"/>
    </row>
    <row r="905" spans="1:40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K905" s="3"/>
      <c r="AL905" s="3"/>
      <c r="AM905" s="3"/>
      <c r="AN905" s="3"/>
    </row>
    <row r="906" spans="1:40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K906" s="3"/>
      <c r="AL906" s="3"/>
      <c r="AM906" s="3"/>
      <c r="AN906" s="3"/>
    </row>
    <row r="907" spans="1:40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K907" s="3"/>
      <c r="AL907" s="3"/>
      <c r="AM907" s="3"/>
      <c r="AN907" s="3"/>
    </row>
    <row r="908" spans="1:40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K908" s="3"/>
      <c r="AL908" s="3"/>
      <c r="AM908" s="3"/>
      <c r="AN908" s="3"/>
    </row>
    <row r="909" spans="1:40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K909" s="3"/>
      <c r="AL909" s="3"/>
      <c r="AM909" s="3"/>
      <c r="AN909" s="3"/>
    </row>
    <row r="910" spans="1:4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K910" s="3"/>
      <c r="AL910" s="3"/>
      <c r="AM910" s="3"/>
      <c r="AN910" s="3"/>
    </row>
    <row r="911" spans="1:40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K911" s="3"/>
      <c r="AL911" s="3"/>
      <c r="AM911" s="3"/>
      <c r="AN911" s="3"/>
    </row>
    <row r="912" spans="1:40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K912" s="3"/>
      <c r="AL912" s="3"/>
      <c r="AM912" s="3"/>
      <c r="AN912" s="3"/>
    </row>
    <row r="913" spans="1:40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K913" s="3"/>
      <c r="AL913" s="3"/>
      <c r="AM913" s="3"/>
      <c r="AN913" s="3"/>
    </row>
    <row r="914" spans="1:40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K914" s="3"/>
      <c r="AL914" s="3"/>
      <c r="AM914" s="3"/>
      <c r="AN914" s="3"/>
    </row>
    <row r="915" spans="1:40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K915" s="3"/>
      <c r="AL915" s="3"/>
      <c r="AM915" s="3"/>
      <c r="AN915" s="3"/>
    </row>
    <row r="916" spans="1:40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K916" s="3"/>
      <c r="AL916" s="3"/>
      <c r="AM916" s="3"/>
      <c r="AN916" s="3"/>
    </row>
    <row r="917" spans="1:40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K917" s="3"/>
      <c r="AL917" s="3"/>
      <c r="AM917" s="3"/>
      <c r="AN917" s="3"/>
    </row>
    <row r="918" spans="1:40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K918" s="3"/>
      <c r="AL918" s="3"/>
      <c r="AM918" s="3"/>
      <c r="AN918" s="3"/>
    </row>
    <row r="919" spans="1:40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K919" s="3"/>
      <c r="AL919" s="3"/>
      <c r="AM919" s="3"/>
      <c r="AN919" s="3"/>
    </row>
    <row r="920" spans="1:4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K920" s="3"/>
      <c r="AL920" s="3"/>
      <c r="AM920" s="3"/>
      <c r="AN920" s="3"/>
    </row>
    <row r="921" spans="1:40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K921" s="3"/>
      <c r="AL921" s="3"/>
      <c r="AM921" s="3"/>
      <c r="AN921" s="3"/>
    </row>
    <row r="922" spans="1:40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K922" s="3"/>
      <c r="AL922" s="3"/>
      <c r="AM922" s="3"/>
      <c r="AN922" s="3"/>
    </row>
    <row r="923" spans="1:40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K923" s="3"/>
      <c r="AL923" s="3"/>
      <c r="AM923" s="3"/>
      <c r="AN923" s="3"/>
    </row>
    <row r="924" spans="1:40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K924" s="3"/>
      <c r="AL924" s="3"/>
      <c r="AM924" s="3"/>
      <c r="AN924" s="3"/>
    </row>
    <row r="925" spans="1:40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K925" s="3"/>
      <c r="AL925" s="3"/>
      <c r="AM925" s="3"/>
      <c r="AN925" s="3"/>
    </row>
    <row r="926" spans="1:40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K926" s="3"/>
      <c r="AL926" s="3"/>
      <c r="AM926" s="3"/>
      <c r="AN926" s="3"/>
    </row>
    <row r="927" spans="1:40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K927" s="3"/>
      <c r="AL927" s="3"/>
      <c r="AM927" s="3"/>
      <c r="AN927" s="3"/>
    </row>
    <row r="928" spans="1:40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K928" s="3"/>
      <c r="AL928" s="3"/>
      <c r="AM928" s="3"/>
      <c r="AN928" s="3"/>
    </row>
    <row r="929" spans="1:40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K929" s="3"/>
      <c r="AL929" s="3"/>
      <c r="AM929" s="3"/>
      <c r="AN929" s="3"/>
    </row>
    <row r="930" spans="1:4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K930" s="3"/>
      <c r="AL930" s="3"/>
      <c r="AM930" s="3"/>
      <c r="AN930" s="3"/>
    </row>
    <row r="931" spans="1:40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K931" s="3"/>
      <c r="AL931" s="3"/>
      <c r="AM931" s="3"/>
      <c r="AN931" s="3"/>
    </row>
    <row r="932" spans="1:40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K932" s="3"/>
      <c r="AL932" s="3"/>
      <c r="AM932" s="3"/>
      <c r="AN932" s="3"/>
    </row>
    <row r="933" spans="1:40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K933" s="3"/>
      <c r="AL933" s="3"/>
      <c r="AM933" s="3"/>
      <c r="AN933" s="3"/>
    </row>
    <row r="934" spans="1:40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K934" s="3"/>
      <c r="AL934" s="3"/>
      <c r="AM934" s="3"/>
      <c r="AN934" s="3"/>
    </row>
    <row r="935" spans="1:40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K935" s="3"/>
      <c r="AL935" s="3"/>
      <c r="AM935" s="3"/>
      <c r="AN935" s="3"/>
    </row>
    <row r="936" spans="1:40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K936" s="3"/>
      <c r="AL936" s="3"/>
      <c r="AM936" s="3"/>
      <c r="AN936" s="3"/>
    </row>
    <row r="937" spans="1:40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K937" s="3"/>
      <c r="AL937" s="3"/>
      <c r="AM937" s="3"/>
      <c r="AN937" s="3"/>
    </row>
    <row r="938" spans="1:40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K938" s="3"/>
      <c r="AL938" s="3"/>
      <c r="AM938" s="3"/>
      <c r="AN938" s="3"/>
    </row>
    <row r="939" spans="1:40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K939" s="3"/>
      <c r="AL939" s="3"/>
      <c r="AM939" s="3"/>
      <c r="AN939" s="3"/>
    </row>
    <row r="940" spans="1: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K940" s="3"/>
      <c r="AL940" s="3"/>
      <c r="AM940" s="3"/>
      <c r="AN940" s="3"/>
    </row>
    <row r="941" spans="1:40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K941" s="3"/>
      <c r="AL941" s="3"/>
      <c r="AM941" s="3"/>
      <c r="AN941" s="3"/>
    </row>
    <row r="942" spans="1:40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K942" s="3"/>
      <c r="AL942" s="3"/>
      <c r="AM942" s="3"/>
      <c r="AN942" s="3"/>
    </row>
    <row r="943" spans="1:40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K943" s="3"/>
      <c r="AL943" s="3"/>
      <c r="AM943" s="3"/>
      <c r="AN943" s="3"/>
    </row>
    <row r="944" spans="1:40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K944" s="3"/>
      <c r="AL944" s="3"/>
      <c r="AM944" s="3"/>
      <c r="AN944" s="3"/>
    </row>
    <row r="945" spans="1:40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K945" s="3"/>
      <c r="AL945" s="3"/>
      <c r="AM945" s="3"/>
      <c r="AN945" s="3"/>
    </row>
    <row r="946" spans="1:40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K946" s="3"/>
      <c r="AL946" s="3"/>
      <c r="AM946" s="3"/>
      <c r="AN946" s="3"/>
    </row>
    <row r="947" spans="1:40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K947" s="3"/>
      <c r="AL947" s="3"/>
      <c r="AM947" s="3"/>
      <c r="AN947" s="3"/>
    </row>
    <row r="948" spans="1:40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K948" s="3"/>
      <c r="AL948" s="3"/>
      <c r="AM948" s="3"/>
      <c r="AN948" s="3"/>
    </row>
    <row r="949" spans="1:40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K949" s="3"/>
      <c r="AL949" s="3"/>
      <c r="AM949" s="3"/>
      <c r="AN949" s="3"/>
    </row>
    <row r="950" spans="1:4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K950" s="3"/>
      <c r="AL950" s="3"/>
      <c r="AM950" s="3"/>
      <c r="AN950" s="3"/>
    </row>
    <row r="951" spans="1:40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K951" s="3"/>
      <c r="AL951" s="3"/>
      <c r="AM951" s="3"/>
      <c r="AN951" s="3"/>
    </row>
    <row r="952" spans="1:40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K952" s="3"/>
      <c r="AL952" s="3"/>
      <c r="AM952" s="3"/>
      <c r="AN952" s="3"/>
    </row>
    <row r="953" spans="1:40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K953" s="3"/>
      <c r="AL953" s="3"/>
      <c r="AM953" s="3"/>
      <c r="AN953" s="3"/>
    </row>
    <row r="954" spans="1:40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K954" s="3"/>
      <c r="AL954" s="3"/>
      <c r="AM954" s="3"/>
      <c r="AN954" s="3"/>
    </row>
    <row r="955" spans="1:40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K955" s="3"/>
      <c r="AL955" s="3"/>
      <c r="AM955" s="3"/>
      <c r="AN955" s="3"/>
    </row>
    <row r="956" spans="1:40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K956" s="3"/>
      <c r="AL956" s="3"/>
      <c r="AM956" s="3"/>
      <c r="AN956" s="3"/>
    </row>
    <row r="957" spans="1:40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K957" s="3"/>
      <c r="AL957" s="3"/>
      <c r="AM957" s="3"/>
      <c r="AN957" s="3"/>
    </row>
    <row r="958" spans="1:40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K958" s="3"/>
      <c r="AL958" s="3"/>
      <c r="AM958" s="3"/>
      <c r="AN958" s="3"/>
    </row>
    <row r="959" spans="1:40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K959" s="3"/>
      <c r="AL959" s="3"/>
      <c r="AM959" s="3"/>
      <c r="AN959" s="3"/>
    </row>
    <row r="960" spans="1:4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K960" s="3"/>
      <c r="AL960" s="3"/>
      <c r="AM960" s="3"/>
      <c r="AN960" s="3"/>
    </row>
    <row r="961" spans="1:40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K961" s="3"/>
      <c r="AL961" s="3"/>
      <c r="AM961" s="3"/>
      <c r="AN961" s="3"/>
    </row>
    <row r="962" spans="1:40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K962" s="3"/>
      <c r="AL962" s="3"/>
      <c r="AM962" s="3"/>
      <c r="AN962" s="3"/>
    </row>
    <row r="963" spans="1:40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K963" s="3"/>
      <c r="AL963" s="3"/>
      <c r="AM963" s="3"/>
      <c r="AN963" s="3"/>
    </row>
    <row r="964" spans="1:40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K964" s="3"/>
      <c r="AL964" s="3"/>
      <c r="AM964" s="3"/>
      <c r="AN964" s="3"/>
    </row>
    <row r="965" spans="1:40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K965" s="3"/>
      <c r="AL965" s="3"/>
      <c r="AM965" s="3"/>
      <c r="AN965" s="3"/>
    </row>
    <row r="966" spans="1:40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K966" s="3"/>
      <c r="AL966" s="3"/>
      <c r="AM966" s="3"/>
      <c r="AN966" s="3"/>
    </row>
    <row r="967" spans="1:40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K967" s="3"/>
      <c r="AL967" s="3"/>
      <c r="AM967" s="3"/>
      <c r="AN967" s="3"/>
    </row>
    <row r="968" spans="1:40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K968" s="3"/>
      <c r="AL968" s="3"/>
      <c r="AM968" s="3"/>
      <c r="AN968" s="3"/>
    </row>
    <row r="969" spans="1:40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K969" s="3"/>
      <c r="AL969" s="3"/>
      <c r="AM969" s="3"/>
      <c r="AN969" s="3"/>
    </row>
    <row r="970" spans="1:4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K970" s="3"/>
      <c r="AL970" s="3"/>
      <c r="AM970" s="3"/>
      <c r="AN970" s="3"/>
    </row>
    <row r="971" spans="1:40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K971" s="3"/>
      <c r="AL971" s="3"/>
      <c r="AM971" s="3"/>
      <c r="AN971" s="3"/>
    </row>
    <row r="972" spans="1:40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K972" s="3"/>
      <c r="AL972" s="3"/>
      <c r="AM972" s="3"/>
      <c r="AN972" s="3"/>
    </row>
    <row r="973" spans="1:40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K973" s="3"/>
      <c r="AL973" s="3"/>
      <c r="AM973" s="3"/>
      <c r="AN973" s="3"/>
    </row>
    <row r="974" spans="1:40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K974" s="3"/>
      <c r="AL974" s="3"/>
      <c r="AM974" s="3"/>
      <c r="AN974" s="3"/>
    </row>
    <row r="975" spans="1:40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K975" s="3"/>
      <c r="AL975" s="3"/>
      <c r="AM975" s="3"/>
      <c r="AN975" s="3"/>
    </row>
    <row r="976" spans="1:40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K976" s="3"/>
      <c r="AL976" s="3"/>
      <c r="AM976" s="3"/>
      <c r="AN976" s="3"/>
    </row>
    <row r="977" spans="1:40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K977" s="3"/>
      <c r="AL977" s="3"/>
      <c r="AM977" s="3"/>
      <c r="AN977" s="3"/>
    </row>
    <row r="978" spans="1:40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K978" s="3"/>
      <c r="AL978" s="3"/>
      <c r="AM978" s="3"/>
      <c r="AN978" s="3"/>
    </row>
    <row r="979" spans="1:40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K979" s="3"/>
      <c r="AL979" s="3"/>
      <c r="AM979" s="3"/>
      <c r="AN979" s="3"/>
    </row>
    <row r="980" spans="1:4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K980" s="3"/>
      <c r="AL980" s="3"/>
      <c r="AM980" s="3"/>
      <c r="AN980" s="3"/>
    </row>
    <row r="981" spans="1:40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K981" s="3"/>
      <c r="AL981" s="3"/>
      <c r="AM981" s="3"/>
      <c r="AN981" s="3"/>
    </row>
    <row r="982" spans="1:40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K982" s="3"/>
      <c r="AL982" s="3"/>
      <c r="AM982" s="3"/>
      <c r="AN982" s="3"/>
    </row>
    <row r="983" spans="1:40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K983" s="3"/>
      <c r="AL983" s="3"/>
      <c r="AM983" s="3"/>
      <c r="AN983" s="3"/>
    </row>
    <row r="984" spans="1:40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K984" s="3"/>
      <c r="AL984" s="3"/>
      <c r="AM984" s="3"/>
      <c r="AN984" s="3"/>
    </row>
    <row r="985" spans="1:40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K985" s="3"/>
      <c r="AL985" s="3"/>
      <c r="AM985" s="3"/>
      <c r="AN985" s="3"/>
    </row>
    <row r="986" spans="1:40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K986" s="3"/>
      <c r="AL986" s="3"/>
      <c r="AM986" s="3"/>
      <c r="AN986" s="3"/>
    </row>
    <row r="987" spans="1:40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K987" s="3"/>
      <c r="AL987" s="3"/>
      <c r="AM987" s="3"/>
      <c r="AN987" s="3"/>
    </row>
    <row r="988" spans="1:40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K988" s="3"/>
      <c r="AL988" s="3"/>
      <c r="AM988" s="3"/>
      <c r="AN988" s="3"/>
    </row>
    <row r="989" spans="1:40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K989" s="3"/>
      <c r="AL989" s="3"/>
      <c r="AM989" s="3"/>
      <c r="AN989" s="3"/>
    </row>
    <row r="990" spans="1:4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K990" s="3"/>
      <c r="AL990" s="3"/>
      <c r="AM990" s="3"/>
      <c r="AN990" s="3"/>
    </row>
    <row r="991" spans="1:40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K991" s="3"/>
      <c r="AL991" s="3"/>
      <c r="AM991" s="3"/>
      <c r="AN991" s="3"/>
    </row>
    <row r="992" spans="1:40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K992" s="3"/>
      <c r="AL992" s="3"/>
      <c r="AM992" s="3"/>
      <c r="AN992" s="3"/>
    </row>
    <row r="993" spans="1:40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K993" s="3"/>
      <c r="AL993" s="3"/>
      <c r="AM993" s="3"/>
      <c r="AN993" s="3"/>
    </row>
    <row r="994" spans="1:40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K994" s="3"/>
      <c r="AL994" s="3"/>
      <c r="AM994" s="3"/>
      <c r="AN994" s="3"/>
    </row>
    <row r="995" spans="1:40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K995" s="3"/>
      <c r="AL995" s="3"/>
      <c r="AM995" s="3"/>
      <c r="AN995" s="3"/>
    </row>
    <row r="996" spans="1:40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K996" s="3"/>
      <c r="AL996" s="3"/>
      <c r="AM996" s="3"/>
      <c r="AN996" s="3"/>
    </row>
    <row r="997" spans="1:40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K997" s="3"/>
      <c r="AL997" s="3"/>
      <c r="AM997" s="3"/>
      <c r="AN997" s="3"/>
    </row>
    <row r="998" spans="1:40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K998" s="3"/>
      <c r="AL998" s="3"/>
      <c r="AM998" s="3"/>
      <c r="AN998" s="3"/>
    </row>
    <row r="999" spans="1:40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K999" s="3"/>
      <c r="AL999" s="3"/>
      <c r="AM999" s="3"/>
      <c r="AN999" s="3"/>
    </row>
    <row r="1000" spans="1:4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K1000" s="3"/>
      <c r="AL1000" s="3"/>
      <c r="AM1000" s="3"/>
      <c r="AN1000" s="3"/>
    </row>
    <row r="1001" spans="1:40" ht="16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K1001" s="3"/>
      <c r="AL1001" s="3"/>
      <c r="AM1001" s="3"/>
      <c r="AN1001" s="3"/>
    </row>
    <row r="1002" spans="1:40" ht="16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K1002" s="3"/>
      <c r="AL1002" s="3"/>
      <c r="AM1002" s="3"/>
      <c r="AN1002" s="3"/>
    </row>
    <row r="1003" spans="1:40" ht="16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K1003" s="3"/>
      <c r="AL1003" s="3"/>
      <c r="AM1003" s="3"/>
      <c r="AN1003" s="3"/>
    </row>
    <row r="1004" spans="1:40" ht="16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K1004" s="3"/>
      <c r="AL1004" s="3"/>
      <c r="AM1004" s="3"/>
      <c r="AN1004" s="3"/>
    </row>
    <row r="1005" spans="1:40" ht="16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K1005" s="3"/>
      <c r="AL1005" s="3"/>
      <c r="AM1005" s="3"/>
      <c r="AN1005" s="3"/>
    </row>
    <row r="1006" spans="1:40" ht="16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K1006" s="3"/>
      <c r="AL1006" s="3"/>
      <c r="AM1006" s="3"/>
      <c r="AN1006" s="3"/>
    </row>
    <row r="1007" spans="1:40" ht="16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K1007" s="3"/>
      <c r="AL1007" s="3"/>
      <c r="AM1007" s="3"/>
      <c r="AN1007" s="3"/>
    </row>
    <row r="1008" spans="1:40" ht="16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K1008" s="3"/>
      <c r="AL1008" s="3"/>
      <c r="AM1008" s="3"/>
      <c r="AN1008" s="3"/>
    </row>
    <row r="1009" spans="1:40" ht="16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K1009" s="3"/>
      <c r="AL1009" s="3"/>
      <c r="AM1009" s="3"/>
      <c r="AN1009" s="3"/>
    </row>
    <row r="1010" spans="1:40" ht="16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K1010" s="3"/>
      <c r="AL1010" s="3"/>
      <c r="AM1010" s="3"/>
      <c r="AN1010" s="3"/>
    </row>
    <row r="1011" spans="1:40" ht="16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K1011" s="3"/>
      <c r="AL1011" s="3"/>
      <c r="AM1011" s="3"/>
      <c r="AN1011" s="3"/>
    </row>
  </sheetData>
  <mergeCells count="9">
    <mergeCell ref="B54:J54"/>
    <mergeCell ref="B55:J55"/>
    <mergeCell ref="B56:J56"/>
    <mergeCell ref="B1:K1"/>
    <mergeCell ref="N1:AC1"/>
    <mergeCell ref="B5:B50"/>
    <mergeCell ref="N5:N50"/>
    <mergeCell ref="B52:E52"/>
    <mergeCell ref="B53:E53"/>
  </mergeCells>
  <phoneticPr fontId="1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097C-E22F-464A-A832-BD93F60429F1}">
  <dimension ref="A1:AN1011"/>
  <sheetViews>
    <sheetView topLeftCell="A37" zoomScale="115" zoomScaleNormal="115" workbookViewId="0">
      <selection activeCell="F5" sqref="F5:F50"/>
    </sheetView>
  </sheetViews>
  <sheetFormatPr defaultColWidth="14.42578125" defaultRowHeight="15" customHeight="1"/>
  <cols>
    <col min="1" max="1" width="7.28515625" style="6" customWidth="1"/>
    <col min="2" max="2" width="12.7109375" style="6" customWidth="1"/>
    <col min="3" max="3" width="5.7109375" style="6" customWidth="1"/>
    <col min="4" max="4" width="3" style="6" customWidth="1"/>
    <col min="5" max="5" width="24.5703125" style="6" customWidth="1"/>
    <col min="6" max="6" width="14.85546875" style="6" customWidth="1"/>
    <col min="7" max="7" width="11.28515625" style="6" customWidth="1"/>
    <col min="8" max="8" width="2.7109375" style="6" customWidth="1"/>
    <col min="9" max="9" width="14.28515625" style="6" customWidth="1"/>
    <col min="10" max="10" width="2.42578125" style="6" customWidth="1"/>
    <col min="11" max="11" width="16.28515625" style="6" customWidth="1"/>
    <col min="12" max="12" width="13" style="6" customWidth="1"/>
    <col min="13" max="13" width="4.28515625" style="6" customWidth="1"/>
    <col min="14" max="14" width="12.28515625" style="6" customWidth="1"/>
    <col min="15" max="15" width="6.42578125" style="6" customWidth="1"/>
    <col min="16" max="16" width="23" style="6" customWidth="1"/>
    <col min="17" max="17" width="14.28515625" style="6" customWidth="1"/>
    <col min="18" max="18" width="2.28515625" style="6" customWidth="1"/>
    <col min="19" max="19" width="12.28515625" style="6" customWidth="1"/>
    <col min="20" max="20" width="2.7109375" style="6" customWidth="1"/>
    <col min="21" max="21" width="14.5703125" style="6" customWidth="1"/>
    <col min="22" max="22" width="2.42578125" style="6" customWidth="1"/>
    <col min="23" max="23" width="15" style="6" customWidth="1"/>
    <col min="24" max="24" width="2.28515625" style="6" customWidth="1"/>
    <col min="25" max="25" width="14.28515625" style="6" customWidth="1"/>
    <col min="26" max="26" width="2.42578125" style="6" customWidth="1"/>
    <col min="27" max="27" width="14.28515625" style="6" customWidth="1"/>
    <col min="28" max="28" width="2.42578125" style="6" customWidth="1"/>
    <col min="29" max="32" width="14.5703125" style="6" customWidth="1"/>
    <col min="33" max="36" width="9.28515625" style="3" customWidth="1"/>
    <col min="37" max="37" width="9.28515625" style="6" customWidth="1"/>
    <col min="38" max="38" width="12.28515625" style="6" customWidth="1"/>
    <col min="39" max="39" width="3.42578125" style="6" customWidth="1"/>
    <col min="40" max="40" width="17.28515625" style="6" customWidth="1"/>
    <col min="41" max="16384" width="14.42578125" style="6"/>
  </cols>
  <sheetData>
    <row r="1" spans="1:40" ht="15" customHeight="1">
      <c r="A1" s="1"/>
      <c r="B1" s="4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1"/>
      <c r="M1" s="2"/>
      <c r="N1" s="44" t="s">
        <v>1</v>
      </c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  <c r="AD1" s="3"/>
      <c r="AE1" s="3"/>
      <c r="AF1" s="3"/>
      <c r="AK1" s="3"/>
      <c r="AL1" s="4"/>
      <c r="AM1" s="5"/>
      <c r="AN1" s="4"/>
    </row>
    <row r="2" spans="1:40" ht="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K2" s="3"/>
      <c r="AL2" s="4"/>
      <c r="AM2" s="5"/>
      <c r="AN2" s="4"/>
    </row>
    <row r="3" spans="1:40" ht="17.25" customHeight="1">
      <c r="A3" s="3"/>
      <c r="B3" s="9" t="s">
        <v>2</v>
      </c>
      <c r="C3" s="8">
        <v>46</v>
      </c>
      <c r="D3" s="10"/>
      <c r="E3" s="50" t="s">
        <v>3</v>
      </c>
      <c r="F3" s="50"/>
      <c r="G3" s="3" t="s">
        <v>115</v>
      </c>
      <c r="H3" s="3"/>
      <c r="I3" s="3"/>
      <c r="J3" s="3"/>
      <c r="K3" s="3"/>
      <c r="M3" s="3"/>
      <c r="N3" s="7" t="s">
        <v>2</v>
      </c>
      <c r="O3" s="8">
        <f>C3</f>
        <v>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K3" s="3"/>
      <c r="AL3" s="11"/>
      <c r="AM3" s="3"/>
      <c r="AN3" s="12"/>
    </row>
    <row r="4" spans="1:40" ht="15.75" customHeight="1">
      <c r="A4" s="15"/>
      <c r="B4" s="13"/>
      <c r="C4" s="3"/>
      <c r="D4" s="3"/>
      <c r="E4" s="16" t="s">
        <v>4</v>
      </c>
      <c r="F4" s="14" t="s">
        <v>5</v>
      </c>
      <c r="G4" s="16" t="s">
        <v>116</v>
      </c>
      <c r="H4" s="3"/>
      <c r="I4" s="14" t="s">
        <v>7</v>
      </c>
      <c r="J4" s="3"/>
      <c r="K4" s="14" t="s">
        <v>8</v>
      </c>
      <c r="L4" s="51" t="s">
        <v>9</v>
      </c>
      <c r="M4" s="3"/>
      <c r="N4" s="3"/>
      <c r="O4" s="3"/>
      <c r="P4" s="17" t="s">
        <v>4</v>
      </c>
      <c r="Q4" s="18" t="s">
        <v>10</v>
      </c>
      <c r="R4" s="3"/>
      <c r="S4" s="18" t="s">
        <v>11</v>
      </c>
      <c r="T4" s="3"/>
      <c r="U4" s="18" t="s">
        <v>12</v>
      </c>
      <c r="V4" s="3"/>
      <c r="W4" s="18" t="s">
        <v>13</v>
      </c>
      <c r="X4" s="3"/>
      <c r="Y4" s="18" t="s">
        <v>14</v>
      </c>
      <c r="Z4" s="3"/>
      <c r="AA4" s="18" t="s">
        <v>15</v>
      </c>
      <c r="AB4" s="3"/>
      <c r="AC4" s="18" t="s">
        <v>16</v>
      </c>
      <c r="AD4" s="3"/>
      <c r="AE4" s="3"/>
      <c r="AF4" s="3"/>
      <c r="AK4" s="3"/>
      <c r="AL4" s="11"/>
      <c r="AM4" s="3"/>
      <c r="AN4" s="12"/>
    </row>
    <row r="5" spans="1:40" ht="15.75" customHeight="1">
      <c r="A5" s="21"/>
      <c r="B5" s="45" t="s">
        <v>17</v>
      </c>
      <c r="C5" s="19" t="s">
        <v>18</v>
      </c>
      <c r="D5" s="3"/>
      <c r="E5" s="40" t="s">
        <v>19</v>
      </c>
      <c r="F5" s="57">
        <f>'T1&amp;T2_G2=3dec. '!F5</f>
        <v>0</v>
      </c>
      <c r="G5" s="58">
        <f>100-AC5</f>
        <v>9.6621376811592086</v>
      </c>
      <c r="H5" s="3"/>
      <c r="I5" s="19">
        <f>G5-G53</f>
        <v>1.2461921440654304</v>
      </c>
      <c r="J5" s="3"/>
      <c r="K5" s="20">
        <f t="shared" ref="K5:K50" si="0">POWER(I5,2)</f>
        <v>1.5529948599303944</v>
      </c>
      <c r="L5" s="21">
        <f>G5-'T1&amp;T2_G2=3dec. '!G5</f>
        <v>6.0688405797066025E-2</v>
      </c>
      <c r="M5" s="21"/>
      <c r="N5" s="46" t="str">
        <f>B5</f>
        <v>T1&amp;T2; 05.10.2026</v>
      </c>
      <c r="O5" s="23" t="str">
        <f>C5</f>
        <v>n1</v>
      </c>
      <c r="P5" s="22" t="str">
        <f>E5</f>
        <v>051026_AM02.2_S1</v>
      </c>
      <c r="Q5" s="24">
        <v>18.077999999999999</v>
      </c>
      <c r="R5" s="3"/>
      <c r="S5" s="25">
        <v>1.1040000000000001</v>
      </c>
      <c r="T5" s="3"/>
      <c r="U5" s="20">
        <f t="shared" ref="U5:U50" si="1">Q5+S5</f>
        <v>19.181999999999999</v>
      </c>
      <c r="V5" s="3"/>
      <c r="W5" s="26">
        <v>19.075330000000001</v>
      </c>
      <c r="X5" s="3"/>
      <c r="Y5" s="20">
        <f>U5-W5</f>
        <v>0.1066699999999976</v>
      </c>
      <c r="Z5" s="3"/>
      <c r="AA5" s="19">
        <f>S5-Y5</f>
        <v>0.99733000000000249</v>
      </c>
      <c r="AB5" s="3"/>
      <c r="AC5" s="20">
        <f>AA5*100/S5</f>
        <v>90.337862318840791</v>
      </c>
      <c r="AD5" s="3"/>
      <c r="AE5" s="3"/>
      <c r="AF5" s="3"/>
      <c r="AK5" s="3"/>
      <c r="AL5" s="3"/>
      <c r="AM5" s="3"/>
      <c r="AN5" s="3"/>
    </row>
    <row r="6" spans="1:40" ht="15.75" customHeight="1">
      <c r="A6" s="21"/>
      <c r="B6" s="45"/>
      <c r="C6" s="19" t="s">
        <v>20</v>
      </c>
      <c r="D6" s="3"/>
      <c r="E6" s="40" t="s">
        <v>21</v>
      </c>
      <c r="F6" s="57">
        <f>'T1&amp;T2_G2=3dec. '!F6</f>
        <v>0</v>
      </c>
      <c r="G6" s="59">
        <f>100-AC6</f>
        <v>8.6571428571428868</v>
      </c>
      <c r="H6" s="3"/>
      <c r="I6" s="19">
        <f>G6-G53</f>
        <v>0.24119732004910865</v>
      </c>
      <c r="J6" s="3"/>
      <c r="K6" s="20">
        <f t="shared" si="0"/>
        <v>5.8176147198872152E-2</v>
      </c>
      <c r="L6" s="21">
        <f>G6-'T1&amp;T2_G2=3dec. '!G6</f>
        <v>-6.4516129033052039E-3</v>
      </c>
      <c r="M6" s="21"/>
      <c r="N6" s="46"/>
      <c r="O6" s="23" t="str">
        <f>C6</f>
        <v>n2</v>
      </c>
      <c r="P6" s="22" t="str">
        <f t="shared" ref="P6:P50" si="2">E6</f>
        <v>051026_AM02.2_S2</v>
      </c>
      <c r="Q6" s="24">
        <v>18.321999999999999</v>
      </c>
      <c r="R6" s="3"/>
      <c r="S6" s="25">
        <v>1.085</v>
      </c>
      <c r="T6" s="3"/>
      <c r="U6" s="20">
        <f t="shared" si="1"/>
        <v>19.407</v>
      </c>
      <c r="V6" s="3"/>
      <c r="W6" s="26">
        <v>19.31307</v>
      </c>
      <c r="X6" s="3"/>
      <c r="Y6" s="20">
        <f>U6-W6</f>
        <v>9.3930000000000291E-2</v>
      </c>
      <c r="Z6" s="3"/>
      <c r="AA6" s="19">
        <f>S6-Y6</f>
        <v>0.99106999999999967</v>
      </c>
      <c r="AB6" s="3"/>
      <c r="AC6" s="20">
        <f>AA6*100/S6</f>
        <v>91.342857142857113</v>
      </c>
      <c r="AD6" s="3"/>
      <c r="AE6" s="3"/>
      <c r="AF6" s="3"/>
      <c r="AK6" s="3"/>
      <c r="AL6" s="3"/>
      <c r="AM6" s="3"/>
      <c r="AN6" s="3"/>
    </row>
    <row r="7" spans="1:40" ht="15.75" customHeight="1">
      <c r="A7" s="21"/>
      <c r="B7" s="45"/>
      <c r="C7" s="19" t="s">
        <v>22</v>
      </c>
      <c r="D7" s="3"/>
      <c r="E7" s="40" t="s">
        <v>23</v>
      </c>
      <c r="F7" s="57">
        <f>'T1&amp;T2_G2=3dec. '!F7</f>
        <v>0</v>
      </c>
      <c r="G7" s="59">
        <f>100-AC7</f>
        <v>7.5862660944203668</v>
      </c>
      <c r="H7" s="3"/>
      <c r="I7" s="19">
        <f>G7-G53</f>
        <v>-0.82967944267341132</v>
      </c>
      <c r="J7" s="3"/>
      <c r="K7" s="20">
        <f t="shared" si="0"/>
        <v>0.68836797759486246</v>
      </c>
      <c r="L7" s="21">
        <f>G7-'T1&amp;T2_G2=3dec. '!G7</f>
        <v>3.2618025751062873E-2</v>
      </c>
      <c r="M7" s="21"/>
      <c r="N7" s="46"/>
      <c r="O7" s="23" t="str">
        <f t="shared" ref="O7:O50" si="3">C7</f>
        <v>n3</v>
      </c>
      <c r="P7" s="22" t="str">
        <f t="shared" si="2"/>
        <v>051026_AM02.2_S3</v>
      </c>
      <c r="Q7" s="24">
        <v>17.86</v>
      </c>
      <c r="R7" s="3"/>
      <c r="S7" s="25">
        <v>1.165</v>
      </c>
      <c r="T7" s="3"/>
      <c r="U7" s="20">
        <f t="shared" si="1"/>
        <v>19.024999999999999</v>
      </c>
      <c r="V7" s="3"/>
      <c r="W7" s="26">
        <v>18.936620000000001</v>
      </c>
      <c r="X7" s="3"/>
      <c r="Y7" s="20">
        <f>U7-W7</f>
        <v>8.8379999999997239E-2</v>
      </c>
      <c r="Z7" s="3"/>
      <c r="AA7" s="19">
        <f>S7-Y7</f>
        <v>1.0766200000000028</v>
      </c>
      <c r="AB7" s="3"/>
      <c r="AC7" s="20">
        <f>AA7*100/S7</f>
        <v>92.413733905579633</v>
      </c>
      <c r="AD7" s="3"/>
      <c r="AE7" s="3"/>
      <c r="AF7" s="3"/>
      <c r="AK7" s="3"/>
      <c r="AL7" s="3"/>
      <c r="AM7" s="3"/>
      <c r="AN7" s="3"/>
    </row>
    <row r="8" spans="1:40" ht="15.75" customHeight="1">
      <c r="A8" s="21"/>
      <c r="B8" s="45"/>
      <c r="C8" s="19" t="s">
        <v>24</v>
      </c>
      <c r="D8" s="3"/>
      <c r="E8" s="40" t="s">
        <v>25</v>
      </c>
      <c r="F8" s="57">
        <f>'T1&amp;T2_G2=3dec. '!F8</f>
        <v>0</v>
      </c>
      <c r="G8" s="59">
        <f>100-AC8</f>
        <v>8.5891544117647669</v>
      </c>
      <c r="H8" s="3"/>
      <c r="I8" s="19">
        <f>G8-G53</f>
        <v>0.17320887467098878</v>
      </c>
      <c r="J8" s="3"/>
      <c r="K8" s="20">
        <f t="shared" si="0"/>
        <v>3.0001314264790298E-2</v>
      </c>
      <c r="L8" s="21">
        <f>G8-'T1&amp;T2_G2=3dec. '!G8</f>
        <v>4.1360294117708918E-2</v>
      </c>
      <c r="M8" s="21"/>
      <c r="N8" s="46"/>
      <c r="O8" s="23" t="str">
        <f t="shared" si="3"/>
        <v>n4</v>
      </c>
      <c r="P8" s="22" t="str">
        <f t="shared" si="2"/>
        <v>051026_AM02.2_S4</v>
      </c>
      <c r="Q8" s="24">
        <v>18.079999999999998</v>
      </c>
      <c r="R8" s="3"/>
      <c r="S8" s="25">
        <v>1.0880000000000001</v>
      </c>
      <c r="T8" s="3"/>
      <c r="U8" s="20">
        <f t="shared" si="1"/>
        <v>19.167999999999999</v>
      </c>
      <c r="V8" s="3"/>
      <c r="W8" s="26">
        <v>19.074549999999999</v>
      </c>
      <c r="X8" s="3"/>
      <c r="Y8" s="20">
        <f>U8-W8</f>
        <v>9.3450000000000699E-2</v>
      </c>
      <c r="Z8" s="3"/>
      <c r="AA8" s="19">
        <f>S8-Y8</f>
        <v>0.99454999999999938</v>
      </c>
      <c r="AB8" s="3"/>
      <c r="AC8" s="20">
        <f>AA8*100/S8</f>
        <v>91.410845588235233</v>
      </c>
      <c r="AD8" s="3"/>
      <c r="AE8" s="3"/>
      <c r="AF8" s="3"/>
      <c r="AK8" s="3"/>
      <c r="AL8" s="3"/>
      <c r="AM8" s="3"/>
      <c r="AN8" s="3"/>
    </row>
    <row r="9" spans="1:40" ht="15.75" customHeight="1">
      <c r="A9" s="21"/>
      <c r="B9" s="45"/>
      <c r="C9" s="19" t="s">
        <v>26</v>
      </c>
      <c r="D9" s="3"/>
      <c r="E9" s="40" t="s">
        <v>27</v>
      </c>
      <c r="F9" s="57">
        <f>'T1&amp;T2_G2=3dec. '!F9</f>
        <v>0</v>
      </c>
      <c r="G9" s="59">
        <f>100-AC9</f>
        <v>5.5458891013383749</v>
      </c>
      <c r="H9" s="3"/>
      <c r="I9" s="19">
        <f>G9-G53</f>
        <v>-2.8700564357554033</v>
      </c>
      <c r="J9" s="3"/>
      <c r="K9" s="20">
        <f t="shared" si="0"/>
        <v>8.2372239444210091</v>
      </c>
      <c r="L9" s="21">
        <f>G9-'T1&amp;T2_G2=3dec. '!G9</f>
        <v>9.6558317399356497E-2</v>
      </c>
      <c r="M9" s="21"/>
      <c r="N9" s="46"/>
      <c r="O9" s="23" t="str">
        <f t="shared" si="3"/>
        <v>n5</v>
      </c>
      <c r="P9" s="22" t="str">
        <f t="shared" si="2"/>
        <v>051026_AM02.2_S5</v>
      </c>
      <c r="Q9" s="24">
        <v>18.385000000000002</v>
      </c>
      <c r="R9" s="3"/>
      <c r="S9" s="25">
        <v>1.046</v>
      </c>
      <c r="T9" s="3"/>
      <c r="U9" s="20">
        <f t="shared" si="1"/>
        <v>19.431000000000001</v>
      </c>
      <c r="V9" s="3"/>
      <c r="W9" s="26">
        <v>19.372990000000001</v>
      </c>
      <c r="X9" s="3"/>
      <c r="Y9" s="20">
        <f>U9-W9</f>
        <v>5.8009999999999451E-2</v>
      </c>
      <c r="Z9" s="3"/>
      <c r="AA9" s="19">
        <f>S9-Y9</f>
        <v>0.98799000000000059</v>
      </c>
      <c r="AB9" s="3"/>
      <c r="AC9" s="20">
        <f>AA9*100/S9</f>
        <v>94.454110898661625</v>
      </c>
      <c r="AD9" s="3"/>
      <c r="AE9" s="3"/>
      <c r="AF9" s="3"/>
      <c r="AK9" s="3"/>
      <c r="AL9" s="3"/>
      <c r="AM9" s="3"/>
      <c r="AN9" s="3"/>
    </row>
    <row r="10" spans="1:40" ht="15.75" customHeight="1">
      <c r="A10" s="21"/>
      <c r="B10" s="45"/>
      <c r="C10" s="19" t="s">
        <v>28</v>
      </c>
      <c r="D10" s="3"/>
      <c r="E10" s="40" t="s">
        <v>29</v>
      </c>
      <c r="F10" s="57">
        <f>'T1&amp;T2_G2=3dec. '!F10</f>
        <v>0</v>
      </c>
      <c r="G10" s="59">
        <f>100-AC10</f>
        <v>7.3957564575648149</v>
      </c>
      <c r="H10" s="3"/>
      <c r="I10" s="19">
        <f>G10-G53</f>
        <v>-1.0201890795289632</v>
      </c>
      <c r="J10" s="3"/>
      <c r="K10" s="20">
        <f t="shared" si="0"/>
        <v>1.0407857579901532</v>
      </c>
      <c r="L10" s="21">
        <f>G10-'T1&amp;T2_G2=3dec. '!G10</f>
        <v>0.10793357933597747</v>
      </c>
      <c r="M10" s="21"/>
      <c r="N10" s="46"/>
      <c r="O10" s="23" t="str">
        <f t="shared" si="3"/>
        <v>n6</v>
      </c>
      <c r="P10" s="22" t="str">
        <f t="shared" si="2"/>
        <v>051026_AM02.2_S6</v>
      </c>
      <c r="Q10" s="24">
        <v>19.760000000000002</v>
      </c>
      <c r="R10" s="3"/>
      <c r="S10" s="25">
        <v>1.0840000000000001</v>
      </c>
      <c r="T10" s="3"/>
      <c r="U10" s="20">
        <f t="shared" si="1"/>
        <v>20.844000000000001</v>
      </c>
      <c r="V10" s="3"/>
      <c r="W10" s="26">
        <v>20.763829999999999</v>
      </c>
      <c r="X10" s="3"/>
      <c r="Y10" s="20">
        <f>U10-W10</f>
        <v>8.0170000000002517E-2</v>
      </c>
      <c r="Z10" s="3"/>
      <c r="AA10" s="19">
        <f>S10-Y10</f>
        <v>1.0038299999999976</v>
      </c>
      <c r="AB10" s="3"/>
      <c r="AC10" s="20">
        <f>AA10*100/S10</f>
        <v>92.604243542435185</v>
      </c>
      <c r="AD10" s="3"/>
      <c r="AE10" s="3"/>
      <c r="AF10" s="3"/>
      <c r="AK10" s="3"/>
      <c r="AL10" s="3"/>
      <c r="AM10" s="3"/>
      <c r="AN10" s="3"/>
    </row>
    <row r="11" spans="1:40" ht="15.75" customHeight="1">
      <c r="A11" s="21"/>
      <c r="B11" s="45"/>
      <c r="C11" s="19" t="s">
        <v>30</v>
      </c>
      <c r="D11" s="3"/>
      <c r="E11" s="40" t="s">
        <v>31</v>
      </c>
      <c r="F11" s="57">
        <f>'T1&amp;T2_G2=3dec. '!F11</f>
        <v>0</v>
      </c>
      <c r="G11" s="59">
        <f>100-AC11</f>
        <v>9.8525896414342213</v>
      </c>
      <c r="H11" s="3"/>
      <c r="I11" s="19">
        <f>G11-G53</f>
        <v>1.4366441043404432</v>
      </c>
      <c r="J11" s="3"/>
      <c r="K11" s="20">
        <f t="shared" si="0"/>
        <v>2.0639462825361541</v>
      </c>
      <c r="L11" s="21">
        <f>G11-'T1&amp;T2_G2=3dec. '!G11</f>
        <v>-7.968127490102006E-3</v>
      </c>
      <c r="M11" s="21"/>
      <c r="N11" s="46"/>
      <c r="O11" s="23" t="str">
        <f t="shared" si="3"/>
        <v>n7</v>
      </c>
      <c r="P11" s="22" t="str">
        <f t="shared" si="2"/>
        <v>051026_AM02.2_S7</v>
      </c>
      <c r="Q11" s="24">
        <v>18.771999999999998</v>
      </c>
      <c r="R11" s="3"/>
      <c r="S11" s="25">
        <v>1.004</v>
      </c>
      <c r="T11" s="3"/>
      <c r="U11" s="20">
        <f t="shared" si="1"/>
        <v>19.776</v>
      </c>
      <c r="V11" s="3"/>
      <c r="W11" s="26">
        <v>19.67708</v>
      </c>
      <c r="X11" s="3"/>
      <c r="Y11" s="20">
        <f>U11-W11</f>
        <v>9.8919999999999675E-2</v>
      </c>
      <c r="Z11" s="3"/>
      <c r="AA11" s="19">
        <f>S11-Y11</f>
        <v>0.90508000000000033</v>
      </c>
      <c r="AB11" s="3"/>
      <c r="AC11" s="20">
        <f>AA11*100/S11</f>
        <v>90.147410358565779</v>
      </c>
      <c r="AD11" s="3"/>
      <c r="AE11" s="3"/>
      <c r="AF11" s="3"/>
      <c r="AK11" s="3"/>
      <c r="AL11" s="3"/>
      <c r="AM11" s="3"/>
      <c r="AN11" s="3"/>
    </row>
    <row r="12" spans="1:40" ht="15.75" customHeight="1">
      <c r="A12" s="21"/>
      <c r="B12" s="45"/>
      <c r="C12" s="19" t="s">
        <v>32</v>
      </c>
      <c r="D12" s="3"/>
      <c r="E12" s="40" t="s">
        <v>33</v>
      </c>
      <c r="F12" s="57">
        <f>'T1&amp;T2_G2=3dec. '!F12</f>
        <v>0</v>
      </c>
      <c r="G12" s="59">
        <f>100-AC12</f>
        <v>9.5261682242990133</v>
      </c>
      <c r="H12" s="3"/>
      <c r="I12" s="19">
        <f>G12-G53</f>
        <v>1.1102226872052352</v>
      </c>
      <c r="J12" s="3"/>
      <c r="K12" s="20">
        <f t="shared" si="0"/>
        <v>1.2325944151852135</v>
      </c>
      <c r="L12" s="21">
        <f>G12-'T1&amp;T2_G2=3dec. '!G12</f>
        <v>-6.5420560748492562E-3</v>
      </c>
      <c r="M12" s="21"/>
      <c r="N12" s="46"/>
      <c r="O12" s="23" t="str">
        <f t="shared" si="3"/>
        <v>n8</v>
      </c>
      <c r="P12" s="22" t="str">
        <f t="shared" si="2"/>
        <v>051026_AM02.2_S8</v>
      </c>
      <c r="Q12" s="24">
        <v>18.036999999999999</v>
      </c>
      <c r="R12" s="3"/>
      <c r="S12" s="25">
        <v>1.07</v>
      </c>
      <c r="T12" s="3"/>
      <c r="U12" s="20">
        <f t="shared" si="1"/>
        <v>19.106999999999999</v>
      </c>
      <c r="V12" s="3"/>
      <c r="W12" s="26">
        <v>19.00507</v>
      </c>
      <c r="X12" s="3"/>
      <c r="Y12" s="20">
        <f>U12-W12</f>
        <v>0.10192999999999941</v>
      </c>
      <c r="Z12" s="3"/>
      <c r="AA12" s="19">
        <f>S12-Y12</f>
        <v>0.96807000000000065</v>
      </c>
      <c r="AB12" s="3"/>
      <c r="AC12" s="20">
        <f>AA12*100/S12</f>
        <v>90.473831775700987</v>
      </c>
      <c r="AD12" s="3"/>
      <c r="AE12" s="3"/>
      <c r="AF12" s="3"/>
      <c r="AK12" s="3"/>
      <c r="AL12" s="3"/>
      <c r="AM12" s="3"/>
      <c r="AN12" s="3"/>
    </row>
    <row r="13" spans="1:40" ht="15.75" customHeight="1">
      <c r="A13" s="21"/>
      <c r="B13" s="45"/>
      <c r="C13" s="19" t="s">
        <v>34</v>
      </c>
      <c r="D13" s="3"/>
      <c r="E13" s="40" t="s">
        <v>35</v>
      </c>
      <c r="F13" s="57">
        <f>'T1&amp;T2_G2=3dec. '!F13</f>
        <v>0</v>
      </c>
      <c r="G13" s="59">
        <f>100-AC13</f>
        <v>7.9628924833492647</v>
      </c>
      <c r="H13" s="3"/>
      <c r="I13" s="19">
        <f>G13-G53</f>
        <v>-0.45305305374451343</v>
      </c>
      <c r="J13" s="3"/>
      <c r="K13" s="20">
        <f t="shared" si="0"/>
        <v>0.20525706950722897</v>
      </c>
      <c r="L13" s="21">
        <f>G13-'T1&amp;T2_G2=3dec. '!G13</f>
        <v>-2.9495718363349965E-2</v>
      </c>
      <c r="M13" s="21"/>
      <c r="N13" s="46"/>
      <c r="O13" s="23" t="str">
        <f t="shared" si="3"/>
        <v>n9</v>
      </c>
      <c r="P13" s="22" t="str">
        <f t="shared" si="2"/>
        <v>051026_AM02.2_S9</v>
      </c>
      <c r="Q13" s="24">
        <v>18.719000000000001</v>
      </c>
      <c r="R13" s="3"/>
      <c r="S13" s="25">
        <v>1.0509999999999999</v>
      </c>
      <c r="T13" s="3"/>
      <c r="U13" s="20">
        <f t="shared" si="1"/>
        <v>19.77</v>
      </c>
      <c r="V13" s="3"/>
      <c r="W13" s="26">
        <v>19.686309999999999</v>
      </c>
      <c r="X13" s="3"/>
      <c r="Y13" s="20">
        <f>U13-W13</f>
        <v>8.3690000000000708E-2</v>
      </c>
      <c r="Z13" s="3"/>
      <c r="AA13" s="19">
        <f>S13-Y13</f>
        <v>0.96730999999999923</v>
      </c>
      <c r="AB13" s="3"/>
      <c r="AC13" s="20">
        <f>AA13*100/S13</f>
        <v>92.037107516650735</v>
      </c>
      <c r="AD13" s="3"/>
      <c r="AE13" s="3"/>
      <c r="AF13" s="3"/>
      <c r="AK13" s="3"/>
      <c r="AL13" s="3"/>
      <c r="AM13" s="3"/>
      <c r="AN13" s="3"/>
    </row>
    <row r="14" spans="1:40" ht="15.75" customHeight="1">
      <c r="A14" s="21"/>
      <c r="B14" s="45"/>
      <c r="C14" s="19" t="s">
        <v>36</v>
      </c>
      <c r="D14" s="3"/>
      <c r="E14" s="40" t="s">
        <v>37</v>
      </c>
      <c r="F14" s="57">
        <f>'T1&amp;T2_G2=3dec. '!F14</f>
        <v>0</v>
      </c>
      <c r="G14" s="59">
        <f>100-AC14</f>
        <v>8.0365033621519473</v>
      </c>
      <c r="H14" s="3"/>
      <c r="I14" s="19">
        <f>G14-G53</f>
        <v>-0.37944217494183086</v>
      </c>
      <c r="J14" s="3"/>
      <c r="K14" s="20">
        <f t="shared" si="0"/>
        <v>0.14397636412458698</v>
      </c>
      <c r="L14" s="21">
        <f>G14-'T1&amp;T2_G2=3dec. '!G14</f>
        <v>-3.2660902977696082E-2</v>
      </c>
      <c r="M14" s="21"/>
      <c r="N14" s="46"/>
      <c r="O14" s="23" t="str">
        <f t="shared" si="3"/>
        <v>n10</v>
      </c>
      <c r="P14" s="22" t="str">
        <f t="shared" si="2"/>
        <v>051026_AM02.2_S10</v>
      </c>
      <c r="Q14" s="24">
        <v>18.535</v>
      </c>
      <c r="R14" s="3"/>
      <c r="S14" s="25">
        <v>1.0409999999999999</v>
      </c>
      <c r="T14" s="3"/>
      <c r="U14" s="20">
        <f t="shared" si="1"/>
        <v>19.576000000000001</v>
      </c>
      <c r="V14" s="3"/>
      <c r="W14" s="26">
        <v>19.492339999999999</v>
      </c>
      <c r="X14" s="3"/>
      <c r="Y14" s="20">
        <f>U14-W14</f>
        <v>8.3660000000001844E-2</v>
      </c>
      <c r="Z14" s="3"/>
      <c r="AA14" s="19">
        <f>S14-Y14</f>
        <v>0.95733999999999808</v>
      </c>
      <c r="AB14" s="3"/>
      <c r="AC14" s="20">
        <f>AA14*100/S14</f>
        <v>91.963496637848053</v>
      </c>
      <c r="AD14" s="3"/>
      <c r="AE14" s="3"/>
      <c r="AF14" s="3"/>
      <c r="AK14" s="3"/>
      <c r="AL14" s="3"/>
      <c r="AM14" s="3"/>
      <c r="AN14" s="3"/>
    </row>
    <row r="15" spans="1:40" ht="15.75" customHeight="1">
      <c r="A15" s="21"/>
      <c r="B15" s="45"/>
      <c r="C15" s="19" t="s">
        <v>38</v>
      </c>
      <c r="D15" s="3"/>
      <c r="E15" s="40" t="s">
        <v>39</v>
      </c>
      <c r="F15" s="57">
        <f>'T1&amp;T2_G2=3dec. '!F15</f>
        <v>0</v>
      </c>
      <c r="G15" s="59">
        <f>100-AC15</f>
        <v>6.841392649903355</v>
      </c>
      <c r="H15" s="3"/>
      <c r="I15" s="19">
        <f>G15-G53</f>
        <v>-1.5745528871904231</v>
      </c>
      <c r="J15" s="3"/>
      <c r="K15" s="20">
        <f t="shared" si="0"/>
        <v>2.4792167945596972</v>
      </c>
      <c r="L15" s="21">
        <f>G15-'T1&amp;T2_G2=3dec. '!G15</f>
        <v>-2.5145067697991408E-2</v>
      </c>
      <c r="M15" s="21"/>
      <c r="N15" s="46"/>
      <c r="O15" s="23" t="str">
        <f t="shared" si="3"/>
        <v>n11</v>
      </c>
      <c r="P15" s="22" t="str">
        <f t="shared" si="2"/>
        <v>051026_AM02.2_S11</v>
      </c>
      <c r="Q15" s="24">
        <v>18.471</v>
      </c>
      <c r="R15" s="3"/>
      <c r="S15" s="25">
        <v>1.034</v>
      </c>
      <c r="T15" s="3"/>
      <c r="U15" s="20">
        <f t="shared" si="1"/>
        <v>19.504999999999999</v>
      </c>
      <c r="V15" s="3"/>
      <c r="W15" s="26">
        <v>19.434259999999998</v>
      </c>
      <c r="X15" s="3"/>
      <c r="Y15" s="20">
        <f>U15-W15</f>
        <v>7.0740000000000691E-2</v>
      </c>
      <c r="Z15" s="3"/>
      <c r="AA15" s="19">
        <f>S15-Y15</f>
        <v>0.96325999999999934</v>
      </c>
      <c r="AB15" s="3"/>
      <c r="AC15" s="20">
        <f>AA15*100/S15</f>
        <v>93.158607350096645</v>
      </c>
      <c r="AD15" s="3"/>
      <c r="AE15" s="3"/>
      <c r="AF15" s="3"/>
      <c r="AK15" s="3"/>
      <c r="AL15" s="3"/>
      <c r="AM15" s="3"/>
      <c r="AN15" s="3"/>
    </row>
    <row r="16" spans="1:40" ht="15.75" customHeight="1">
      <c r="A16" s="21"/>
      <c r="B16" s="45"/>
      <c r="C16" s="19" t="s">
        <v>40</v>
      </c>
      <c r="D16" s="3"/>
      <c r="E16" s="40" t="s">
        <v>41</v>
      </c>
      <c r="F16" s="57">
        <f>'T1&amp;T2_G2=3dec. '!F16</f>
        <v>0</v>
      </c>
      <c r="G16" s="59">
        <f>100-AC16</f>
        <v>9.033530571992074</v>
      </c>
      <c r="H16" s="3"/>
      <c r="I16" s="19">
        <f>G16-G53</f>
        <v>0.61758503489829586</v>
      </c>
      <c r="J16" s="3"/>
      <c r="K16" s="20">
        <f t="shared" si="0"/>
        <v>0.38141127533032931</v>
      </c>
      <c r="L16" s="21">
        <f>G16-'T1&amp;T2_G2=3dec. '!G16</f>
        <v>-3.9447731755331006E-2</v>
      </c>
      <c r="M16" s="21"/>
      <c r="N16" s="46"/>
      <c r="O16" s="23" t="str">
        <f t="shared" si="3"/>
        <v>n12</v>
      </c>
      <c r="P16" s="22" t="str">
        <f t="shared" si="2"/>
        <v>051026_AM02.2_S12</v>
      </c>
      <c r="Q16" s="24">
        <v>17.878</v>
      </c>
      <c r="R16" s="3"/>
      <c r="S16" s="25">
        <v>1.014</v>
      </c>
      <c r="T16" s="3"/>
      <c r="U16" s="20">
        <f t="shared" si="1"/>
        <v>18.891999999999999</v>
      </c>
      <c r="V16" s="3"/>
      <c r="W16" s="26">
        <v>18.8004</v>
      </c>
      <c r="X16" s="3"/>
      <c r="Y16" s="20">
        <f>U16-W16</f>
        <v>9.1599999999999682E-2</v>
      </c>
      <c r="Z16" s="3"/>
      <c r="AA16" s="19">
        <f>S16-Y16</f>
        <v>0.92240000000000033</v>
      </c>
      <c r="AB16" s="3"/>
      <c r="AC16" s="20">
        <f>AA16*100/S16</f>
        <v>90.966469428007926</v>
      </c>
      <c r="AD16" s="3"/>
      <c r="AE16" s="3"/>
      <c r="AF16" s="3"/>
      <c r="AK16" s="3"/>
      <c r="AL16" s="3"/>
      <c r="AM16" s="3"/>
      <c r="AN16" s="3"/>
    </row>
    <row r="17" spans="1:40" ht="15.75" customHeight="1">
      <c r="A17" s="21"/>
      <c r="B17" s="45"/>
      <c r="C17" s="19" t="s">
        <v>42</v>
      </c>
      <c r="D17" s="3"/>
      <c r="E17" s="40" t="s">
        <v>43</v>
      </c>
      <c r="F17" s="57">
        <f>'T1&amp;T2_G2=3dec. '!F17</f>
        <v>0</v>
      </c>
      <c r="G17" s="59">
        <f>100-AC17</f>
        <v>10.146914789422141</v>
      </c>
      <c r="H17" s="3"/>
      <c r="I17" s="19">
        <f>G17-G53</f>
        <v>1.7309692523283626</v>
      </c>
      <c r="J17" s="3"/>
      <c r="K17" s="20">
        <f t="shared" si="0"/>
        <v>2.9962545525062105</v>
      </c>
      <c r="L17" s="21">
        <f>G17-'T1&amp;T2_G2=3dec. '!G17</f>
        <v>-3.9177277179149428E-2</v>
      </c>
      <c r="M17" s="21"/>
      <c r="N17" s="46"/>
      <c r="O17" s="23" t="str">
        <f t="shared" si="3"/>
        <v>n13</v>
      </c>
      <c r="P17" s="22" t="str">
        <f t="shared" si="2"/>
        <v>051026_AM02.2_S13</v>
      </c>
      <c r="Q17" s="24">
        <v>18.41</v>
      </c>
      <c r="R17" s="3"/>
      <c r="S17" s="25">
        <v>1.0209999999999999</v>
      </c>
      <c r="T17" s="3"/>
      <c r="U17" s="20">
        <f t="shared" si="1"/>
        <v>19.431000000000001</v>
      </c>
      <c r="V17" s="3"/>
      <c r="W17" s="26">
        <v>19.327400000000001</v>
      </c>
      <c r="X17" s="3"/>
      <c r="Y17" s="20">
        <f>U17-W17</f>
        <v>0.10360000000000014</v>
      </c>
      <c r="Z17" s="3"/>
      <c r="AA17" s="19">
        <f>S17-Y17</f>
        <v>0.91739999999999977</v>
      </c>
      <c r="AB17" s="3"/>
      <c r="AC17" s="20">
        <f>AA17*100/S17</f>
        <v>89.853085210577859</v>
      </c>
      <c r="AD17" s="3"/>
      <c r="AE17" s="3"/>
      <c r="AF17" s="3"/>
      <c r="AK17" s="3"/>
      <c r="AL17" s="3"/>
      <c r="AM17" s="3"/>
      <c r="AN17" s="3"/>
    </row>
    <row r="18" spans="1:40" ht="15.75" customHeight="1">
      <c r="A18" s="21"/>
      <c r="B18" s="45"/>
      <c r="C18" s="19" t="s">
        <v>44</v>
      </c>
      <c r="D18" s="3"/>
      <c r="E18" s="40" t="s">
        <v>45</v>
      </c>
      <c r="F18" s="57">
        <f>'T1&amp;T2_G2=3dec. '!F18</f>
        <v>0</v>
      </c>
      <c r="G18" s="59">
        <f>100-AC18</f>
        <v>8.5466179159051592</v>
      </c>
      <c r="H18" s="3"/>
      <c r="I18" s="19">
        <f>G18-G53</f>
        <v>0.13067237881138105</v>
      </c>
      <c r="J18" s="3"/>
      <c r="K18" s="20">
        <f t="shared" si="0"/>
        <v>1.7075270584225068E-2</v>
      </c>
      <c r="L18" s="21">
        <f>G18-'T1&amp;T2_G2=3dec. '!G18</f>
        <v>4.57038391227087E-2</v>
      </c>
      <c r="M18" s="21"/>
      <c r="N18" s="46"/>
      <c r="O18" s="23" t="str">
        <f t="shared" si="3"/>
        <v>n14</v>
      </c>
      <c r="P18" s="22" t="str">
        <f t="shared" si="2"/>
        <v>051026_AM02.2_S14</v>
      </c>
      <c r="Q18" s="24">
        <v>18.099</v>
      </c>
      <c r="R18" s="3"/>
      <c r="S18" s="25">
        <v>1.0940000000000001</v>
      </c>
      <c r="T18" s="3"/>
      <c r="U18" s="20">
        <f t="shared" si="1"/>
        <v>19.193000000000001</v>
      </c>
      <c r="V18" s="3"/>
      <c r="W18" s="41">
        <v>19.099499999999999</v>
      </c>
      <c r="X18" s="3"/>
      <c r="Y18" s="20">
        <f>U18-W18</f>
        <v>9.3500000000002359E-2</v>
      </c>
      <c r="Z18" s="3"/>
      <c r="AA18" s="19">
        <f>S18-Y18</f>
        <v>1.0004999999999977</v>
      </c>
      <c r="AB18" s="3"/>
      <c r="AC18" s="20">
        <f>AA18*100/S18</f>
        <v>91.453382084094841</v>
      </c>
      <c r="AD18" s="3"/>
      <c r="AE18" s="3"/>
      <c r="AF18" s="3"/>
      <c r="AK18" s="3"/>
      <c r="AL18" s="3"/>
      <c r="AM18" s="3"/>
      <c r="AN18" s="3"/>
    </row>
    <row r="19" spans="1:40" ht="15.75" customHeight="1">
      <c r="A19" s="21"/>
      <c r="B19" s="45"/>
      <c r="C19" s="19" t="s">
        <v>46</v>
      </c>
      <c r="D19" s="3"/>
      <c r="E19" s="40" t="s">
        <v>47</v>
      </c>
      <c r="F19" s="57">
        <f>'T1&amp;T2_G2=3dec. '!F19</f>
        <v>0</v>
      </c>
      <c r="G19" s="59">
        <f>100-AC19</f>
        <v>8.8177339901475449</v>
      </c>
      <c r="H19" s="3"/>
      <c r="I19" s="19">
        <f>G19-G53</f>
        <v>0.40178845305376676</v>
      </c>
      <c r="J19" s="3"/>
      <c r="K19" s="20">
        <f t="shared" si="0"/>
        <v>0.16143396100733892</v>
      </c>
      <c r="L19" s="21">
        <f>G19-'T1&amp;T2_G2=3dec. '!G19</f>
        <v>-4.9261083744070788E-2</v>
      </c>
      <c r="M19" s="21"/>
      <c r="N19" s="46"/>
      <c r="O19" s="23" t="str">
        <f t="shared" si="3"/>
        <v>n15</v>
      </c>
      <c r="P19" s="22" t="str">
        <f t="shared" si="2"/>
        <v>051026_AM02.2_S15</v>
      </c>
      <c r="Q19" s="24">
        <v>18.515999999999998</v>
      </c>
      <c r="R19" s="3"/>
      <c r="S19" s="25">
        <v>1.0149999999999999</v>
      </c>
      <c r="T19" s="3"/>
      <c r="U19" s="20">
        <f t="shared" si="1"/>
        <v>19.530999999999999</v>
      </c>
      <c r="V19" s="3"/>
      <c r="W19" s="26">
        <v>19.441500000000001</v>
      </c>
      <c r="X19" s="3"/>
      <c r="Y19" s="20">
        <f>U19-W19</f>
        <v>8.949999999999747E-2</v>
      </c>
      <c r="Z19" s="3"/>
      <c r="AA19" s="19">
        <f>S19-Y19</f>
        <v>0.92550000000000243</v>
      </c>
      <c r="AB19" s="3"/>
      <c r="AC19" s="20">
        <f>AA19*100/S19</f>
        <v>91.182266009852455</v>
      </c>
      <c r="AD19" s="3"/>
      <c r="AE19" s="3"/>
      <c r="AF19" s="3"/>
      <c r="AK19" s="3"/>
      <c r="AL19" s="3"/>
      <c r="AM19" s="3"/>
      <c r="AN19" s="3"/>
    </row>
    <row r="20" spans="1:40" ht="15.75" customHeight="1">
      <c r="A20" s="21"/>
      <c r="B20" s="45"/>
      <c r="C20" s="19" t="s">
        <v>48</v>
      </c>
      <c r="D20" s="3"/>
      <c r="E20" s="40" t="s">
        <v>49</v>
      </c>
      <c r="F20" s="57">
        <f>'T1&amp;T2_G2=3dec. '!F20</f>
        <v>0</v>
      </c>
      <c r="G20" s="59">
        <f>100-AC20</f>
        <v>7.2478793590950374</v>
      </c>
      <c r="H20" s="3"/>
      <c r="I20" s="19">
        <f>G20-G53</f>
        <v>-1.1680661779987407</v>
      </c>
      <c r="J20" s="3"/>
      <c r="K20" s="20">
        <f t="shared" si="0"/>
        <v>1.3643785961845858</v>
      </c>
      <c r="L20" s="21">
        <f>G20-'T1&amp;T2_G2=3dec. '!G20</f>
        <v>8.4825636192064735E-2</v>
      </c>
      <c r="M20" s="21"/>
      <c r="N20" s="46"/>
      <c r="O20" s="23" t="str">
        <f t="shared" si="3"/>
        <v>n16</v>
      </c>
      <c r="P20" s="22" t="str">
        <f t="shared" si="2"/>
        <v>051026_AM02.2_S16</v>
      </c>
      <c r="Q20" s="24">
        <v>17.706</v>
      </c>
      <c r="R20" s="3"/>
      <c r="S20" s="25">
        <v>1.0609999999999999</v>
      </c>
      <c r="T20" s="3"/>
      <c r="U20" s="20">
        <f t="shared" si="1"/>
        <v>18.766999999999999</v>
      </c>
      <c r="V20" s="3"/>
      <c r="W20" s="26">
        <v>18.690100000000001</v>
      </c>
      <c r="X20" s="3"/>
      <c r="Y20" s="20">
        <f>U20-W20</f>
        <v>7.6899999999998414E-2</v>
      </c>
      <c r="Z20" s="3"/>
      <c r="AA20" s="19">
        <f>S20-Y20</f>
        <v>0.98410000000000153</v>
      </c>
      <c r="AB20" s="3"/>
      <c r="AC20" s="20">
        <f>AA20*100/S20</f>
        <v>92.752120640904963</v>
      </c>
      <c r="AD20" s="3"/>
      <c r="AE20" s="3"/>
      <c r="AF20" s="3"/>
      <c r="AK20" s="3"/>
      <c r="AL20" s="3"/>
      <c r="AM20" s="3"/>
      <c r="AN20" s="3"/>
    </row>
    <row r="21" spans="1:40" ht="15.75" customHeight="1">
      <c r="A21" s="21"/>
      <c r="B21" s="45"/>
      <c r="C21" s="19" t="s">
        <v>50</v>
      </c>
      <c r="D21" s="3"/>
      <c r="E21" s="40" t="s">
        <v>51</v>
      </c>
      <c r="F21" s="57">
        <f>'T1&amp;T2_G2=3dec. '!F21</f>
        <v>0</v>
      </c>
      <c r="G21" s="59">
        <f>100-AC21</f>
        <v>9.260273972602576</v>
      </c>
      <c r="H21" s="3"/>
      <c r="I21" s="19">
        <f>G21-G53</f>
        <v>0.84432843550879788</v>
      </c>
      <c r="J21" s="3"/>
      <c r="K21" s="20">
        <f t="shared" si="0"/>
        <v>0.71289050700873424</v>
      </c>
      <c r="L21" s="21">
        <f>G21-'T1&amp;T2_G2=3dec. '!G21</f>
        <v>-5.479452054781575E-2</v>
      </c>
      <c r="M21" s="21"/>
      <c r="N21" s="46"/>
      <c r="O21" s="23" t="str">
        <f t="shared" si="3"/>
        <v>n17</v>
      </c>
      <c r="P21" s="22" t="str">
        <f t="shared" si="2"/>
        <v>051026_AM02.2_S17</v>
      </c>
      <c r="Q21" s="24">
        <v>18.713999999999999</v>
      </c>
      <c r="R21" s="3"/>
      <c r="S21" s="25">
        <v>1.095</v>
      </c>
      <c r="T21" s="3"/>
      <c r="U21" s="20">
        <f t="shared" si="1"/>
        <v>19.808999999999997</v>
      </c>
      <c r="V21" s="3"/>
      <c r="W21" s="26">
        <v>19.707599999999999</v>
      </c>
      <c r="X21" s="3"/>
      <c r="Y21" s="20">
        <f>U21-W21</f>
        <v>0.10139999999999816</v>
      </c>
      <c r="Z21" s="3"/>
      <c r="AA21" s="19">
        <f>S21-Y21</f>
        <v>0.99360000000000182</v>
      </c>
      <c r="AB21" s="3"/>
      <c r="AC21" s="20">
        <f>AA21*100/S21</f>
        <v>90.739726027397424</v>
      </c>
      <c r="AD21" s="3"/>
      <c r="AE21" s="3"/>
      <c r="AF21" s="3"/>
      <c r="AK21" s="3"/>
      <c r="AL21" s="3"/>
      <c r="AM21" s="3"/>
      <c r="AN21" s="3"/>
    </row>
    <row r="22" spans="1:40" ht="15.75" customHeight="1">
      <c r="A22" s="21"/>
      <c r="B22" s="45"/>
      <c r="C22" s="19" t="s">
        <v>52</v>
      </c>
      <c r="D22" s="3"/>
      <c r="E22" s="40" t="s">
        <v>53</v>
      </c>
      <c r="F22" s="57">
        <f>'T1&amp;T2_G2=3dec. '!F22</f>
        <v>0</v>
      </c>
      <c r="G22" s="59">
        <f>100-AC22</f>
        <v>10.009293680297517</v>
      </c>
      <c r="H22" s="3"/>
      <c r="I22" s="19">
        <f>G22-G53</f>
        <v>1.5933481432037393</v>
      </c>
      <c r="J22" s="3"/>
      <c r="K22" s="20">
        <f t="shared" si="0"/>
        <v>2.5387583054508038</v>
      </c>
      <c r="L22" s="21">
        <f>G22-'T1&amp;T2_G2=3dec. '!G22</f>
        <v>-2.7881040892125952E-2</v>
      </c>
      <c r="M22" s="21"/>
      <c r="N22" s="46"/>
      <c r="O22" s="23" t="str">
        <f t="shared" si="3"/>
        <v>n18</v>
      </c>
      <c r="P22" s="22" t="str">
        <f t="shared" si="2"/>
        <v>051026_AM02.2_S18</v>
      </c>
      <c r="Q22" s="24">
        <v>18.076000000000001</v>
      </c>
      <c r="R22" s="3"/>
      <c r="S22" s="25">
        <v>1.0760000000000001</v>
      </c>
      <c r="T22" s="3"/>
      <c r="U22" s="20">
        <f t="shared" si="1"/>
        <v>19.152000000000001</v>
      </c>
      <c r="V22" s="3"/>
      <c r="W22" s="26">
        <v>19.0443</v>
      </c>
      <c r="X22" s="3"/>
      <c r="Y22" s="20">
        <f>U22-W22</f>
        <v>0.10770000000000124</v>
      </c>
      <c r="Z22" s="3"/>
      <c r="AA22" s="19">
        <f>S22-Y22</f>
        <v>0.96829999999999883</v>
      </c>
      <c r="AB22" s="3"/>
      <c r="AC22" s="20">
        <f>AA22*100/S22</f>
        <v>89.990706319702483</v>
      </c>
      <c r="AD22" s="3"/>
      <c r="AE22" s="3"/>
      <c r="AF22" s="3"/>
      <c r="AK22" s="3"/>
      <c r="AL22" s="3"/>
      <c r="AM22" s="3"/>
      <c r="AN22" s="3"/>
    </row>
    <row r="23" spans="1:40" ht="15.75" customHeight="1">
      <c r="A23" s="21"/>
      <c r="B23" s="45"/>
      <c r="C23" s="19" t="s">
        <v>54</v>
      </c>
      <c r="D23" s="3"/>
      <c r="E23" s="40" t="s">
        <v>55</v>
      </c>
      <c r="F23" s="57">
        <f>'T1&amp;T2_G2=3dec. '!F23</f>
        <v>0</v>
      </c>
      <c r="G23" s="59">
        <f>100-AC23</f>
        <v>6.3221601489759394</v>
      </c>
      <c r="H23" s="3"/>
      <c r="I23" s="19">
        <f>G23-G53</f>
        <v>-2.0937853881178388</v>
      </c>
      <c r="J23" s="3"/>
      <c r="K23" s="20">
        <f t="shared" si="0"/>
        <v>4.3839372514957686</v>
      </c>
      <c r="L23" s="21">
        <f>G23-'T1&amp;T2_G2=3dec. '!G23</f>
        <v>-9.310986964607082E-3</v>
      </c>
      <c r="M23" s="21"/>
      <c r="N23" s="46"/>
      <c r="O23" s="23" t="str">
        <f t="shared" si="3"/>
        <v>n19</v>
      </c>
      <c r="P23" s="22" t="str">
        <f t="shared" si="2"/>
        <v>051026_AM02.2_S19</v>
      </c>
      <c r="Q23" s="24">
        <v>19.059000000000001</v>
      </c>
      <c r="R23" s="3"/>
      <c r="S23" s="25">
        <v>1.0740000000000001</v>
      </c>
      <c r="T23" s="3"/>
      <c r="U23" s="20">
        <f t="shared" si="1"/>
        <v>20.133000000000003</v>
      </c>
      <c r="V23" s="3"/>
      <c r="W23" s="26">
        <v>20.065100000000001</v>
      </c>
      <c r="X23" s="3"/>
      <c r="Y23" s="20">
        <f>U23-W23</f>
        <v>6.7900000000001626E-2</v>
      </c>
      <c r="Z23" s="3"/>
      <c r="AA23" s="19">
        <f>S23-Y23</f>
        <v>1.0060999999999984</v>
      </c>
      <c r="AB23" s="3"/>
      <c r="AC23" s="20">
        <f>AA23*100/S23</f>
        <v>93.677839851024061</v>
      </c>
      <c r="AD23" s="3"/>
      <c r="AE23" s="3"/>
      <c r="AF23" s="3"/>
      <c r="AK23" s="3"/>
      <c r="AL23" s="3"/>
      <c r="AM23" s="3"/>
      <c r="AN23" s="3"/>
    </row>
    <row r="24" spans="1:40" ht="15.75" customHeight="1">
      <c r="A24" s="21"/>
      <c r="B24" s="45"/>
      <c r="C24" s="19" t="s">
        <v>56</v>
      </c>
      <c r="D24" s="3"/>
      <c r="E24" s="40" t="s">
        <v>57</v>
      </c>
      <c r="F24" s="57">
        <f>'T1&amp;T2_G2=3dec. '!F24</f>
        <v>0</v>
      </c>
      <c r="G24" s="59">
        <f>100-AC24</f>
        <v>6.9581395348833581</v>
      </c>
      <c r="H24" s="3"/>
      <c r="I24" s="19">
        <f>G24-G53</f>
        <v>-1.45780600221042</v>
      </c>
      <c r="J24" s="3"/>
      <c r="K24" s="20">
        <f t="shared" si="0"/>
        <v>2.1251983400807273</v>
      </c>
      <c r="L24" s="21">
        <f>G24-'T1&amp;T2_G2=3dec. '!G24</f>
        <v>-1.8604651163087738E-2</v>
      </c>
      <c r="M24" s="21"/>
      <c r="N24" s="46"/>
      <c r="O24" s="23" t="str">
        <f t="shared" si="3"/>
        <v>n20</v>
      </c>
      <c r="P24" s="22" t="str">
        <f t="shared" si="2"/>
        <v>051026_AM02.2_S20</v>
      </c>
      <c r="Q24" s="24">
        <v>18.117999999999999</v>
      </c>
      <c r="R24" s="3"/>
      <c r="S24" s="25">
        <v>1.075</v>
      </c>
      <c r="T24" s="3"/>
      <c r="U24" s="20">
        <f t="shared" si="1"/>
        <v>19.192999999999998</v>
      </c>
      <c r="V24" s="3"/>
      <c r="W24" s="26">
        <v>19.118200000000002</v>
      </c>
      <c r="X24" s="3"/>
      <c r="Y24" s="20">
        <f>U24-W24</f>
        <v>7.4799999999996203E-2</v>
      </c>
      <c r="Z24" s="3"/>
      <c r="AA24" s="19">
        <f>S24-Y24</f>
        <v>1.0002000000000038</v>
      </c>
      <c r="AB24" s="3"/>
      <c r="AC24" s="20">
        <f>AA24*100/S24</f>
        <v>93.041860465116642</v>
      </c>
      <c r="AD24" s="3"/>
      <c r="AE24" s="3"/>
      <c r="AF24" s="3"/>
      <c r="AK24" s="3"/>
      <c r="AL24" s="3"/>
      <c r="AM24" s="3"/>
      <c r="AN24" s="3"/>
    </row>
    <row r="25" spans="1:40" ht="15.75" customHeight="1">
      <c r="A25" s="21"/>
      <c r="B25" s="45"/>
      <c r="C25" s="19" t="s">
        <v>58</v>
      </c>
      <c r="D25" s="3"/>
      <c r="E25" s="40" t="s">
        <v>59</v>
      </c>
      <c r="F25" s="57">
        <f>'T1&amp;T2_G2=3dec. '!F25</f>
        <v>0</v>
      </c>
      <c r="G25" s="59">
        <f>100-AC25</f>
        <v>7.4455445544556795</v>
      </c>
      <c r="H25" s="3"/>
      <c r="I25" s="19">
        <f>G25-G53</f>
        <v>-0.9704009826380986</v>
      </c>
      <c r="J25" s="3"/>
      <c r="K25" s="20">
        <f t="shared" si="0"/>
        <v>0.94167806710498736</v>
      </c>
      <c r="L25" s="21">
        <f>G25-'T1&amp;T2_G2=3dec. '!G25</f>
        <v>1.9801980197968305E-2</v>
      </c>
      <c r="M25" s="21"/>
      <c r="N25" s="46"/>
      <c r="O25" s="23" t="str">
        <f t="shared" si="3"/>
        <v>n21</v>
      </c>
      <c r="P25" s="22" t="str">
        <f t="shared" si="2"/>
        <v>051026_AM02.2_S21</v>
      </c>
      <c r="Q25" s="24">
        <v>17.875</v>
      </c>
      <c r="R25" s="3"/>
      <c r="S25" s="25">
        <v>1.01</v>
      </c>
      <c r="T25" s="3"/>
      <c r="U25" s="20">
        <f t="shared" si="1"/>
        <v>18.885000000000002</v>
      </c>
      <c r="V25" s="3"/>
      <c r="W25" s="26">
        <v>18.809799999999999</v>
      </c>
      <c r="X25" s="3"/>
      <c r="Y25" s="20">
        <f>U25-W25</f>
        <v>7.5200000000002376E-2</v>
      </c>
      <c r="Z25" s="3"/>
      <c r="AA25" s="19">
        <f>S25-Y25</f>
        <v>0.93479999999999763</v>
      </c>
      <c r="AB25" s="3"/>
      <c r="AC25" s="20">
        <f>AA25*100/S25</f>
        <v>92.55445544554432</v>
      </c>
      <c r="AD25" s="3"/>
      <c r="AE25" s="3"/>
      <c r="AF25" s="3"/>
      <c r="AK25" s="3"/>
      <c r="AL25" s="3"/>
      <c r="AM25" s="3"/>
      <c r="AN25" s="3"/>
    </row>
    <row r="26" spans="1:40" ht="15.75" customHeight="1">
      <c r="A26" s="21"/>
      <c r="B26" s="45"/>
      <c r="C26" s="19" t="s">
        <v>60</v>
      </c>
      <c r="D26" s="3"/>
      <c r="E26" s="40" t="s">
        <v>61</v>
      </c>
      <c r="F26" s="57">
        <f>'T1&amp;T2_G2=3dec. '!F26</f>
        <v>0</v>
      </c>
      <c r="G26" s="59">
        <f>100-AC26</f>
        <v>7.9069767441861245</v>
      </c>
      <c r="H26" s="3"/>
      <c r="I26" s="19">
        <f>G26-G53</f>
        <v>-0.50896879290765362</v>
      </c>
      <c r="J26" s="3"/>
      <c r="K26" s="20">
        <f t="shared" si="0"/>
        <v>0.25904923215387399</v>
      </c>
      <c r="L26" s="21">
        <f>G26-'T1&amp;T2_G2=3dec. '!G26</f>
        <v>-9.3023255814060235E-2</v>
      </c>
      <c r="M26" s="21"/>
      <c r="N26" s="46"/>
      <c r="O26" s="23" t="str">
        <f t="shared" si="3"/>
        <v>n22</v>
      </c>
      <c r="P26" s="22" t="str">
        <f t="shared" si="2"/>
        <v>051026_AM02.2_S22</v>
      </c>
      <c r="Q26" s="24">
        <v>17.783000000000001</v>
      </c>
      <c r="R26" s="3"/>
      <c r="S26" s="25">
        <v>1.075</v>
      </c>
      <c r="T26" s="3"/>
      <c r="U26" s="20">
        <f t="shared" si="1"/>
        <v>18.858000000000001</v>
      </c>
      <c r="V26" s="3"/>
      <c r="W26" s="26">
        <v>18.773</v>
      </c>
      <c r="X26" s="3"/>
      <c r="Y26" s="20">
        <f>U26-W26</f>
        <v>8.5000000000000853E-2</v>
      </c>
      <c r="Z26" s="3"/>
      <c r="AA26" s="19">
        <f>S26-Y26</f>
        <v>0.9899999999999991</v>
      </c>
      <c r="AB26" s="3"/>
      <c r="AC26" s="20">
        <f>AA26*100/S26</f>
        <v>92.093023255813875</v>
      </c>
      <c r="AD26" s="3"/>
      <c r="AE26" s="3"/>
      <c r="AF26" s="3"/>
      <c r="AK26" s="3"/>
      <c r="AL26" s="3"/>
      <c r="AM26" s="3"/>
      <c r="AN26" s="3"/>
    </row>
    <row r="27" spans="1:40" ht="15.75" customHeight="1">
      <c r="A27" s="21"/>
      <c r="B27" s="45"/>
      <c r="C27" s="19" t="s">
        <v>62</v>
      </c>
      <c r="D27" s="3"/>
      <c r="E27" s="40" t="s">
        <v>63</v>
      </c>
      <c r="F27" s="57">
        <f>'T1&amp;T2_G2=3dec. '!F27</f>
        <v>0</v>
      </c>
      <c r="G27" s="59">
        <f>100-AC27</f>
        <v>8.8701684836469212</v>
      </c>
      <c r="H27" s="3"/>
      <c r="I27" s="19">
        <f>G27-G53</f>
        <v>0.4542229465531431</v>
      </c>
      <c r="J27" s="3"/>
      <c r="K27" s="20">
        <f t="shared" si="0"/>
        <v>0.20631848517541951</v>
      </c>
      <c r="L27" s="21">
        <f>G27-'T1&amp;T2_G2=3dec. '!G27</f>
        <v>4.9554013875010128E-2</v>
      </c>
      <c r="M27" s="21"/>
      <c r="N27" s="46"/>
      <c r="O27" s="23" t="str">
        <f t="shared" si="3"/>
        <v>n23</v>
      </c>
      <c r="P27" s="22" t="str">
        <f t="shared" si="2"/>
        <v>051026_AM02.2_S23</v>
      </c>
      <c r="Q27" s="24">
        <v>17.361999999999998</v>
      </c>
      <c r="R27" s="3"/>
      <c r="S27" s="25">
        <v>1.0089999999999999</v>
      </c>
      <c r="T27" s="3"/>
      <c r="U27" s="20">
        <f t="shared" si="1"/>
        <v>18.370999999999999</v>
      </c>
      <c r="V27" s="3"/>
      <c r="W27" s="26">
        <v>18.281500000000001</v>
      </c>
      <c r="X27" s="3"/>
      <c r="Y27" s="20">
        <f>U27-W27</f>
        <v>8.949999999999747E-2</v>
      </c>
      <c r="Z27" s="3"/>
      <c r="AA27" s="19">
        <f>S27-Y27</f>
        <v>0.91950000000000243</v>
      </c>
      <c r="AB27" s="3"/>
      <c r="AC27" s="20">
        <f>AA27*100/S27</f>
        <v>91.129831516353079</v>
      </c>
      <c r="AD27" s="3"/>
      <c r="AE27" s="3"/>
      <c r="AF27" s="3"/>
      <c r="AK27" s="3"/>
      <c r="AL27" s="3"/>
      <c r="AM27" s="3"/>
      <c r="AN27" s="3"/>
    </row>
    <row r="28" spans="1:40" ht="15.75" customHeight="1">
      <c r="A28" s="21"/>
      <c r="B28" s="45"/>
      <c r="C28" s="19" t="s">
        <v>64</v>
      </c>
      <c r="D28" s="3"/>
      <c r="E28" s="40" t="s">
        <v>65</v>
      </c>
      <c r="F28" s="57">
        <f>'T1&amp;T2_G2=3dec. '!F28</f>
        <v>0</v>
      </c>
      <c r="G28" s="59">
        <f>100-AC28</f>
        <v>8.0118110236219025</v>
      </c>
      <c r="H28" s="3"/>
      <c r="I28" s="19">
        <f>G28-G53</f>
        <v>-0.40413451347187568</v>
      </c>
      <c r="J28" s="3"/>
      <c r="K28" s="20">
        <f t="shared" si="0"/>
        <v>0.16332470497914967</v>
      </c>
      <c r="L28" s="21">
        <f>G28-'T1&amp;T2_G2=3dec. '!G28</f>
        <v>-5.9055118110094895E-2</v>
      </c>
      <c r="M28" s="21"/>
      <c r="N28" s="46"/>
      <c r="O28" s="23" t="str">
        <f t="shared" si="3"/>
        <v>n24</v>
      </c>
      <c r="P28" s="22" t="str">
        <f t="shared" si="2"/>
        <v>051026_AM02.2_S24</v>
      </c>
      <c r="Q28" s="24">
        <v>19.018000000000001</v>
      </c>
      <c r="R28" s="3"/>
      <c r="S28" s="25">
        <v>1.016</v>
      </c>
      <c r="T28" s="3"/>
      <c r="U28" s="20">
        <f t="shared" si="1"/>
        <v>20.033999999999999</v>
      </c>
      <c r="V28" s="3"/>
      <c r="W28" s="26">
        <v>19.9526</v>
      </c>
      <c r="X28" s="3"/>
      <c r="Y28" s="20">
        <f>U28-W28</f>
        <v>8.1399999999998585E-2</v>
      </c>
      <c r="Z28" s="3"/>
      <c r="AA28" s="19">
        <f>S28-Y28</f>
        <v>0.93460000000000143</v>
      </c>
      <c r="AB28" s="3"/>
      <c r="AC28" s="20">
        <f>AA28*100/S28</f>
        <v>91.988188976378098</v>
      </c>
      <c r="AD28" s="3"/>
      <c r="AE28" s="3"/>
      <c r="AF28" s="3"/>
      <c r="AK28" s="3"/>
      <c r="AL28" s="3"/>
      <c r="AM28" s="3"/>
      <c r="AN28" s="3"/>
    </row>
    <row r="29" spans="1:40" ht="15.75" customHeight="1">
      <c r="A29" s="21"/>
      <c r="B29" s="45"/>
      <c r="C29" s="19" t="s">
        <v>66</v>
      </c>
      <c r="D29" s="3"/>
      <c r="E29" s="40" t="s">
        <v>67</v>
      </c>
      <c r="F29" s="57">
        <f>'T1&amp;T2_G2=3dec. '!F29</f>
        <v>0</v>
      </c>
      <c r="G29" s="59">
        <f>100-AC29</f>
        <v>8.4803921568624929</v>
      </c>
      <c r="H29" s="3"/>
      <c r="I29" s="19">
        <f>G29-G53</f>
        <v>6.4446619768714797E-2</v>
      </c>
      <c r="J29" s="3"/>
      <c r="K29" s="20">
        <f t="shared" si="0"/>
        <v>4.1533667996133013E-3</v>
      </c>
      <c r="L29" s="21">
        <f>G29-'T1&amp;T2_G2=3dec. '!G29</f>
        <v>4.9019607843021618E-2</v>
      </c>
      <c r="M29" s="21"/>
      <c r="N29" s="46"/>
      <c r="O29" s="23" t="str">
        <f t="shared" si="3"/>
        <v>n25</v>
      </c>
      <c r="P29" s="22" t="str">
        <f t="shared" si="2"/>
        <v>051026_AM02.2_S25</v>
      </c>
      <c r="Q29" s="24">
        <v>17.923999999999999</v>
      </c>
      <c r="R29" s="3"/>
      <c r="S29" s="25">
        <v>1.02</v>
      </c>
      <c r="T29" s="3"/>
      <c r="U29" s="20">
        <f t="shared" si="1"/>
        <v>18.943999999999999</v>
      </c>
      <c r="V29" s="3"/>
      <c r="W29" s="26">
        <v>18.857500000000002</v>
      </c>
      <c r="X29" s="3"/>
      <c r="Y29" s="20">
        <f>U29-W29</f>
        <v>8.6499999999997357E-2</v>
      </c>
      <c r="Z29" s="3"/>
      <c r="AA29" s="19">
        <f>S29-Y29</f>
        <v>0.93350000000000266</v>
      </c>
      <c r="AB29" s="3"/>
      <c r="AC29" s="20">
        <f>AA29*100/S29</f>
        <v>91.519607843137507</v>
      </c>
      <c r="AD29" s="3"/>
      <c r="AE29" s="3"/>
      <c r="AF29" s="3"/>
      <c r="AK29" s="3"/>
      <c r="AL29" s="3"/>
      <c r="AM29" s="3"/>
      <c r="AN29" s="3"/>
    </row>
    <row r="30" spans="1:40" ht="15.75" customHeight="1">
      <c r="A30" s="21"/>
      <c r="B30" s="45"/>
      <c r="C30" s="19" t="s">
        <v>68</v>
      </c>
      <c r="D30" s="3"/>
      <c r="E30" s="40" t="s">
        <v>69</v>
      </c>
      <c r="F30" s="57">
        <f>'T1&amp;T2_G2=3dec. '!F30</f>
        <v>0</v>
      </c>
      <c r="G30" s="59">
        <f>100-AC30</f>
        <v>8.3507109004736577</v>
      </c>
      <c r="H30" s="3"/>
      <c r="I30" s="19">
        <f>G30-G53</f>
        <v>-6.5234636620120412E-2</v>
      </c>
      <c r="J30" s="3"/>
      <c r="K30" s="20">
        <f t="shared" si="0"/>
        <v>4.2555578149591549E-3</v>
      </c>
      <c r="L30" s="21">
        <f>G30-'T1&amp;T2_G2=3dec. '!G30</f>
        <v>9.478672985750336E-3</v>
      </c>
      <c r="M30" s="21"/>
      <c r="N30" s="46"/>
      <c r="O30" s="23" t="str">
        <f t="shared" si="3"/>
        <v>n26</v>
      </c>
      <c r="P30" s="22" t="str">
        <f t="shared" si="2"/>
        <v>051026_AM02.2_S26</v>
      </c>
      <c r="Q30" s="24">
        <v>18.204999999999998</v>
      </c>
      <c r="R30" s="3"/>
      <c r="S30" s="25">
        <v>1.0549999999999999</v>
      </c>
      <c r="T30" s="3"/>
      <c r="U30" s="20">
        <f t="shared" si="1"/>
        <v>19.259999999999998</v>
      </c>
      <c r="V30" s="3"/>
      <c r="W30" s="26">
        <v>19.171900000000001</v>
      </c>
      <c r="X30" s="3"/>
      <c r="Y30" s="20">
        <f>U30-W30</f>
        <v>8.8099999999997181E-2</v>
      </c>
      <c r="Z30" s="3"/>
      <c r="AA30" s="19">
        <f>S30-Y30</f>
        <v>0.96690000000000276</v>
      </c>
      <c r="AB30" s="3"/>
      <c r="AC30" s="20">
        <f>AA30*100/S30</f>
        <v>91.649289099526342</v>
      </c>
      <c r="AD30" s="3"/>
      <c r="AE30" s="3"/>
      <c r="AF30" s="3"/>
      <c r="AK30" s="3"/>
      <c r="AL30" s="3"/>
      <c r="AM30" s="3"/>
      <c r="AN30" s="3"/>
    </row>
    <row r="31" spans="1:40" ht="15.75" customHeight="1">
      <c r="A31" s="21"/>
      <c r="B31" s="45"/>
      <c r="C31" s="19" t="s">
        <v>70</v>
      </c>
      <c r="D31" s="3"/>
      <c r="E31" s="40" t="s">
        <v>71</v>
      </c>
      <c r="F31" s="57">
        <f>'T1&amp;T2_G2=3dec. '!F31</f>
        <v>0</v>
      </c>
      <c r="G31" s="59">
        <f>100-AC31</f>
        <v>7.3076923076920934</v>
      </c>
      <c r="H31" s="3"/>
      <c r="I31" s="19">
        <f>G31-G53</f>
        <v>-1.1082532294016847</v>
      </c>
      <c r="J31" s="3"/>
      <c r="K31" s="20">
        <f t="shared" si="0"/>
        <v>1.2282252204792632</v>
      </c>
      <c r="L31" s="21">
        <f>G31-'T1&amp;T2_G2=3dec. '!G31</f>
        <v>9.8619329388327515E-3</v>
      </c>
      <c r="M31" s="21"/>
      <c r="N31" s="46"/>
      <c r="O31" s="23" t="str">
        <f t="shared" si="3"/>
        <v>n27</v>
      </c>
      <c r="P31" s="22" t="str">
        <f t="shared" si="2"/>
        <v>051026_AM02.2_S27</v>
      </c>
      <c r="Q31" s="24">
        <v>18.140999999999998</v>
      </c>
      <c r="R31" s="3"/>
      <c r="S31" s="25">
        <v>1.014</v>
      </c>
      <c r="T31" s="3"/>
      <c r="U31" s="20">
        <f t="shared" si="1"/>
        <v>19.154999999999998</v>
      </c>
      <c r="V31" s="3"/>
      <c r="W31" s="26">
        <v>19.0809</v>
      </c>
      <c r="X31" s="3"/>
      <c r="Y31" s="20">
        <f>U31-W31</f>
        <v>7.4099999999997834E-2</v>
      </c>
      <c r="Z31" s="3"/>
      <c r="AA31" s="19">
        <f>S31-Y31</f>
        <v>0.93990000000000218</v>
      </c>
      <c r="AB31" s="3"/>
      <c r="AC31" s="20">
        <f>AA31*100/S31</f>
        <v>92.692307692307907</v>
      </c>
      <c r="AD31" s="3"/>
      <c r="AE31" s="3"/>
      <c r="AF31" s="3"/>
      <c r="AK31" s="3"/>
      <c r="AL31" s="3"/>
      <c r="AM31" s="3"/>
      <c r="AN31" s="3"/>
    </row>
    <row r="32" spans="1:40" ht="15.75" customHeight="1">
      <c r="A32" s="21"/>
      <c r="B32" s="45"/>
      <c r="C32" s="19" t="s">
        <v>72</v>
      </c>
      <c r="D32" s="3"/>
      <c r="E32" s="40" t="s">
        <v>73</v>
      </c>
      <c r="F32" s="57">
        <f>'T1&amp;T2_G2=3dec. '!F32</f>
        <v>0</v>
      </c>
      <c r="G32" s="59">
        <f>100-AC32</f>
        <v>9.5454545454545041</v>
      </c>
      <c r="H32" s="3"/>
      <c r="I32" s="19">
        <f>G32-G53</f>
        <v>1.129509008360726</v>
      </c>
      <c r="J32" s="3"/>
      <c r="K32" s="20">
        <f t="shared" si="0"/>
        <v>1.2757905999680306</v>
      </c>
      <c r="L32" s="21">
        <f>G32-'T1&amp;T2_G2=3dec. '!G32</f>
        <v>-1.8939393939348292E-2</v>
      </c>
      <c r="M32" s="21"/>
      <c r="N32" s="46"/>
      <c r="O32" s="23" t="str">
        <f t="shared" si="3"/>
        <v>n28</v>
      </c>
      <c r="P32" s="22" t="str">
        <f t="shared" si="2"/>
        <v>051026_AM02.2_S28</v>
      </c>
      <c r="Q32" s="24">
        <v>18.61</v>
      </c>
      <c r="R32" s="3"/>
      <c r="S32" s="25">
        <v>1.056</v>
      </c>
      <c r="T32" s="3"/>
      <c r="U32" s="20">
        <f t="shared" si="1"/>
        <v>19.666</v>
      </c>
      <c r="V32" s="3"/>
      <c r="W32" s="26">
        <v>19.565200000000001</v>
      </c>
      <c r="X32" s="3"/>
      <c r="Y32" s="20">
        <f>U32-W32</f>
        <v>0.10079999999999956</v>
      </c>
      <c r="Z32" s="3"/>
      <c r="AA32" s="19">
        <f>S32-Y32</f>
        <v>0.95520000000000049</v>
      </c>
      <c r="AB32" s="3"/>
      <c r="AC32" s="20">
        <f>AA32*100/S32</f>
        <v>90.454545454545496</v>
      </c>
      <c r="AD32" s="3"/>
      <c r="AE32" s="3"/>
      <c r="AF32" s="3"/>
      <c r="AK32" s="3"/>
      <c r="AL32" s="3"/>
      <c r="AM32" s="3"/>
      <c r="AN32" s="3"/>
    </row>
    <row r="33" spans="1:40" ht="15.75" customHeight="1">
      <c r="A33" s="21"/>
      <c r="B33" s="45"/>
      <c r="C33" s="19" t="s">
        <v>74</v>
      </c>
      <c r="D33" s="3"/>
      <c r="E33" s="40" t="s">
        <v>75</v>
      </c>
      <c r="F33" s="57">
        <f>'T1&amp;T2_G2=3dec. '!F33</f>
        <v>0</v>
      </c>
      <c r="G33" s="59">
        <f>100-AC33</f>
        <v>7.2433460076045719</v>
      </c>
      <c r="H33" s="3"/>
      <c r="I33" s="19">
        <f>G33-G53</f>
        <v>-1.1725995294892062</v>
      </c>
      <c r="J33" s="3"/>
      <c r="K33" s="20">
        <f t="shared" si="0"/>
        <v>1.3749896565583077</v>
      </c>
      <c r="L33" s="21">
        <f>G33-'T1&amp;T2_G2=3dec. '!G33</f>
        <v>-7.6045627376245761E-2</v>
      </c>
      <c r="M33" s="21"/>
      <c r="N33" s="46"/>
      <c r="O33" s="23" t="str">
        <f t="shared" si="3"/>
        <v>n29</v>
      </c>
      <c r="P33" s="22" t="str">
        <f t="shared" si="2"/>
        <v>051026_AM02.2_S29</v>
      </c>
      <c r="Q33" s="24">
        <v>18.093</v>
      </c>
      <c r="R33" s="3"/>
      <c r="S33" s="25">
        <v>1.052</v>
      </c>
      <c r="T33" s="3"/>
      <c r="U33" s="20">
        <f t="shared" si="1"/>
        <v>19.145</v>
      </c>
      <c r="V33" s="3"/>
      <c r="W33" s="26">
        <v>19.0688</v>
      </c>
      <c r="X33" s="3"/>
      <c r="Y33" s="20">
        <f>U33-W33</f>
        <v>7.6200000000000045E-2</v>
      </c>
      <c r="Z33" s="3"/>
      <c r="AA33" s="19">
        <f>S33-Y33</f>
        <v>0.9758</v>
      </c>
      <c r="AB33" s="3"/>
      <c r="AC33" s="20">
        <f>AA33*100/S33</f>
        <v>92.756653992395428</v>
      </c>
      <c r="AD33" s="3"/>
      <c r="AE33" s="3"/>
      <c r="AF33" s="3"/>
      <c r="AK33" s="3"/>
      <c r="AL33" s="3"/>
      <c r="AM33" s="3"/>
      <c r="AN33" s="3"/>
    </row>
    <row r="34" spans="1:40" ht="15.75" customHeight="1">
      <c r="A34" s="21"/>
      <c r="B34" s="45"/>
      <c r="C34" s="19" t="s">
        <v>76</v>
      </c>
      <c r="D34" s="3"/>
      <c r="E34" s="40" t="s">
        <v>77</v>
      </c>
      <c r="F34" s="57">
        <f>'T1&amp;T2_G2=3dec. '!F34</f>
        <v>0</v>
      </c>
      <c r="G34" s="59">
        <f>100-AC34</f>
        <v>10.664023785926801</v>
      </c>
      <c r="H34" s="3"/>
      <c r="I34" s="19">
        <f>G34-G53</f>
        <v>2.2480782488330231</v>
      </c>
      <c r="J34" s="3"/>
      <c r="K34" s="20">
        <f t="shared" si="0"/>
        <v>5.0538558128761517</v>
      </c>
      <c r="L34" s="21">
        <f>G34-'T1&amp;T2_G2=3dec. '!G34</f>
        <v>5.946481665036174E-2</v>
      </c>
      <c r="M34" s="21"/>
      <c r="N34" s="46"/>
      <c r="O34" s="23" t="str">
        <f t="shared" si="3"/>
        <v>n30</v>
      </c>
      <c r="P34" s="22" t="str">
        <f t="shared" si="2"/>
        <v>051026_AM02.2_S30</v>
      </c>
      <c r="Q34" s="24">
        <v>18.602</v>
      </c>
      <c r="R34" s="3"/>
      <c r="S34" s="25">
        <v>1.0089999999999999</v>
      </c>
      <c r="T34" s="3"/>
      <c r="U34" s="20">
        <f t="shared" si="1"/>
        <v>19.611000000000001</v>
      </c>
      <c r="V34" s="3"/>
      <c r="W34" s="26">
        <v>19.503399999999999</v>
      </c>
      <c r="X34" s="3"/>
      <c r="Y34" s="20">
        <f>U34-W34</f>
        <v>0.10760000000000147</v>
      </c>
      <c r="Z34" s="3"/>
      <c r="AA34" s="19">
        <f>S34-Y34</f>
        <v>0.90139999999999842</v>
      </c>
      <c r="AB34" s="3"/>
      <c r="AC34" s="20">
        <f>AA34*100/S34</f>
        <v>89.335976214073199</v>
      </c>
      <c r="AD34" s="3"/>
      <c r="AE34" s="3"/>
      <c r="AF34" s="3"/>
      <c r="AK34" s="3"/>
      <c r="AL34" s="3"/>
      <c r="AM34" s="3"/>
      <c r="AN34" s="3"/>
    </row>
    <row r="35" spans="1:40" ht="15.75" customHeight="1">
      <c r="A35" s="21"/>
      <c r="B35" s="45"/>
      <c r="C35" s="19" t="s">
        <v>78</v>
      </c>
      <c r="D35" s="3"/>
      <c r="E35" s="40" t="s">
        <v>79</v>
      </c>
      <c r="F35" s="57">
        <f>'T1&amp;T2_G2=3dec. '!F35</f>
        <v>0</v>
      </c>
      <c r="G35" s="59">
        <f>100-AC35</f>
        <v>6.7148362235064951</v>
      </c>
      <c r="H35" s="3"/>
      <c r="I35" s="19">
        <f>G35-G53</f>
        <v>-1.701109313587283</v>
      </c>
      <c r="J35" s="3"/>
      <c r="K35" s="20">
        <f t="shared" si="0"/>
        <v>2.8937728967733971</v>
      </c>
      <c r="L35" s="21">
        <f>G35-'T1&amp;T2_G2=3dec. '!G35</f>
        <v>-2.8901734104323396E-2</v>
      </c>
      <c r="M35" s="21"/>
      <c r="N35" s="46"/>
      <c r="O35" s="23" t="str">
        <f t="shared" si="3"/>
        <v>n31</v>
      </c>
      <c r="P35" s="22" t="str">
        <f t="shared" si="2"/>
        <v>051026_AM02.2_S31</v>
      </c>
      <c r="Q35" s="24">
        <v>17.559999999999999</v>
      </c>
      <c r="R35" s="3"/>
      <c r="S35" s="25">
        <v>1.038</v>
      </c>
      <c r="T35" s="3"/>
      <c r="U35" s="20">
        <f t="shared" si="1"/>
        <v>18.597999999999999</v>
      </c>
      <c r="V35" s="3"/>
      <c r="W35" s="26">
        <v>18.528300000000002</v>
      </c>
      <c r="X35" s="3"/>
      <c r="Y35" s="20">
        <f>U35-W35</f>
        <v>6.9699999999997431E-2</v>
      </c>
      <c r="Z35" s="3"/>
      <c r="AA35" s="19">
        <f>S35-Y35</f>
        <v>0.9683000000000026</v>
      </c>
      <c r="AB35" s="3"/>
      <c r="AC35" s="20">
        <f>AA35*100/S35</f>
        <v>93.285163776493505</v>
      </c>
      <c r="AD35" s="3"/>
      <c r="AE35" s="3"/>
      <c r="AF35" s="3"/>
      <c r="AK35" s="3"/>
      <c r="AL35" s="3"/>
      <c r="AM35" s="3"/>
      <c r="AN35" s="3"/>
    </row>
    <row r="36" spans="1:40" ht="15.75" customHeight="1">
      <c r="A36" s="21"/>
      <c r="B36" s="45"/>
      <c r="C36" s="19" t="s">
        <v>80</v>
      </c>
      <c r="D36" s="3"/>
      <c r="E36" s="40" t="s">
        <v>81</v>
      </c>
      <c r="F36" s="57">
        <f>'T1&amp;T2_G2=3dec. '!F36</f>
        <v>0</v>
      </c>
      <c r="G36" s="59">
        <f>100-AC36</f>
        <v>10.273584905660229</v>
      </c>
      <c r="H36" s="3"/>
      <c r="I36" s="19">
        <f>G36-G53</f>
        <v>1.857639368566451</v>
      </c>
      <c r="J36" s="3"/>
      <c r="K36" s="20">
        <f t="shared" si="0"/>
        <v>3.4508240236479626</v>
      </c>
      <c r="L36" s="21">
        <f>G36-'T1&amp;T2_G2=3dec. '!G36</f>
        <v>-0.10377358490542576</v>
      </c>
      <c r="M36" s="21"/>
      <c r="N36" s="46"/>
      <c r="O36" s="23" t="str">
        <f t="shared" si="3"/>
        <v>n32</v>
      </c>
      <c r="P36" s="22" t="str">
        <f t="shared" si="2"/>
        <v>051026_AM02.2_S32</v>
      </c>
      <c r="Q36" s="24">
        <v>18.588999999999999</v>
      </c>
      <c r="R36" s="3"/>
      <c r="S36" s="25">
        <v>1.06</v>
      </c>
      <c r="T36" s="3"/>
      <c r="U36" s="20">
        <f t="shared" si="1"/>
        <v>19.648999999999997</v>
      </c>
      <c r="V36" s="3"/>
      <c r="W36" s="26">
        <v>19.540099999999999</v>
      </c>
      <c r="X36" s="3"/>
      <c r="Y36" s="20">
        <f>U36-W36</f>
        <v>0.10889999999999844</v>
      </c>
      <c r="Z36" s="3"/>
      <c r="AA36" s="19">
        <f>S36-Y36</f>
        <v>0.95110000000000161</v>
      </c>
      <c r="AB36" s="3"/>
      <c r="AC36" s="20">
        <f>AA36*100/S36</f>
        <v>89.726415094339771</v>
      </c>
      <c r="AD36" s="3"/>
      <c r="AE36" s="3"/>
      <c r="AF36" s="3"/>
      <c r="AK36" s="3"/>
      <c r="AL36" s="3"/>
      <c r="AM36" s="3"/>
      <c r="AN36" s="3"/>
    </row>
    <row r="37" spans="1:40" ht="15.75" customHeight="1">
      <c r="A37" s="21"/>
      <c r="B37" s="45"/>
      <c r="C37" s="19" t="s">
        <v>82</v>
      </c>
      <c r="D37" s="3"/>
      <c r="E37" s="40" t="s">
        <v>83</v>
      </c>
      <c r="F37" s="57">
        <f>'T1&amp;T2_G2=3dec. '!F37</f>
        <v>0</v>
      </c>
      <c r="G37" s="59">
        <f>100-AC37</f>
        <v>9.2122958693564243</v>
      </c>
      <c r="H37" s="3"/>
      <c r="I37" s="19">
        <f>G37-G53</f>
        <v>0.79635033226264618</v>
      </c>
      <c r="J37" s="3"/>
      <c r="K37" s="20">
        <f t="shared" si="0"/>
        <v>0.63417385169482698</v>
      </c>
      <c r="L37" s="21">
        <f>G37-'T1&amp;T2_G2=3dec. '!G37</f>
        <v>-9.6061479346474243E-3</v>
      </c>
      <c r="M37" s="21"/>
      <c r="N37" s="46"/>
      <c r="O37" s="23" t="str">
        <f t="shared" si="3"/>
        <v>n33</v>
      </c>
      <c r="P37" s="22" t="str">
        <f t="shared" si="2"/>
        <v>051026_AM02.2_S33</v>
      </c>
      <c r="Q37" s="24">
        <v>18.986999999999998</v>
      </c>
      <c r="R37" s="3"/>
      <c r="S37" s="25">
        <v>1.0409999999999999</v>
      </c>
      <c r="T37" s="3"/>
      <c r="U37" s="20">
        <f t="shared" si="1"/>
        <v>20.027999999999999</v>
      </c>
      <c r="V37" s="3"/>
      <c r="W37" s="26">
        <v>19.932099999999998</v>
      </c>
      <c r="X37" s="3"/>
      <c r="Y37" s="20">
        <f>U37-W37</f>
        <v>9.5900000000000318E-2</v>
      </c>
      <c r="Z37" s="3"/>
      <c r="AA37" s="19">
        <f>S37-Y37</f>
        <v>0.94509999999999961</v>
      </c>
      <c r="AB37" s="3"/>
      <c r="AC37" s="20">
        <f>AA37*100/S37</f>
        <v>90.787704130643576</v>
      </c>
      <c r="AD37" s="3"/>
      <c r="AE37" s="3"/>
      <c r="AF37" s="3"/>
      <c r="AK37" s="3"/>
      <c r="AL37" s="3"/>
      <c r="AM37" s="3"/>
      <c r="AN37" s="3"/>
    </row>
    <row r="38" spans="1:40" ht="15.75" customHeight="1">
      <c r="A38" s="21"/>
      <c r="B38" s="45"/>
      <c r="C38" s="19" t="s">
        <v>84</v>
      </c>
      <c r="D38" s="3"/>
      <c r="E38" s="40" t="s">
        <v>85</v>
      </c>
      <c r="F38" s="57">
        <f>'T1&amp;T2_G2=3dec. '!F38</f>
        <v>0</v>
      </c>
      <c r="G38" s="59">
        <f>100-AC38</f>
        <v>9.2857142857141497</v>
      </c>
      <c r="H38" s="3"/>
      <c r="I38" s="19">
        <f>G38-G53</f>
        <v>0.86976874862037157</v>
      </c>
      <c r="J38" s="3"/>
      <c r="K38" s="20">
        <f t="shared" si="0"/>
        <v>0.75649767607664709</v>
      </c>
      <c r="L38" s="21">
        <f>G38-'T1&amp;T2_G2=3dec. '!G38</f>
        <v>-3.9682539682445395E-2</v>
      </c>
      <c r="M38" s="21"/>
      <c r="N38" s="46"/>
      <c r="O38" s="23" t="str">
        <f t="shared" si="3"/>
        <v>n34</v>
      </c>
      <c r="P38" s="22" t="str">
        <f t="shared" si="2"/>
        <v>051026_AM02.2_S34</v>
      </c>
      <c r="Q38" s="24">
        <v>18.516999999999999</v>
      </c>
      <c r="R38" s="3"/>
      <c r="S38" s="25">
        <v>1.008</v>
      </c>
      <c r="T38" s="3"/>
      <c r="U38" s="20">
        <f t="shared" si="1"/>
        <v>19.524999999999999</v>
      </c>
      <c r="V38" s="3"/>
      <c r="W38" s="26">
        <v>19.4314</v>
      </c>
      <c r="X38" s="3"/>
      <c r="Y38" s="20">
        <f>U38-W38</f>
        <v>9.3599999999998573E-2</v>
      </c>
      <c r="Z38" s="3"/>
      <c r="AA38" s="19">
        <f>S38-Y38</f>
        <v>0.91440000000000143</v>
      </c>
      <c r="AB38" s="3"/>
      <c r="AC38" s="20">
        <f>AA38*100/S38</f>
        <v>90.71428571428585</v>
      </c>
      <c r="AD38" s="3"/>
      <c r="AE38" s="3"/>
      <c r="AF38" s="3"/>
      <c r="AK38" s="3"/>
      <c r="AL38" s="3"/>
      <c r="AM38" s="3"/>
      <c r="AN38" s="3"/>
    </row>
    <row r="39" spans="1:40" ht="15.75" customHeight="1">
      <c r="A39" s="21"/>
      <c r="B39" s="45"/>
      <c r="C39" s="19" t="s">
        <v>86</v>
      </c>
      <c r="D39" s="3"/>
      <c r="E39" s="40" t="s">
        <v>87</v>
      </c>
      <c r="F39" s="57">
        <f>'T1&amp;T2_G2=3dec. '!F39</f>
        <v>0</v>
      </c>
      <c r="G39" s="59">
        <f>100-AC39</f>
        <v>6.2706913339827395</v>
      </c>
      <c r="H39" s="3"/>
      <c r="I39" s="19">
        <f>G39-G53</f>
        <v>-2.1452542031110386</v>
      </c>
      <c r="J39" s="3"/>
      <c r="K39" s="20">
        <f t="shared" si="0"/>
        <v>4.6021155959655777</v>
      </c>
      <c r="L39" s="21">
        <f>G39-'T1&amp;T2_G2=3dec. '!G39</f>
        <v>3.8948393379030222E-2</v>
      </c>
      <c r="M39" s="21"/>
      <c r="N39" s="46"/>
      <c r="O39" s="23" t="str">
        <f t="shared" si="3"/>
        <v>n35</v>
      </c>
      <c r="P39" s="22" t="str">
        <f t="shared" si="2"/>
        <v>051026_AM02.2_S35</v>
      </c>
      <c r="Q39" s="24">
        <v>17.622</v>
      </c>
      <c r="R39" s="3"/>
      <c r="S39" s="25">
        <v>1.0269999999999999</v>
      </c>
      <c r="T39" s="3"/>
      <c r="U39" s="20">
        <f t="shared" si="1"/>
        <v>18.649000000000001</v>
      </c>
      <c r="V39" s="3"/>
      <c r="W39" s="26">
        <v>18.584599999999998</v>
      </c>
      <c r="X39" s="3"/>
      <c r="Y39" s="20">
        <f>U39-W39</f>
        <v>6.4400000000002677E-2</v>
      </c>
      <c r="Z39" s="3"/>
      <c r="AA39" s="19">
        <f>S39-Y39</f>
        <v>0.96259999999999724</v>
      </c>
      <c r="AB39" s="3"/>
      <c r="AC39" s="20">
        <f>AA39*100/S39</f>
        <v>93.729308666017261</v>
      </c>
      <c r="AD39" s="3"/>
      <c r="AE39" s="3"/>
      <c r="AF39" s="3"/>
      <c r="AK39" s="3"/>
      <c r="AL39" s="3"/>
      <c r="AM39" s="3"/>
      <c r="AN39" s="3"/>
    </row>
    <row r="40" spans="1:40" ht="15.75" customHeight="1">
      <c r="A40" s="21"/>
      <c r="B40" s="45"/>
      <c r="C40" s="19" t="s">
        <v>88</v>
      </c>
      <c r="D40" s="3"/>
      <c r="E40" s="40" t="s">
        <v>89</v>
      </c>
      <c r="F40" s="57">
        <f>'T1&amp;T2_G2=3dec. '!F40</f>
        <v>0</v>
      </c>
      <c r="G40" s="59">
        <f>100-AC40</f>
        <v>6.7734553775744359</v>
      </c>
      <c r="H40" s="3"/>
      <c r="I40" s="19">
        <f>G40-G53</f>
        <v>-1.6424901595193422</v>
      </c>
      <c r="J40" s="3"/>
      <c r="K40" s="20">
        <f t="shared" si="0"/>
        <v>2.697773924117874</v>
      </c>
      <c r="L40" s="21">
        <f>G40-'T1&amp;T2_G2=3dec. '!G40</f>
        <v>2.2883295194461084E-2</v>
      </c>
      <c r="M40" s="21"/>
      <c r="N40" s="46"/>
      <c r="O40" s="23" t="str">
        <f t="shared" si="3"/>
        <v>n36</v>
      </c>
      <c r="P40" s="22" t="str">
        <f t="shared" si="2"/>
        <v>051026_AM02.2_S36</v>
      </c>
      <c r="Q40" s="24">
        <v>13.712</v>
      </c>
      <c r="R40" s="3"/>
      <c r="S40" s="25">
        <v>0.874</v>
      </c>
      <c r="T40" s="3"/>
      <c r="U40" s="20">
        <f t="shared" si="1"/>
        <v>14.586</v>
      </c>
      <c r="V40" s="3"/>
      <c r="W40" s="26">
        <v>14.5268</v>
      </c>
      <c r="X40" s="3"/>
      <c r="Y40" s="20">
        <f>U40-W40</f>
        <v>5.9200000000000585E-2</v>
      </c>
      <c r="Z40" s="3"/>
      <c r="AA40" s="19">
        <f>S40-Y40</f>
        <v>0.81479999999999941</v>
      </c>
      <c r="AB40" s="3"/>
      <c r="AC40" s="20">
        <f>AA40*100/S40</f>
        <v>93.226544622425564</v>
      </c>
      <c r="AD40" s="3"/>
      <c r="AE40" s="3"/>
      <c r="AF40" s="3"/>
      <c r="AK40" s="3"/>
      <c r="AL40" s="3"/>
      <c r="AM40" s="3"/>
      <c r="AN40" s="3"/>
    </row>
    <row r="41" spans="1:40" ht="15.75" customHeight="1">
      <c r="A41" s="21"/>
      <c r="B41" s="45"/>
      <c r="C41" s="19" t="s">
        <v>90</v>
      </c>
      <c r="D41" s="3"/>
      <c r="E41" s="40" t="s">
        <v>91</v>
      </c>
      <c r="F41" s="57">
        <f>'T1&amp;T2_G2=3dec. '!F41</f>
        <v>0</v>
      </c>
      <c r="G41" s="59">
        <f>100-AC41</f>
        <v>9.7005988023952909</v>
      </c>
      <c r="H41" s="3"/>
      <c r="I41" s="19">
        <f>G41-G53</f>
        <v>1.2846532653015128</v>
      </c>
      <c r="J41" s="3"/>
      <c r="K41" s="20">
        <f t="shared" si="0"/>
        <v>1.6503340120498391</v>
      </c>
      <c r="L41" s="21">
        <f>G41-'T1&amp;T2_G2=3dec. '!G41</f>
        <v>1.9960079840444678E-2</v>
      </c>
      <c r="M41" s="21"/>
      <c r="N41" s="46"/>
      <c r="O41" s="23" t="str">
        <f t="shared" si="3"/>
        <v>n37</v>
      </c>
      <c r="P41" s="22" t="str">
        <f t="shared" si="2"/>
        <v>051026_AM02.2_S37</v>
      </c>
      <c r="Q41" s="24">
        <v>13.581</v>
      </c>
      <c r="R41" s="3"/>
      <c r="S41" s="25">
        <v>1.002</v>
      </c>
      <c r="T41" s="3"/>
      <c r="U41" s="20">
        <f t="shared" si="1"/>
        <v>14.583</v>
      </c>
      <c r="V41" s="3"/>
      <c r="W41" s="26">
        <v>14.485799999999999</v>
      </c>
      <c r="X41" s="3"/>
      <c r="Y41" s="20">
        <f>U41-W41</f>
        <v>9.7200000000000841E-2</v>
      </c>
      <c r="Z41" s="3"/>
      <c r="AA41" s="19">
        <f>S41-Y41</f>
        <v>0.90479999999999916</v>
      </c>
      <c r="AB41" s="3"/>
      <c r="AC41" s="20">
        <f>AA41*100/S41</f>
        <v>90.299401197604709</v>
      </c>
      <c r="AD41" s="3"/>
      <c r="AE41" s="3"/>
      <c r="AF41" s="3"/>
      <c r="AK41" s="3"/>
      <c r="AL41" s="3"/>
      <c r="AM41" s="3"/>
      <c r="AN41" s="3"/>
    </row>
    <row r="42" spans="1:40" ht="15.75" customHeight="1">
      <c r="A42" s="21"/>
      <c r="B42" s="45"/>
      <c r="C42" s="19" t="s">
        <v>92</v>
      </c>
      <c r="D42" s="3"/>
      <c r="E42" s="40" t="s">
        <v>93</v>
      </c>
      <c r="F42" s="57">
        <f>'T1&amp;T2_G2=3dec. '!F42</f>
        <v>0</v>
      </c>
      <c r="G42" s="59">
        <f>100-AC42</f>
        <v>8.9709172259507426</v>
      </c>
      <c r="H42" s="3"/>
      <c r="I42" s="19">
        <f>G42-G53</f>
        <v>0.55497168885696446</v>
      </c>
      <c r="J42" s="3"/>
      <c r="K42" s="20">
        <f t="shared" si="0"/>
        <v>0.30799357543275135</v>
      </c>
      <c r="L42" s="21">
        <f>G42-'T1&amp;T2_G2=3dec. '!G42</f>
        <v>-8.9485458612955426E-2</v>
      </c>
      <c r="M42" s="21"/>
      <c r="N42" s="46"/>
      <c r="O42" s="23" t="str">
        <f t="shared" si="3"/>
        <v>n38</v>
      </c>
      <c r="P42" s="22" t="str">
        <f t="shared" si="2"/>
        <v>051026_AM02.2_S38</v>
      </c>
      <c r="Q42" s="24">
        <v>13.718</v>
      </c>
      <c r="R42" s="3"/>
      <c r="S42" s="25">
        <v>0.89400000000000002</v>
      </c>
      <c r="T42" s="3"/>
      <c r="U42" s="20">
        <f t="shared" si="1"/>
        <v>14.612</v>
      </c>
      <c r="V42" s="3"/>
      <c r="W42" s="26">
        <v>14.5318</v>
      </c>
      <c r="X42" s="3"/>
      <c r="Y42" s="20">
        <f>U42-W42</f>
        <v>8.0199999999999605E-2</v>
      </c>
      <c r="Z42" s="3"/>
      <c r="AA42" s="19">
        <f>S42-Y42</f>
        <v>0.81380000000000041</v>
      </c>
      <c r="AB42" s="3"/>
      <c r="AC42" s="20">
        <f>AA42*100/S42</f>
        <v>91.029082774049257</v>
      </c>
      <c r="AD42" s="3"/>
      <c r="AE42" s="3"/>
      <c r="AF42" s="3"/>
      <c r="AK42" s="3"/>
      <c r="AL42" s="3"/>
      <c r="AM42" s="3"/>
      <c r="AN42" s="3"/>
    </row>
    <row r="43" spans="1:40" ht="15.75" customHeight="1">
      <c r="A43" s="21"/>
      <c r="B43" s="45"/>
      <c r="C43" s="19" t="s">
        <v>94</v>
      </c>
      <c r="D43" s="3"/>
      <c r="E43" s="40" t="s">
        <v>95</v>
      </c>
      <c r="F43" s="57">
        <f>'T1&amp;T2_G2=3dec. '!F43</f>
        <v>0</v>
      </c>
      <c r="G43" s="59">
        <f>100-AC43</f>
        <v>11.198067632850396</v>
      </c>
      <c r="H43" s="3"/>
      <c r="I43" s="19">
        <f>G43-G53</f>
        <v>2.782122095756618</v>
      </c>
      <c r="J43" s="3"/>
      <c r="K43" s="20">
        <f t="shared" si="0"/>
        <v>7.7402033556971963</v>
      </c>
      <c r="L43" s="21">
        <f>G43-'T1&amp;T2_G2=3dec. '!G43</f>
        <v>-9.6618357487727735E-3</v>
      </c>
      <c r="M43" s="21"/>
      <c r="N43" s="46"/>
      <c r="O43" s="23" t="str">
        <f t="shared" si="3"/>
        <v>n39</v>
      </c>
      <c r="P43" s="22" t="str">
        <f t="shared" si="2"/>
        <v>051026_AM02.2_S39</v>
      </c>
      <c r="Q43" s="24">
        <v>13.268000000000001</v>
      </c>
      <c r="R43" s="3"/>
      <c r="S43" s="25">
        <v>1.0349999999999999</v>
      </c>
      <c r="T43" s="3"/>
      <c r="U43" s="20">
        <f t="shared" si="1"/>
        <v>14.303000000000001</v>
      </c>
      <c r="V43" s="3"/>
      <c r="W43" s="26">
        <v>14.187099999999999</v>
      </c>
      <c r="X43" s="3"/>
      <c r="Y43" s="20">
        <f>U43-W43</f>
        <v>0.11590000000000167</v>
      </c>
      <c r="Z43" s="3"/>
      <c r="AA43" s="19">
        <f>S43-Y43</f>
        <v>0.91909999999999825</v>
      </c>
      <c r="AB43" s="3"/>
      <c r="AC43" s="20">
        <f>AA43*100/S43</f>
        <v>88.801932367149604</v>
      </c>
      <c r="AD43" s="3"/>
      <c r="AE43" s="3"/>
      <c r="AF43" s="3"/>
      <c r="AK43" s="3"/>
      <c r="AL43" s="3"/>
      <c r="AM43" s="3"/>
      <c r="AN43" s="3"/>
    </row>
    <row r="44" spans="1:40" ht="15.75" customHeight="1">
      <c r="A44" s="21"/>
      <c r="B44" s="45"/>
      <c r="C44" s="19" t="s">
        <v>96</v>
      </c>
      <c r="D44" s="3"/>
      <c r="E44" s="40" t="s">
        <v>97</v>
      </c>
      <c r="F44" s="57">
        <f>'T1&amp;T2_G2=3dec. '!F44</f>
        <v>0</v>
      </c>
      <c r="G44" s="59">
        <f>100-AC44</f>
        <v>6.9223205506390713</v>
      </c>
      <c r="H44" s="3"/>
      <c r="I44" s="19">
        <f>G44-G53</f>
        <v>-1.4936249864547069</v>
      </c>
      <c r="J44" s="3"/>
      <c r="K44" s="20">
        <f t="shared" si="0"/>
        <v>2.2309156001618233</v>
      </c>
      <c r="L44" s="21">
        <f>G44-'T1&amp;T2_G2=3dec. '!G44</f>
        <v>-5.8997050147524988E-2</v>
      </c>
      <c r="M44" s="21"/>
      <c r="N44" s="46"/>
      <c r="O44" s="23" t="str">
        <f t="shared" si="3"/>
        <v>n40</v>
      </c>
      <c r="P44" s="22" t="str">
        <f t="shared" si="2"/>
        <v>051026_AM02.2_S40</v>
      </c>
      <c r="Q44" s="24">
        <v>13.268000000000001</v>
      </c>
      <c r="R44" s="3"/>
      <c r="S44" s="25">
        <v>1.0169999999999999</v>
      </c>
      <c r="T44" s="3"/>
      <c r="U44" s="20">
        <f t="shared" si="1"/>
        <v>14.285</v>
      </c>
      <c r="V44" s="3"/>
      <c r="W44" s="26">
        <v>14.214600000000001</v>
      </c>
      <c r="X44" s="3"/>
      <c r="Y44" s="20">
        <f>U44-W44</f>
        <v>7.0399999999999352E-2</v>
      </c>
      <c r="Z44" s="3"/>
      <c r="AA44" s="19">
        <f>S44-Y44</f>
        <v>0.94660000000000055</v>
      </c>
      <c r="AB44" s="3"/>
      <c r="AC44" s="20">
        <f>AA44*100/S44</f>
        <v>93.077679449360929</v>
      </c>
      <c r="AD44" s="3"/>
      <c r="AE44" s="3"/>
      <c r="AF44" s="3"/>
      <c r="AK44" s="3"/>
      <c r="AL44" s="3"/>
      <c r="AM44" s="3"/>
      <c r="AN44" s="3"/>
    </row>
    <row r="45" spans="1:40" ht="15.75" customHeight="1">
      <c r="A45" s="21"/>
      <c r="B45" s="45"/>
      <c r="C45" s="19" t="s">
        <v>98</v>
      </c>
      <c r="D45" s="3"/>
      <c r="E45" s="40" t="s">
        <v>99</v>
      </c>
      <c r="F45" s="57">
        <f>'T1&amp;T2_G2=3dec. '!F45</f>
        <v>0</v>
      </c>
      <c r="G45" s="59">
        <f>100-AC45</f>
        <v>8.2449494949495659</v>
      </c>
      <c r="H45" s="3"/>
      <c r="I45" s="19">
        <f>G45-G53</f>
        <v>-0.17099604214421227</v>
      </c>
      <c r="J45" s="3"/>
      <c r="K45" s="20">
        <f t="shared" si="0"/>
        <v>2.9239646428985216E-2</v>
      </c>
      <c r="L45" s="21">
        <f>G45-'T1&amp;T2_G2=3dec. '!G45</f>
        <v>3.7878787878923958E-2</v>
      </c>
      <c r="M45" s="21"/>
      <c r="N45" s="46"/>
      <c r="O45" s="23" t="str">
        <f t="shared" si="3"/>
        <v>n41</v>
      </c>
      <c r="P45" s="22" t="str">
        <f t="shared" si="2"/>
        <v>051026_AM02.2_S41</v>
      </c>
      <c r="Q45" s="24">
        <v>13.654</v>
      </c>
      <c r="R45" s="3"/>
      <c r="S45" s="25">
        <v>0.79200000000000004</v>
      </c>
      <c r="T45" s="3"/>
      <c r="U45" s="20">
        <f t="shared" si="1"/>
        <v>14.446</v>
      </c>
      <c r="V45" s="3"/>
      <c r="W45" s="26">
        <v>14.380699999999999</v>
      </c>
      <c r="X45" s="3"/>
      <c r="Y45" s="20">
        <f>U45-W45</f>
        <v>6.530000000000058E-2</v>
      </c>
      <c r="Z45" s="3"/>
      <c r="AA45" s="19">
        <f>S45-Y45</f>
        <v>0.72669999999999946</v>
      </c>
      <c r="AB45" s="3"/>
      <c r="AC45" s="20">
        <f>AA45*100/S45</f>
        <v>91.755050505050434</v>
      </c>
      <c r="AD45" s="3"/>
      <c r="AE45" s="3"/>
      <c r="AF45" s="3"/>
      <c r="AK45" s="3"/>
      <c r="AL45" s="3"/>
      <c r="AM45" s="3"/>
      <c r="AN45" s="3"/>
    </row>
    <row r="46" spans="1:40" ht="15.75" customHeight="1">
      <c r="A46" s="21"/>
      <c r="B46" s="45"/>
      <c r="C46" s="19" t="s">
        <v>100</v>
      </c>
      <c r="D46" s="3"/>
      <c r="E46" s="40" t="s">
        <v>101</v>
      </c>
      <c r="F46" s="57">
        <f>'T1&amp;T2_G2=3dec. '!F46</f>
        <v>0</v>
      </c>
      <c r="G46" s="59">
        <f>100-AC46</f>
        <v>7.3230088495575529</v>
      </c>
      <c r="H46" s="3"/>
      <c r="I46" s="19">
        <f>G46-G53</f>
        <v>-1.0929366875362252</v>
      </c>
      <c r="J46" s="3"/>
      <c r="K46" s="20">
        <f t="shared" si="0"/>
        <v>1.1945106029626564</v>
      </c>
      <c r="L46" s="21">
        <f>G46-'T1&amp;T2_G2=3dec. '!G46</f>
        <v>-8.8495575221216427E-2</v>
      </c>
      <c r="M46" s="21"/>
      <c r="N46" s="46"/>
      <c r="O46" s="23" t="str">
        <f t="shared" si="3"/>
        <v>n42</v>
      </c>
      <c r="P46" s="22" t="str">
        <f t="shared" si="2"/>
        <v>051026_AM02.2_S42</v>
      </c>
      <c r="Q46" s="24">
        <v>13.563000000000001</v>
      </c>
      <c r="R46" s="3"/>
      <c r="S46" s="25">
        <v>0.90400000000000003</v>
      </c>
      <c r="T46" s="3"/>
      <c r="U46" s="20">
        <f t="shared" si="1"/>
        <v>14.467000000000001</v>
      </c>
      <c r="V46" s="3"/>
      <c r="W46" s="26">
        <v>14.4008</v>
      </c>
      <c r="X46" s="3"/>
      <c r="Y46" s="20">
        <f>U46-W46</f>
        <v>6.6200000000000259E-2</v>
      </c>
      <c r="Z46" s="3"/>
      <c r="AA46" s="19">
        <f>S46-Y46</f>
        <v>0.83779999999999977</v>
      </c>
      <c r="AB46" s="3"/>
      <c r="AC46" s="20">
        <f>AA46*100/S46</f>
        <v>92.676991150442447</v>
      </c>
      <c r="AD46" s="3"/>
      <c r="AE46" s="3"/>
      <c r="AF46" s="3"/>
      <c r="AK46" s="3"/>
      <c r="AL46" s="3"/>
      <c r="AM46" s="3"/>
      <c r="AN46" s="3"/>
    </row>
    <row r="47" spans="1:40" ht="15.75" customHeight="1">
      <c r="A47" s="21"/>
      <c r="B47" s="45"/>
      <c r="C47" s="19" t="s">
        <v>102</v>
      </c>
      <c r="D47" s="3"/>
      <c r="E47" s="40" t="s">
        <v>103</v>
      </c>
      <c r="F47" s="57">
        <f>'T1&amp;T2_G2=3dec. '!F47</f>
        <v>0</v>
      </c>
      <c r="G47" s="59">
        <f>100-AC47</f>
        <v>9.5562802648483256</v>
      </c>
      <c r="H47" s="3"/>
      <c r="I47" s="19">
        <f>G47-G53</f>
        <v>1.1403347277545475</v>
      </c>
      <c r="J47" s="3"/>
      <c r="K47" s="20">
        <f t="shared" si="0"/>
        <v>1.3003632913230379</v>
      </c>
      <c r="L47" s="21">
        <f>G47-'T1&amp;T2_G2=3dec. '!G47</f>
        <v>-1.9764798893120883E-2</v>
      </c>
      <c r="M47" s="21"/>
      <c r="N47" s="46"/>
      <c r="O47" s="23" t="str">
        <f t="shared" si="3"/>
        <v>n43</v>
      </c>
      <c r="P47" s="22" t="str">
        <f t="shared" si="2"/>
        <v>051026_AM02.2_S43</v>
      </c>
      <c r="Q47" s="24">
        <v>13.404999999999999</v>
      </c>
      <c r="R47" s="3"/>
      <c r="S47" s="25">
        <v>1.0119</v>
      </c>
      <c r="T47" s="3"/>
      <c r="U47" s="20">
        <f t="shared" si="1"/>
        <v>14.4169</v>
      </c>
      <c r="V47" s="3"/>
      <c r="W47" s="26">
        <v>14.3202</v>
      </c>
      <c r="X47" s="3"/>
      <c r="Y47" s="20">
        <f>U47-W47</f>
        <v>9.670000000000023E-2</v>
      </c>
      <c r="Z47" s="3"/>
      <c r="AA47" s="19">
        <f>S47-Y47</f>
        <v>0.91519999999999979</v>
      </c>
      <c r="AB47" s="3"/>
      <c r="AC47" s="20">
        <f>AA47*100/S47</f>
        <v>90.443719735151674</v>
      </c>
      <c r="AD47" s="3"/>
      <c r="AE47" s="3"/>
      <c r="AF47" s="3"/>
      <c r="AK47" s="3"/>
      <c r="AL47" s="3"/>
      <c r="AM47" s="3"/>
      <c r="AN47" s="3"/>
    </row>
    <row r="48" spans="1:40" ht="15.75" customHeight="1">
      <c r="A48" s="21"/>
      <c r="B48" s="45"/>
      <c r="C48" s="19" t="s">
        <v>104</v>
      </c>
      <c r="D48" s="3"/>
      <c r="E48" s="40" t="s">
        <v>105</v>
      </c>
      <c r="F48" s="57">
        <f>'T1&amp;T2_G2=3dec. '!F48</f>
        <v>0</v>
      </c>
      <c r="G48" s="59">
        <f>100-AC48</f>
        <v>10.187134502924138</v>
      </c>
      <c r="H48" s="3"/>
      <c r="I48" s="19">
        <f>G48-G53</f>
        <v>1.7711889658303601</v>
      </c>
      <c r="J48" s="3"/>
      <c r="K48" s="20">
        <f t="shared" si="0"/>
        <v>3.1371103526792208</v>
      </c>
      <c r="L48" s="21">
        <f>G48-'T1&amp;T2_G2=3dec. '!G48</f>
        <v>1.1695906432720449E-2</v>
      </c>
      <c r="M48" s="21"/>
      <c r="N48" s="46"/>
      <c r="O48" s="23" t="str">
        <f t="shared" si="3"/>
        <v>n44</v>
      </c>
      <c r="P48" s="22" t="str">
        <f t="shared" si="2"/>
        <v>051026_AM02.2_S44</v>
      </c>
      <c r="Q48" s="24">
        <v>12.711</v>
      </c>
      <c r="R48" s="3"/>
      <c r="S48" s="25">
        <v>0.85499999999999998</v>
      </c>
      <c r="T48" s="3"/>
      <c r="U48" s="20">
        <f t="shared" si="1"/>
        <v>13.566000000000001</v>
      </c>
      <c r="V48" s="3"/>
      <c r="W48" s="26">
        <v>13.478899999999999</v>
      </c>
      <c r="X48" s="3"/>
      <c r="Y48" s="20">
        <f>U48-W48</f>
        <v>8.7100000000001288E-2</v>
      </c>
      <c r="Z48" s="3"/>
      <c r="AA48" s="19">
        <f>S48-Y48</f>
        <v>0.76789999999999869</v>
      </c>
      <c r="AB48" s="3"/>
      <c r="AC48" s="20">
        <f>AA48*100/S48</f>
        <v>89.812865497075862</v>
      </c>
      <c r="AD48" s="3"/>
      <c r="AE48" s="3"/>
      <c r="AF48" s="3"/>
      <c r="AK48" s="3"/>
      <c r="AL48" s="3"/>
      <c r="AM48" s="3"/>
      <c r="AN48" s="3"/>
    </row>
    <row r="49" spans="1:40" ht="15.75" customHeight="1">
      <c r="A49" s="21"/>
      <c r="B49" s="45"/>
      <c r="C49" s="19" t="s">
        <v>106</v>
      </c>
      <c r="D49" s="3"/>
      <c r="E49" s="40" t="s">
        <v>107</v>
      </c>
      <c r="F49" s="57">
        <f>'T1&amp;T2_G2=3dec. '!F49</f>
        <v>0</v>
      </c>
      <c r="G49" s="59">
        <f>100-AC49</f>
        <v>6.6855203619910384</v>
      </c>
      <c r="H49" s="3"/>
      <c r="I49" s="19">
        <f>G49-G53</f>
        <v>-1.7304251751027397</v>
      </c>
      <c r="J49" s="3"/>
      <c r="K49" s="20">
        <f t="shared" si="0"/>
        <v>2.9943712866293475</v>
      </c>
      <c r="L49" s="21">
        <f>G49-'T1&amp;T2_G2=3dec. '!G49</f>
        <v>1.131221719454345E-2</v>
      </c>
      <c r="M49" s="21"/>
      <c r="N49" s="46"/>
      <c r="O49" s="23" t="str">
        <f t="shared" si="3"/>
        <v>n45</v>
      </c>
      <c r="P49" s="22" t="str">
        <f t="shared" si="2"/>
        <v>051026_AM02.2_S45</v>
      </c>
      <c r="Q49" s="24">
        <v>13.66</v>
      </c>
      <c r="R49" s="3"/>
      <c r="S49" s="25">
        <v>0.88400000000000001</v>
      </c>
      <c r="T49" s="3"/>
      <c r="U49" s="20">
        <f t="shared" si="1"/>
        <v>14.544</v>
      </c>
      <c r="V49" s="3"/>
      <c r="W49" s="26">
        <v>14.4849</v>
      </c>
      <c r="X49" s="3"/>
      <c r="Y49" s="20">
        <f>U49-W49</f>
        <v>5.9100000000000819E-2</v>
      </c>
      <c r="Z49" s="3"/>
      <c r="AA49" s="19">
        <f>S49-Y49</f>
        <v>0.82489999999999919</v>
      </c>
      <c r="AB49" s="3"/>
      <c r="AC49" s="20">
        <f>AA49*100/S49</f>
        <v>93.314479638008962</v>
      </c>
      <c r="AD49" s="3"/>
      <c r="AE49" s="3"/>
      <c r="AF49" s="3"/>
      <c r="AK49" s="3"/>
      <c r="AL49" s="3"/>
      <c r="AM49" s="3"/>
      <c r="AN49" s="3"/>
    </row>
    <row r="50" spans="1:40" ht="15.75" customHeight="1">
      <c r="A50" s="21"/>
      <c r="B50" s="45"/>
      <c r="C50" s="19" t="s">
        <v>108</v>
      </c>
      <c r="D50" s="3"/>
      <c r="E50" s="40" t="s">
        <v>109</v>
      </c>
      <c r="F50" s="57">
        <f>'T1&amp;T2_G2=3dec. '!F50</f>
        <v>0</v>
      </c>
      <c r="G50" s="60">
        <f>100-AC50</f>
        <v>9.9895615866387288</v>
      </c>
      <c r="H50" s="3"/>
      <c r="I50" s="19">
        <f>G50-G53</f>
        <v>1.5736160495449507</v>
      </c>
      <c r="J50" s="3"/>
      <c r="K50" s="20">
        <f t="shared" si="0"/>
        <v>2.4762674713854569</v>
      </c>
      <c r="L50" s="21">
        <f>G50-'T1&amp;T2_G2=3dec. '!G50</f>
        <v>7.3068893528201784E-2</v>
      </c>
      <c r="M50" s="21"/>
      <c r="N50" s="46"/>
      <c r="O50" s="23" t="str">
        <f t="shared" si="3"/>
        <v>n46</v>
      </c>
      <c r="P50" s="22" t="str">
        <f t="shared" si="2"/>
        <v>051026_AM02.2_S46</v>
      </c>
      <c r="Q50" s="24">
        <v>13.702999999999999</v>
      </c>
      <c r="R50" s="3"/>
      <c r="S50" s="25">
        <v>0.95799999999999996</v>
      </c>
      <c r="T50" s="3"/>
      <c r="U50" s="20">
        <f t="shared" si="1"/>
        <v>14.661</v>
      </c>
      <c r="V50" s="3"/>
      <c r="W50" s="26">
        <v>14.565300000000001</v>
      </c>
      <c r="X50" s="3"/>
      <c r="Y50" s="20">
        <f>U50-W50</f>
        <v>9.5699999999999008E-2</v>
      </c>
      <c r="Z50" s="3"/>
      <c r="AA50" s="19">
        <f>S50-Y50</f>
        <v>0.86230000000000095</v>
      </c>
      <c r="AB50" s="3"/>
      <c r="AC50" s="20">
        <f>AA50*100/S50</f>
        <v>90.010438413361271</v>
      </c>
      <c r="AD50" s="3"/>
      <c r="AE50" s="3"/>
      <c r="AF50" s="3"/>
      <c r="AK50" s="3"/>
      <c r="AL50" s="3"/>
      <c r="AM50" s="3"/>
      <c r="AN50" s="3"/>
    </row>
    <row r="51" spans="1:40" ht="7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1"/>
      <c r="M51" s="3"/>
      <c r="N51" s="3"/>
      <c r="O51" s="2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K51" s="3"/>
      <c r="AL51" s="3"/>
      <c r="AM51" s="3"/>
      <c r="AN51" s="3"/>
    </row>
    <row r="52" spans="1:40" ht="20.25" customHeight="1">
      <c r="A52" s="3"/>
      <c r="B52" s="49" t="s">
        <v>110</v>
      </c>
      <c r="C52" s="63"/>
      <c r="D52" s="63"/>
      <c r="E52" s="64"/>
      <c r="F52" s="42"/>
      <c r="G52" s="27">
        <f>SUM(G5:G50)</f>
        <v>387.1334947063138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K52" s="15"/>
      <c r="AL52" s="3"/>
      <c r="AM52" s="3"/>
      <c r="AN52" s="3"/>
    </row>
    <row r="53" spans="1:40" ht="21" customHeight="1">
      <c r="A53" s="3"/>
      <c r="B53" s="49" t="s">
        <v>111</v>
      </c>
      <c r="C53" s="63"/>
      <c r="D53" s="63"/>
      <c r="E53" s="64"/>
      <c r="F53" s="42"/>
      <c r="G53" s="28">
        <f>G52/C3</f>
        <v>8.4159455370937781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K53" s="15"/>
      <c r="AL53" s="29"/>
      <c r="AM53" s="3"/>
      <c r="AN53" s="3"/>
    </row>
    <row r="54" spans="1:40" ht="16.5" customHeight="1">
      <c r="A54" s="21"/>
      <c r="B54" s="47" t="s">
        <v>112</v>
      </c>
      <c r="C54" s="63"/>
      <c r="D54" s="63"/>
      <c r="E54" s="63"/>
      <c r="F54" s="63"/>
      <c r="G54" s="63"/>
      <c r="H54" s="63"/>
      <c r="I54" s="63"/>
      <c r="J54" s="64"/>
      <c r="K54" s="20">
        <f>SUM(K5:K50)</f>
        <v>81.021986853898028</v>
      </c>
      <c r="L54" s="21"/>
      <c r="M54" s="21"/>
      <c r="N54" s="21"/>
      <c r="O54" s="21"/>
      <c r="P54" s="21"/>
      <c r="Q54" s="21"/>
      <c r="R54" s="21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K54" s="3"/>
      <c r="AL54" s="3"/>
      <c r="AM54" s="3"/>
      <c r="AN54" s="3"/>
    </row>
    <row r="55" spans="1:40" ht="16.5" customHeight="1">
      <c r="A55" s="3"/>
      <c r="B55" s="47" t="s">
        <v>113</v>
      </c>
      <c r="C55" s="63"/>
      <c r="D55" s="63"/>
      <c r="E55" s="63"/>
      <c r="F55" s="63"/>
      <c r="G55" s="63"/>
      <c r="H55" s="63"/>
      <c r="I55" s="63"/>
      <c r="J55" s="64"/>
      <c r="K55" s="19">
        <f>K54/(C3-1)</f>
        <v>1.8004885967532895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K55" s="3"/>
      <c r="AL55" s="3"/>
      <c r="AM55" s="3"/>
      <c r="AN55" s="3"/>
    </row>
    <row r="56" spans="1:40" ht="18" customHeight="1">
      <c r="A56" s="30"/>
      <c r="B56" s="48" t="s">
        <v>114</v>
      </c>
      <c r="C56" s="63"/>
      <c r="D56" s="63"/>
      <c r="E56" s="63"/>
      <c r="F56" s="63"/>
      <c r="G56" s="63"/>
      <c r="H56" s="63"/>
      <c r="I56" s="63"/>
      <c r="J56" s="64"/>
      <c r="K56" s="31">
        <f>SQRT(K55)</f>
        <v>1.3418228634038434</v>
      </c>
      <c r="L56" s="32"/>
      <c r="M56" s="32"/>
      <c r="N56" s="32"/>
      <c r="O56" s="32"/>
      <c r="P56" s="32"/>
      <c r="Q56" s="32"/>
      <c r="R56" s="32"/>
      <c r="S56" s="32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K56" s="3"/>
      <c r="AL56" s="3"/>
      <c r="AM56" s="3"/>
      <c r="AN56" s="3"/>
    </row>
    <row r="57" spans="1:40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K57" s="3"/>
      <c r="AL57" s="3"/>
      <c r="AM57" s="3"/>
      <c r="AN57" s="3"/>
    </row>
    <row r="58" spans="1:40" ht="16.5" customHeight="1">
      <c r="A58" s="3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K58" s="3"/>
      <c r="AL58" s="3"/>
      <c r="AM58" s="3"/>
      <c r="AN58" s="3"/>
    </row>
    <row r="59" spans="1:40" ht="16.5" customHeight="1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4"/>
      <c r="AE59" s="34"/>
      <c r="AF59" s="34"/>
      <c r="AK59" s="3"/>
      <c r="AL59" s="3"/>
      <c r="AM59" s="3"/>
      <c r="AN59" s="3"/>
    </row>
    <row r="60" spans="1:40" ht="8.25" customHeight="1">
      <c r="A60" s="3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K60" s="3"/>
      <c r="AL60" s="3"/>
      <c r="AM60" s="3"/>
      <c r="AN60" s="3"/>
    </row>
    <row r="61" spans="1:40" ht="18.75" customHeight="1">
      <c r="A61" s="3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K61" s="3"/>
      <c r="AL61" s="3"/>
      <c r="AM61" s="3"/>
      <c r="AN61" s="3"/>
    </row>
    <row r="62" spans="1:40" ht="17.25" customHeight="1">
      <c r="A62" s="3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2"/>
      <c r="AE62" s="2"/>
      <c r="AF62" s="2"/>
      <c r="AK62" s="3"/>
      <c r="AL62" s="3"/>
      <c r="AM62" s="3"/>
      <c r="AN62" s="3"/>
    </row>
    <row r="63" spans="1:40" ht="17.25" customHeight="1">
      <c r="A63" s="3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21"/>
      <c r="AE63" s="21"/>
      <c r="AF63" s="21"/>
      <c r="AK63" s="3"/>
      <c r="AL63" s="3"/>
      <c r="AM63" s="3"/>
      <c r="AN63" s="3"/>
    </row>
    <row r="64" spans="1:40" ht="17.25" customHeight="1">
      <c r="A64" s="3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21"/>
      <c r="AE64" s="21"/>
      <c r="AF64" s="21"/>
      <c r="AK64" s="3"/>
      <c r="AL64" s="3"/>
      <c r="AM64" s="3"/>
      <c r="AN64" s="3"/>
    </row>
    <row r="65" spans="1:40" ht="17.25" customHeight="1">
      <c r="A65" s="3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21"/>
      <c r="AE65" s="21"/>
      <c r="AF65" s="21"/>
      <c r="AK65" s="3"/>
      <c r="AL65" s="3"/>
      <c r="AM65" s="3"/>
      <c r="AN65" s="3"/>
    </row>
    <row r="66" spans="1:40" ht="17.25" customHeight="1">
      <c r="A66" s="3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1"/>
      <c r="AE66" s="21"/>
      <c r="AF66" s="21"/>
      <c r="AK66" s="3"/>
      <c r="AL66" s="3"/>
      <c r="AM66" s="3"/>
      <c r="AN66" s="3"/>
    </row>
    <row r="67" spans="1:40" ht="17.25" customHeight="1">
      <c r="A67" s="3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1"/>
      <c r="AE67" s="21"/>
      <c r="AF67" s="21"/>
      <c r="AK67" s="3"/>
      <c r="AL67" s="3"/>
      <c r="AM67" s="3"/>
      <c r="AN67" s="3"/>
    </row>
    <row r="68" spans="1:40" ht="17.25" customHeight="1">
      <c r="A68" s="3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1"/>
      <c r="AE68" s="21"/>
      <c r="AF68" s="21"/>
      <c r="AK68" s="3"/>
      <c r="AL68" s="3"/>
      <c r="AM68" s="3"/>
      <c r="AN68" s="3"/>
    </row>
    <row r="69" spans="1:40" ht="17.25" customHeight="1">
      <c r="A69" s="3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1"/>
      <c r="AE69" s="21"/>
      <c r="AF69" s="21"/>
      <c r="AK69" s="3"/>
      <c r="AL69" s="3"/>
      <c r="AM69" s="3"/>
      <c r="AN69" s="3"/>
    </row>
    <row r="70" spans="1:40" ht="17.25" customHeight="1">
      <c r="A70" s="3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1"/>
      <c r="AE70" s="21"/>
      <c r="AF70" s="21"/>
      <c r="AK70" s="3"/>
      <c r="AL70" s="3"/>
      <c r="AM70" s="3"/>
      <c r="AN70" s="3"/>
    </row>
    <row r="71" spans="1:40" ht="17.25" customHeight="1">
      <c r="A71" s="3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1"/>
      <c r="AE71" s="21"/>
      <c r="AF71" s="21"/>
      <c r="AK71" s="3"/>
      <c r="AL71" s="3"/>
      <c r="AM71" s="3"/>
      <c r="AN71" s="3"/>
    </row>
    <row r="72" spans="1:40" ht="17.25" customHeight="1">
      <c r="A72" s="3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21"/>
      <c r="AE72" s="21"/>
      <c r="AF72" s="21"/>
      <c r="AK72" s="3"/>
      <c r="AL72" s="3"/>
      <c r="AM72" s="3"/>
      <c r="AN72" s="3"/>
    </row>
    <row r="73" spans="1:40" ht="17.25" customHeight="1">
      <c r="A73" s="3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21"/>
      <c r="AE73" s="21"/>
      <c r="AF73" s="21"/>
      <c r="AK73" s="3"/>
      <c r="AL73" s="3"/>
      <c r="AM73" s="3"/>
      <c r="AN73" s="3"/>
    </row>
    <row r="74" spans="1:40" ht="17.25" customHeight="1">
      <c r="A74" s="3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21"/>
      <c r="AE74" s="21"/>
      <c r="AF74" s="21"/>
      <c r="AK74" s="3"/>
      <c r="AL74" s="3"/>
      <c r="AM74" s="3"/>
      <c r="AN74" s="3"/>
    </row>
    <row r="75" spans="1:40" ht="17.25" customHeight="1">
      <c r="A75" s="3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21"/>
      <c r="AE75" s="21"/>
      <c r="AF75" s="21"/>
      <c r="AK75" s="3"/>
      <c r="AL75" s="3"/>
      <c r="AM75" s="3"/>
      <c r="AN75" s="3"/>
    </row>
    <row r="76" spans="1:40" ht="17.25" customHeight="1">
      <c r="A76" s="3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21"/>
      <c r="AE76" s="21"/>
      <c r="AF76" s="21"/>
      <c r="AK76" s="3"/>
      <c r="AL76" s="3"/>
      <c r="AM76" s="3"/>
      <c r="AN76" s="3"/>
    </row>
    <row r="77" spans="1:40" ht="17.25" customHeight="1">
      <c r="A77" s="3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21"/>
      <c r="AE77" s="21"/>
      <c r="AF77" s="21"/>
      <c r="AK77" s="3"/>
      <c r="AL77" s="3"/>
      <c r="AM77" s="3"/>
      <c r="AN77" s="3"/>
    </row>
    <row r="78" spans="1:40" ht="17.25" customHeight="1">
      <c r="A78" s="3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21"/>
      <c r="AE78" s="21"/>
      <c r="AF78" s="21"/>
      <c r="AK78" s="3"/>
      <c r="AL78" s="3"/>
      <c r="AM78" s="3"/>
      <c r="AN78" s="3"/>
    </row>
    <row r="79" spans="1:40" ht="17.25" customHeight="1">
      <c r="A79" s="3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1"/>
      <c r="AE79" s="21"/>
      <c r="AF79" s="21"/>
      <c r="AK79" s="3"/>
      <c r="AL79" s="3"/>
      <c r="AM79" s="3"/>
      <c r="AN79" s="3"/>
    </row>
    <row r="80" spans="1:40" ht="17.25" customHeight="1">
      <c r="A80" s="3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21"/>
      <c r="AE80" s="21"/>
      <c r="AF80" s="21"/>
      <c r="AK80" s="3"/>
      <c r="AL80" s="3"/>
      <c r="AM80" s="3"/>
      <c r="AN80" s="3"/>
    </row>
    <row r="81" spans="1:40" ht="17.25" customHeight="1">
      <c r="A81" s="3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21"/>
      <c r="AE81" s="21"/>
      <c r="AF81" s="21"/>
      <c r="AK81" s="3"/>
      <c r="AL81" s="3"/>
      <c r="AM81" s="3"/>
      <c r="AN81" s="3"/>
    </row>
    <row r="82" spans="1:40" ht="17.25" customHeight="1">
      <c r="A82" s="3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1"/>
      <c r="AE82" s="21"/>
      <c r="AF82" s="21"/>
      <c r="AK82" s="3"/>
      <c r="AL82" s="3"/>
      <c r="AM82" s="3"/>
      <c r="AN82" s="3"/>
    </row>
    <row r="83" spans="1:40" ht="17.25" customHeight="1">
      <c r="A83" s="3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1"/>
      <c r="AE83" s="21"/>
      <c r="AF83" s="21"/>
      <c r="AK83" s="3"/>
      <c r="AL83" s="3"/>
      <c r="AM83" s="3"/>
      <c r="AN83" s="3"/>
    </row>
    <row r="84" spans="1:40" ht="17.25" customHeight="1">
      <c r="A84" s="3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1"/>
      <c r="AE84" s="21"/>
      <c r="AF84" s="21"/>
      <c r="AK84" s="3"/>
      <c r="AL84" s="3"/>
      <c r="AM84" s="3"/>
      <c r="AN84" s="3"/>
    </row>
    <row r="85" spans="1:40" ht="17.25" customHeight="1">
      <c r="A85" s="3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1"/>
      <c r="AE85" s="21"/>
      <c r="AF85" s="21"/>
      <c r="AK85" s="3"/>
      <c r="AL85" s="3"/>
      <c r="AM85" s="3"/>
      <c r="AN85" s="3"/>
    </row>
    <row r="86" spans="1:40" ht="17.25" customHeight="1">
      <c r="A86" s="3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1"/>
      <c r="AE86" s="21"/>
      <c r="AF86" s="21"/>
      <c r="AK86" s="3"/>
      <c r="AL86" s="3"/>
      <c r="AM86" s="3"/>
      <c r="AN86" s="3"/>
    </row>
    <row r="87" spans="1:40" ht="17.25" customHeight="1">
      <c r="A87" s="3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21"/>
      <c r="AE87" s="21"/>
      <c r="AF87" s="21"/>
      <c r="AK87" s="3"/>
      <c r="AL87" s="3"/>
      <c r="AM87" s="3"/>
      <c r="AN87" s="3"/>
    </row>
    <row r="88" spans="1:40" ht="17.25" customHeight="1">
      <c r="A88" s="3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21"/>
      <c r="AE88" s="21"/>
      <c r="AF88" s="21"/>
      <c r="AK88" s="3"/>
      <c r="AL88" s="3"/>
      <c r="AM88" s="3"/>
      <c r="AN88" s="3"/>
    </row>
    <row r="89" spans="1:40" ht="17.25" customHeight="1">
      <c r="A89" s="3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21"/>
      <c r="AE89" s="21"/>
      <c r="AF89" s="21"/>
      <c r="AK89" s="3"/>
      <c r="AL89" s="3"/>
      <c r="AM89" s="3"/>
      <c r="AN89" s="3"/>
    </row>
    <row r="90" spans="1:40" ht="17.25" customHeight="1">
      <c r="A90" s="3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21"/>
      <c r="AE90" s="21"/>
      <c r="AF90" s="21"/>
      <c r="AK90" s="3"/>
      <c r="AL90" s="3"/>
      <c r="AM90" s="3"/>
      <c r="AN90" s="3"/>
    </row>
    <row r="91" spans="1:40" ht="13.5" customHeight="1">
      <c r="A91" s="3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21"/>
      <c r="AE91" s="21"/>
      <c r="AF91" s="21"/>
      <c r="AK91" s="3"/>
      <c r="AL91" s="3"/>
      <c r="AM91" s="3"/>
      <c r="AN91" s="3"/>
    </row>
    <row r="92" spans="1:40" ht="15.75" customHeight="1">
      <c r="A92" s="3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21"/>
      <c r="AE92" s="21"/>
      <c r="AF92" s="21"/>
      <c r="AK92" s="3"/>
      <c r="AL92" s="3"/>
      <c r="AM92" s="3"/>
      <c r="AN92" s="3"/>
    </row>
    <row r="93" spans="1:40" ht="15.75" customHeight="1">
      <c r="A93" s="3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21"/>
      <c r="AE93" s="21"/>
      <c r="AF93" s="21"/>
      <c r="AK93" s="3"/>
      <c r="AL93" s="3"/>
      <c r="AM93" s="3"/>
      <c r="AN93" s="3"/>
    </row>
    <row r="94" spans="1:40" ht="16.5" customHeight="1">
      <c r="A94" s="3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21"/>
      <c r="AE94" s="21"/>
      <c r="AF94" s="21"/>
      <c r="AK94" s="3"/>
      <c r="AL94" s="3"/>
      <c r="AM94" s="3"/>
      <c r="AN94" s="3"/>
    </row>
    <row r="95" spans="1:40" ht="17.25" customHeight="1">
      <c r="A95" s="3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21"/>
      <c r="AE95" s="21"/>
      <c r="AF95" s="21"/>
      <c r="AK95" s="3"/>
      <c r="AL95" s="3"/>
      <c r="AM95" s="3"/>
      <c r="AN95" s="3"/>
    </row>
    <row r="96" spans="1:40" ht="15" customHeight="1">
      <c r="A96" s="3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21"/>
      <c r="AE96" s="21"/>
      <c r="AF96" s="21"/>
      <c r="AK96" s="3"/>
      <c r="AL96" s="3"/>
      <c r="AM96" s="3"/>
      <c r="AN96" s="3"/>
    </row>
    <row r="97" spans="1:40" ht="18.75" customHeight="1">
      <c r="A97" s="3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1"/>
      <c r="AE97" s="21"/>
      <c r="AF97" s="21"/>
      <c r="AK97" s="3"/>
      <c r="AL97" s="3"/>
      <c r="AM97" s="3"/>
      <c r="AN97" s="3"/>
    </row>
    <row r="98" spans="1:40" ht="6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K98" s="3"/>
      <c r="AL98" s="3"/>
      <c r="AM98" s="3"/>
      <c r="AN98" s="3"/>
    </row>
    <row r="99" spans="1:40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K99" s="3"/>
      <c r="AL99" s="3"/>
      <c r="AM99" s="3"/>
      <c r="AN99" s="3"/>
    </row>
    <row r="100" spans="1:4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K100" s="3"/>
      <c r="AL100" s="3"/>
      <c r="AM100" s="3"/>
      <c r="AN100" s="3"/>
    </row>
    <row r="101" spans="1:40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K101" s="3"/>
      <c r="AL101" s="3"/>
      <c r="AM101" s="3"/>
      <c r="AN101" s="3"/>
    </row>
    <row r="102" spans="1:40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K102" s="3"/>
      <c r="AL102" s="3"/>
      <c r="AM102" s="3"/>
      <c r="AN102" s="3"/>
    </row>
    <row r="103" spans="1:40" ht="18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K103" s="3"/>
      <c r="AL103" s="3"/>
      <c r="AM103" s="3"/>
      <c r="AN103" s="3"/>
    </row>
    <row r="104" spans="1:40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K104" s="3"/>
      <c r="AL104" s="3"/>
      <c r="AM104" s="3"/>
      <c r="AN104" s="3"/>
    </row>
    <row r="105" spans="1:40" ht="21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K105" s="3"/>
      <c r="AL105" s="3"/>
      <c r="AM105" s="3"/>
      <c r="AN105" s="3"/>
    </row>
    <row r="106" spans="1:40" ht="20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K106" s="3"/>
      <c r="AL106" s="3"/>
      <c r="AM106" s="3"/>
      <c r="AN106" s="3"/>
    </row>
    <row r="107" spans="1:40" ht="16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6"/>
      <c r="N107" s="3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K107" s="3"/>
      <c r="AL107" s="3"/>
      <c r="AM107" s="3"/>
      <c r="AN107" s="3"/>
    </row>
    <row r="108" spans="1:40" ht="16.5" customHeight="1">
      <c r="A108" s="1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6"/>
      <c r="N108" s="3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K108" s="3"/>
      <c r="AL108" s="3"/>
      <c r="AM108" s="3"/>
      <c r="AN108" s="3"/>
    </row>
    <row r="109" spans="1:40" ht="16.5" customHeight="1">
      <c r="A109" s="38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6"/>
      <c r="N109" s="3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K109" s="3"/>
      <c r="AL109" s="3"/>
      <c r="AM109" s="3"/>
      <c r="AN109" s="3"/>
    </row>
    <row r="110" spans="1:40" ht="18.75" customHeight="1">
      <c r="A110" s="3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K110" s="3"/>
      <c r="AL110" s="3"/>
      <c r="AM110" s="3"/>
      <c r="AN110" s="3"/>
    </row>
    <row r="111" spans="1:40" ht="16.5" customHeight="1">
      <c r="A111" s="3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K111" s="3"/>
      <c r="AL111" s="3"/>
      <c r="AM111" s="3"/>
      <c r="AN111" s="3"/>
    </row>
    <row r="112" spans="1:40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K112" s="3"/>
      <c r="AL112" s="3"/>
      <c r="AM112" s="3"/>
      <c r="AN112" s="3"/>
    </row>
    <row r="113" spans="1:40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K113" s="3"/>
      <c r="AL113" s="3"/>
      <c r="AM113" s="3"/>
      <c r="AN113" s="3"/>
    </row>
    <row r="114" spans="1:40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K114" s="3"/>
      <c r="AL114" s="3"/>
      <c r="AM114" s="3"/>
      <c r="AN114" s="3"/>
    </row>
    <row r="115" spans="1:40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K115" s="3"/>
      <c r="AL115" s="3"/>
      <c r="AM115" s="3"/>
      <c r="AN115" s="3"/>
    </row>
    <row r="116" spans="1:40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K116" s="3"/>
      <c r="AL116" s="3"/>
      <c r="AM116" s="3"/>
      <c r="AN116" s="3"/>
    </row>
    <row r="117" spans="1:40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K117" s="3"/>
      <c r="AL117" s="3"/>
      <c r="AM117" s="3"/>
      <c r="AN117" s="3"/>
    </row>
    <row r="118" spans="1:40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K118" s="3"/>
      <c r="AL118" s="3"/>
      <c r="AM118" s="3"/>
      <c r="AN118" s="3"/>
    </row>
    <row r="119" spans="1:40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K119" s="3"/>
      <c r="AL119" s="3"/>
      <c r="AM119" s="3"/>
      <c r="AN119" s="3"/>
    </row>
    <row r="120" spans="1:4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K120" s="3"/>
      <c r="AL120" s="3"/>
      <c r="AM120" s="3"/>
      <c r="AN120" s="3"/>
    </row>
    <row r="121" spans="1:40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K121" s="3"/>
      <c r="AL121" s="3"/>
      <c r="AM121" s="3"/>
      <c r="AN121" s="3"/>
    </row>
    <row r="122" spans="1:40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K122" s="3"/>
      <c r="AL122" s="3"/>
      <c r="AM122" s="3"/>
      <c r="AN122" s="3"/>
    </row>
    <row r="123" spans="1:40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K123" s="3"/>
      <c r="AL123" s="3"/>
      <c r="AM123" s="3"/>
      <c r="AN123" s="3"/>
    </row>
    <row r="124" spans="1:40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K124" s="3"/>
      <c r="AL124" s="3"/>
      <c r="AM124" s="3"/>
      <c r="AN124" s="3"/>
    </row>
    <row r="125" spans="1:40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K125" s="3"/>
      <c r="AL125" s="3"/>
      <c r="AM125" s="3"/>
      <c r="AN125" s="3"/>
    </row>
    <row r="126" spans="1:40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K126" s="3"/>
      <c r="AL126" s="3"/>
      <c r="AM126" s="3"/>
      <c r="AN126" s="3"/>
    </row>
    <row r="127" spans="1:40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K127" s="3"/>
      <c r="AL127" s="3"/>
      <c r="AM127" s="3"/>
      <c r="AN127" s="3"/>
    </row>
    <row r="128" spans="1:40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K128" s="3"/>
      <c r="AL128" s="3"/>
      <c r="AM128" s="3"/>
      <c r="AN128" s="3"/>
    </row>
    <row r="129" spans="1:40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K129" s="3"/>
      <c r="AL129" s="3"/>
      <c r="AM129" s="3"/>
      <c r="AN129" s="3"/>
    </row>
    <row r="130" spans="1:4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K130" s="3"/>
      <c r="AL130" s="3"/>
      <c r="AM130" s="3"/>
      <c r="AN130" s="3"/>
    </row>
    <row r="131" spans="1:40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K131" s="3"/>
      <c r="AL131" s="3"/>
      <c r="AM131" s="3"/>
      <c r="AN131" s="3"/>
    </row>
    <row r="132" spans="1:40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K132" s="3"/>
      <c r="AL132" s="3"/>
      <c r="AM132" s="3"/>
      <c r="AN132" s="3"/>
    </row>
    <row r="133" spans="1:40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K133" s="3"/>
      <c r="AL133" s="3"/>
      <c r="AM133" s="3"/>
      <c r="AN133" s="3"/>
    </row>
    <row r="134" spans="1:40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K134" s="3"/>
      <c r="AL134" s="3"/>
      <c r="AM134" s="3"/>
      <c r="AN134" s="3"/>
    </row>
    <row r="135" spans="1:40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K135" s="3"/>
      <c r="AL135" s="3"/>
      <c r="AM135" s="3"/>
      <c r="AN135" s="3"/>
    </row>
    <row r="136" spans="1:40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K136" s="3"/>
      <c r="AL136" s="3"/>
      <c r="AM136" s="3"/>
      <c r="AN136" s="3"/>
    </row>
    <row r="137" spans="1:40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K137" s="3"/>
      <c r="AL137" s="3"/>
      <c r="AM137" s="3"/>
      <c r="AN137" s="3"/>
    </row>
    <row r="138" spans="1:40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K138" s="3"/>
      <c r="AL138" s="3"/>
      <c r="AM138" s="3"/>
      <c r="AN138" s="3"/>
    </row>
    <row r="139" spans="1:40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K139" s="3"/>
      <c r="AL139" s="3"/>
      <c r="AM139" s="3"/>
      <c r="AN139" s="3"/>
    </row>
    <row r="140" spans="1: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K140" s="3"/>
      <c r="AL140" s="3"/>
      <c r="AM140" s="3"/>
      <c r="AN140" s="3"/>
    </row>
    <row r="141" spans="1:40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K141" s="3"/>
      <c r="AL141" s="3"/>
      <c r="AM141" s="3"/>
      <c r="AN141" s="3"/>
    </row>
    <row r="142" spans="1:40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K142" s="3"/>
      <c r="AL142" s="3"/>
      <c r="AM142" s="3"/>
      <c r="AN142" s="3"/>
    </row>
    <row r="143" spans="1:40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K143" s="3"/>
      <c r="AL143" s="3"/>
      <c r="AM143" s="3"/>
      <c r="AN143" s="3"/>
    </row>
    <row r="144" spans="1:40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K144" s="3"/>
      <c r="AL144" s="3"/>
      <c r="AM144" s="3"/>
      <c r="AN144" s="3"/>
    </row>
    <row r="145" spans="1:40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K145" s="3"/>
      <c r="AL145" s="3"/>
      <c r="AM145" s="3"/>
      <c r="AN145" s="3"/>
    </row>
    <row r="146" spans="1:40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K146" s="3"/>
      <c r="AL146" s="3"/>
      <c r="AM146" s="3"/>
      <c r="AN146" s="3"/>
    </row>
    <row r="147" spans="1:40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K147" s="3"/>
      <c r="AL147" s="3"/>
      <c r="AM147" s="3"/>
      <c r="AN147" s="3"/>
    </row>
    <row r="148" spans="1:40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K148" s="3"/>
      <c r="AL148" s="3"/>
      <c r="AM148" s="3"/>
      <c r="AN148" s="3"/>
    </row>
    <row r="149" spans="1:40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K149" s="3"/>
      <c r="AL149" s="3"/>
      <c r="AM149" s="3"/>
      <c r="AN149" s="3"/>
    </row>
    <row r="150" spans="1:4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K150" s="3"/>
      <c r="AL150" s="3"/>
      <c r="AM150" s="3"/>
      <c r="AN150" s="3"/>
    </row>
    <row r="151" spans="1:40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K151" s="3"/>
      <c r="AL151" s="3"/>
      <c r="AM151" s="3"/>
      <c r="AN151" s="3"/>
    </row>
    <row r="152" spans="1:40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K152" s="3"/>
      <c r="AL152" s="3"/>
      <c r="AM152" s="3"/>
      <c r="AN152" s="3"/>
    </row>
    <row r="153" spans="1:40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K153" s="3"/>
      <c r="AL153" s="3"/>
      <c r="AM153" s="3"/>
      <c r="AN153" s="3"/>
    </row>
    <row r="154" spans="1:40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K154" s="3"/>
      <c r="AL154" s="3"/>
      <c r="AM154" s="3"/>
      <c r="AN154" s="3"/>
    </row>
    <row r="155" spans="1:40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K155" s="3"/>
      <c r="AL155" s="3"/>
      <c r="AM155" s="3"/>
      <c r="AN155" s="3"/>
    </row>
    <row r="156" spans="1:40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K156" s="3"/>
      <c r="AL156" s="3"/>
      <c r="AM156" s="3"/>
      <c r="AN156" s="3"/>
    </row>
    <row r="157" spans="1:40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K157" s="3"/>
      <c r="AL157" s="3"/>
      <c r="AM157" s="3"/>
      <c r="AN157" s="3"/>
    </row>
    <row r="158" spans="1:40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K158" s="3"/>
      <c r="AL158" s="3"/>
      <c r="AM158" s="3"/>
      <c r="AN158" s="3"/>
    </row>
    <row r="159" spans="1:40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K159" s="3"/>
      <c r="AL159" s="3"/>
      <c r="AM159" s="3"/>
      <c r="AN159" s="3"/>
    </row>
    <row r="160" spans="1:4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K160" s="3"/>
      <c r="AL160" s="3"/>
      <c r="AM160" s="3"/>
      <c r="AN160" s="3"/>
    </row>
    <row r="161" spans="1:40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K161" s="3"/>
      <c r="AL161" s="3"/>
      <c r="AM161" s="3"/>
      <c r="AN161" s="3"/>
    </row>
    <row r="162" spans="1:40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K162" s="3"/>
      <c r="AL162" s="3"/>
      <c r="AM162" s="3"/>
      <c r="AN162" s="3"/>
    </row>
    <row r="163" spans="1:40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K163" s="3"/>
      <c r="AL163" s="3"/>
      <c r="AM163" s="3"/>
      <c r="AN163" s="3"/>
    </row>
    <row r="164" spans="1:40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K164" s="3"/>
      <c r="AL164" s="3"/>
      <c r="AM164" s="3"/>
      <c r="AN164" s="3"/>
    </row>
    <row r="165" spans="1:40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K165" s="3"/>
      <c r="AL165" s="3"/>
      <c r="AM165" s="3"/>
      <c r="AN165" s="3"/>
    </row>
    <row r="166" spans="1:40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K166" s="3"/>
      <c r="AL166" s="3"/>
      <c r="AM166" s="3"/>
      <c r="AN166" s="3"/>
    </row>
    <row r="167" spans="1:40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K167" s="3"/>
      <c r="AL167" s="3"/>
      <c r="AM167" s="3"/>
      <c r="AN167" s="3"/>
    </row>
    <row r="168" spans="1:40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K168" s="3"/>
      <c r="AL168" s="3"/>
      <c r="AM168" s="3"/>
      <c r="AN168" s="3"/>
    </row>
    <row r="169" spans="1:40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K169" s="3"/>
      <c r="AL169" s="3"/>
      <c r="AM169" s="3"/>
      <c r="AN169" s="3"/>
    </row>
    <row r="170" spans="1:4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K170" s="3"/>
      <c r="AL170" s="3"/>
      <c r="AM170" s="3"/>
      <c r="AN170" s="3"/>
    </row>
    <row r="171" spans="1:40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K171" s="3"/>
      <c r="AL171" s="3"/>
      <c r="AM171" s="3"/>
      <c r="AN171" s="3"/>
    </row>
    <row r="172" spans="1:40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K172" s="3"/>
      <c r="AL172" s="3"/>
      <c r="AM172" s="3"/>
      <c r="AN172" s="3"/>
    </row>
    <row r="173" spans="1:40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K173" s="3"/>
      <c r="AL173" s="3"/>
      <c r="AM173" s="3"/>
      <c r="AN173" s="3"/>
    </row>
    <row r="174" spans="1:40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K174" s="3"/>
      <c r="AL174" s="3"/>
      <c r="AM174" s="3"/>
      <c r="AN174" s="3"/>
    </row>
    <row r="175" spans="1:40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K175" s="3"/>
      <c r="AL175" s="3"/>
      <c r="AM175" s="3"/>
      <c r="AN175" s="3"/>
    </row>
    <row r="176" spans="1:40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K176" s="3"/>
      <c r="AL176" s="3"/>
      <c r="AM176" s="3"/>
      <c r="AN176" s="3"/>
    </row>
    <row r="177" spans="1:40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K177" s="3"/>
      <c r="AL177" s="3"/>
      <c r="AM177" s="3"/>
      <c r="AN177" s="3"/>
    </row>
    <row r="178" spans="1:40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K178" s="3"/>
      <c r="AL178" s="3"/>
      <c r="AM178" s="3"/>
      <c r="AN178" s="3"/>
    </row>
    <row r="179" spans="1:40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K179" s="3"/>
      <c r="AL179" s="3"/>
      <c r="AM179" s="3"/>
      <c r="AN179" s="3"/>
    </row>
    <row r="180" spans="1:4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K180" s="3"/>
      <c r="AL180" s="3"/>
      <c r="AM180" s="3"/>
      <c r="AN180" s="3"/>
    </row>
    <row r="181" spans="1:40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K181" s="3"/>
      <c r="AL181" s="3"/>
      <c r="AM181" s="3"/>
      <c r="AN181" s="3"/>
    </row>
    <row r="182" spans="1:40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K182" s="3"/>
      <c r="AL182" s="3"/>
      <c r="AM182" s="3"/>
      <c r="AN182" s="3"/>
    </row>
    <row r="183" spans="1:40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K183" s="3"/>
      <c r="AL183" s="3"/>
      <c r="AM183" s="3"/>
      <c r="AN183" s="3"/>
    </row>
    <row r="184" spans="1:40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K184" s="3"/>
      <c r="AL184" s="3"/>
      <c r="AM184" s="3"/>
      <c r="AN184" s="3"/>
    </row>
    <row r="185" spans="1:40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K185" s="3"/>
      <c r="AL185" s="3"/>
      <c r="AM185" s="3"/>
      <c r="AN185" s="3"/>
    </row>
    <row r="186" spans="1:40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K186" s="3"/>
      <c r="AL186" s="3"/>
      <c r="AM186" s="3"/>
      <c r="AN186" s="3"/>
    </row>
    <row r="187" spans="1:40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K187" s="3"/>
      <c r="AL187" s="3"/>
      <c r="AM187" s="3"/>
      <c r="AN187" s="3"/>
    </row>
    <row r="188" spans="1:40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K188" s="3"/>
      <c r="AL188" s="3"/>
      <c r="AM188" s="3"/>
      <c r="AN188" s="3"/>
    </row>
    <row r="189" spans="1:40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K189" s="3"/>
      <c r="AL189" s="3"/>
      <c r="AM189" s="3"/>
      <c r="AN189" s="3"/>
    </row>
    <row r="190" spans="1:4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K190" s="3"/>
      <c r="AL190" s="3"/>
      <c r="AM190" s="3"/>
      <c r="AN190" s="3"/>
    </row>
    <row r="191" spans="1:40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K191" s="3"/>
      <c r="AL191" s="3"/>
      <c r="AM191" s="3"/>
      <c r="AN191" s="3"/>
    </row>
    <row r="192" spans="1:40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K192" s="3"/>
      <c r="AL192" s="3"/>
      <c r="AM192" s="3"/>
      <c r="AN192" s="3"/>
    </row>
    <row r="193" spans="1:40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K193" s="3"/>
      <c r="AL193" s="3"/>
      <c r="AM193" s="3"/>
      <c r="AN193" s="3"/>
    </row>
    <row r="194" spans="1:40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K194" s="3"/>
      <c r="AL194" s="3"/>
      <c r="AM194" s="3"/>
      <c r="AN194" s="3"/>
    </row>
    <row r="195" spans="1:40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K195" s="3"/>
      <c r="AL195" s="3"/>
      <c r="AM195" s="3"/>
      <c r="AN195" s="3"/>
    </row>
    <row r="196" spans="1:40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K196" s="3"/>
      <c r="AL196" s="3"/>
      <c r="AM196" s="3"/>
      <c r="AN196" s="3"/>
    </row>
    <row r="197" spans="1:40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K197" s="3"/>
      <c r="AL197" s="3"/>
      <c r="AM197" s="3"/>
      <c r="AN197" s="3"/>
    </row>
    <row r="198" spans="1:40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K198" s="3"/>
      <c r="AL198" s="3"/>
      <c r="AM198" s="3"/>
      <c r="AN198" s="3"/>
    </row>
    <row r="199" spans="1:40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K199" s="3"/>
      <c r="AL199" s="3"/>
      <c r="AM199" s="3"/>
      <c r="AN199" s="3"/>
    </row>
    <row r="200" spans="1:4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K200" s="3"/>
      <c r="AL200" s="3"/>
      <c r="AM200" s="3"/>
      <c r="AN200" s="3"/>
    </row>
    <row r="201" spans="1:40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K201" s="3"/>
      <c r="AL201" s="3"/>
      <c r="AM201" s="3"/>
      <c r="AN201" s="3"/>
    </row>
    <row r="202" spans="1:40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K202" s="3"/>
      <c r="AL202" s="3"/>
      <c r="AM202" s="3"/>
      <c r="AN202" s="3"/>
    </row>
    <row r="203" spans="1:40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K203" s="3"/>
      <c r="AL203" s="3"/>
      <c r="AM203" s="3"/>
      <c r="AN203" s="3"/>
    </row>
    <row r="204" spans="1:40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K204" s="3"/>
      <c r="AL204" s="3"/>
      <c r="AM204" s="3"/>
      <c r="AN204" s="3"/>
    </row>
    <row r="205" spans="1:40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K205" s="3"/>
      <c r="AL205" s="3"/>
      <c r="AM205" s="3"/>
      <c r="AN205" s="3"/>
    </row>
    <row r="206" spans="1:40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K206" s="3"/>
      <c r="AL206" s="3"/>
      <c r="AM206" s="3"/>
      <c r="AN206" s="3"/>
    </row>
    <row r="207" spans="1:40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K207" s="3"/>
      <c r="AL207" s="3"/>
      <c r="AM207" s="3"/>
      <c r="AN207" s="3"/>
    </row>
    <row r="208" spans="1:40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K208" s="3"/>
      <c r="AL208" s="3"/>
      <c r="AM208" s="3"/>
      <c r="AN208" s="3"/>
    </row>
    <row r="209" spans="1:40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K209" s="3"/>
      <c r="AL209" s="3"/>
      <c r="AM209" s="3"/>
      <c r="AN209" s="3"/>
    </row>
    <row r="210" spans="1:4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K210" s="3"/>
      <c r="AL210" s="3"/>
      <c r="AM210" s="3"/>
      <c r="AN210" s="3"/>
    </row>
    <row r="211" spans="1:40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K211" s="3"/>
      <c r="AL211" s="3"/>
      <c r="AM211" s="3"/>
      <c r="AN211" s="3"/>
    </row>
    <row r="212" spans="1:40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K212" s="3"/>
      <c r="AL212" s="3"/>
      <c r="AM212" s="3"/>
      <c r="AN212" s="3"/>
    </row>
    <row r="213" spans="1:40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K213" s="3"/>
      <c r="AL213" s="3"/>
      <c r="AM213" s="3"/>
      <c r="AN213" s="3"/>
    </row>
    <row r="214" spans="1:40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K214" s="3"/>
      <c r="AL214" s="3"/>
      <c r="AM214" s="3"/>
      <c r="AN214" s="3"/>
    </row>
    <row r="215" spans="1:40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K215" s="3"/>
      <c r="AL215" s="3"/>
      <c r="AM215" s="3"/>
      <c r="AN215" s="3"/>
    </row>
    <row r="216" spans="1:40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K216" s="3"/>
      <c r="AL216" s="3"/>
      <c r="AM216" s="3"/>
      <c r="AN216" s="3"/>
    </row>
    <row r="217" spans="1:40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K217" s="3"/>
      <c r="AL217" s="3"/>
      <c r="AM217" s="3"/>
      <c r="AN217" s="3"/>
    </row>
    <row r="218" spans="1:40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K218" s="3"/>
      <c r="AL218" s="3"/>
      <c r="AM218" s="3"/>
      <c r="AN218" s="3"/>
    </row>
    <row r="219" spans="1:40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K219" s="3"/>
      <c r="AL219" s="3"/>
      <c r="AM219" s="3"/>
      <c r="AN219" s="3"/>
    </row>
    <row r="220" spans="1:4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K220" s="3"/>
      <c r="AL220" s="3"/>
      <c r="AM220" s="3"/>
      <c r="AN220" s="3"/>
    </row>
    <row r="221" spans="1:40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K221" s="3"/>
      <c r="AL221" s="3"/>
      <c r="AM221" s="3"/>
      <c r="AN221" s="3"/>
    </row>
    <row r="222" spans="1:40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K222" s="3"/>
      <c r="AL222" s="3"/>
      <c r="AM222" s="3"/>
      <c r="AN222" s="3"/>
    </row>
    <row r="223" spans="1:40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K223" s="3"/>
      <c r="AL223" s="3"/>
      <c r="AM223" s="3"/>
      <c r="AN223" s="3"/>
    </row>
    <row r="224" spans="1:40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K224" s="3"/>
      <c r="AL224" s="3"/>
      <c r="AM224" s="3"/>
      <c r="AN224" s="3"/>
    </row>
    <row r="225" spans="1:40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K225" s="3"/>
      <c r="AL225" s="3"/>
      <c r="AM225" s="3"/>
      <c r="AN225" s="3"/>
    </row>
    <row r="226" spans="1:40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K226" s="3"/>
      <c r="AL226" s="3"/>
      <c r="AM226" s="3"/>
      <c r="AN226" s="3"/>
    </row>
    <row r="227" spans="1:40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K227" s="3"/>
      <c r="AL227" s="3"/>
      <c r="AM227" s="3"/>
      <c r="AN227" s="3"/>
    </row>
    <row r="228" spans="1:40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K228" s="3"/>
      <c r="AL228" s="3"/>
      <c r="AM228" s="3"/>
      <c r="AN228" s="3"/>
    </row>
    <row r="229" spans="1:40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K229" s="3"/>
      <c r="AL229" s="3"/>
      <c r="AM229" s="3"/>
      <c r="AN229" s="3"/>
    </row>
    <row r="230" spans="1:4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K230" s="3"/>
      <c r="AL230" s="3"/>
      <c r="AM230" s="3"/>
      <c r="AN230" s="3"/>
    </row>
    <row r="231" spans="1:40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K231" s="3"/>
      <c r="AL231" s="3"/>
      <c r="AM231" s="3"/>
      <c r="AN231" s="3"/>
    </row>
    <row r="232" spans="1:40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K232" s="3"/>
      <c r="AL232" s="3"/>
      <c r="AM232" s="3"/>
      <c r="AN232" s="3"/>
    </row>
    <row r="233" spans="1:40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K233" s="3"/>
      <c r="AL233" s="3"/>
      <c r="AM233" s="3"/>
      <c r="AN233" s="3"/>
    </row>
    <row r="234" spans="1:40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K234" s="3"/>
      <c r="AL234" s="3"/>
      <c r="AM234" s="3"/>
      <c r="AN234" s="3"/>
    </row>
    <row r="235" spans="1:40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K235" s="3"/>
      <c r="AL235" s="3"/>
      <c r="AM235" s="3"/>
      <c r="AN235" s="3"/>
    </row>
    <row r="236" spans="1:40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K236" s="3"/>
      <c r="AL236" s="3"/>
      <c r="AM236" s="3"/>
      <c r="AN236" s="3"/>
    </row>
    <row r="237" spans="1:40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K237" s="3"/>
      <c r="AL237" s="3"/>
      <c r="AM237" s="3"/>
      <c r="AN237" s="3"/>
    </row>
    <row r="238" spans="1:40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K238" s="3"/>
      <c r="AL238" s="3"/>
      <c r="AM238" s="3"/>
      <c r="AN238" s="3"/>
    </row>
    <row r="239" spans="1:40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K239" s="3"/>
      <c r="AL239" s="3"/>
      <c r="AM239" s="3"/>
      <c r="AN239" s="3"/>
    </row>
    <row r="240" spans="1: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K240" s="3"/>
      <c r="AL240" s="3"/>
      <c r="AM240" s="3"/>
      <c r="AN240" s="3"/>
    </row>
    <row r="241" spans="1:40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K241" s="3"/>
      <c r="AL241" s="3"/>
      <c r="AM241" s="3"/>
      <c r="AN241" s="3"/>
    </row>
    <row r="242" spans="1:40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K242" s="3"/>
      <c r="AL242" s="3"/>
      <c r="AM242" s="3"/>
      <c r="AN242" s="3"/>
    </row>
    <row r="243" spans="1:40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K243" s="3"/>
      <c r="AL243" s="3"/>
      <c r="AM243" s="3"/>
      <c r="AN243" s="3"/>
    </row>
    <row r="244" spans="1:40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K244" s="3"/>
      <c r="AL244" s="3"/>
      <c r="AM244" s="3"/>
      <c r="AN244" s="3"/>
    </row>
    <row r="245" spans="1:40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K245" s="3"/>
      <c r="AL245" s="3"/>
      <c r="AM245" s="3"/>
      <c r="AN245" s="3"/>
    </row>
    <row r="246" spans="1:40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K246" s="3"/>
      <c r="AL246" s="3"/>
      <c r="AM246" s="3"/>
      <c r="AN246" s="3"/>
    </row>
    <row r="247" spans="1:40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K247" s="3"/>
      <c r="AL247" s="3"/>
      <c r="AM247" s="3"/>
      <c r="AN247" s="3"/>
    </row>
    <row r="248" spans="1:40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K248" s="3"/>
      <c r="AL248" s="3"/>
      <c r="AM248" s="3"/>
      <c r="AN248" s="3"/>
    </row>
    <row r="249" spans="1:40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K249" s="3"/>
      <c r="AL249" s="3"/>
      <c r="AM249" s="3"/>
      <c r="AN249" s="3"/>
    </row>
    <row r="250" spans="1:4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K250" s="3"/>
      <c r="AL250" s="3"/>
      <c r="AM250" s="3"/>
      <c r="AN250" s="3"/>
    </row>
    <row r="251" spans="1:40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K251" s="3"/>
      <c r="AL251" s="3"/>
      <c r="AM251" s="3"/>
      <c r="AN251" s="3"/>
    </row>
    <row r="252" spans="1:40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K252" s="3"/>
      <c r="AL252" s="3"/>
      <c r="AM252" s="3"/>
      <c r="AN252" s="3"/>
    </row>
    <row r="253" spans="1:40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K253" s="3"/>
      <c r="AL253" s="3"/>
      <c r="AM253" s="3"/>
      <c r="AN253" s="3"/>
    </row>
    <row r="254" spans="1:40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K254" s="3"/>
      <c r="AL254" s="3"/>
      <c r="AM254" s="3"/>
      <c r="AN254" s="3"/>
    </row>
    <row r="255" spans="1:40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K255" s="3"/>
      <c r="AL255" s="3"/>
      <c r="AM255" s="3"/>
      <c r="AN255" s="3"/>
    </row>
    <row r="256" spans="1:40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K256" s="3"/>
      <c r="AL256" s="3"/>
      <c r="AM256" s="3"/>
      <c r="AN256" s="3"/>
    </row>
    <row r="257" spans="1:40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K257" s="3"/>
      <c r="AL257" s="3"/>
      <c r="AM257" s="3"/>
      <c r="AN257" s="3"/>
    </row>
    <row r="258" spans="1:40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K258" s="3"/>
      <c r="AL258" s="3"/>
      <c r="AM258" s="3"/>
      <c r="AN258" s="3"/>
    </row>
    <row r="259" spans="1:40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K259" s="3"/>
      <c r="AL259" s="3"/>
      <c r="AM259" s="3"/>
      <c r="AN259" s="3"/>
    </row>
    <row r="260" spans="1:4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K260" s="3"/>
      <c r="AL260" s="3"/>
      <c r="AM260" s="3"/>
      <c r="AN260" s="3"/>
    </row>
    <row r="261" spans="1:40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K261" s="3"/>
      <c r="AL261" s="3"/>
      <c r="AM261" s="3"/>
      <c r="AN261" s="3"/>
    </row>
    <row r="262" spans="1:40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K262" s="3"/>
      <c r="AL262" s="3"/>
      <c r="AM262" s="3"/>
      <c r="AN262" s="3"/>
    </row>
    <row r="263" spans="1:40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K263" s="3"/>
      <c r="AL263" s="3"/>
      <c r="AM263" s="3"/>
      <c r="AN263" s="3"/>
    </row>
    <row r="264" spans="1:40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K264" s="3"/>
      <c r="AL264" s="3"/>
      <c r="AM264" s="3"/>
      <c r="AN264" s="3"/>
    </row>
    <row r="265" spans="1:40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K265" s="3"/>
      <c r="AL265" s="3"/>
      <c r="AM265" s="3"/>
      <c r="AN265" s="3"/>
    </row>
    <row r="266" spans="1:40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K266" s="3"/>
      <c r="AL266" s="3"/>
      <c r="AM266" s="3"/>
      <c r="AN266" s="3"/>
    </row>
    <row r="267" spans="1:40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K267" s="3"/>
      <c r="AL267" s="3"/>
      <c r="AM267" s="3"/>
      <c r="AN267" s="3"/>
    </row>
    <row r="268" spans="1:40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K268" s="3"/>
      <c r="AL268" s="3"/>
      <c r="AM268" s="3"/>
      <c r="AN268" s="3"/>
    </row>
    <row r="269" spans="1:40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K269" s="3"/>
      <c r="AL269" s="3"/>
      <c r="AM269" s="3"/>
      <c r="AN269" s="3"/>
    </row>
    <row r="270" spans="1:4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K270" s="3"/>
      <c r="AL270" s="3"/>
      <c r="AM270" s="3"/>
      <c r="AN270" s="3"/>
    </row>
    <row r="271" spans="1:40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K271" s="3"/>
      <c r="AL271" s="3"/>
      <c r="AM271" s="3"/>
      <c r="AN271" s="3"/>
    </row>
    <row r="272" spans="1:40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K272" s="3"/>
      <c r="AL272" s="3"/>
      <c r="AM272" s="3"/>
      <c r="AN272" s="3"/>
    </row>
    <row r="273" spans="1:40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K273" s="3"/>
      <c r="AL273" s="3"/>
      <c r="AM273" s="3"/>
      <c r="AN273" s="3"/>
    </row>
    <row r="274" spans="1:40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K274" s="3"/>
      <c r="AL274" s="3"/>
      <c r="AM274" s="3"/>
      <c r="AN274" s="3"/>
    </row>
    <row r="275" spans="1:40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K275" s="3"/>
      <c r="AL275" s="3"/>
      <c r="AM275" s="3"/>
      <c r="AN275" s="3"/>
    </row>
    <row r="276" spans="1:40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K276" s="3"/>
      <c r="AL276" s="3"/>
      <c r="AM276" s="3"/>
      <c r="AN276" s="3"/>
    </row>
    <row r="277" spans="1:40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K277" s="3"/>
      <c r="AL277" s="3"/>
      <c r="AM277" s="3"/>
      <c r="AN277" s="3"/>
    </row>
    <row r="278" spans="1:40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K278" s="3"/>
      <c r="AL278" s="3"/>
      <c r="AM278" s="3"/>
      <c r="AN278" s="3"/>
    </row>
    <row r="279" spans="1:40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K279" s="3"/>
      <c r="AL279" s="3"/>
      <c r="AM279" s="3"/>
      <c r="AN279" s="3"/>
    </row>
    <row r="280" spans="1:4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K280" s="3"/>
      <c r="AL280" s="3"/>
      <c r="AM280" s="3"/>
      <c r="AN280" s="3"/>
    </row>
    <row r="281" spans="1:40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K281" s="3"/>
      <c r="AL281" s="3"/>
      <c r="AM281" s="3"/>
      <c r="AN281" s="3"/>
    </row>
    <row r="282" spans="1:40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K282" s="3"/>
      <c r="AL282" s="3"/>
      <c r="AM282" s="3"/>
      <c r="AN282" s="3"/>
    </row>
    <row r="283" spans="1:40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K283" s="3"/>
      <c r="AL283" s="3"/>
      <c r="AM283" s="3"/>
      <c r="AN283" s="3"/>
    </row>
    <row r="284" spans="1:40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K284" s="3"/>
      <c r="AL284" s="3"/>
      <c r="AM284" s="3"/>
      <c r="AN284" s="3"/>
    </row>
    <row r="285" spans="1:40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K285" s="3"/>
      <c r="AL285" s="3"/>
      <c r="AM285" s="3"/>
      <c r="AN285" s="3"/>
    </row>
    <row r="286" spans="1:40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K286" s="3"/>
      <c r="AL286" s="3"/>
      <c r="AM286" s="3"/>
      <c r="AN286" s="3"/>
    </row>
    <row r="287" spans="1:40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K287" s="3"/>
      <c r="AL287" s="3"/>
      <c r="AM287" s="3"/>
      <c r="AN287" s="3"/>
    </row>
    <row r="288" spans="1:40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K288" s="3"/>
      <c r="AL288" s="3"/>
      <c r="AM288" s="3"/>
      <c r="AN288" s="3"/>
    </row>
    <row r="289" spans="1:40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K289" s="3"/>
      <c r="AL289" s="3"/>
      <c r="AM289" s="3"/>
      <c r="AN289" s="3"/>
    </row>
    <row r="290" spans="1:4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K290" s="3"/>
      <c r="AL290" s="3"/>
      <c r="AM290" s="3"/>
      <c r="AN290" s="3"/>
    </row>
    <row r="291" spans="1:40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K291" s="3"/>
      <c r="AL291" s="3"/>
      <c r="AM291" s="3"/>
      <c r="AN291" s="3"/>
    </row>
    <row r="292" spans="1:40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K292" s="3"/>
      <c r="AL292" s="3"/>
      <c r="AM292" s="3"/>
      <c r="AN292" s="3"/>
    </row>
    <row r="293" spans="1:40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K293" s="3"/>
      <c r="AL293" s="3"/>
      <c r="AM293" s="3"/>
      <c r="AN293" s="3"/>
    </row>
    <row r="294" spans="1:40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K294" s="3"/>
      <c r="AL294" s="3"/>
      <c r="AM294" s="3"/>
      <c r="AN294" s="3"/>
    </row>
    <row r="295" spans="1:40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K295" s="3"/>
      <c r="AL295" s="3"/>
      <c r="AM295" s="3"/>
      <c r="AN295" s="3"/>
    </row>
    <row r="296" spans="1:40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K296" s="3"/>
      <c r="AL296" s="3"/>
      <c r="AM296" s="3"/>
      <c r="AN296" s="3"/>
    </row>
    <row r="297" spans="1:40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K297" s="3"/>
      <c r="AL297" s="3"/>
      <c r="AM297" s="3"/>
      <c r="AN297" s="3"/>
    </row>
    <row r="298" spans="1:40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K298" s="3"/>
      <c r="AL298" s="3"/>
      <c r="AM298" s="3"/>
      <c r="AN298" s="3"/>
    </row>
    <row r="299" spans="1:40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K299" s="3"/>
      <c r="AL299" s="3"/>
      <c r="AM299" s="3"/>
      <c r="AN299" s="3"/>
    </row>
    <row r="300" spans="1:4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K300" s="3"/>
      <c r="AL300" s="3"/>
      <c r="AM300" s="3"/>
      <c r="AN300" s="3"/>
    </row>
    <row r="301" spans="1:40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K301" s="3"/>
      <c r="AL301" s="3"/>
      <c r="AM301" s="3"/>
      <c r="AN301" s="3"/>
    </row>
    <row r="302" spans="1:40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K302" s="3"/>
      <c r="AL302" s="3"/>
      <c r="AM302" s="3"/>
      <c r="AN302" s="3"/>
    </row>
    <row r="303" spans="1:40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K303" s="3"/>
      <c r="AL303" s="3"/>
      <c r="AM303" s="3"/>
      <c r="AN303" s="3"/>
    </row>
    <row r="304" spans="1:40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K304" s="3"/>
      <c r="AL304" s="3"/>
      <c r="AM304" s="3"/>
      <c r="AN304" s="3"/>
    </row>
    <row r="305" spans="1:40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K305" s="3"/>
      <c r="AL305" s="3"/>
      <c r="AM305" s="3"/>
      <c r="AN305" s="3"/>
    </row>
    <row r="306" spans="1:40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K306" s="3"/>
      <c r="AL306" s="3"/>
      <c r="AM306" s="3"/>
      <c r="AN306" s="3"/>
    </row>
    <row r="307" spans="1:40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K307" s="3"/>
      <c r="AL307" s="3"/>
      <c r="AM307" s="3"/>
      <c r="AN307" s="3"/>
    </row>
    <row r="308" spans="1:40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K308" s="3"/>
      <c r="AL308" s="3"/>
      <c r="AM308" s="3"/>
      <c r="AN308" s="3"/>
    </row>
    <row r="309" spans="1:40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K309" s="3"/>
      <c r="AL309" s="3"/>
      <c r="AM309" s="3"/>
      <c r="AN309" s="3"/>
    </row>
    <row r="310" spans="1:4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K310" s="3"/>
      <c r="AL310" s="3"/>
      <c r="AM310" s="3"/>
      <c r="AN310" s="3"/>
    </row>
    <row r="311" spans="1:40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K311" s="3"/>
      <c r="AL311" s="3"/>
      <c r="AM311" s="3"/>
      <c r="AN311" s="3"/>
    </row>
    <row r="312" spans="1:40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K312" s="3"/>
      <c r="AL312" s="3"/>
      <c r="AM312" s="3"/>
      <c r="AN312" s="3"/>
    </row>
    <row r="313" spans="1:40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K313" s="3"/>
      <c r="AL313" s="3"/>
      <c r="AM313" s="3"/>
      <c r="AN313" s="3"/>
    </row>
    <row r="314" spans="1:40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K314" s="3"/>
      <c r="AL314" s="3"/>
      <c r="AM314" s="3"/>
      <c r="AN314" s="3"/>
    </row>
    <row r="315" spans="1:40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K315" s="3"/>
      <c r="AL315" s="3"/>
      <c r="AM315" s="3"/>
      <c r="AN315" s="3"/>
    </row>
    <row r="316" spans="1:40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K316" s="3"/>
      <c r="AL316" s="3"/>
      <c r="AM316" s="3"/>
      <c r="AN316" s="3"/>
    </row>
    <row r="317" spans="1:40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K317" s="3"/>
      <c r="AL317" s="3"/>
      <c r="AM317" s="3"/>
      <c r="AN317" s="3"/>
    </row>
    <row r="318" spans="1:40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K318" s="3"/>
      <c r="AL318" s="3"/>
      <c r="AM318" s="3"/>
      <c r="AN318" s="3"/>
    </row>
    <row r="319" spans="1:40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K319" s="3"/>
      <c r="AL319" s="3"/>
      <c r="AM319" s="3"/>
      <c r="AN319" s="3"/>
    </row>
    <row r="320" spans="1:4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K320" s="3"/>
      <c r="AL320" s="3"/>
      <c r="AM320" s="3"/>
      <c r="AN320" s="3"/>
    </row>
    <row r="321" spans="1:40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K321" s="3"/>
      <c r="AL321" s="3"/>
      <c r="AM321" s="3"/>
      <c r="AN321" s="3"/>
    </row>
    <row r="322" spans="1:40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K322" s="3"/>
      <c r="AL322" s="3"/>
      <c r="AM322" s="3"/>
      <c r="AN322" s="3"/>
    </row>
    <row r="323" spans="1:40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K323" s="3"/>
      <c r="AL323" s="3"/>
      <c r="AM323" s="3"/>
      <c r="AN323" s="3"/>
    </row>
    <row r="324" spans="1:40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K324" s="3"/>
      <c r="AL324" s="3"/>
      <c r="AM324" s="3"/>
      <c r="AN324" s="3"/>
    </row>
    <row r="325" spans="1:40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K325" s="3"/>
      <c r="AL325" s="3"/>
      <c r="AM325" s="3"/>
      <c r="AN325" s="3"/>
    </row>
    <row r="326" spans="1:40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K326" s="3"/>
      <c r="AL326" s="3"/>
      <c r="AM326" s="3"/>
      <c r="AN326" s="3"/>
    </row>
    <row r="327" spans="1:40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K327" s="3"/>
      <c r="AL327" s="3"/>
      <c r="AM327" s="3"/>
      <c r="AN327" s="3"/>
    </row>
    <row r="328" spans="1:40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K328" s="3"/>
      <c r="AL328" s="3"/>
      <c r="AM328" s="3"/>
      <c r="AN328" s="3"/>
    </row>
    <row r="329" spans="1:40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K329" s="3"/>
      <c r="AL329" s="3"/>
      <c r="AM329" s="3"/>
      <c r="AN329" s="3"/>
    </row>
    <row r="330" spans="1:4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K330" s="3"/>
      <c r="AL330" s="3"/>
      <c r="AM330" s="3"/>
      <c r="AN330" s="3"/>
    </row>
    <row r="331" spans="1:40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K331" s="3"/>
      <c r="AL331" s="3"/>
      <c r="AM331" s="3"/>
      <c r="AN331" s="3"/>
    </row>
    <row r="332" spans="1:40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K332" s="3"/>
      <c r="AL332" s="3"/>
      <c r="AM332" s="3"/>
      <c r="AN332" s="3"/>
    </row>
    <row r="333" spans="1:40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K333" s="3"/>
      <c r="AL333" s="3"/>
      <c r="AM333" s="3"/>
      <c r="AN333" s="3"/>
    </row>
    <row r="334" spans="1:40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K334" s="3"/>
      <c r="AL334" s="3"/>
      <c r="AM334" s="3"/>
      <c r="AN334" s="3"/>
    </row>
    <row r="335" spans="1:40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K335" s="3"/>
      <c r="AL335" s="3"/>
      <c r="AM335" s="3"/>
      <c r="AN335" s="3"/>
    </row>
    <row r="336" spans="1:40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K336" s="3"/>
      <c r="AL336" s="3"/>
      <c r="AM336" s="3"/>
      <c r="AN336" s="3"/>
    </row>
    <row r="337" spans="1:40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K337" s="3"/>
      <c r="AL337" s="3"/>
      <c r="AM337" s="3"/>
      <c r="AN337" s="3"/>
    </row>
    <row r="338" spans="1:40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K338" s="3"/>
      <c r="AL338" s="3"/>
      <c r="AM338" s="3"/>
      <c r="AN338" s="3"/>
    </row>
    <row r="339" spans="1:40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K339" s="3"/>
      <c r="AL339" s="3"/>
      <c r="AM339" s="3"/>
      <c r="AN339" s="3"/>
    </row>
    <row r="340" spans="1: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K340" s="3"/>
      <c r="AL340" s="3"/>
      <c r="AM340" s="3"/>
      <c r="AN340" s="3"/>
    </row>
    <row r="341" spans="1:40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K341" s="3"/>
      <c r="AL341" s="3"/>
      <c r="AM341" s="3"/>
      <c r="AN341" s="3"/>
    </row>
    <row r="342" spans="1:40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K342" s="3"/>
      <c r="AL342" s="3"/>
      <c r="AM342" s="3"/>
      <c r="AN342" s="3"/>
    </row>
    <row r="343" spans="1:40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K343" s="3"/>
      <c r="AL343" s="3"/>
      <c r="AM343" s="3"/>
      <c r="AN343" s="3"/>
    </row>
    <row r="344" spans="1:40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K344" s="3"/>
      <c r="AL344" s="3"/>
      <c r="AM344" s="3"/>
      <c r="AN344" s="3"/>
    </row>
    <row r="345" spans="1:40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K345" s="3"/>
      <c r="AL345" s="3"/>
      <c r="AM345" s="3"/>
      <c r="AN345" s="3"/>
    </row>
    <row r="346" spans="1:40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K346" s="3"/>
      <c r="AL346" s="3"/>
      <c r="AM346" s="3"/>
      <c r="AN346" s="3"/>
    </row>
    <row r="347" spans="1:40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K347" s="3"/>
      <c r="AL347" s="3"/>
      <c r="AM347" s="3"/>
      <c r="AN347" s="3"/>
    </row>
    <row r="348" spans="1:40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K348" s="3"/>
      <c r="AL348" s="3"/>
      <c r="AM348" s="3"/>
      <c r="AN348" s="3"/>
    </row>
    <row r="349" spans="1:40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K349" s="3"/>
      <c r="AL349" s="3"/>
      <c r="AM349" s="3"/>
      <c r="AN349" s="3"/>
    </row>
    <row r="350" spans="1:4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K350" s="3"/>
      <c r="AL350" s="3"/>
      <c r="AM350" s="3"/>
      <c r="AN350" s="3"/>
    </row>
    <row r="351" spans="1:40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K351" s="3"/>
      <c r="AL351" s="3"/>
      <c r="AM351" s="3"/>
      <c r="AN351" s="3"/>
    </row>
    <row r="352" spans="1:40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K352" s="3"/>
      <c r="AL352" s="3"/>
      <c r="AM352" s="3"/>
      <c r="AN352" s="3"/>
    </row>
    <row r="353" spans="1:40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K353" s="3"/>
      <c r="AL353" s="3"/>
      <c r="AM353" s="3"/>
      <c r="AN353" s="3"/>
    </row>
    <row r="354" spans="1:40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K354" s="3"/>
      <c r="AL354" s="3"/>
      <c r="AM354" s="3"/>
      <c r="AN354" s="3"/>
    </row>
    <row r="355" spans="1:40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K355" s="3"/>
      <c r="AL355" s="3"/>
      <c r="AM355" s="3"/>
      <c r="AN355" s="3"/>
    </row>
    <row r="356" spans="1:40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K356" s="3"/>
      <c r="AL356" s="3"/>
      <c r="AM356" s="3"/>
      <c r="AN356" s="3"/>
    </row>
    <row r="357" spans="1:40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K357" s="3"/>
      <c r="AL357" s="3"/>
      <c r="AM357" s="3"/>
      <c r="AN357" s="3"/>
    </row>
    <row r="358" spans="1:40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K358" s="3"/>
      <c r="AL358" s="3"/>
      <c r="AM358" s="3"/>
      <c r="AN358" s="3"/>
    </row>
    <row r="359" spans="1:40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K359" s="3"/>
      <c r="AL359" s="3"/>
      <c r="AM359" s="3"/>
      <c r="AN359" s="3"/>
    </row>
    <row r="360" spans="1:4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K360" s="3"/>
      <c r="AL360" s="3"/>
      <c r="AM360" s="3"/>
      <c r="AN360" s="3"/>
    </row>
    <row r="361" spans="1:40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K361" s="3"/>
      <c r="AL361" s="3"/>
      <c r="AM361" s="3"/>
      <c r="AN361" s="3"/>
    </row>
    <row r="362" spans="1:40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K362" s="3"/>
      <c r="AL362" s="3"/>
      <c r="AM362" s="3"/>
      <c r="AN362" s="3"/>
    </row>
    <row r="363" spans="1:40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K363" s="3"/>
      <c r="AL363" s="3"/>
      <c r="AM363" s="3"/>
      <c r="AN363" s="3"/>
    </row>
    <row r="364" spans="1:40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K364" s="3"/>
      <c r="AL364" s="3"/>
      <c r="AM364" s="3"/>
      <c r="AN364" s="3"/>
    </row>
    <row r="365" spans="1:40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K365" s="3"/>
      <c r="AL365" s="3"/>
      <c r="AM365" s="3"/>
      <c r="AN365" s="3"/>
    </row>
    <row r="366" spans="1:40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K366" s="3"/>
      <c r="AL366" s="3"/>
      <c r="AM366" s="3"/>
      <c r="AN366" s="3"/>
    </row>
    <row r="367" spans="1:40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K367" s="3"/>
      <c r="AL367" s="3"/>
      <c r="AM367" s="3"/>
      <c r="AN367" s="3"/>
    </row>
    <row r="368" spans="1:40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K368" s="3"/>
      <c r="AL368" s="3"/>
      <c r="AM368" s="3"/>
      <c r="AN368" s="3"/>
    </row>
    <row r="369" spans="1:40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K369" s="3"/>
      <c r="AL369" s="3"/>
      <c r="AM369" s="3"/>
      <c r="AN369" s="3"/>
    </row>
    <row r="370" spans="1:4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K370" s="3"/>
      <c r="AL370" s="3"/>
      <c r="AM370" s="3"/>
      <c r="AN370" s="3"/>
    </row>
    <row r="371" spans="1:40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K371" s="3"/>
      <c r="AL371" s="3"/>
      <c r="AM371" s="3"/>
      <c r="AN371" s="3"/>
    </row>
    <row r="372" spans="1:40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K372" s="3"/>
      <c r="AL372" s="3"/>
      <c r="AM372" s="3"/>
      <c r="AN372" s="3"/>
    </row>
    <row r="373" spans="1:40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K373" s="3"/>
      <c r="AL373" s="3"/>
      <c r="AM373" s="3"/>
      <c r="AN373" s="3"/>
    </row>
    <row r="374" spans="1:40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K374" s="3"/>
      <c r="AL374" s="3"/>
      <c r="AM374" s="3"/>
      <c r="AN374" s="3"/>
    </row>
    <row r="375" spans="1:40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K375" s="3"/>
      <c r="AL375" s="3"/>
      <c r="AM375" s="3"/>
      <c r="AN375" s="3"/>
    </row>
    <row r="376" spans="1:40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K376" s="3"/>
      <c r="AL376" s="3"/>
      <c r="AM376" s="3"/>
      <c r="AN376" s="3"/>
    </row>
    <row r="377" spans="1:40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K377" s="3"/>
      <c r="AL377" s="3"/>
      <c r="AM377" s="3"/>
      <c r="AN377" s="3"/>
    </row>
    <row r="378" spans="1:40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K378" s="3"/>
      <c r="AL378" s="3"/>
      <c r="AM378" s="3"/>
      <c r="AN378" s="3"/>
    </row>
    <row r="379" spans="1:40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K379" s="3"/>
      <c r="AL379" s="3"/>
      <c r="AM379" s="3"/>
      <c r="AN379" s="3"/>
    </row>
    <row r="380" spans="1:4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K380" s="3"/>
      <c r="AL380" s="3"/>
      <c r="AM380" s="3"/>
      <c r="AN380" s="3"/>
    </row>
    <row r="381" spans="1:40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K381" s="3"/>
      <c r="AL381" s="3"/>
      <c r="AM381" s="3"/>
      <c r="AN381" s="3"/>
    </row>
    <row r="382" spans="1:40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K382" s="3"/>
      <c r="AL382" s="3"/>
      <c r="AM382" s="3"/>
      <c r="AN382" s="3"/>
    </row>
    <row r="383" spans="1:40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K383" s="3"/>
      <c r="AL383" s="3"/>
      <c r="AM383" s="3"/>
      <c r="AN383" s="3"/>
    </row>
    <row r="384" spans="1:40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K384" s="3"/>
      <c r="AL384" s="3"/>
      <c r="AM384" s="3"/>
      <c r="AN384" s="3"/>
    </row>
    <row r="385" spans="1:40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K385" s="3"/>
      <c r="AL385" s="3"/>
      <c r="AM385" s="3"/>
      <c r="AN385" s="3"/>
    </row>
    <row r="386" spans="1:40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K386" s="3"/>
      <c r="AL386" s="3"/>
      <c r="AM386" s="3"/>
      <c r="AN386" s="3"/>
    </row>
    <row r="387" spans="1:40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K387" s="3"/>
      <c r="AL387" s="3"/>
      <c r="AM387" s="3"/>
      <c r="AN387" s="3"/>
    </row>
    <row r="388" spans="1:40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K388" s="3"/>
      <c r="AL388" s="3"/>
      <c r="AM388" s="3"/>
      <c r="AN388" s="3"/>
    </row>
    <row r="389" spans="1:40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K389" s="3"/>
      <c r="AL389" s="3"/>
      <c r="AM389" s="3"/>
      <c r="AN389" s="3"/>
    </row>
    <row r="390" spans="1:4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K390" s="3"/>
      <c r="AL390" s="3"/>
      <c r="AM390" s="3"/>
      <c r="AN390" s="3"/>
    </row>
    <row r="391" spans="1:40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K391" s="3"/>
      <c r="AL391" s="3"/>
      <c r="AM391" s="3"/>
      <c r="AN391" s="3"/>
    </row>
    <row r="392" spans="1:40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K392" s="3"/>
      <c r="AL392" s="3"/>
      <c r="AM392" s="3"/>
      <c r="AN392" s="3"/>
    </row>
    <row r="393" spans="1:40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K393" s="3"/>
      <c r="AL393" s="3"/>
      <c r="AM393" s="3"/>
      <c r="AN393" s="3"/>
    </row>
    <row r="394" spans="1:40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K394" s="3"/>
      <c r="AL394" s="3"/>
      <c r="AM394" s="3"/>
      <c r="AN394" s="3"/>
    </row>
    <row r="395" spans="1:40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K395" s="3"/>
      <c r="AL395" s="3"/>
      <c r="AM395" s="3"/>
      <c r="AN395" s="3"/>
    </row>
    <row r="396" spans="1:40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K396" s="3"/>
      <c r="AL396" s="3"/>
      <c r="AM396" s="3"/>
      <c r="AN396" s="3"/>
    </row>
    <row r="397" spans="1:40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K397" s="3"/>
      <c r="AL397" s="3"/>
      <c r="AM397" s="3"/>
      <c r="AN397" s="3"/>
    </row>
    <row r="398" spans="1:40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K398" s="3"/>
      <c r="AL398" s="3"/>
      <c r="AM398" s="3"/>
      <c r="AN398" s="3"/>
    </row>
    <row r="399" spans="1:40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K399" s="3"/>
      <c r="AL399" s="3"/>
      <c r="AM399" s="3"/>
      <c r="AN399" s="3"/>
    </row>
    <row r="400" spans="1:4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K400" s="3"/>
      <c r="AL400" s="3"/>
      <c r="AM400" s="3"/>
      <c r="AN400" s="3"/>
    </row>
    <row r="401" spans="1:40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K401" s="3"/>
      <c r="AL401" s="3"/>
      <c r="AM401" s="3"/>
      <c r="AN401" s="3"/>
    </row>
    <row r="402" spans="1:40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K402" s="3"/>
      <c r="AL402" s="3"/>
      <c r="AM402" s="3"/>
      <c r="AN402" s="3"/>
    </row>
    <row r="403" spans="1:40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K403" s="3"/>
      <c r="AL403" s="3"/>
      <c r="AM403" s="3"/>
      <c r="AN403" s="3"/>
    </row>
    <row r="404" spans="1:40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K404" s="3"/>
      <c r="AL404" s="3"/>
      <c r="AM404" s="3"/>
      <c r="AN404" s="3"/>
    </row>
    <row r="405" spans="1:40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K405" s="3"/>
      <c r="AL405" s="3"/>
      <c r="AM405" s="3"/>
      <c r="AN405" s="3"/>
    </row>
    <row r="406" spans="1:40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K406" s="3"/>
      <c r="AL406" s="3"/>
      <c r="AM406" s="3"/>
      <c r="AN406" s="3"/>
    </row>
    <row r="407" spans="1:40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K407" s="3"/>
      <c r="AL407" s="3"/>
      <c r="AM407" s="3"/>
      <c r="AN407" s="3"/>
    </row>
    <row r="408" spans="1:40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K408" s="3"/>
      <c r="AL408" s="3"/>
      <c r="AM408" s="3"/>
      <c r="AN408" s="3"/>
    </row>
    <row r="409" spans="1:40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K409" s="3"/>
      <c r="AL409" s="3"/>
      <c r="AM409" s="3"/>
      <c r="AN409" s="3"/>
    </row>
    <row r="410" spans="1:4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K410" s="3"/>
      <c r="AL410" s="3"/>
      <c r="AM410" s="3"/>
      <c r="AN410" s="3"/>
    </row>
    <row r="411" spans="1:40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K411" s="3"/>
      <c r="AL411" s="3"/>
      <c r="AM411" s="3"/>
      <c r="AN411" s="3"/>
    </row>
    <row r="412" spans="1:40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K412" s="3"/>
      <c r="AL412" s="3"/>
      <c r="AM412" s="3"/>
      <c r="AN412" s="3"/>
    </row>
    <row r="413" spans="1:40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K413" s="3"/>
      <c r="AL413" s="3"/>
      <c r="AM413" s="3"/>
      <c r="AN413" s="3"/>
    </row>
    <row r="414" spans="1:40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K414" s="3"/>
      <c r="AL414" s="3"/>
      <c r="AM414" s="3"/>
      <c r="AN414" s="3"/>
    </row>
    <row r="415" spans="1:40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K415" s="3"/>
      <c r="AL415" s="3"/>
      <c r="AM415" s="3"/>
      <c r="AN415" s="3"/>
    </row>
    <row r="416" spans="1:40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K416" s="3"/>
      <c r="AL416" s="3"/>
      <c r="AM416" s="3"/>
      <c r="AN416" s="3"/>
    </row>
    <row r="417" spans="1:40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K417" s="3"/>
      <c r="AL417" s="3"/>
      <c r="AM417" s="3"/>
      <c r="AN417" s="3"/>
    </row>
    <row r="418" spans="1:40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K418" s="3"/>
      <c r="AL418" s="3"/>
      <c r="AM418" s="3"/>
      <c r="AN418" s="3"/>
    </row>
    <row r="419" spans="1:40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K419" s="3"/>
      <c r="AL419" s="3"/>
      <c r="AM419" s="3"/>
      <c r="AN419" s="3"/>
    </row>
    <row r="420" spans="1:4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K420" s="3"/>
      <c r="AL420" s="3"/>
      <c r="AM420" s="3"/>
      <c r="AN420" s="3"/>
    </row>
    <row r="421" spans="1:40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K421" s="3"/>
      <c r="AL421" s="3"/>
      <c r="AM421" s="3"/>
      <c r="AN421" s="3"/>
    </row>
    <row r="422" spans="1:40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K422" s="3"/>
      <c r="AL422" s="3"/>
      <c r="AM422" s="3"/>
      <c r="AN422" s="3"/>
    </row>
    <row r="423" spans="1:40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K423" s="3"/>
      <c r="AL423" s="3"/>
      <c r="AM423" s="3"/>
      <c r="AN423" s="3"/>
    </row>
    <row r="424" spans="1:40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K424" s="3"/>
      <c r="AL424" s="3"/>
      <c r="AM424" s="3"/>
      <c r="AN424" s="3"/>
    </row>
    <row r="425" spans="1:40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K425" s="3"/>
      <c r="AL425" s="3"/>
      <c r="AM425" s="3"/>
      <c r="AN425" s="3"/>
    </row>
    <row r="426" spans="1:40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K426" s="3"/>
      <c r="AL426" s="3"/>
      <c r="AM426" s="3"/>
      <c r="AN426" s="3"/>
    </row>
    <row r="427" spans="1:40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K427" s="3"/>
      <c r="AL427" s="3"/>
      <c r="AM427" s="3"/>
      <c r="AN427" s="3"/>
    </row>
    <row r="428" spans="1:40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K428" s="3"/>
      <c r="AL428" s="3"/>
      <c r="AM428" s="3"/>
      <c r="AN428" s="3"/>
    </row>
    <row r="429" spans="1:40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K429" s="3"/>
      <c r="AL429" s="3"/>
      <c r="AM429" s="3"/>
      <c r="AN429" s="3"/>
    </row>
    <row r="430" spans="1:4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K430" s="3"/>
      <c r="AL430" s="3"/>
      <c r="AM430" s="3"/>
      <c r="AN430" s="3"/>
    </row>
    <row r="431" spans="1:40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K431" s="3"/>
      <c r="AL431" s="3"/>
      <c r="AM431" s="3"/>
      <c r="AN431" s="3"/>
    </row>
    <row r="432" spans="1:40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K432" s="3"/>
      <c r="AL432" s="3"/>
      <c r="AM432" s="3"/>
      <c r="AN432" s="3"/>
    </row>
    <row r="433" spans="1:40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K433" s="3"/>
      <c r="AL433" s="3"/>
      <c r="AM433" s="3"/>
      <c r="AN433" s="3"/>
    </row>
    <row r="434" spans="1:40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K434" s="3"/>
      <c r="AL434" s="3"/>
      <c r="AM434" s="3"/>
      <c r="AN434" s="3"/>
    </row>
    <row r="435" spans="1:40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K435" s="3"/>
      <c r="AL435" s="3"/>
      <c r="AM435" s="3"/>
      <c r="AN435" s="3"/>
    </row>
    <row r="436" spans="1:40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K436" s="3"/>
      <c r="AL436" s="3"/>
      <c r="AM436" s="3"/>
      <c r="AN436" s="3"/>
    </row>
    <row r="437" spans="1:40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K437" s="3"/>
      <c r="AL437" s="3"/>
      <c r="AM437" s="3"/>
      <c r="AN437" s="3"/>
    </row>
    <row r="438" spans="1:40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K438" s="3"/>
      <c r="AL438" s="3"/>
      <c r="AM438" s="3"/>
      <c r="AN438" s="3"/>
    </row>
    <row r="439" spans="1:40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K439" s="3"/>
      <c r="AL439" s="3"/>
      <c r="AM439" s="3"/>
      <c r="AN439" s="3"/>
    </row>
    <row r="440" spans="1: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K440" s="3"/>
      <c r="AL440" s="3"/>
      <c r="AM440" s="3"/>
      <c r="AN440" s="3"/>
    </row>
    <row r="441" spans="1:40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K441" s="3"/>
      <c r="AL441" s="3"/>
      <c r="AM441" s="3"/>
      <c r="AN441" s="3"/>
    </row>
    <row r="442" spans="1:40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K442" s="3"/>
      <c r="AL442" s="3"/>
      <c r="AM442" s="3"/>
      <c r="AN442" s="3"/>
    </row>
    <row r="443" spans="1:40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K443" s="3"/>
      <c r="AL443" s="3"/>
      <c r="AM443" s="3"/>
      <c r="AN443" s="3"/>
    </row>
    <row r="444" spans="1:40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K444" s="3"/>
      <c r="AL444" s="3"/>
      <c r="AM444" s="3"/>
      <c r="AN444" s="3"/>
    </row>
    <row r="445" spans="1:40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K445" s="3"/>
      <c r="AL445" s="3"/>
      <c r="AM445" s="3"/>
      <c r="AN445" s="3"/>
    </row>
    <row r="446" spans="1:40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K446" s="3"/>
      <c r="AL446" s="3"/>
      <c r="AM446" s="3"/>
      <c r="AN446" s="3"/>
    </row>
    <row r="447" spans="1:40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K447" s="3"/>
      <c r="AL447" s="3"/>
      <c r="AM447" s="3"/>
      <c r="AN447" s="3"/>
    </row>
    <row r="448" spans="1:40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K448" s="3"/>
      <c r="AL448" s="3"/>
      <c r="AM448" s="3"/>
      <c r="AN448" s="3"/>
    </row>
    <row r="449" spans="1:40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K449" s="3"/>
      <c r="AL449" s="3"/>
      <c r="AM449" s="3"/>
      <c r="AN449" s="3"/>
    </row>
    <row r="450" spans="1:4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K450" s="3"/>
      <c r="AL450" s="3"/>
      <c r="AM450" s="3"/>
      <c r="AN450" s="3"/>
    </row>
    <row r="451" spans="1:40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K451" s="3"/>
      <c r="AL451" s="3"/>
      <c r="AM451" s="3"/>
      <c r="AN451" s="3"/>
    </row>
    <row r="452" spans="1:40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K452" s="3"/>
      <c r="AL452" s="3"/>
      <c r="AM452" s="3"/>
      <c r="AN452" s="3"/>
    </row>
    <row r="453" spans="1:40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K453" s="3"/>
      <c r="AL453" s="3"/>
      <c r="AM453" s="3"/>
      <c r="AN453" s="3"/>
    </row>
    <row r="454" spans="1:40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K454" s="3"/>
      <c r="AL454" s="3"/>
      <c r="AM454" s="3"/>
      <c r="AN454" s="3"/>
    </row>
    <row r="455" spans="1:40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K455" s="3"/>
      <c r="AL455" s="3"/>
      <c r="AM455" s="3"/>
      <c r="AN455" s="3"/>
    </row>
    <row r="456" spans="1:40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K456" s="3"/>
      <c r="AL456" s="3"/>
      <c r="AM456" s="3"/>
      <c r="AN456" s="3"/>
    </row>
    <row r="457" spans="1:40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K457" s="3"/>
      <c r="AL457" s="3"/>
      <c r="AM457" s="3"/>
      <c r="AN457" s="3"/>
    </row>
    <row r="458" spans="1:40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K458" s="3"/>
      <c r="AL458" s="3"/>
      <c r="AM458" s="3"/>
      <c r="AN458" s="3"/>
    </row>
    <row r="459" spans="1:40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K459" s="3"/>
      <c r="AL459" s="3"/>
      <c r="AM459" s="3"/>
      <c r="AN459" s="3"/>
    </row>
    <row r="460" spans="1:4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K460" s="3"/>
      <c r="AL460" s="3"/>
      <c r="AM460" s="3"/>
      <c r="AN460" s="3"/>
    </row>
    <row r="461" spans="1:40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K461" s="3"/>
      <c r="AL461" s="3"/>
      <c r="AM461" s="3"/>
      <c r="AN461" s="3"/>
    </row>
    <row r="462" spans="1:40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K462" s="3"/>
      <c r="AL462" s="3"/>
      <c r="AM462" s="3"/>
      <c r="AN462" s="3"/>
    </row>
    <row r="463" spans="1:40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K463" s="3"/>
      <c r="AL463" s="3"/>
      <c r="AM463" s="3"/>
      <c r="AN463" s="3"/>
    </row>
    <row r="464" spans="1:40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K464" s="3"/>
      <c r="AL464" s="3"/>
      <c r="AM464" s="3"/>
      <c r="AN464" s="3"/>
    </row>
    <row r="465" spans="1:40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K465" s="3"/>
      <c r="AL465" s="3"/>
      <c r="AM465" s="3"/>
      <c r="AN465" s="3"/>
    </row>
    <row r="466" spans="1:40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K466" s="3"/>
      <c r="AL466" s="3"/>
      <c r="AM466" s="3"/>
      <c r="AN466" s="3"/>
    </row>
    <row r="467" spans="1:40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K467" s="3"/>
      <c r="AL467" s="3"/>
      <c r="AM467" s="3"/>
      <c r="AN467" s="3"/>
    </row>
    <row r="468" spans="1:40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K468" s="3"/>
      <c r="AL468" s="3"/>
      <c r="AM468" s="3"/>
      <c r="AN468" s="3"/>
    </row>
    <row r="469" spans="1:40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K469" s="3"/>
      <c r="AL469" s="3"/>
      <c r="AM469" s="3"/>
      <c r="AN469" s="3"/>
    </row>
    <row r="470" spans="1:4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K470" s="3"/>
      <c r="AL470" s="3"/>
      <c r="AM470" s="3"/>
      <c r="AN470" s="3"/>
    </row>
    <row r="471" spans="1:40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K471" s="3"/>
      <c r="AL471" s="3"/>
      <c r="AM471" s="3"/>
      <c r="AN471" s="3"/>
    </row>
    <row r="472" spans="1:40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K472" s="3"/>
      <c r="AL472" s="3"/>
      <c r="AM472" s="3"/>
      <c r="AN472" s="3"/>
    </row>
    <row r="473" spans="1:40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K473" s="3"/>
      <c r="AL473" s="3"/>
      <c r="AM473" s="3"/>
      <c r="AN473" s="3"/>
    </row>
    <row r="474" spans="1:40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K474" s="3"/>
      <c r="AL474" s="3"/>
      <c r="AM474" s="3"/>
      <c r="AN474" s="3"/>
    </row>
    <row r="475" spans="1:40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K475" s="3"/>
      <c r="AL475" s="3"/>
      <c r="AM475" s="3"/>
      <c r="AN475" s="3"/>
    </row>
    <row r="476" spans="1:40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K476" s="3"/>
      <c r="AL476" s="3"/>
      <c r="AM476" s="3"/>
      <c r="AN476" s="3"/>
    </row>
    <row r="477" spans="1:40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K477" s="3"/>
      <c r="AL477" s="3"/>
      <c r="AM477" s="3"/>
      <c r="AN477" s="3"/>
    </row>
    <row r="478" spans="1:40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K478" s="3"/>
      <c r="AL478" s="3"/>
      <c r="AM478" s="3"/>
      <c r="AN478" s="3"/>
    </row>
    <row r="479" spans="1:40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K479" s="3"/>
      <c r="AL479" s="3"/>
      <c r="AM479" s="3"/>
      <c r="AN479" s="3"/>
    </row>
    <row r="480" spans="1:4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K480" s="3"/>
      <c r="AL480" s="3"/>
      <c r="AM480" s="3"/>
      <c r="AN480" s="3"/>
    </row>
    <row r="481" spans="1:40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K481" s="3"/>
      <c r="AL481" s="3"/>
      <c r="AM481" s="3"/>
      <c r="AN481" s="3"/>
    </row>
    <row r="482" spans="1:40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K482" s="3"/>
      <c r="AL482" s="3"/>
      <c r="AM482" s="3"/>
      <c r="AN482" s="3"/>
    </row>
    <row r="483" spans="1:40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K483" s="3"/>
      <c r="AL483" s="3"/>
      <c r="AM483" s="3"/>
      <c r="AN483" s="3"/>
    </row>
    <row r="484" spans="1:40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K484" s="3"/>
      <c r="AL484" s="3"/>
      <c r="AM484" s="3"/>
      <c r="AN484" s="3"/>
    </row>
    <row r="485" spans="1:40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K485" s="3"/>
      <c r="AL485" s="3"/>
      <c r="AM485" s="3"/>
      <c r="AN485" s="3"/>
    </row>
    <row r="486" spans="1:40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K486" s="3"/>
      <c r="AL486" s="3"/>
      <c r="AM486" s="3"/>
      <c r="AN486" s="3"/>
    </row>
    <row r="487" spans="1:40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K487" s="3"/>
      <c r="AL487" s="3"/>
      <c r="AM487" s="3"/>
      <c r="AN487" s="3"/>
    </row>
    <row r="488" spans="1:40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K488" s="3"/>
      <c r="AL488" s="3"/>
      <c r="AM488" s="3"/>
      <c r="AN488" s="3"/>
    </row>
    <row r="489" spans="1:40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K489" s="3"/>
      <c r="AL489" s="3"/>
      <c r="AM489" s="3"/>
      <c r="AN489" s="3"/>
    </row>
    <row r="490" spans="1:4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K490" s="3"/>
      <c r="AL490" s="3"/>
      <c r="AM490" s="3"/>
      <c r="AN490" s="3"/>
    </row>
    <row r="491" spans="1:40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K491" s="3"/>
      <c r="AL491" s="3"/>
      <c r="AM491" s="3"/>
      <c r="AN491" s="3"/>
    </row>
    <row r="492" spans="1:40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K492" s="3"/>
      <c r="AL492" s="3"/>
      <c r="AM492" s="3"/>
      <c r="AN492" s="3"/>
    </row>
    <row r="493" spans="1:40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K493" s="3"/>
      <c r="AL493" s="3"/>
      <c r="AM493" s="3"/>
      <c r="AN493" s="3"/>
    </row>
    <row r="494" spans="1:40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K494" s="3"/>
      <c r="AL494" s="3"/>
      <c r="AM494" s="3"/>
      <c r="AN494" s="3"/>
    </row>
    <row r="495" spans="1:40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K495" s="3"/>
      <c r="AL495" s="3"/>
      <c r="AM495" s="3"/>
      <c r="AN495" s="3"/>
    </row>
    <row r="496" spans="1:40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K496" s="3"/>
      <c r="AL496" s="3"/>
      <c r="AM496" s="3"/>
      <c r="AN496" s="3"/>
    </row>
    <row r="497" spans="1:40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K497" s="3"/>
      <c r="AL497" s="3"/>
      <c r="AM497" s="3"/>
      <c r="AN497" s="3"/>
    </row>
    <row r="498" spans="1:40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K498" s="3"/>
      <c r="AL498" s="3"/>
      <c r="AM498" s="3"/>
      <c r="AN498" s="3"/>
    </row>
    <row r="499" spans="1:40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K499" s="3"/>
      <c r="AL499" s="3"/>
      <c r="AM499" s="3"/>
      <c r="AN499" s="3"/>
    </row>
    <row r="500" spans="1:4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K500" s="3"/>
      <c r="AL500" s="3"/>
      <c r="AM500" s="3"/>
      <c r="AN500" s="3"/>
    </row>
    <row r="501" spans="1:40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K501" s="3"/>
      <c r="AL501" s="3"/>
      <c r="AM501" s="3"/>
      <c r="AN501" s="3"/>
    </row>
    <row r="502" spans="1:40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K502" s="3"/>
      <c r="AL502" s="3"/>
      <c r="AM502" s="3"/>
      <c r="AN502" s="3"/>
    </row>
    <row r="503" spans="1:40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K503" s="3"/>
      <c r="AL503" s="3"/>
      <c r="AM503" s="3"/>
      <c r="AN503" s="3"/>
    </row>
    <row r="504" spans="1:40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K504" s="3"/>
      <c r="AL504" s="3"/>
      <c r="AM504" s="3"/>
      <c r="AN504" s="3"/>
    </row>
    <row r="505" spans="1:40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K505" s="3"/>
      <c r="AL505" s="3"/>
      <c r="AM505" s="3"/>
      <c r="AN505" s="3"/>
    </row>
    <row r="506" spans="1:40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K506" s="3"/>
      <c r="AL506" s="3"/>
      <c r="AM506" s="3"/>
      <c r="AN506" s="3"/>
    </row>
    <row r="507" spans="1:40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K507" s="3"/>
      <c r="AL507" s="3"/>
      <c r="AM507" s="3"/>
      <c r="AN507" s="3"/>
    </row>
    <row r="508" spans="1:40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K508" s="3"/>
      <c r="AL508" s="3"/>
      <c r="AM508" s="3"/>
      <c r="AN508" s="3"/>
    </row>
    <row r="509" spans="1:40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K509" s="3"/>
      <c r="AL509" s="3"/>
      <c r="AM509" s="3"/>
      <c r="AN509" s="3"/>
    </row>
    <row r="510" spans="1:4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K510" s="3"/>
      <c r="AL510" s="3"/>
      <c r="AM510" s="3"/>
      <c r="AN510" s="3"/>
    </row>
    <row r="511" spans="1:40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K511" s="3"/>
      <c r="AL511" s="3"/>
      <c r="AM511" s="3"/>
      <c r="AN511" s="3"/>
    </row>
    <row r="512" spans="1:40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K512" s="3"/>
      <c r="AL512" s="3"/>
      <c r="AM512" s="3"/>
      <c r="AN512" s="3"/>
    </row>
    <row r="513" spans="1:40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K513" s="3"/>
      <c r="AL513" s="3"/>
      <c r="AM513" s="3"/>
      <c r="AN513" s="3"/>
    </row>
    <row r="514" spans="1:40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K514" s="3"/>
      <c r="AL514" s="3"/>
      <c r="AM514" s="3"/>
      <c r="AN514" s="3"/>
    </row>
    <row r="515" spans="1:40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K515" s="3"/>
      <c r="AL515" s="3"/>
      <c r="AM515" s="3"/>
      <c r="AN515" s="3"/>
    </row>
    <row r="516" spans="1:40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K516" s="3"/>
      <c r="AL516" s="3"/>
      <c r="AM516" s="3"/>
      <c r="AN516" s="3"/>
    </row>
    <row r="517" spans="1:40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K517" s="3"/>
      <c r="AL517" s="3"/>
      <c r="AM517" s="3"/>
      <c r="AN517" s="3"/>
    </row>
    <row r="518" spans="1:40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K518" s="3"/>
      <c r="AL518" s="3"/>
      <c r="AM518" s="3"/>
      <c r="AN518" s="3"/>
    </row>
    <row r="519" spans="1:40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K519" s="3"/>
      <c r="AL519" s="3"/>
      <c r="AM519" s="3"/>
      <c r="AN519" s="3"/>
    </row>
    <row r="520" spans="1:4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K520" s="3"/>
      <c r="AL520" s="3"/>
      <c r="AM520" s="3"/>
      <c r="AN520" s="3"/>
    </row>
    <row r="521" spans="1:40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K521" s="3"/>
      <c r="AL521" s="3"/>
      <c r="AM521" s="3"/>
      <c r="AN521" s="3"/>
    </row>
    <row r="522" spans="1:40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K522" s="3"/>
      <c r="AL522" s="3"/>
      <c r="AM522" s="3"/>
      <c r="AN522" s="3"/>
    </row>
    <row r="523" spans="1:40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K523" s="3"/>
      <c r="AL523" s="3"/>
      <c r="AM523" s="3"/>
      <c r="AN523" s="3"/>
    </row>
    <row r="524" spans="1:40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K524" s="3"/>
      <c r="AL524" s="3"/>
      <c r="AM524" s="3"/>
      <c r="AN524" s="3"/>
    </row>
    <row r="525" spans="1:40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K525" s="3"/>
      <c r="AL525" s="3"/>
      <c r="AM525" s="3"/>
      <c r="AN525" s="3"/>
    </row>
    <row r="526" spans="1:40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K526" s="3"/>
      <c r="AL526" s="3"/>
      <c r="AM526" s="3"/>
      <c r="AN526" s="3"/>
    </row>
    <row r="527" spans="1:40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K527" s="3"/>
      <c r="AL527" s="3"/>
      <c r="AM527" s="3"/>
      <c r="AN527" s="3"/>
    </row>
    <row r="528" spans="1:40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K528" s="3"/>
      <c r="AL528" s="3"/>
      <c r="AM528" s="3"/>
      <c r="AN528" s="3"/>
    </row>
    <row r="529" spans="1:40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K529" s="3"/>
      <c r="AL529" s="3"/>
      <c r="AM529" s="3"/>
      <c r="AN529" s="3"/>
    </row>
    <row r="530" spans="1:4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K530" s="3"/>
      <c r="AL530" s="3"/>
      <c r="AM530" s="3"/>
      <c r="AN530" s="3"/>
    </row>
    <row r="531" spans="1:40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K531" s="3"/>
      <c r="AL531" s="3"/>
      <c r="AM531" s="3"/>
      <c r="AN531" s="3"/>
    </row>
    <row r="532" spans="1:40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K532" s="3"/>
      <c r="AL532" s="3"/>
      <c r="AM532" s="3"/>
      <c r="AN532" s="3"/>
    </row>
    <row r="533" spans="1:40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K533" s="3"/>
      <c r="AL533" s="3"/>
      <c r="AM533" s="3"/>
      <c r="AN533" s="3"/>
    </row>
    <row r="534" spans="1:40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K534" s="3"/>
      <c r="AL534" s="3"/>
      <c r="AM534" s="3"/>
      <c r="AN534" s="3"/>
    </row>
    <row r="535" spans="1:40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K535" s="3"/>
      <c r="AL535" s="3"/>
      <c r="AM535" s="3"/>
      <c r="AN535" s="3"/>
    </row>
    <row r="536" spans="1:40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K536" s="3"/>
      <c r="AL536" s="3"/>
      <c r="AM536" s="3"/>
      <c r="AN536" s="3"/>
    </row>
    <row r="537" spans="1:40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K537" s="3"/>
      <c r="AL537" s="3"/>
      <c r="AM537" s="3"/>
      <c r="AN537" s="3"/>
    </row>
    <row r="538" spans="1:40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K538" s="3"/>
      <c r="AL538" s="3"/>
      <c r="AM538" s="3"/>
      <c r="AN538" s="3"/>
    </row>
    <row r="539" spans="1:40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K539" s="3"/>
      <c r="AL539" s="3"/>
      <c r="AM539" s="3"/>
      <c r="AN539" s="3"/>
    </row>
    <row r="540" spans="1: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K540" s="3"/>
      <c r="AL540" s="3"/>
      <c r="AM540" s="3"/>
      <c r="AN540" s="3"/>
    </row>
    <row r="541" spans="1:40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K541" s="3"/>
      <c r="AL541" s="3"/>
      <c r="AM541" s="3"/>
      <c r="AN541" s="3"/>
    </row>
    <row r="542" spans="1:40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K542" s="3"/>
      <c r="AL542" s="3"/>
      <c r="AM542" s="3"/>
      <c r="AN542" s="3"/>
    </row>
    <row r="543" spans="1:40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K543" s="3"/>
      <c r="AL543" s="3"/>
      <c r="AM543" s="3"/>
      <c r="AN543" s="3"/>
    </row>
    <row r="544" spans="1:40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K544" s="3"/>
      <c r="AL544" s="3"/>
      <c r="AM544" s="3"/>
      <c r="AN544" s="3"/>
    </row>
    <row r="545" spans="1:40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K545" s="3"/>
      <c r="AL545" s="3"/>
      <c r="AM545" s="3"/>
      <c r="AN545" s="3"/>
    </row>
    <row r="546" spans="1:40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K546" s="3"/>
      <c r="AL546" s="3"/>
      <c r="AM546" s="3"/>
      <c r="AN546" s="3"/>
    </row>
    <row r="547" spans="1:40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K547" s="3"/>
      <c r="AL547" s="3"/>
      <c r="AM547" s="3"/>
      <c r="AN547" s="3"/>
    </row>
    <row r="548" spans="1:40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K548" s="3"/>
      <c r="AL548" s="3"/>
      <c r="AM548" s="3"/>
      <c r="AN548" s="3"/>
    </row>
    <row r="549" spans="1:40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K549" s="3"/>
      <c r="AL549" s="3"/>
      <c r="AM549" s="3"/>
      <c r="AN549" s="3"/>
    </row>
    <row r="550" spans="1:4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K550" s="3"/>
      <c r="AL550" s="3"/>
      <c r="AM550" s="3"/>
      <c r="AN550" s="3"/>
    </row>
    <row r="551" spans="1:40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K551" s="3"/>
      <c r="AL551" s="3"/>
      <c r="AM551" s="3"/>
      <c r="AN551" s="3"/>
    </row>
    <row r="552" spans="1:40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K552" s="3"/>
      <c r="AL552" s="3"/>
      <c r="AM552" s="3"/>
      <c r="AN552" s="3"/>
    </row>
    <row r="553" spans="1:40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K553" s="3"/>
      <c r="AL553" s="3"/>
      <c r="AM553" s="3"/>
      <c r="AN553" s="3"/>
    </row>
    <row r="554" spans="1:40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K554" s="3"/>
      <c r="AL554" s="3"/>
      <c r="AM554" s="3"/>
      <c r="AN554" s="3"/>
    </row>
    <row r="555" spans="1:40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K555" s="3"/>
      <c r="AL555" s="3"/>
      <c r="AM555" s="3"/>
      <c r="AN555" s="3"/>
    </row>
    <row r="556" spans="1:40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K556" s="3"/>
      <c r="AL556" s="3"/>
      <c r="AM556" s="3"/>
      <c r="AN556" s="3"/>
    </row>
    <row r="557" spans="1:40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K557" s="3"/>
      <c r="AL557" s="3"/>
      <c r="AM557" s="3"/>
      <c r="AN557" s="3"/>
    </row>
    <row r="558" spans="1:40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K558" s="3"/>
      <c r="AL558" s="3"/>
      <c r="AM558" s="3"/>
      <c r="AN558" s="3"/>
    </row>
    <row r="559" spans="1:40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K559" s="3"/>
      <c r="AL559" s="3"/>
      <c r="AM559" s="3"/>
      <c r="AN559" s="3"/>
    </row>
    <row r="560" spans="1:4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K560" s="3"/>
      <c r="AL560" s="3"/>
      <c r="AM560" s="3"/>
      <c r="AN560" s="3"/>
    </row>
    <row r="561" spans="1:40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K561" s="3"/>
      <c r="AL561" s="3"/>
      <c r="AM561" s="3"/>
      <c r="AN561" s="3"/>
    </row>
    <row r="562" spans="1:40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K562" s="3"/>
      <c r="AL562" s="3"/>
      <c r="AM562" s="3"/>
      <c r="AN562" s="3"/>
    </row>
    <row r="563" spans="1:40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K563" s="3"/>
      <c r="AL563" s="3"/>
      <c r="AM563" s="3"/>
      <c r="AN563" s="3"/>
    </row>
    <row r="564" spans="1:40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K564" s="3"/>
      <c r="AL564" s="3"/>
      <c r="AM564" s="3"/>
      <c r="AN564" s="3"/>
    </row>
    <row r="565" spans="1:40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K565" s="3"/>
      <c r="AL565" s="3"/>
      <c r="AM565" s="3"/>
      <c r="AN565" s="3"/>
    </row>
    <row r="566" spans="1:40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K566" s="3"/>
      <c r="AL566" s="3"/>
      <c r="AM566" s="3"/>
      <c r="AN566" s="3"/>
    </row>
    <row r="567" spans="1:40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K567" s="3"/>
      <c r="AL567" s="3"/>
      <c r="AM567" s="3"/>
      <c r="AN567" s="3"/>
    </row>
    <row r="568" spans="1:40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K568" s="3"/>
      <c r="AL568" s="3"/>
      <c r="AM568" s="3"/>
      <c r="AN568" s="3"/>
    </row>
    <row r="569" spans="1:40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K569" s="3"/>
      <c r="AL569" s="3"/>
      <c r="AM569" s="3"/>
      <c r="AN569" s="3"/>
    </row>
    <row r="570" spans="1:4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K570" s="3"/>
      <c r="AL570" s="3"/>
      <c r="AM570" s="3"/>
      <c r="AN570" s="3"/>
    </row>
    <row r="571" spans="1:40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K571" s="3"/>
      <c r="AL571" s="3"/>
      <c r="AM571" s="3"/>
      <c r="AN571" s="3"/>
    </row>
    <row r="572" spans="1:40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K572" s="3"/>
      <c r="AL572" s="3"/>
      <c r="AM572" s="3"/>
      <c r="AN572" s="3"/>
    </row>
    <row r="573" spans="1:40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K573" s="3"/>
      <c r="AL573" s="3"/>
      <c r="AM573" s="3"/>
      <c r="AN573" s="3"/>
    </row>
    <row r="574" spans="1:40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K574" s="3"/>
      <c r="AL574" s="3"/>
      <c r="AM574" s="3"/>
      <c r="AN574" s="3"/>
    </row>
    <row r="575" spans="1:40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K575" s="3"/>
      <c r="AL575" s="3"/>
      <c r="AM575" s="3"/>
      <c r="AN575" s="3"/>
    </row>
    <row r="576" spans="1:40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K576" s="3"/>
      <c r="AL576" s="3"/>
      <c r="AM576" s="3"/>
      <c r="AN576" s="3"/>
    </row>
    <row r="577" spans="1:40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K577" s="3"/>
      <c r="AL577" s="3"/>
      <c r="AM577" s="3"/>
      <c r="AN577" s="3"/>
    </row>
    <row r="578" spans="1:40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K578" s="3"/>
      <c r="AL578" s="3"/>
      <c r="AM578" s="3"/>
      <c r="AN578" s="3"/>
    </row>
    <row r="579" spans="1:40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K579" s="3"/>
      <c r="AL579" s="3"/>
      <c r="AM579" s="3"/>
      <c r="AN579" s="3"/>
    </row>
    <row r="580" spans="1:4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K580" s="3"/>
      <c r="AL580" s="3"/>
      <c r="AM580" s="3"/>
      <c r="AN580" s="3"/>
    </row>
    <row r="581" spans="1:40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K581" s="3"/>
      <c r="AL581" s="3"/>
      <c r="AM581" s="3"/>
      <c r="AN581" s="3"/>
    </row>
    <row r="582" spans="1:40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K582" s="3"/>
      <c r="AL582" s="3"/>
      <c r="AM582" s="3"/>
      <c r="AN582" s="3"/>
    </row>
    <row r="583" spans="1:40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K583" s="3"/>
      <c r="AL583" s="3"/>
      <c r="AM583" s="3"/>
      <c r="AN583" s="3"/>
    </row>
    <row r="584" spans="1:40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K584" s="3"/>
      <c r="AL584" s="3"/>
      <c r="AM584" s="3"/>
      <c r="AN584" s="3"/>
    </row>
    <row r="585" spans="1:40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K585" s="3"/>
      <c r="AL585" s="3"/>
      <c r="AM585" s="3"/>
      <c r="AN585" s="3"/>
    </row>
    <row r="586" spans="1:40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K586" s="3"/>
      <c r="AL586" s="3"/>
      <c r="AM586" s="3"/>
      <c r="AN586" s="3"/>
    </row>
    <row r="587" spans="1:40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K587" s="3"/>
      <c r="AL587" s="3"/>
      <c r="AM587" s="3"/>
      <c r="AN587" s="3"/>
    </row>
    <row r="588" spans="1:40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K588" s="3"/>
      <c r="AL588" s="3"/>
      <c r="AM588" s="3"/>
      <c r="AN588" s="3"/>
    </row>
    <row r="589" spans="1:40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K589" s="3"/>
      <c r="AL589" s="3"/>
      <c r="AM589" s="3"/>
      <c r="AN589" s="3"/>
    </row>
    <row r="590" spans="1:4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K590" s="3"/>
      <c r="AL590" s="3"/>
      <c r="AM590" s="3"/>
      <c r="AN590" s="3"/>
    </row>
    <row r="591" spans="1:40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K591" s="3"/>
      <c r="AL591" s="3"/>
      <c r="AM591" s="3"/>
      <c r="AN591" s="3"/>
    </row>
    <row r="592" spans="1:40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K592" s="3"/>
      <c r="AL592" s="3"/>
      <c r="AM592" s="3"/>
      <c r="AN592" s="3"/>
    </row>
    <row r="593" spans="1:40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K593" s="3"/>
      <c r="AL593" s="3"/>
      <c r="AM593" s="3"/>
      <c r="AN593" s="3"/>
    </row>
    <row r="594" spans="1:40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K594" s="3"/>
      <c r="AL594" s="3"/>
      <c r="AM594" s="3"/>
      <c r="AN594" s="3"/>
    </row>
    <row r="595" spans="1:40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K595" s="3"/>
      <c r="AL595" s="3"/>
      <c r="AM595" s="3"/>
      <c r="AN595" s="3"/>
    </row>
    <row r="596" spans="1:40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K596" s="3"/>
      <c r="AL596" s="3"/>
      <c r="AM596" s="3"/>
      <c r="AN596" s="3"/>
    </row>
    <row r="597" spans="1:40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K597" s="3"/>
      <c r="AL597" s="3"/>
      <c r="AM597" s="3"/>
      <c r="AN597" s="3"/>
    </row>
    <row r="598" spans="1:40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K598" s="3"/>
      <c r="AL598" s="3"/>
      <c r="AM598" s="3"/>
      <c r="AN598" s="3"/>
    </row>
    <row r="599" spans="1:40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K599" s="3"/>
      <c r="AL599" s="3"/>
      <c r="AM599" s="3"/>
      <c r="AN599" s="3"/>
    </row>
    <row r="600" spans="1:4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K600" s="3"/>
      <c r="AL600" s="3"/>
      <c r="AM600" s="3"/>
      <c r="AN600" s="3"/>
    </row>
    <row r="601" spans="1:40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K601" s="3"/>
      <c r="AL601" s="3"/>
      <c r="AM601" s="3"/>
      <c r="AN601" s="3"/>
    </row>
    <row r="602" spans="1:40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K602" s="3"/>
      <c r="AL602" s="3"/>
      <c r="AM602" s="3"/>
      <c r="AN602" s="3"/>
    </row>
    <row r="603" spans="1:40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K603" s="3"/>
      <c r="AL603" s="3"/>
      <c r="AM603" s="3"/>
      <c r="AN603" s="3"/>
    </row>
    <row r="604" spans="1:40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K604" s="3"/>
      <c r="AL604" s="3"/>
      <c r="AM604" s="3"/>
      <c r="AN604" s="3"/>
    </row>
    <row r="605" spans="1:40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K605" s="3"/>
      <c r="AL605" s="3"/>
      <c r="AM605" s="3"/>
      <c r="AN605" s="3"/>
    </row>
    <row r="606" spans="1:40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K606" s="3"/>
      <c r="AL606" s="3"/>
      <c r="AM606" s="3"/>
      <c r="AN606" s="3"/>
    </row>
    <row r="607" spans="1:40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K607" s="3"/>
      <c r="AL607" s="3"/>
      <c r="AM607" s="3"/>
      <c r="AN607" s="3"/>
    </row>
    <row r="608" spans="1:40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K608" s="3"/>
      <c r="AL608" s="3"/>
      <c r="AM608" s="3"/>
      <c r="AN608" s="3"/>
    </row>
    <row r="609" spans="1:40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K609" s="3"/>
      <c r="AL609" s="3"/>
      <c r="AM609" s="3"/>
      <c r="AN609" s="3"/>
    </row>
    <row r="610" spans="1:4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K610" s="3"/>
      <c r="AL610" s="3"/>
      <c r="AM610" s="3"/>
      <c r="AN610" s="3"/>
    </row>
    <row r="611" spans="1:40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K611" s="3"/>
      <c r="AL611" s="3"/>
      <c r="AM611" s="3"/>
      <c r="AN611" s="3"/>
    </row>
    <row r="612" spans="1:40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K612" s="3"/>
      <c r="AL612" s="3"/>
      <c r="AM612" s="3"/>
      <c r="AN612" s="3"/>
    </row>
    <row r="613" spans="1:40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K613" s="3"/>
      <c r="AL613" s="3"/>
      <c r="AM613" s="3"/>
      <c r="AN613" s="3"/>
    </row>
    <row r="614" spans="1:40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K614" s="3"/>
      <c r="AL614" s="3"/>
      <c r="AM614" s="3"/>
      <c r="AN614" s="3"/>
    </row>
    <row r="615" spans="1:40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K615" s="3"/>
      <c r="AL615" s="3"/>
      <c r="AM615" s="3"/>
      <c r="AN615" s="3"/>
    </row>
    <row r="616" spans="1:40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K616" s="3"/>
      <c r="AL616" s="3"/>
      <c r="AM616" s="3"/>
      <c r="AN616" s="3"/>
    </row>
    <row r="617" spans="1:40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K617" s="3"/>
      <c r="AL617" s="3"/>
      <c r="AM617" s="3"/>
      <c r="AN617" s="3"/>
    </row>
    <row r="618" spans="1:40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K618" s="3"/>
      <c r="AL618" s="3"/>
      <c r="AM618" s="3"/>
      <c r="AN618" s="3"/>
    </row>
    <row r="619" spans="1:40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K619" s="3"/>
      <c r="AL619" s="3"/>
      <c r="AM619" s="3"/>
      <c r="AN619" s="3"/>
    </row>
    <row r="620" spans="1:4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K620" s="3"/>
      <c r="AL620" s="3"/>
      <c r="AM620" s="3"/>
      <c r="AN620" s="3"/>
    </row>
    <row r="621" spans="1:40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K621" s="3"/>
      <c r="AL621" s="3"/>
      <c r="AM621" s="3"/>
      <c r="AN621" s="3"/>
    </row>
    <row r="622" spans="1:40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K622" s="3"/>
      <c r="AL622" s="3"/>
      <c r="AM622" s="3"/>
      <c r="AN622" s="3"/>
    </row>
    <row r="623" spans="1:40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K623" s="3"/>
      <c r="AL623" s="3"/>
      <c r="AM623" s="3"/>
      <c r="AN623" s="3"/>
    </row>
    <row r="624" spans="1:40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K624" s="3"/>
      <c r="AL624" s="3"/>
      <c r="AM624" s="3"/>
      <c r="AN624" s="3"/>
    </row>
    <row r="625" spans="1:40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K625" s="3"/>
      <c r="AL625" s="3"/>
      <c r="AM625" s="3"/>
      <c r="AN625" s="3"/>
    </row>
    <row r="626" spans="1:40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K626" s="3"/>
      <c r="AL626" s="3"/>
      <c r="AM626" s="3"/>
      <c r="AN626" s="3"/>
    </row>
    <row r="627" spans="1:40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K627" s="3"/>
      <c r="AL627" s="3"/>
      <c r="AM627" s="3"/>
      <c r="AN627" s="3"/>
    </row>
    <row r="628" spans="1:40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K628" s="3"/>
      <c r="AL628" s="3"/>
      <c r="AM628" s="3"/>
      <c r="AN628" s="3"/>
    </row>
    <row r="629" spans="1:40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K629" s="3"/>
      <c r="AL629" s="3"/>
      <c r="AM629" s="3"/>
      <c r="AN629" s="3"/>
    </row>
    <row r="630" spans="1:4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K630" s="3"/>
      <c r="AL630" s="3"/>
      <c r="AM630" s="3"/>
      <c r="AN630" s="3"/>
    </row>
    <row r="631" spans="1:40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K631" s="3"/>
      <c r="AL631" s="3"/>
      <c r="AM631" s="3"/>
      <c r="AN631" s="3"/>
    </row>
    <row r="632" spans="1:40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K632" s="3"/>
      <c r="AL632" s="3"/>
      <c r="AM632" s="3"/>
      <c r="AN632" s="3"/>
    </row>
    <row r="633" spans="1:40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K633" s="3"/>
      <c r="AL633" s="3"/>
      <c r="AM633" s="3"/>
      <c r="AN633" s="3"/>
    </row>
    <row r="634" spans="1:40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K634" s="3"/>
      <c r="AL634" s="3"/>
      <c r="AM634" s="3"/>
      <c r="AN634" s="3"/>
    </row>
    <row r="635" spans="1:40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K635" s="3"/>
      <c r="AL635" s="3"/>
      <c r="AM635" s="3"/>
      <c r="AN635" s="3"/>
    </row>
    <row r="636" spans="1:40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K636" s="3"/>
      <c r="AL636" s="3"/>
      <c r="AM636" s="3"/>
      <c r="AN636" s="3"/>
    </row>
    <row r="637" spans="1:40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K637" s="3"/>
      <c r="AL637" s="3"/>
      <c r="AM637" s="3"/>
      <c r="AN637" s="3"/>
    </row>
    <row r="638" spans="1:40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K638" s="3"/>
      <c r="AL638" s="3"/>
      <c r="AM638" s="3"/>
      <c r="AN638" s="3"/>
    </row>
    <row r="639" spans="1:40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K639" s="3"/>
      <c r="AL639" s="3"/>
      <c r="AM639" s="3"/>
      <c r="AN639" s="3"/>
    </row>
    <row r="640" spans="1: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K640" s="3"/>
      <c r="AL640" s="3"/>
      <c r="AM640" s="3"/>
      <c r="AN640" s="3"/>
    </row>
    <row r="641" spans="1:40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K641" s="3"/>
      <c r="AL641" s="3"/>
      <c r="AM641" s="3"/>
      <c r="AN641" s="3"/>
    </row>
    <row r="642" spans="1:40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K642" s="3"/>
      <c r="AL642" s="3"/>
      <c r="AM642" s="3"/>
      <c r="AN642" s="3"/>
    </row>
    <row r="643" spans="1:40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K643" s="3"/>
      <c r="AL643" s="3"/>
      <c r="AM643" s="3"/>
      <c r="AN643" s="3"/>
    </row>
    <row r="644" spans="1:40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K644" s="3"/>
      <c r="AL644" s="3"/>
      <c r="AM644" s="3"/>
      <c r="AN644" s="3"/>
    </row>
    <row r="645" spans="1:40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K645" s="3"/>
      <c r="AL645" s="3"/>
      <c r="AM645" s="3"/>
      <c r="AN645" s="3"/>
    </row>
    <row r="646" spans="1:40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K646" s="3"/>
      <c r="AL646" s="3"/>
      <c r="AM646" s="3"/>
      <c r="AN646" s="3"/>
    </row>
    <row r="647" spans="1:40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K647" s="3"/>
      <c r="AL647" s="3"/>
      <c r="AM647" s="3"/>
      <c r="AN647" s="3"/>
    </row>
    <row r="648" spans="1:40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K648" s="3"/>
      <c r="AL648" s="3"/>
      <c r="AM648" s="3"/>
      <c r="AN648" s="3"/>
    </row>
    <row r="649" spans="1:40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K649" s="3"/>
      <c r="AL649" s="3"/>
      <c r="AM649" s="3"/>
      <c r="AN649" s="3"/>
    </row>
    <row r="650" spans="1:4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K650" s="3"/>
      <c r="AL650" s="3"/>
      <c r="AM650" s="3"/>
      <c r="AN650" s="3"/>
    </row>
    <row r="651" spans="1:40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K651" s="3"/>
      <c r="AL651" s="3"/>
      <c r="AM651" s="3"/>
      <c r="AN651" s="3"/>
    </row>
    <row r="652" spans="1:40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K652" s="3"/>
      <c r="AL652" s="3"/>
      <c r="AM652" s="3"/>
      <c r="AN652" s="3"/>
    </row>
    <row r="653" spans="1:40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K653" s="3"/>
      <c r="AL653" s="3"/>
      <c r="AM653" s="3"/>
      <c r="AN653" s="3"/>
    </row>
    <row r="654" spans="1:40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K654" s="3"/>
      <c r="AL654" s="3"/>
      <c r="AM654" s="3"/>
      <c r="AN654" s="3"/>
    </row>
    <row r="655" spans="1:40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K655" s="3"/>
      <c r="AL655" s="3"/>
      <c r="AM655" s="3"/>
      <c r="AN655" s="3"/>
    </row>
    <row r="656" spans="1:40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K656" s="3"/>
      <c r="AL656" s="3"/>
      <c r="AM656" s="3"/>
      <c r="AN656" s="3"/>
    </row>
    <row r="657" spans="1:40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K657" s="3"/>
      <c r="AL657" s="3"/>
      <c r="AM657" s="3"/>
      <c r="AN657" s="3"/>
    </row>
    <row r="658" spans="1:40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K658" s="3"/>
      <c r="AL658" s="3"/>
      <c r="AM658" s="3"/>
      <c r="AN658" s="3"/>
    </row>
    <row r="659" spans="1:40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K659" s="3"/>
      <c r="AL659" s="3"/>
      <c r="AM659" s="3"/>
      <c r="AN659" s="3"/>
    </row>
    <row r="660" spans="1:4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K660" s="3"/>
      <c r="AL660" s="3"/>
      <c r="AM660" s="3"/>
      <c r="AN660" s="3"/>
    </row>
    <row r="661" spans="1:40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K661" s="3"/>
      <c r="AL661" s="3"/>
      <c r="AM661" s="3"/>
      <c r="AN661" s="3"/>
    </row>
    <row r="662" spans="1:40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K662" s="3"/>
      <c r="AL662" s="3"/>
      <c r="AM662" s="3"/>
      <c r="AN662" s="3"/>
    </row>
    <row r="663" spans="1:40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K663" s="3"/>
      <c r="AL663" s="3"/>
      <c r="AM663" s="3"/>
      <c r="AN663" s="3"/>
    </row>
    <row r="664" spans="1:40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K664" s="3"/>
      <c r="AL664" s="3"/>
      <c r="AM664" s="3"/>
      <c r="AN664" s="3"/>
    </row>
    <row r="665" spans="1:40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K665" s="3"/>
      <c r="AL665" s="3"/>
      <c r="AM665" s="3"/>
      <c r="AN665" s="3"/>
    </row>
    <row r="666" spans="1:40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K666" s="3"/>
      <c r="AL666" s="3"/>
      <c r="AM666" s="3"/>
      <c r="AN666" s="3"/>
    </row>
    <row r="667" spans="1:40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K667" s="3"/>
      <c r="AL667" s="3"/>
      <c r="AM667" s="3"/>
      <c r="AN667" s="3"/>
    </row>
    <row r="668" spans="1:40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K668" s="3"/>
      <c r="AL668" s="3"/>
      <c r="AM668" s="3"/>
      <c r="AN668" s="3"/>
    </row>
    <row r="669" spans="1:40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K669" s="3"/>
      <c r="AL669" s="3"/>
      <c r="AM669" s="3"/>
      <c r="AN669" s="3"/>
    </row>
    <row r="670" spans="1:4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K670" s="3"/>
      <c r="AL670" s="3"/>
      <c r="AM670" s="3"/>
      <c r="AN670" s="3"/>
    </row>
    <row r="671" spans="1:40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K671" s="3"/>
      <c r="AL671" s="3"/>
      <c r="AM671" s="3"/>
      <c r="AN671" s="3"/>
    </row>
    <row r="672" spans="1:40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K672" s="3"/>
      <c r="AL672" s="3"/>
      <c r="AM672" s="3"/>
      <c r="AN672" s="3"/>
    </row>
    <row r="673" spans="1:40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K673" s="3"/>
      <c r="AL673" s="3"/>
      <c r="AM673" s="3"/>
      <c r="AN673" s="3"/>
    </row>
    <row r="674" spans="1:40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K674" s="3"/>
      <c r="AL674" s="3"/>
      <c r="AM674" s="3"/>
      <c r="AN674" s="3"/>
    </row>
    <row r="675" spans="1:40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K675" s="3"/>
      <c r="AL675" s="3"/>
      <c r="AM675" s="3"/>
      <c r="AN675" s="3"/>
    </row>
    <row r="676" spans="1:40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K676" s="3"/>
      <c r="AL676" s="3"/>
      <c r="AM676" s="3"/>
      <c r="AN676" s="3"/>
    </row>
    <row r="677" spans="1:40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K677" s="3"/>
      <c r="AL677" s="3"/>
      <c r="AM677" s="3"/>
      <c r="AN677" s="3"/>
    </row>
    <row r="678" spans="1:40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K678" s="3"/>
      <c r="AL678" s="3"/>
      <c r="AM678" s="3"/>
      <c r="AN678" s="3"/>
    </row>
    <row r="679" spans="1:40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K679" s="3"/>
      <c r="AL679" s="3"/>
      <c r="AM679" s="3"/>
      <c r="AN679" s="3"/>
    </row>
    <row r="680" spans="1:4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K680" s="3"/>
      <c r="AL680" s="3"/>
      <c r="AM680" s="3"/>
      <c r="AN680" s="3"/>
    </row>
    <row r="681" spans="1:40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K681" s="3"/>
      <c r="AL681" s="3"/>
      <c r="AM681" s="3"/>
      <c r="AN681" s="3"/>
    </row>
    <row r="682" spans="1:40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K682" s="3"/>
      <c r="AL682" s="3"/>
      <c r="AM682" s="3"/>
      <c r="AN682" s="3"/>
    </row>
    <row r="683" spans="1:40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K683" s="3"/>
      <c r="AL683" s="3"/>
      <c r="AM683" s="3"/>
      <c r="AN683" s="3"/>
    </row>
    <row r="684" spans="1:40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K684" s="3"/>
      <c r="AL684" s="3"/>
      <c r="AM684" s="3"/>
      <c r="AN684" s="3"/>
    </row>
    <row r="685" spans="1:40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K685" s="3"/>
      <c r="AL685" s="3"/>
      <c r="AM685" s="3"/>
      <c r="AN685" s="3"/>
    </row>
    <row r="686" spans="1:40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K686" s="3"/>
      <c r="AL686" s="3"/>
      <c r="AM686" s="3"/>
      <c r="AN686" s="3"/>
    </row>
    <row r="687" spans="1:40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K687" s="3"/>
      <c r="AL687" s="3"/>
      <c r="AM687" s="3"/>
      <c r="AN687" s="3"/>
    </row>
    <row r="688" spans="1:40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K688" s="3"/>
      <c r="AL688" s="3"/>
      <c r="AM688" s="3"/>
      <c r="AN688" s="3"/>
    </row>
    <row r="689" spans="1:40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K689" s="3"/>
      <c r="AL689" s="3"/>
      <c r="AM689" s="3"/>
      <c r="AN689" s="3"/>
    </row>
    <row r="690" spans="1:4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K690" s="3"/>
      <c r="AL690" s="3"/>
      <c r="AM690" s="3"/>
      <c r="AN690" s="3"/>
    </row>
    <row r="691" spans="1:40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K691" s="3"/>
      <c r="AL691" s="3"/>
      <c r="AM691" s="3"/>
      <c r="AN691" s="3"/>
    </row>
    <row r="692" spans="1:40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K692" s="3"/>
      <c r="AL692" s="3"/>
      <c r="AM692" s="3"/>
      <c r="AN692" s="3"/>
    </row>
    <row r="693" spans="1:40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K693" s="3"/>
      <c r="AL693" s="3"/>
      <c r="AM693" s="3"/>
      <c r="AN693" s="3"/>
    </row>
    <row r="694" spans="1:40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K694" s="3"/>
      <c r="AL694" s="3"/>
      <c r="AM694" s="3"/>
      <c r="AN694" s="3"/>
    </row>
    <row r="695" spans="1:40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K695" s="3"/>
      <c r="AL695" s="3"/>
      <c r="AM695" s="3"/>
      <c r="AN695" s="3"/>
    </row>
    <row r="696" spans="1:40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K696" s="3"/>
      <c r="AL696" s="3"/>
      <c r="AM696" s="3"/>
      <c r="AN696" s="3"/>
    </row>
    <row r="697" spans="1:40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K697" s="3"/>
      <c r="AL697" s="3"/>
      <c r="AM697" s="3"/>
      <c r="AN697" s="3"/>
    </row>
    <row r="698" spans="1:40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K698" s="3"/>
      <c r="AL698" s="3"/>
      <c r="AM698" s="3"/>
      <c r="AN698" s="3"/>
    </row>
    <row r="699" spans="1:40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K699" s="3"/>
      <c r="AL699" s="3"/>
      <c r="AM699" s="3"/>
      <c r="AN699" s="3"/>
    </row>
    <row r="700" spans="1:4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K700" s="3"/>
      <c r="AL700" s="3"/>
      <c r="AM700" s="3"/>
      <c r="AN700" s="3"/>
    </row>
    <row r="701" spans="1:40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K701" s="3"/>
      <c r="AL701" s="3"/>
      <c r="AM701" s="3"/>
      <c r="AN701" s="3"/>
    </row>
    <row r="702" spans="1:40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K702" s="3"/>
      <c r="AL702" s="3"/>
      <c r="AM702" s="3"/>
      <c r="AN702" s="3"/>
    </row>
    <row r="703" spans="1:40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K703" s="3"/>
      <c r="AL703" s="3"/>
      <c r="AM703" s="3"/>
      <c r="AN703" s="3"/>
    </row>
    <row r="704" spans="1:40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K704" s="3"/>
      <c r="AL704" s="3"/>
      <c r="AM704" s="3"/>
      <c r="AN704" s="3"/>
    </row>
    <row r="705" spans="1:40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K705" s="3"/>
      <c r="AL705" s="3"/>
      <c r="AM705" s="3"/>
      <c r="AN705" s="3"/>
    </row>
    <row r="706" spans="1:40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K706" s="3"/>
      <c r="AL706" s="3"/>
      <c r="AM706" s="3"/>
      <c r="AN706" s="3"/>
    </row>
    <row r="707" spans="1:40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K707" s="3"/>
      <c r="AL707" s="3"/>
      <c r="AM707" s="3"/>
      <c r="AN707" s="3"/>
    </row>
    <row r="708" spans="1:40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K708" s="3"/>
      <c r="AL708" s="3"/>
      <c r="AM708" s="3"/>
      <c r="AN708" s="3"/>
    </row>
    <row r="709" spans="1:40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K709" s="3"/>
      <c r="AL709" s="3"/>
      <c r="AM709" s="3"/>
      <c r="AN709" s="3"/>
    </row>
    <row r="710" spans="1:4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K710" s="3"/>
      <c r="AL710" s="3"/>
      <c r="AM710" s="3"/>
      <c r="AN710" s="3"/>
    </row>
    <row r="711" spans="1:40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K711" s="3"/>
      <c r="AL711" s="3"/>
      <c r="AM711" s="3"/>
      <c r="AN711" s="3"/>
    </row>
    <row r="712" spans="1:40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K712" s="3"/>
      <c r="AL712" s="3"/>
      <c r="AM712" s="3"/>
      <c r="AN712" s="3"/>
    </row>
    <row r="713" spans="1:40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K713" s="3"/>
      <c r="AL713" s="3"/>
      <c r="AM713" s="3"/>
      <c r="AN713" s="3"/>
    </row>
    <row r="714" spans="1:40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K714" s="3"/>
      <c r="AL714" s="3"/>
      <c r="AM714" s="3"/>
      <c r="AN714" s="3"/>
    </row>
    <row r="715" spans="1:40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K715" s="3"/>
      <c r="AL715" s="3"/>
      <c r="AM715" s="3"/>
      <c r="AN715" s="3"/>
    </row>
    <row r="716" spans="1:40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K716" s="3"/>
      <c r="AL716" s="3"/>
      <c r="AM716" s="3"/>
      <c r="AN716" s="3"/>
    </row>
    <row r="717" spans="1:40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K717" s="3"/>
      <c r="AL717" s="3"/>
      <c r="AM717" s="3"/>
      <c r="AN717" s="3"/>
    </row>
    <row r="718" spans="1:40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K718" s="3"/>
      <c r="AL718" s="3"/>
      <c r="AM718" s="3"/>
      <c r="AN718" s="3"/>
    </row>
    <row r="719" spans="1:40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K719" s="3"/>
      <c r="AL719" s="3"/>
      <c r="AM719" s="3"/>
      <c r="AN719" s="3"/>
    </row>
    <row r="720" spans="1:4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K720" s="3"/>
      <c r="AL720" s="3"/>
      <c r="AM720" s="3"/>
      <c r="AN720" s="3"/>
    </row>
    <row r="721" spans="1:40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K721" s="3"/>
      <c r="AL721" s="3"/>
      <c r="AM721" s="3"/>
      <c r="AN721" s="3"/>
    </row>
    <row r="722" spans="1:40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K722" s="3"/>
      <c r="AL722" s="3"/>
      <c r="AM722" s="3"/>
      <c r="AN722" s="3"/>
    </row>
    <row r="723" spans="1:40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K723" s="3"/>
      <c r="AL723" s="3"/>
      <c r="AM723" s="3"/>
      <c r="AN723" s="3"/>
    </row>
    <row r="724" spans="1:40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K724" s="3"/>
      <c r="AL724" s="3"/>
      <c r="AM724" s="3"/>
      <c r="AN724" s="3"/>
    </row>
    <row r="725" spans="1:40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K725" s="3"/>
      <c r="AL725" s="3"/>
      <c r="AM725" s="3"/>
      <c r="AN725" s="3"/>
    </row>
    <row r="726" spans="1:40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K726" s="3"/>
      <c r="AL726" s="3"/>
      <c r="AM726" s="3"/>
      <c r="AN726" s="3"/>
    </row>
    <row r="727" spans="1:40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K727" s="3"/>
      <c r="AL727" s="3"/>
      <c r="AM727" s="3"/>
      <c r="AN727" s="3"/>
    </row>
    <row r="728" spans="1:40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K728" s="3"/>
      <c r="AL728" s="3"/>
      <c r="AM728" s="3"/>
      <c r="AN728" s="3"/>
    </row>
    <row r="729" spans="1:40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K729" s="3"/>
      <c r="AL729" s="3"/>
      <c r="AM729" s="3"/>
      <c r="AN729" s="3"/>
    </row>
    <row r="730" spans="1:4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K730" s="3"/>
      <c r="AL730" s="3"/>
      <c r="AM730" s="3"/>
      <c r="AN730" s="3"/>
    </row>
    <row r="731" spans="1:40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K731" s="3"/>
      <c r="AL731" s="3"/>
      <c r="AM731" s="3"/>
      <c r="AN731" s="3"/>
    </row>
    <row r="732" spans="1:40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K732" s="3"/>
      <c r="AL732" s="3"/>
      <c r="AM732" s="3"/>
      <c r="AN732" s="3"/>
    </row>
    <row r="733" spans="1:40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K733" s="3"/>
      <c r="AL733" s="3"/>
      <c r="AM733" s="3"/>
      <c r="AN733" s="3"/>
    </row>
    <row r="734" spans="1:40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K734" s="3"/>
      <c r="AL734" s="3"/>
      <c r="AM734" s="3"/>
      <c r="AN734" s="3"/>
    </row>
    <row r="735" spans="1:40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K735" s="3"/>
      <c r="AL735" s="3"/>
      <c r="AM735" s="3"/>
      <c r="AN735" s="3"/>
    </row>
    <row r="736" spans="1:40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K736" s="3"/>
      <c r="AL736" s="3"/>
      <c r="AM736" s="3"/>
      <c r="AN736" s="3"/>
    </row>
    <row r="737" spans="1:40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K737" s="3"/>
      <c r="AL737" s="3"/>
      <c r="AM737" s="3"/>
      <c r="AN737" s="3"/>
    </row>
    <row r="738" spans="1:40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K738" s="3"/>
      <c r="AL738" s="3"/>
      <c r="AM738" s="3"/>
      <c r="AN738" s="3"/>
    </row>
    <row r="739" spans="1:40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K739" s="3"/>
      <c r="AL739" s="3"/>
      <c r="AM739" s="3"/>
      <c r="AN739" s="3"/>
    </row>
    <row r="740" spans="1: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K740" s="3"/>
      <c r="AL740" s="3"/>
      <c r="AM740" s="3"/>
      <c r="AN740" s="3"/>
    </row>
    <row r="741" spans="1:40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K741" s="3"/>
      <c r="AL741" s="3"/>
      <c r="AM741" s="3"/>
      <c r="AN741" s="3"/>
    </row>
    <row r="742" spans="1:40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K742" s="3"/>
      <c r="AL742" s="3"/>
      <c r="AM742" s="3"/>
      <c r="AN742" s="3"/>
    </row>
    <row r="743" spans="1:40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K743" s="3"/>
      <c r="AL743" s="3"/>
      <c r="AM743" s="3"/>
      <c r="AN743" s="3"/>
    </row>
    <row r="744" spans="1:40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K744" s="3"/>
      <c r="AL744" s="3"/>
      <c r="AM744" s="3"/>
      <c r="AN744" s="3"/>
    </row>
    <row r="745" spans="1:40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K745" s="3"/>
      <c r="AL745" s="3"/>
      <c r="AM745" s="3"/>
      <c r="AN745" s="3"/>
    </row>
    <row r="746" spans="1:40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K746" s="3"/>
      <c r="AL746" s="3"/>
      <c r="AM746" s="3"/>
      <c r="AN746" s="3"/>
    </row>
    <row r="747" spans="1:40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K747" s="3"/>
      <c r="AL747" s="3"/>
      <c r="AM747" s="3"/>
      <c r="AN747" s="3"/>
    </row>
    <row r="748" spans="1:40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K748" s="3"/>
      <c r="AL748" s="3"/>
      <c r="AM748" s="3"/>
      <c r="AN748" s="3"/>
    </row>
    <row r="749" spans="1:40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K749" s="3"/>
      <c r="AL749" s="3"/>
      <c r="AM749" s="3"/>
      <c r="AN749" s="3"/>
    </row>
    <row r="750" spans="1:4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K750" s="3"/>
      <c r="AL750" s="3"/>
      <c r="AM750" s="3"/>
      <c r="AN750" s="3"/>
    </row>
    <row r="751" spans="1:40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K751" s="3"/>
      <c r="AL751" s="3"/>
      <c r="AM751" s="3"/>
      <c r="AN751" s="3"/>
    </row>
    <row r="752" spans="1:40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K752" s="3"/>
      <c r="AL752" s="3"/>
      <c r="AM752" s="3"/>
      <c r="AN752" s="3"/>
    </row>
    <row r="753" spans="1:40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K753" s="3"/>
      <c r="AL753" s="3"/>
      <c r="AM753" s="3"/>
      <c r="AN753" s="3"/>
    </row>
    <row r="754" spans="1:40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K754" s="3"/>
      <c r="AL754" s="3"/>
      <c r="AM754" s="3"/>
      <c r="AN754" s="3"/>
    </row>
    <row r="755" spans="1:40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K755" s="3"/>
      <c r="AL755" s="3"/>
      <c r="AM755" s="3"/>
      <c r="AN755" s="3"/>
    </row>
    <row r="756" spans="1:40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K756" s="3"/>
      <c r="AL756" s="3"/>
      <c r="AM756" s="3"/>
      <c r="AN756" s="3"/>
    </row>
    <row r="757" spans="1:40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K757" s="3"/>
      <c r="AL757" s="3"/>
      <c r="AM757" s="3"/>
      <c r="AN757" s="3"/>
    </row>
    <row r="758" spans="1:40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K758" s="3"/>
      <c r="AL758" s="3"/>
      <c r="AM758" s="3"/>
      <c r="AN758" s="3"/>
    </row>
    <row r="759" spans="1:40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K759" s="3"/>
      <c r="AL759" s="3"/>
      <c r="AM759" s="3"/>
      <c r="AN759" s="3"/>
    </row>
    <row r="760" spans="1:4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K760" s="3"/>
      <c r="AL760" s="3"/>
      <c r="AM760" s="3"/>
      <c r="AN760" s="3"/>
    </row>
    <row r="761" spans="1:40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K761" s="3"/>
      <c r="AL761" s="3"/>
      <c r="AM761" s="3"/>
      <c r="AN761" s="3"/>
    </row>
    <row r="762" spans="1:40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K762" s="3"/>
      <c r="AL762" s="3"/>
      <c r="AM762" s="3"/>
      <c r="AN762" s="3"/>
    </row>
    <row r="763" spans="1:40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K763" s="3"/>
      <c r="AL763" s="3"/>
      <c r="AM763" s="3"/>
      <c r="AN763" s="3"/>
    </row>
    <row r="764" spans="1:40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K764" s="3"/>
      <c r="AL764" s="3"/>
      <c r="AM764" s="3"/>
      <c r="AN764" s="3"/>
    </row>
    <row r="765" spans="1:40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K765" s="3"/>
      <c r="AL765" s="3"/>
      <c r="AM765" s="3"/>
      <c r="AN765" s="3"/>
    </row>
    <row r="766" spans="1:40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K766" s="3"/>
      <c r="AL766" s="3"/>
      <c r="AM766" s="3"/>
      <c r="AN766" s="3"/>
    </row>
    <row r="767" spans="1:40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K767" s="3"/>
      <c r="AL767" s="3"/>
      <c r="AM767" s="3"/>
      <c r="AN767" s="3"/>
    </row>
    <row r="768" spans="1:40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K768" s="3"/>
      <c r="AL768" s="3"/>
      <c r="AM768" s="3"/>
      <c r="AN768" s="3"/>
    </row>
    <row r="769" spans="1:40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K769" s="3"/>
      <c r="AL769" s="3"/>
      <c r="AM769" s="3"/>
      <c r="AN769" s="3"/>
    </row>
    <row r="770" spans="1:4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K770" s="3"/>
      <c r="AL770" s="3"/>
      <c r="AM770" s="3"/>
      <c r="AN770" s="3"/>
    </row>
    <row r="771" spans="1:40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K771" s="3"/>
      <c r="AL771" s="3"/>
      <c r="AM771" s="3"/>
      <c r="AN771" s="3"/>
    </row>
    <row r="772" spans="1:40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K772" s="3"/>
      <c r="AL772" s="3"/>
      <c r="AM772" s="3"/>
      <c r="AN772" s="3"/>
    </row>
    <row r="773" spans="1:40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K773" s="3"/>
      <c r="AL773" s="3"/>
      <c r="AM773" s="3"/>
      <c r="AN773" s="3"/>
    </row>
    <row r="774" spans="1:40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K774" s="3"/>
      <c r="AL774" s="3"/>
      <c r="AM774" s="3"/>
      <c r="AN774" s="3"/>
    </row>
    <row r="775" spans="1:40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K775" s="3"/>
      <c r="AL775" s="3"/>
      <c r="AM775" s="3"/>
      <c r="AN775" s="3"/>
    </row>
    <row r="776" spans="1:40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K776" s="3"/>
      <c r="AL776" s="3"/>
      <c r="AM776" s="3"/>
      <c r="AN776" s="3"/>
    </row>
    <row r="777" spans="1:40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K777" s="3"/>
      <c r="AL777" s="3"/>
      <c r="AM777" s="3"/>
      <c r="AN777" s="3"/>
    </row>
    <row r="778" spans="1:40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K778" s="3"/>
      <c r="AL778" s="3"/>
      <c r="AM778" s="3"/>
      <c r="AN778" s="3"/>
    </row>
    <row r="779" spans="1:40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K779" s="3"/>
      <c r="AL779" s="3"/>
      <c r="AM779" s="3"/>
      <c r="AN779" s="3"/>
    </row>
    <row r="780" spans="1:4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K780" s="3"/>
      <c r="AL780" s="3"/>
      <c r="AM780" s="3"/>
      <c r="AN780" s="3"/>
    </row>
    <row r="781" spans="1:40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K781" s="3"/>
      <c r="AL781" s="3"/>
      <c r="AM781" s="3"/>
      <c r="AN781" s="3"/>
    </row>
    <row r="782" spans="1:40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K782" s="3"/>
      <c r="AL782" s="3"/>
      <c r="AM782" s="3"/>
      <c r="AN782" s="3"/>
    </row>
    <row r="783" spans="1:40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K783" s="3"/>
      <c r="AL783" s="3"/>
      <c r="AM783" s="3"/>
      <c r="AN783" s="3"/>
    </row>
    <row r="784" spans="1:40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K784" s="3"/>
      <c r="AL784" s="3"/>
      <c r="AM784" s="3"/>
      <c r="AN784" s="3"/>
    </row>
    <row r="785" spans="1:40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K785" s="3"/>
      <c r="AL785" s="3"/>
      <c r="AM785" s="3"/>
      <c r="AN785" s="3"/>
    </row>
    <row r="786" spans="1:40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K786" s="3"/>
      <c r="AL786" s="3"/>
      <c r="AM786" s="3"/>
      <c r="AN786" s="3"/>
    </row>
    <row r="787" spans="1:40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K787" s="3"/>
      <c r="AL787" s="3"/>
      <c r="AM787" s="3"/>
      <c r="AN787" s="3"/>
    </row>
    <row r="788" spans="1:40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K788" s="3"/>
      <c r="AL788" s="3"/>
      <c r="AM788" s="3"/>
      <c r="AN788" s="3"/>
    </row>
    <row r="789" spans="1:40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K789" s="3"/>
      <c r="AL789" s="3"/>
      <c r="AM789" s="3"/>
      <c r="AN789" s="3"/>
    </row>
    <row r="790" spans="1:4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K790" s="3"/>
      <c r="AL790" s="3"/>
      <c r="AM790" s="3"/>
      <c r="AN790" s="3"/>
    </row>
    <row r="791" spans="1:40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K791" s="3"/>
      <c r="AL791" s="3"/>
      <c r="AM791" s="3"/>
      <c r="AN791" s="3"/>
    </row>
    <row r="792" spans="1:40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K792" s="3"/>
      <c r="AL792" s="3"/>
      <c r="AM792" s="3"/>
      <c r="AN792" s="3"/>
    </row>
    <row r="793" spans="1:40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K793" s="3"/>
      <c r="AL793" s="3"/>
      <c r="AM793" s="3"/>
      <c r="AN793" s="3"/>
    </row>
    <row r="794" spans="1:40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K794" s="3"/>
      <c r="AL794" s="3"/>
      <c r="AM794" s="3"/>
      <c r="AN794" s="3"/>
    </row>
    <row r="795" spans="1:40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K795" s="3"/>
      <c r="AL795" s="3"/>
      <c r="AM795" s="3"/>
      <c r="AN795" s="3"/>
    </row>
    <row r="796" spans="1:40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K796" s="3"/>
      <c r="AL796" s="3"/>
      <c r="AM796" s="3"/>
      <c r="AN796" s="3"/>
    </row>
    <row r="797" spans="1:40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K797" s="3"/>
      <c r="AL797" s="3"/>
      <c r="AM797" s="3"/>
      <c r="AN797" s="3"/>
    </row>
    <row r="798" spans="1:40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K798" s="3"/>
      <c r="AL798" s="3"/>
      <c r="AM798" s="3"/>
      <c r="AN798" s="3"/>
    </row>
    <row r="799" spans="1:40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K799" s="3"/>
      <c r="AL799" s="3"/>
      <c r="AM799" s="3"/>
      <c r="AN799" s="3"/>
    </row>
    <row r="800" spans="1:4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K800" s="3"/>
      <c r="AL800" s="3"/>
      <c r="AM800" s="3"/>
      <c r="AN800" s="3"/>
    </row>
    <row r="801" spans="1:40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K801" s="3"/>
      <c r="AL801" s="3"/>
      <c r="AM801" s="3"/>
      <c r="AN801" s="3"/>
    </row>
    <row r="802" spans="1:40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K802" s="3"/>
      <c r="AL802" s="3"/>
      <c r="AM802" s="3"/>
      <c r="AN802" s="3"/>
    </row>
    <row r="803" spans="1:40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K803" s="3"/>
      <c r="AL803" s="3"/>
      <c r="AM803" s="3"/>
      <c r="AN803" s="3"/>
    </row>
    <row r="804" spans="1:40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K804" s="3"/>
      <c r="AL804" s="3"/>
      <c r="AM804" s="3"/>
      <c r="AN804" s="3"/>
    </row>
    <row r="805" spans="1:40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K805" s="3"/>
      <c r="AL805" s="3"/>
      <c r="AM805" s="3"/>
      <c r="AN805" s="3"/>
    </row>
    <row r="806" spans="1:40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K806" s="3"/>
      <c r="AL806" s="3"/>
      <c r="AM806" s="3"/>
      <c r="AN806" s="3"/>
    </row>
    <row r="807" spans="1:40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K807" s="3"/>
      <c r="AL807" s="3"/>
      <c r="AM807" s="3"/>
      <c r="AN807" s="3"/>
    </row>
    <row r="808" spans="1:40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K808" s="3"/>
      <c r="AL808" s="3"/>
      <c r="AM808" s="3"/>
      <c r="AN808" s="3"/>
    </row>
    <row r="809" spans="1:40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K809" s="3"/>
      <c r="AL809" s="3"/>
      <c r="AM809" s="3"/>
      <c r="AN809" s="3"/>
    </row>
    <row r="810" spans="1:4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K810" s="3"/>
      <c r="AL810" s="3"/>
      <c r="AM810" s="3"/>
      <c r="AN810" s="3"/>
    </row>
    <row r="811" spans="1:40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K811" s="3"/>
      <c r="AL811" s="3"/>
      <c r="AM811" s="3"/>
      <c r="AN811" s="3"/>
    </row>
    <row r="812" spans="1:40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K812" s="3"/>
      <c r="AL812" s="3"/>
      <c r="AM812" s="3"/>
      <c r="AN812" s="3"/>
    </row>
    <row r="813" spans="1:40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K813" s="3"/>
      <c r="AL813" s="3"/>
      <c r="AM813" s="3"/>
      <c r="AN813" s="3"/>
    </row>
    <row r="814" spans="1:40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K814" s="3"/>
      <c r="AL814" s="3"/>
      <c r="AM814" s="3"/>
      <c r="AN814" s="3"/>
    </row>
    <row r="815" spans="1:40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K815" s="3"/>
      <c r="AL815" s="3"/>
      <c r="AM815" s="3"/>
      <c r="AN815" s="3"/>
    </row>
    <row r="816" spans="1:40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K816" s="3"/>
      <c r="AL816" s="3"/>
      <c r="AM816" s="3"/>
      <c r="AN816" s="3"/>
    </row>
    <row r="817" spans="1:40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K817" s="3"/>
      <c r="AL817" s="3"/>
      <c r="AM817" s="3"/>
      <c r="AN817" s="3"/>
    </row>
    <row r="818" spans="1:40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K818" s="3"/>
      <c r="AL818" s="3"/>
      <c r="AM818" s="3"/>
      <c r="AN818" s="3"/>
    </row>
    <row r="819" spans="1:40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K819" s="3"/>
      <c r="AL819" s="3"/>
      <c r="AM819" s="3"/>
      <c r="AN819" s="3"/>
    </row>
    <row r="820" spans="1:4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K820" s="3"/>
      <c r="AL820" s="3"/>
      <c r="AM820" s="3"/>
      <c r="AN820" s="3"/>
    </row>
    <row r="821" spans="1:40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K821" s="3"/>
      <c r="AL821" s="3"/>
      <c r="AM821" s="3"/>
      <c r="AN821" s="3"/>
    </row>
    <row r="822" spans="1:40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K822" s="3"/>
      <c r="AL822" s="3"/>
      <c r="AM822" s="3"/>
      <c r="AN822" s="3"/>
    </row>
    <row r="823" spans="1:40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K823" s="3"/>
      <c r="AL823" s="3"/>
      <c r="AM823" s="3"/>
      <c r="AN823" s="3"/>
    </row>
    <row r="824" spans="1:40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K824" s="3"/>
      <c r="AL824" s="3"/>
      <c r="AM824" s="3"/>
      <c r="AN824" s="3"/>
    </row>
    <row r="825" spans="1:40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K825" s="3"/>
      <c r="AL825" s="3"/>
      <c r="AM825" s="3"/>
      <c r="AN825" s="3"/>
    </row>
    <row r="826" spans="1:40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K826" s="3"/>
      <c r="AL826" s="3"/>
      <c r="AM826" s="3"/>
      <c r="AN826" s="3"/>
    </row>
    <row r="827" spans="1:40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K827" s="3"/>
      <c r="AL827" s="3"/>
      <c r="AM827" s="3"/>
      <c r="AN827" s="3"/>
    </row>
    <row r="828" spans="1:40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K828" s="3"/>
      <c r="AL828" s="3"/>
      <c r="AM828" s="3"/>
      <c r="AN828" s="3"/>
    </row>
    <row r="829" spans="1:40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K829" s="3"/>
      <c r="AL829" s="3"/>
      <c r="AM829" s="3"/>
      <c r="AN829" s="3"/>
    </row>
    <row r="830" spans="1:4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K830" s="3"/>
      <c r="AL830" s="3"/>
      <c r="AM830" s="3"/>
      <c r="AN830" s="3"/>
    </row>
    <row r="831" spans="1:40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K831" s="3"/>
      <c r="AL831" s="3"/>
      <c r="AM831" s="3"/>
      <c r="AN831" s="3"/>
    </row>
    <row r="832" spans="1:40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K832" s="3"/>
      <c r="AL832" s="3"/>
      <c r="AM832" s="3"/>
      <c r="AN832" s="3"/>
    </row>
    <row r="833" spans="1:40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K833" s="3"/>
      <c r="AL833" s="3"/>
      <c r="AM833" s="3"/>
      <c r="AN833" s="3"/>
    </row>
    <row r="834" spans="1:40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K834" s="3"/>
      <c r="AL834" s="3"/>
      <c r="AM834" s="3"/>
      <c r="AN834" s="3"/>
    </row>
    <row r="835" spans="1:40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K835" s="3"/>
      <c r="AL835" s="3"/>
      <c r="AM835" s="3"/>
      <c r="AN835" s="3"/>
    </row>
    <row r="836" spans="1:40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K836" s="3"/>
      <c r="AL836" s="3"/>
      <c r="AM836" s="3"/>
      <c r="AN836" s="3"/>
    </row>
    <row r="837" spans="1:40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K837" s="3"/>
      <c r="AL837" s="3"/>
      <c r="AM837" s="3"/>
      <c r="AN837" s="3"/>
    </row>
    <row r="838" spans="1:40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K838" s="3"/>
      <c r="AL838" s="3"/>
      <c r="AM838" s="3"/>
      <c r="AN838" s="3"/>
    </row>
    <row r="839" spans="1:40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K839" s="3"/>
      <c r="AL839" s="3"/>
      <c r="AM839" s="3"/>
      <c r="AN839" s="3"/>
    </row>
    <row r="840" spans="1: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K840" s="3"/>
      <c r="AL840" s="3"/>
      <c r="AM840" s="3"/>
      <c r="AN840" s="3"/>
    </row>
    <row r="841" spans="1:40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K841" s="3"/>
      <c r="AL841" s="3"/>
      <c r="AM841" s="3"/>
      <c r="AN841" s="3"/>
    </row>
    <row r="842" spans="1:40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K842" s="3"/>
      <c r="AL842" s="3"/>
      <c r="AM842" s="3"/>
      <c r="AN842" s="3"/>
    </row>
    <row r="843" spans="1:40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K843" s="3"/>
      <c r="AL843" s="3"/>
      <c r="AM843" s="3"/>
      <c r="AN843" s="3"/>
    </row>
    <row r="844" spans="1:40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K844" s="3"/>
      <c r="AL844" s="3"/>
      <c r="AM844" s="3"/>
      <c r="AN844" s="3"/>
    </row>
    <row r="845" spans="1:40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K845" s="3"/>
      <c r="AL845" s="3"/>
      <c r="AM845" s="3"/>
      <c r="AN845" s="3"/>
    </row>
    <row r="846" spans="1:40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K846" s="3"/>
      <c r="AL846" s="3"/>
      <c r="AM846" s="3"/>
      <c r="AN846" s="3"/>
    </row>
    <row r="847" spans="1:40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K847" s="3"/>
      <c r="AL847" s="3"/>
      <c r="AM847" s="3"/>
      <c r="AN847" s="3"/>
    </row>
    <row r="848" spans="1:40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K848" s="3"/>
      <c r="AL848" s="3"/>
      <c r="AM848" s="3"/>
      <c r="AN848" s="3"/>
    </row>
    <row r="849" spans="1:40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K849" s="3"/>
      <c r="AL849" s="3"/>
      <c r="AM849" s="3"/>
      <c r="AN849" s="3"/>
    </row>
    <row r="850" spans="1:4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K850" s="3"/>
      <c r="AL850" s="3"/>
      <c r="AM850" s="3"/>
      <c r="AN850" s="3"/>
    </row>
    <row r="851" spans="1:40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K851" s="3"/>
      <c r="AL851" s="3"/>
      <c r="AM851" s="3"/>
      <c r="AN851" s="3"/>
    </row>
    <row r="852" spans="1:40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K852" s="3"/>
      <c r="AL852" s="3"/>
      <c r="AM852" s="3"/>
      <c r="AN852" s="3"/>
    </row>
    <row r="853" spans="1:40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K853" s="3"/>
      <c r="AL853" s="3"/>
      <c r="AM853" s="3"/>
      <c r="AN853" s="3"/>
    </row>
    <row r="854" spans="1:40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K854" s="3"/>
      <c r="AL854" s="3"/>
      <c r="AM854" s="3"/>
      <c r="AN854" s="3"/>
    </row>
    <row r="855" spans="1:40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K855" s="3"/>
      <c r="AL855" s="3"/>
      <c r="AM855" s="3"/>
      <c r="AN855" s="3"/>
    </row>
    <row r="856" spans="1:40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K856" s="3"/>
      <c r="AL856" s="3"/>
      <c r="AM856" s="3"/>
      <c r="AN856" s="3"/>
    </row>
    <row r="857" spans="1:40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K857" s="3"/>
      <c r="AL857" s="3"/>
      <c r="AM857" s="3"/>
      <c r="AN857" s="3"/>
    </row>
    <row r="858" spans="1:40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K858" s="3"/>
      <c r="AL858" s="3"/>
      <c r="AM858" s="3"/>
      <c r="AN858" s="3"/>
    </row>
    <row r="859" spans="1:40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K859" s="3"/>
      <c r="AL859" s="3"/>
      <c r="AM859" s="3"/>
      <c r="AN859" s="3"/>
    </row>
    <row r="860" spans="1:4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K860" s="3"/>
      <c r="AL860" s="3"/>
      <c r="AM860" s="3"/>
      <c r="AN860" s="3"/>
    </row>
    <row r="861" spans="1:40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K861" s="3"/>
      <c r="AL861" s="3"/>
      <c r="AM861" s="3"/>
      <c r="AN861" s="3"/>
    </row>
    <row r="862" spans="1:40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K862" s="3"/>
      <c r="AL862" s="3"/>
      <c r="AM862" s="3"/>
      <c r="AN862" s="3"/>
    </row>
    <row r="863" spans="1:40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K863" s="3"/>
      <c r="AL863" s="3"/>
      <c r="AM863" s="3"/>
      <c r="AN863" s="3"/>
    </row>
    <row r="864" spans="1:40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K864" s="3"/>
      <c r="AL864" s="3"/>
      <c r="AM864" s="3"/>
      <c r="AN864" s="3"/>
    </row>
    <row r="865" spans="1:40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K865" s="3"/>
      <c r="AL865" s="3"/>
      <c r="AM865" s="3"/>
      <c r="AN865" s="3"/>
    </row>
    <row r="866" spans="1:40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K866" s="3"/>
      <c r="AL866" s="3"/>
      <c r="AM866" s="3"/>
      <c r="AN866" s="3"/>
    </row>
    <row r="867" spans="1:40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K867" s="3"/>
      <c r="AL867" s="3"/>
      <c r="AM867" s="3"/>
      <c r="AN867" s="3"/>
    </row>
    <row r="868" spans="1:40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K868" s="3"/>
      <c r="AL868" s="3"/>
      <c r="AM868" s="3"/>
      <c r="AN868" s="3"/>
    </row>
    <row r="869" spans="1:40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K869" s="3"/>
      <c r="AL869" s="3"/>
      <c r="AM869" s="3"/>
      <c r="AN869" s="3"/>
    </row>
    <row r="870" spans="1:4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K870" s="3"/>
      <c r="AL870" s="3"/>
      <c r="AM870" s="3"/>
      <c r="AN870" s="3"/>
    </row>
    <row r="871" spans="1:40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K871" s="3"/>
      <c r="AL871" s="3"/>
      <c r="AM871" s="3"/>
      <c r="AN871" s="3"/>
    </row>
    <row r="872" spans="1:40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K872" s="3"/>
      <c r="AL872" s="3"/>
      <c r="AM872" s="3"/>
      <c r="AN872" s="3"/>
    </row>
    <row r="873" spans="1:40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K873" s="3"/>
      <c r="AL873" s="3"/>
      <c r="AM873" s="3"/>
      <c r="AN873" s="3"/>
    </row>
    <row r="874" spans="1:40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K874" s="3"/>
      <c r="AL874" s="3"/>
      <c r="AM874" s="3"/>
      <c r="AN874" s="3"/>
    </row>
    <row r="875" spans="1:40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K875" s="3"/>
      <c r="AL875" s="3"/>
      <c r="AM875" s="3"/>
      <c r="AN875" s="3"/>
    </row>
    <row r="876" spans="1:40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K876" s="3"/>
      <c r="AL876" s="3"/>
      <c r="AM876" s="3"/>
      <c r="AN876" s="3"/>
    </row>
    <row r="877" spans="1:40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K877" s="3"/>
      <c r="AL877" s="3"/>
      <c r="AM877" s="3"/>
      <c r="AN877" s="3"/>
    </row>
    <row r="878" spans="1:40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K878" s="3"/>
      <c r="AL878" s="3"/>
      <c r="AM878" s="3"/>
      <c r="AN878" s="3"/>
    </row>
    <row r="879" spans="1:40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K879" s="3"/>
      <c r="AL879" s="3"/>
      <c r="AM879" s="3"/>
      <c r="AN879" s="3"/>
    </row>
    <row r="880" spans="1:4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K880" s="3"/>
      <c r="AL880" s="3"/>
      <c r="AM880" s="3"/>
      <c r="AN880" s="3"/>
    </row>
    <row r="881" spans="1:40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K881" s="3"/>
      <c r="AL881" s="3"/>
      <c r="AM881" s="3"/>
      <c r="AN881" s="3"/>
    </row>
    <row r="882" spans="1:40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K882" s="3"/>
      <c r="AL882" s="3"/>
      <c r="AM882" s="3"/>
      <c r="AN882" s="3"/>
    </row>
    <row r="883" spans="1:40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K883" s="3"/>
      <c r="AL883" s="3"/>
      <c r="AM883" s="3"/>
      <c r="AN883" s="3"/>
    </row>
    <row r="884" spans="1:40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K884" s="3"/>
      <c r="AL884" s="3"/>
      <c r="AM884" s="3"/>
      <c r="AN884" s="3"/>
    </row>
    <row r="885" spans="1:40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K885" s="3"/>
      <c r="AL885" s="3"/>
      <c r="AM885" s="3"/>
      <c r="AN885" s="3"/>
    </row>
    <row r="886" spans="1:40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K886" s="3"/>
      <c r="AL886" s="3"/>
      <c r="AM886" s="3"/>
      <c r="AN886" s="3"/>
    </row>
    <row r="887" spans="1:40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K887" s="3"/>
      <c r="AL887" s="3"/>
      <c r="AM887" s="3"/>
      <c r="AN887" s="3"/>
    </row>
    <row r="888" spans="1:40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K888" s="3"/>
      <c r="AL888" s="3"/>
      <c r="AM888" s="3"/>
      <c r="AN888" s="3"/>
    </row>
    <row r="889" spans="1:40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K889" s="3"/>
      <c r="AL889" s="3"/>
      <c r="AM889" s="3"/>
      <c r="AN889" s="3"/>
    </row>
    <row r="890" spans="1:4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K890" s="3"/>
      <c r="AL890" s="3"/>
      <c r="AM890" s="3"/>
      <c r="AN890" s="3"/>
    </row>
    <row r="891" spans="1:40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K891" s="3"/>
      <c r="AL891" s="3"/>
      <c r="AM891" s="3"/>
      <c r="AN891" s="3"/>
    </row>
    <row r="892" spans="1:40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K892" s="3"/>
      <c r="AL892" s="3"/>
      <c r="AM892" s="3"/>
      <c r="AN892" s="3"/>
    </row>
    <row r="893" spans="1:40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K893" s="3"/>
      <c r="AL893" s="3"/>
      <c r="AM893" s="3"/>
      <c r="AN893" s="3"/>
    </row>
    <row r="894" spans="1:40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K894" s="3"/>
      <c r="AL894" s="3"/>
      <c r="AM894" s="3"/>
      <c r="AN894" s="3"/>
    </row>
    <row r="895" spans="1:40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K895" s="3"/>
      <c r="AL895" s="3"/>
      <c r="AM895" s="3"/>
      <c r="AN895" s="3"/>
    </row>
    <row r="896" spans="1:40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K896" s="3"/>
      <c r="AL896" s="3"/>
      <c r="AM896" s="3"/>
      <c r="AN896" s="3"/>
    </row>
    <row r="897" spans="1:40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K897" s="3"/>
      <c r="AL897" s="3"/>
      <c r="AM897" s="3"/>
      <c r="AN897" s="3"/>
    </row>
    <row r="898" spans="1:40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K898" s="3"/>
      <c r="AL898" s="3"/>
      <c r="AM898" s="3"/>
      <c r="AN898" s="3"/>
    </row>
    <row r="899" spans="1:40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K899" s="3"/>
      <c r="AL899" s="3"/>
      <c r="AM899" s="3"/>
      <c r="AN899" s="3"/>
    </row>
    <row r="900" spans="1:4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K900" s="3"/>
      <c r="AL900" s="3"/>
      <c r="AM900" s="3"/>
      <c r="AN900" s="3"/>
    </row>
    <row r="901" spans="1:40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K901" s="3"/>
      <c r="AL901" s="3"/>
      <c r="AM901" s="3"/>
      <c r="AN901" s="3"/>
    </row>
    <row r="902" spans="1:40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K902" s="3"/>
      <c r="AL902" s="3"/>
      <c r="AM902" s="3"/>
      <c r="AN902" s="3"/>
    </row>
    <row r="903" spans="1:40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K903" s="3"/>
      <c r="AL903" s="3"/>
      <c r="AM903" s="3"/>
      <c r="AN903" s="3"/>
    </row>
    <row r="904" spans="1:40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K904" s="3"/>
      <c r="AL904" s="3"/>
      <c r="AM904" s="3"/>
      <c r="AN904" s="3"/>
    </row>
    <row r="905" spans="1:40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K905" s="3"/>
      <c r="AL905" s="3"/>
      <c r="AM905" s="3"/>
      <c r="AN905" s="3"/>
    </row>
    <row r="906" spans="1:40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K906" s="3"/>
      <c r="AL906" s="3"/>
      <c r="AM906" s="3"/>
      <c r="AN906" s="3"/>
    </row>
    <row r="907" spans="1:40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K907" s="3"/>
      <c r="AL907" s="3"/>
      <c r="AM907" s="3"/>
      <c r="AN907" s="3"/>
    </row>
    <row r="908" spans="1:40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K908" s="3"/>
      <c r="AL908" s="3"/>
      <c r="AM908" s="3"/>
      <c r="AN908" s="3"/>
    </row>
    <row r="909" spans="1:40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K909" s="3"/>
      <c r="AL909" s="3"/>
      <c r="AM909" s="3"/>
      <c r="AN909" s="3"/>
    </row>
    <row r="910" spans="1:4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K910" s="3"/>
      <c r="AL910" s="3"/>
      <c r="AM910" s="3"/>
      <c r="AN910" s="3"/>
    </row>
    <row r="911" spans="1:40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K911" s="3"/>
      <c r="AL911" s="3"/>
      <c r="AM911" s="3"/>
      <c r="AN911" s="3"/>
    </row>
    <row r="912" spans="1:40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K912" s="3"/>
      <c r="AL912" s="3"/>
      <c r="AM912" s="3"/>
      <c r="AN912" s="3"/>
    </row>
    <row r="913" spans="1:40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K913" s="3"/>
      <c r="AL913" s="3"/>
      <c r="AM913" s="3"/>
      <c r="AN913" s="3"/>
    </row>
    <row r="914" spans="1:40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K914" s="3"/>
      <c r="AL914" s="3"/>
      <c r="AM914" s="3"/>
      <c r="AN914" s="3"/>
    </row>
    <row r="915" spans="1:40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K915" s="3"/>
      <c r="AL915" s="3"/>
      <c r="AM915" s="3"/>
      <c r="AN915" s="3"/>
    </row>
    <row r="916" spans="1:40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K916" s="3"/>
      <c r="AL916" s="3"/>
      <c r="AM916" s="3"/>
      <c r="AN916" s="3"/>
    </row>
    <row r="917" spans="1:40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K917" s="3"/>
      <c r="AL917" s="3"/>
      <c r="AM917" s="3"/>
      <c r="AN917" s="3"/>
    </row>
    <row r="918" spans="1:40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K918" s="3"/>
      <c r="AL918" s="3"/>
      <c r="AM918" s="3"/>
      <c r="AN918" s="3"/>
    </row>
    <row r="919" spans="1:40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K919" s="3"/>
      <c r="AL919" s="3"/>
      <c r="AM919" s="3"/>
      <c r="AN919" s="3"/>
    </row>
    <row r="920" spans="1:4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K920" s="3"/>
      <c r="AL920" s="3"/>
      <c r="AM920" s="3"/>
      <c r="AN920" s="3"/>
    </row>
    <row r="921" spans="1:40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K921" s="3"/>
      <c r="AL921" s="3"/>
      <c r="AM921" s="3"/>
      <c r="AN921" s="3"/>
    </row>
    <row r="922" spans="1:40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K922" s="3"/>
      <c r="AL922" s="3"/>
      <c r="AM922" s="3"/>
      <c r="AN922" s="3"/>
    </row>
    <row r="923" spans="1:40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K923" s="3"/>
      <c r="AL923" s="3"/>
      <c r="AM923" s="3"/>
      <c r="AN923" s="3"/>
    </row>
    <row r="924" spans="1:40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K924" s="3"/>
      <c r="AL924" s="3"/>
      <c r="AM924" s="3"/>
      <c r="AN924" s="3"/>
    </row>
    <row r="925" spans="1:40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K925" s="3"/>
      <c r="AL925" s="3"/>
      <c r="AM925" s="3"/>
      <c r="AN925" s="3"/>
    </row>
    <row r="926" spans="1:40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K926" s="3"/>
      <c r="AL926" s="3"/>
      <c r="AM926" s="3"/>
      <c r="AN926" s="3"/>
    </row>
    <row r="927" spans="1:40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K927" s="3"/>
      <c r="AL927" s="3"/>
      <c r="AM927" s="3"/>
      <c r="AN927" s="3"/>
    </row>
    <row r="928" spans="1:40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K928" s="3"/>
      <c r="AL928" s="3"/>
      <c r="AM928" s="3"/>
      <c r="AN928" s="3"/>
    </row>
    <row r="929" spans="1:40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K929" s="3"/>
      <c r="AL929" s="3"/>
      <c r="AM929" s="3"/>
      <c r="AN929" s="3"/>
    </row>
    <row r="930" spans="1:4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K930" s="3"/>
      <c r="AL930" s="3"/>
      <c r="AM930" s="3"/>
      <c r="AN930" s="3"/>
    </row>
    <row r="931" spans="1:40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K931" s="3"/>
      <c r="AL931" s="3"/>
      <c r="AM931" s="3"/>
      <c r="AN931" s="3"/>
    </row>
    <row r="932" spans="1:40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K932" s="3"/>
      <c r="AL932" s="3"/>
      <c r="AM932" s="3"/>
      <c r="AN932" s="3"/>
    </row>
    <row r="933" spans="1:40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K933" s="3"/>
      <c r="AL933" s="3"/>
      <c r="AM933" s="3"/>
      <c r="AN933" s="3"/>
    </row>
    <row r="934" spans="1:40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K934" s="3"/>
      <c r="AL934" s="3"/>
      <c r="AM934" s="3"/>
      <c r="AN934" s="3"/>
    </row>
    <row r="935" spans="1:40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K935" s="3"/>
      <c r="AL935" s="3"/>
      <c r="AM935" s="3"/>
      <c r="AN935" s="3"/>
    </row>
    <row r="936" spans="1:40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K936" s="3"/>
      <c r="AL936" s="3"/>
      <c r="AM936" s="3"/>
      <c r="AN936" s="3"/>
    </row>
    <row r="937" spans="1:40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K937" s="3"/>
      <c r="AL937" s="3"/>
      <c r="AM937" s="3"/>
      <c r="AN937" s="3"/>
    </row>
    <row r="938" spans="1:40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K938" s="3"/>
      <c r="AL938" s="3"/>
      <c r="AM938" s="3"/>
      <c r="AN938" s="3"/>
    </row>
    <row r="939" spans="1:40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K939" s="3"/>
      <c r="AL939" s="3"/>
      <c r="AM939" s="3"/>
      <c r="AN939" s="3"/>
    </row>
    <row r="940" spans="1: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K940" s="3"/>
      <c r="AL940" s="3"/>
      <c r="AM940" s="3"/>
      <c r="AN940" s="3"/>
    </row>
    <row r="941" spans="1:40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K941" s="3"/>
      <c r="AL941" s="3"/>
      <c r="AM941" s="3"/>
      <c r="AN941" s="3"/>
    </row>
    <row r="942" spans="1:40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K942" s="3"/>
      <c r="AL942" s="3"/>
      <c r="AM942" s="3"/>
      <c r="AN942" s="3"/>
    </row>
    <row r="943" spans="1:40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K943" s="3"/>
      <c r="AL943" s="3"/>
      <c r="AM943" s="3"/>
      <c r="AN943" s="3"/>
    </row>
    <row r="944" spans="1:40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K944" s="3"/>
      <c r="AL944" s="3"/>
      <c r="AM944" s="3"/>
      <c r="AN944" s="3"/>
    </row>
    <row r="945" spans="1:40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K945" s="3"/>
      <c r="AL945" s="3"/>
      <c r="AM945" s="3"/>
      <c r="AN945" s="3"/>
    </row>
    <row r="946" spans="1:40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K946" s="3"/>
      <c r="AL946" s="3"/>
      <c r="AM946" s="3"/>
      <c r="AN946" s="3"/>
    </row>
    <row r="947" spans="1:40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K947" s="3"/>
      <c r="AL947" s="3"/>
      <c r="AM947" s="3"/>
      <c r="AN947" s="3"/>
    </row>
    <row r="948" spans="1:40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K948" s="3"/>
      <c r="AL948" s="3"/>
      <c r="AM948" s="3"/>
      <c r="AN948" s="3"/>
    </row>
    <row r="949" spans="1:40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K949" s="3"/>
      <c r="AL949" s="3"/>
      <c r="AM949" s="3"/>
      <c r="AN949" s="3"/>
    </row>
    <row r="950" spans="1:4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K950" s="3"/>
      <c r="AL950" s="3"/>
      <c r="AM950" s="3"/>
      <c r="AN950" s="3"/>
    </row>
    <row r="951" spans="1:40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K951" s="3"/>
      <c r="AL951" s="3"/>
      <c r="AM951" s="3"/>
      <c r="AN951" s="3"/>
    </row>
    <row r="952" spans="1:40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K952" s="3"/>
      <c r="AL952" s="3"/>
      <c r="AM952" s="3"/>
      <c r="AN952" s="3"/>
    </row>
    <row r="953" spans="1:40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K953" s="3"/>
      <c r="AL953" s="3"/>
      <c r="AM953" s="3"/>
      <c r="AN953" s="3"/>
    </row>
    <row r="954" spans="1:40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K954" s="3"/>
      <c r="AL954" s="3"/>
      <c r="AM954" s="3"/>
      <c r="AN954" s="3"/>
    </row>
    <row r="955" spans="1:40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K955" s="3"/>
      <c r="AL955" s="3"/>
      <c r="AM955" s="3"/>
      <c r="AN955" s="3"/>
    </row>
    <row r="956" spans="1:40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K956" s="3"/>
      <c r="AL956" s="3"/>
      <c r="AM956" s="3"/>
      <c r="AN956" s="3"/>
    </row>
    <row r="957" spans="1:40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K957" s="3"/>
      <c r="AL957" s="3"/>
      <c r="AM957" s="3"/>
      <c r="AN957" s="3"/>
    </row>
    <row r="958" spans="1:40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K958" s="3"/>
      <c r="AL958" s="3"/>
      <c r="AM958" s="3"/>
      <c r="AN958" s="3"/>
    </row>
    <row r="959" spans="1:40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K959" s="3"/>
      <c r="AL959" s="3"/>
      <c r="AM959" s="3"/>
      <c r="AN959" s="3"/>
    </row>
    <row r="960" spans="1:4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K960" s="3"/>
      <c r="AL960" s="3"/>
      <c r="AM960" s="3"/>
      <c r="AN960" s="3"/>
    </row>
    <row r="961" spans="1:40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K961" s="3"/>
      <c r="AL961" s="3"/>
      <c r="AM961" s="3"/>
      <c r="AN961" s="3"/>
    </row>
    <row r="962" spans="1:40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K962" s="3"/>
      <c r="AL962" s="3"/>
      <c r="AM962" s="3"/>
      <c r="AN962" s="3"/>
    </row>
    <row r="963" spans="1:40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K963" s="3"/>
      <c r="AL963" s="3"/>
      <c r="AM963" s="3"/>
      <c r="AN963" s="3"/>
    </row>
    <row r="964" spans="1:40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K964" s="3"/>
      <c r="AL964" s="3"/>
      <c r="AM964" s="3"/>
      <c r="AN964" s="3"/>
    </row>
    <row r="965" spans="1:40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K965" s="3"/>
      <c r="AL965" s="3"/>
      <c r="AM965" s="3"/>
      <c r="AN965" s="3"/>
    </row>
    <row r="966" spans="1:40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K966" s="3"/>
      <c r="AL966" s="3"/>
      <c r="AM966" s="3"/>
      <c r="AN966" s="3"/>
    </row>
    <row r="967" spans="1:40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K967" s="3"/>
      <c r="AL967" s="3"/>
      <c r="AM967" s="3"/>
      <c r="AN967" s="3"/>
    </row>
    <row r="968" spans="1:40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K968" s="3"/>
      <c r="AL968" s="3"/>
      <c r="AM968" s="3"/>
      <c r="AN968" s="3"/>
    </row>
    <row r="969" spans="1:40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K969" s="3"/>
      <c r="AL969" s="3"/>
      <c r="AM969" s="3"/>
      <c r="AN969" s="3"/>
    </row>
    <row r="970" spans="1:4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K970" s="3"/>
      <c r="AL970" s="3"/>
      <c r="AM970" s="3"/>
      <c r="AN970" s="3"/>
    </row>
    <row r="971" spans="1:40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K971" s="3"/>
      <c r="AL971" s="3"/>
      <c r="AM971" s="3"/>
      <c r="AN971" s="3"/>
    </row>
    <row r="972" spans="1:40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K972" s="3"/>
      <c r="AL972" s="3"/>
      <c r="AM972" s="3"/>
      <c r="AN972" s="3"/>
    </row>
    <row r="973" spans="1:40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K973" s="3"/>
      <c r="AL973" s="3"/>
      <c r="AM973" s="3"/>
      <c r="AN973" s="3"/>
    </row>
    <row r="974" spans="1:40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K974" s="3"/>
      <c r="AL974" s="3"/>
      <c r="AM974" s="3"/>
      <c r="AN974" s="3"/>
    </row>
    <row r="975" spans="1:40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K975" s="3"/>
      <c r="AL975" s="3"/>
      <c r="AM975" s="3"/>
      <c r="AN975" s="3"/>
    </row>
    <row r="976" spans="1:40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K976" s="3"/>
      <c r="AL976" s="3"/>
      <c r="AM976" s="3"/>
      <c r="AN976" s="3"/>
    </row>
    <row r="977" spans="1:40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K977" s="3"/>
      <c r="AL977" s="3"/>
      <c r="AM977" s="3"/>
      <c r="AN977" s="3"/>
    </row>
    <row r="978" spans="1:40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K978" s="3"/>
      <c r="AL978" s="3"/>
      <c r="AM978" s="3"/>
      <c r="AN978" s="3"/>
    </row>
    <row r="979" spans="1:40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K979" s="3"/>
      <c r="AL979" s="3"/>
      <c r="AM979" s="3"/>
      <c r="AN979" s="3"/>
    </row>
    <row r="980" spans="1:4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K980" s="3"/>
      <c r="AL980" s="3"/>
      <c r="AM980" s="3"/>
      <c r="AN980" s="3"/>
    </row>
    <row r="981" spans="1:40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K981" s="3"/>
      <c r="AL981" s="3"/>
      <c r="AM981" s="3"/>
      <c r="AN981" s="3"/>
    </row>
    <row r="982" spans="1:40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K982" s="3"/>
      <c r="AL982" s="3"/>
      <c r="AM982" s="3"/>
      <c r="AN982" s="3"/>
    </row>
    <row r="983" spans="1:40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K983" s="3"/>
      <c r="AL983" s="3"/>
      <c r="AM983" s="3"/>
      <c r="AN983" s="3"/>
    </row>
    <row r="984" spans="1:40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K984" s="3"/>
      <c r="AL984" s="3"/>
      <c r="AM984" s="3"/>
      <c r="AN984" s="3"/>
    </row>
    <row r="985" spans="1:40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K985" s="3"/>
      <c r="AL985" s="3"/>
      <c r="AM985" s="3"/>
      <c r="AN985" s="3"/>
    </row>
    <row r="986" spans="1:40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K986" s="3"/>
      <c r="AL986" s="3"/>
      <c r="AM986" s="3"/>
      <c r="AN986" s="3"/>
    </row>
    <row r="987" spans="1:40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K987" s="3"/>
      <c r="AL987" s="3"/>
      <c r="AM987" s="3"/>
      <c r="AN987" s="3"/>
    </row>
    <row r="988" spans="1:40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K988" s="3"/>
      <c r="AL988" s="3"/>
      <c r="AM988" s="3"/>
      <c r="AN988" s="3"/>
    </row>
    <row r="989" spans="1:40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K989" s="3"/>
      <c r="AL989" s="3"/>
      <c r="AM989" s="3"/>
      <c r="AN989" s="3"/>
    </row>
    <row r="990" spans="1:4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K990" s="3"/>
      <c r="AL990" s="3"/>
      <c r="AM990" s="3"/>
      <c r="AN990" s="3"/>
    </row>
    <row r="991" spans="1:40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K991" s="3"/>
      <c r="AL991" s="3"/>
      <c r="AM991" s="3"/>
      <c r="AN991" s="3"/>
    </row>
    <row r="992" spans="1:40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K992" s="3"/>
      <c r="AL992" s="3"/>
      <c r="AM992" s="3"/>
      <c r="AN992" s="3"/>
    </row>
    <row r="993" spans="1:40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K993" s="3"/>
      <c r="AL993" s="3"/>
      <c r="AM993" s="3"/>
      <c r="AN993" s="3"/>
    </row>
    <row r="994" spans="1:40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K994" s="3"/>
      <c r="AL994" s="3"/>
      <c r="AM994" s="3"/>
      <c r="AN994" s="3"/>
    </row>
    <row r="995" spans="1:40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K995" s="3"/>
      <c r="AL995" s="3"/>
      <c r="AM995" s="3"/>
      <c r="AN995" s="3"/>
    </row>
    <row r="996" spans="1:40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K996" s="3"/>
      <c r="AL996" s="3"/>
      <c r="AM996" s="3"/>
      <c r="AN996" s="3"/>
    </row>
    <row r="997" spans="1:40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K997" s="3"/>
      <c r="AL997" s="3"/>
      <c r="AM997" s="3"/>
      <c r="AN997" s="3"/>
    </row>
    <row r="998" spans="1:40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K998" s="3"/>
      <c r="AL998" s="3"/>
      <c r="AM998" s="3"/>
      <c r="AN998" s="3"/>
    </row>
    <row r="999" spans="1:40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K999" s="3"/>
      <c r="AL999" s="3"/>
      <c r="AM999" s="3"/>
      <c r="AN999" s="3"/>
    </row>
    <row r="1000" spans="1:4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K1000" s="3"/>
      <c r="AL1000" s="3"/>
      <c r="AM1000" s="3"/>
      <c r="AN1000" s="3"/>
    </row>
    <row r="1001" spans="1:40" ht="16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K1001" s="3"/>
      <c r="AL1001" s="3"/>
      <c r="AM1001" s="3"/>
      <c r="AN1001" s="3"/>
    </row>
    <row r="1002" spans="1:40" ht="16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K1002" s="3"/>
      <c r="AL1002" s="3"/>
      <c r="AM1002" s="3"/>
      <c r="AN1002" s="3"/>
    </row>
    <row r="1003" spans="1:40" ht="16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K1003" s="3"/>
      <c r="AL1003" s="3"/>
      <c r="AM1003" s="3"/>
      <c r="AN1003" s="3"/>
    </row>
    <row r="1004" spans="1:40" ht="16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K1004" s="3"/>
      <c r="AL1004" s="3"/>
      <c r="AM1004" s="3"/>
      <c r="AN1004" s="3"/>
    </row>
    <row r="1005" spans="1:40" ht="16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K1005" s="3"/>
      <c r="AL1005" s="3"/>
      <c r="AM1005" s="3"/>
      <c r="AN1005" s="3"/>
    </row>
    <row r="1006" spans="1:40" ht="16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K1006" s="3"/>
      <c r="AL1006" s="3"/>
      <c r="AM1006" s="3"/>
      <c r="AN1006" s="3"/>
    </row>
    <row r="1007" spans="1:40" ht="16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K1007" s="3"/>
      <c r="AL1007" s="3"/>
      <c r="AM1007" s="3"/>
      <c r="AN1007" s="3"/>
    </row>
    <row r="1008" spans="1:40" ht="16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K1008" s="3"/>
      <c r="AL1008" s="3"/>
      <c r="AM1008" s="3"/>
      <c r="AN1008" s="3"/>
    </row>
    <row r="1009" spans="1:40" ht="16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K1009" s="3"/>
      <c r="AL1009" s="3"/>
      <c r="AM1009" s="3"/>
      <c r="AN1009" s="3"/>
    </row>
    <row r="1010" spans="1:40" ht="16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K1010" s="3"/>
      <c r="AL1010" s="3"/>
      <c r="AM1010" s="3"/>
      <c r="AN1010" s="3"/>
    </row>
    <row r="1011" spans="1:40" ht="16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K1011" s="3"/>
      <c r="AL1011" s="3"/>
      <c r="AM1011" s="3"/>
      <c r="AN1011" s="3"/>
    </row>
  </sheetData>
  <mergeCells count="9">
    <mergeCell ref="B56:J56"/>
    <mergeCell ref="B52:E52"/>
    <mergeCell ref="B53:E53"/>
    <mergeCell ref="B54:J54"/>
    <mergeCell ref="B1:K1"/>
    <mergeCell ref="N1:AC1"/>
    <mergeCell ref="B5:B50"/>
    <mergeCell ref="N5:N50"/>
    <mergeCell ref="B55:J55"/>
  </mergeCells>
  <phoneticPr fontId="16" type="noConversion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c4e136-3596-4edd-83d6-8f2c64ad4be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DA23D26DA1B947A156FC5ADFBFE4E3" ma:contentTypeVersion="10" ma:contentTypeDescription="Create a new document." ma:contentTypeScope="" ma:versionID="6651670f0bfd40371b59a51078c6a339">
  <xsd:schema xmlns:xsd="http://www.w3.org/2001/XMLSchema" xmlns:xs="http://www.w3.org/2001/XMLSchema" xmlns:p="http://schemas.microsoft.com/office/2006/metadata/properties" xmlns:ns2="bbc4e136-3596-4edd-83d6-8f2c64ad4bed" targetNamespace="http://schemas.microsoft.com/office/2006/metadata/properties" ma:root="true" ma:fieldsID="65d84f839e99535953f4829aee6b104d" ns2:_="">
    <xsd:import namespace="bbc4e136-3596-4edd-83d6-8f2c64ad4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4e136-3596-4edd-83d6-8f2c64ad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c17383-44ae-4634-82d4-41c34e6ea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68258-89DD-423B-8137-529E959228AD}"/>
</file>

<file path=customXml/itemProps2.xml><?xml version="1.0" encoding="utf-8"?>
<ds:datastoreItem xmlns:ds="http://schemas.openxmlformats.org/officeDocument/2006/customXml" ds:itemID="{A77B6488-8228-4F41-A1E5-7BA2395D24B7}"/>
</file>

<file path=customXml/itemProps3.xml><?xml version="1.0" encoding="utf-8"?>
<ds:datastoreItem xmlns:ds="http://schemas.openxmlformats.org/officeDocument/2006/customXml" ds:itemID="{9E85A3DC-4E88-4590-B6C7-4181F57AA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Blagoj Nikolov - Nedcann.com</dc:creator>
  <cp:keywords/>
  <dc:description/>
  <cp:lastModifiedBy>Blagoj Nikolov</cp:lastModifiedBy>
  <cp:revision/>
  <dcterms:created xsi:type="dcterms:W3CDTF">2024-06-10T18:24:30Z</dcterms:created>
  <dcterms:modified xsi:type="dcterms:W3CDTF">2026-10-07T07:02:56Z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0x010100ECDA23D26DA1B947A156FC5ADFBFE4E3</vt:lpwstr>
  </property>
  <property fmtid="{D5CDD505-2E9C-101B-9397-08002B2CF9AE}" pid="3" name="MediaServiceImageTags">
    <vt:lpwstr/>
  </property>
</Properties>
</file>