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riginal Strain Specs" sheetId="2" state="visible" r:id="rId2"/>
    <sheet xmlns:r="http://schemas.openxmlformats.org/officeDocument/2006/relationships" name="Renamed Strain Specs" sheetId="3" state="visible" r:id="rId3"/>
    <sheet xmlns:r="http://schemas.openxmlformats.org/officeDocument/2006/relationships" name="Portfolio Master — Renames" sheetId="4" state="visible" r:id="rId4"/>
    <sheet xmlns:r="http://schemas.openxmlformats.org/officeDocument/2006/relationships" name="Atlas Grades — Original" sheetId="5" state="visible" r:id="rId5"/>
    <sheet xmlns:r="http://schemas.openxmlformats.org/officeDocument/2006/relationships" name="Atlas Grades — Renamed" sheetId="6" state="visible" r:id="rId6"/>
    <sheet xmlns:r="http://schemas.openxmlformats.org/officeDocument/2006/relationships" name="Potency Test Results" sheetId="7" state="visible" r:id="rId7"/>
  </sheets>
  <definedNames/>
  <calcPr calcId="124519" fullCalcOnLoad="1"/>
</workbook>
</file>

<file path=xl/styles.xml><?xml version="1.0" encoding="utf-8"?>
<styleSheet xmlns="http://schemas.openxmlformats.org/spreadsheetml/2006/main">
  <numFmts count="1">
    <numFmt numFmtId="164" formatCode="0.00&quot;%&quot;"/>
  </numFmts>
  <fonts count="10">
    <font>
      <name val="Calibri"/>
      <family val="2"/>
      <color theme="1"/>
      <sz val="11"/>
      <scheme val="minor"/>
    </font>
    <font>
      <name val="Arial"/>
      <b val="1"/>
      <color rgb="001B3A5C"/>
      <sz val="18"/>
    </font>
    <font>
      <name val="Arial"/>
      <i val="1"/>
      <color rgb="001B3A5C"/>
      <sz val="13"/>
    </font>
    <font>
      <name val="Arial"/>
      <i val="1"/>
      <color rgb="005A6B7C"/>
      <sz val="10"/>
    </font>
    <font>
      <name val="Arial"/>
      <b val="1"/>
      <color rgb="00FFFFFF"/>
      <sz val="10"/>
    </font>
    <font>
      <name val="Arial"/>
      <b val="1"/>
      <sz val="10"/>
    </font>
    <font>
      <name val="Arial"/>
      <sz val="10"/>
    </font>
    <font>
      <name val="Arial"/>
      <i val="1"/>
      <color rgb="004A5B6C"/>
      <sz val="9.5"/>
    </font>
    <font>
      <name val="Arial"/>
      <b val="1"/>
      <color rgb="001B3A5C"/>
      <sz val="16"/>
    </font>
    <font>
      <name val="Arial"/>
      <i val="1"/>
      <color rgb="001B3A5C"/>
      <sz val="11"/>
    </font>
  </fonts>
  <fills count="4">
    <fill>
      <patternFill/>
    </fill>
    <fill>
      <patternFill patternType="gray125"/>
    </fill>
    <fill>
      <patternFill patternType="solid">
        <fgColor rgb="001B3A5C"/>
      </patternFill>
    </fill>
    <fill>
      <patternFill patternType="solid">
        <fgColor rgb="00F4F7FB"/>
      </patternFill>
    </fill>
  </fills>
  <borders count="2">
    <border>
      <left/>
      <right/>
      <top/>
      <bottom/>
      <diagonal/>
    </border>
    <border>
      <left style="thin">
        <color rgb="00D8E2EC"/>
      </left>
      <right style="thin">
        <color rgb="00D8E2EC"/>
      </right>
      <top style="thin">
        <color rgb="00D8E2EC"/>
      </top>
      <bottom style="thin">
        <color rgb="00D8E2E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6" fillId="3" borderId="1" applyAlignment="1" pivotButton="0" quotePrefix="0" xfId="0">
      <alignment vertical="top" wrapText="1"/>
    </xf>
    <xf numFmtId="164" fontId="6" fillId="3" borderId="1" applyAlignment="1" pivotButton="0" quotePrefix="0" xfId="0">
      <alignment vertical="top" wrapText="1"/>
    </xf>
    <xf numFmtId="0" fontId="6" fillId="0" borderId="1" applyAlignment="1" pivotButton="0" quotePrefix="0" xfId="0">
      <alignment vertical="top" wrapText="1"/>
    </xf>
    <xf numFmtId="164" fontId="6" fillId="0" borderId="1" applyAlignment="1" pivotButton="0" quotePrefix="0" xfId="0">
      <alignment vertical="top" wrapText="1"/>
    </xf>
    <xf numFmtId="10" fontId="6" fillId="3" borderId="1" applyAlignment="1" pivotButton="0" quotePrefix="0" xfId="0">
      <alignment vertical="top" wrapText="1"/>
    </xf>
    <xf numFmtId="1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1" t="inlineStr">
        <is>
          <t>Потенција — спецификации, преименувања и резултати</t>
        </is>
      </c>
    </row>
    <row r="2">
      <c r="A2" s="2" t="inlineStr">
        <is>
          <t>Potency — Specifications, Renames &amp; Test Results</t>
        </is>
      </c>
    </row>
    <row r="3">
      <c r="A3" s="3" t="inlineStr">
        <is>
          <t>Неформален работен документ · не е контролиран запис · извор: deliverables/potency_study/ · 17.08.2026</t>
        </is>
      </c>
    </row>
    <row r="5">
      <c r="A5" s="4" t="inlineStr">
        <is>
          <t>Лист | Sheet</t>
        </is>
      </c>
      <c r="B5" s="4" t="inlineStr">
        <is>
          <t>Содржина | Contents</t>
        </is>
      </c>
    </row>
    <row r="6" ht="58" customHeight="1">
      <c r="A6" s="5" t="inlineStr">
        <is>
          <t>Original Strain Specs</t>
        </is>
      </c>
      <c r="B6" s="6" t="inlineStr">
        <is>
          <t>Секоја издадена QCSP 001 спецификација за оригинално (непреименувано) име на сорта — класа, код на документ, THC-опсег и номинала, точно како што стои во документот. | Every issued QCSP 001 specification for an original (not renamed) strain name — grade, document code, THC range and nominal, exactly as printed.</t>
        </is>
      </c>
    </row>
    <row r="8" ht="58" customHeight="1">
      <c r="A8" s="5" t="inlineStr">
        <is>
          <t>Renamed Strain Specs</t>
        </is>
      </c>
      <c r="B8" s="6" t="inlineStr">
        <is>
          <t>Истото, за издадените спецификации на НОВИТЕ (преименувани) имиња, со колона што ги покажува оригиналните имиња што водат до ова ново име (според Portfolio Master). | The same, for issued specifications of the NEW (renamed) names, with a column showing which original name(s) lead to this new name (per the Portfolio Master).</t>
        </is>
      </c>
    </row>
    <row r="10" ht="58" customHeight="1">
      <c r="A10" s="5" t="inlineStr">
        <is>
          <t>Portfolio Master — Renames</t>
        </is>
      </c>
      <c r="B10" s="6" t="inlineStr">
        <is>
          <t>78-те редови на преименување серија-по-серија, точно како во 01_Portfolio_Master (тranche, серија, старо име, ново име, бренд, етикета, THC%, стар опсег). | The 78 batch-level rename rows, exactly as in 01_Portfolio_Master (tranche, batch, old name, new name, brand, label, THC%, old bracket).</t>
        </is>
      </c>
    </row>
    <row r="12" ht="58" customHeight="1">
      <c r="A12" s="5" t="inlineStr">
        <is>
          <t>Atlas Grades — Original</t>
        </is>
      </c>
      <c r="B12" s="6" t="inlineStr">
        <is>
          <t>Предложените класи на Атласот на потенција (номинала ± толеранција), клучирани по ОРИГИНАЛНОТО име на сортата. | The Potency Atlas's proposed grades (nominal ± tolerance), keyed to the ORIGINAL strain name.</t>
        </is>
      </c>
    </row>
    <row r="14" ht="58" customHeight="1">
      <c r="A14" s="5" t="inlineStr">
        <is>
          <t>Atlas Grades — Renamed</t>
        </is>
      </c>
      <c r="B14" s="6" t="inlineStr">
        <is>
          <t>Истите класи, преклучирани по НОВОТО име на спецификацијата (истата пресметка како во финалната табела на Атласот). | The same grades, re-keyed to the NEW specification name (same computation as the Atlas's final board).</t>
        </is>
      </c>
    </row>
    <row r="16" ht="58" customHeight="1">
      <c r="A16" s="5" t="inlineStr">
        <is>
          <t>Potency Test Results</t>
        </is>
      </c>
      <c r="B16" s="6" t="inlineStr">
        <is>
          <t>Сите 99 некогаш тестирани резултати за Вкупен Δ⁹-THC од регистарот — серија, сорта, резултат, датум, лабораторија, сертификат — со колони кои покажуваат во која класа на Атласот паѓа резултатот (по оригинално и, каде применливо, по ново име) и дали резултатот е внатре во издадениот спецификациски опсег. | All 99 register Total Δ⁹-THC results ever tested — batch, strain, value, date, lab, certificate — with columns showing which Atlas tier the result falls in (by original and, where applicable, new name) and whether it sits inside the issued specification range.</t>
        </is>
      </c>
    </row>
    <row r="19" ht="30" customHeight="1">
      <c r="A19" s="7" t="inlineStr">
        <is>
          <t>Извори | Sources:</t>
        </is>
      </c>
    </row>
    <row r="20" ht="30" customHeight="1">
      <c r="A20" s="7" t="inlineStr">
        <is>
          <t xml:space="preserve">  • spec_inventory.json — pdftotext -layout транскрипција на 341 документ под deliverables/Final_Docs_PDF/ImB_SPC (изворен HTML не постои во репозиториумот). | pdftotext -layout transcription of 341 documents under deliverables/Final_Docs_PDF/ImB_SPC (source HTML not present in the repo).</t>
        </is>
      </c>
    </row>
    <row r="21" ht="30" customHeight="1">
      <c r="A21" s="7" t="inlineStr">
        <is>
          <t xml:space="preserve">  • portfolio_master.json — извадок од Drive-датотеката BCP_PRODUCT_MASTER_FINAL.xlsx, лист 01_Portfolio_Master. | extract of the Drive file BCP_PRODUCT_MASTER_FINAL.xlsx, sheet 01_Portfolio_Master.</t>
        </is>
      </c>
    </row>
    <row r="22" ht="30" customHeight="1">
      <c r="A22" s="7" t="inlineStr">
        <is>
          <t xml:space="preserve">  • potency_dataset.json — врзаниот датасет на Атласот на потенција (build_potency_dataset.py); номинала ± толеранција секогаш е декларацијата на класата на серијата — никогаш посебна бројка по серија. | the Potency Atlas's bound dataset (build_potency_dataset.py); nominal ± tolerance is always the batch's TIER declaration — never a separate per-batch figure.</t>
        </is>
      </c>
    </row>
    <row r="23" ht="8" customHeight="1">
      <c r="A23" s="6" t="inlineStr"/>
    </row>
    <row r="24" ht="30" customHeight="1">
      <c r="A24" s="7" t="inlineStr">
        <is>
          <t>Оваа студија е ПРЕДЛОГ-ревизија на класите, изведена статистички од сите некогаш тестирани резултати — не изменува ниту една издадена QCSP 001 спецификација, чија номинала и опсег остануваат меродавни до формално усвојување. | This study is a PROPOSED revision of the grade bands, statistically derived from every result ever tested — it does not amend any issued QCSP 001 specification, whose nominal and range remain authoritative until formally adopted.</t>
        </is>
      </c>
    </row>
  </sheetData>
  <mergeCells count="16">
    <mergeCell ref="A24:F24"/>
    <mergeCell ref="A2:F2"/>
    <mergeCell ref="B12:F12"/>
    <mergeCell ref="B6:F6"/>
    <mergeCell ref="B16:F16"/>
    <mergeCell ref="A19:F19"/>
    <mergeCell ref="B10:F10"/>
    <mergeCell ref="A1:F1"/>
    <mergeCell ref="A23:F23"/>
    <mergeCell ref="B5:F5"/>
    <mergeCell ref="B14:F14"/>
    <mergeCell ref="A22:F22"/>
    <mergeCell ref="B8:F8"/>
    <mergeCell ref="A3:F3"/>
    <mergeCell ref="A21:F21"/>
    <mergeCell ref="A20:F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0"/>
  <sheetViews>
    <sheetView showGridLines="0" workbookViewId="0">
      <pane ySplit="5" topLeftCell="A6" activePane="bottomLeft" state="frozen"/>
      <selection pane="bottomLeft" activeCell="A1" sqref="A1"/>
    </sheetView>
  </sheetViews>
  <sheetFormatPr baseColWidth="8" defaultRowHeight="15"/>
  <cols>
    <col width="7" customWidth="1" min="1" max="1"/>
    <col width="22" customWidth="1" min="2" max="2"/>
    <col width="9" customWidth="1" min="3" max="3"/>
    <col width="20" customWidth="1" min="4" max="4"/>
    <col width="15" customWidth="1" min="5" max="5"/>
    <col width="9" customWidth="1" min="6" max="6"/>
    <col width="9" customWidth="1" min="7" max="7"/>
    <col width="20" customWidth="1" min="8" max="8"/>
    <col width="12" customWidth="1" min="9" max="9"/>
    <col width="10" customWidth="1" min="10" max="10"/>
    <col width="12" customWidth="1" min="11" max="11"/>
  </cols>
  <sheetData>
    <row r="1" ht="26" customHeight="1">
      <c r="A1" s="8" t="inlineStr">
        <is>
          <t>Издадени спецификации — оригинални имиња</t>
        </is>
      </c>
    </row>
    <row r="2">
      <c r="A2" s="9" t="inlineStr">
        <is>
          <t>Issued Specifications — Original Names</t>
        </is>
      </c>
    </row>
    <row r="3" ht="32" customHeight="1">
      <c r="A3" s="10" t="inlineStr">
        <is>
          <t>Секоја издадена QCSP 001 спецификација за непреименувано име, транскрибирана точно како во документот (deliverables/Final_Docs_PDF/ImB_SPC/BASE_SPCs).  |  Every issued QCSP 001 specification for a not-renamed name, transcribed exactly as printed (deliverables/Final_Docs_PDF/ImB_SPC/BASE_SPCs).</t>
        </is>
      </c>
    </row>
    <row r="5" ht="30" customHeight="1">
      <c r="A5" s="11" t="inlineStr">
        <is>
          <t>Код | Code</t>
        </is>
      </c>
      <c r="B5" s="11" t="inlineStr">
        <is>
          <t>Име на сорта | Strain Name</t>
        </is>
      </c>
      <c r="C5" s="11" t="inlineStr">
        <is>
          <t>Класа | Grade</t>
        </is>
      </c>
      <c r="D5" s="11" t="inlineStr">
        <is>
          <t>Код на документ | Doc Code</t>
        </is>
      </c>
      <c r="E5" s="11" t="inlineStr">
        <is>
          <t>THC-опсег (%) | THC Range (%)</t>
        </is>
      </c>
      <c r="F5" s="11" t="inlineStr">
        <is>
          <t>THC мин. | Min</t>
        </is>
      </c>
      <c r="G5" s="11" t="inlineStr">
        <is>
          <t>THC макс. | Max</t>
        </is>
      </c>
      <c r="H5" s="11" t="inlineStr">
        <is>
          <t>Номинала (печатена) | Nominal (as printed)</t>
        </is>
      </c>
      <c r="I5" s="11" t="inlineStr">
        <is>
          <t>Номинала THC | Nominal THC</t>
        </is>
      </c>
      <c r="J5" s="11" t="inlineStr">
        <is>
          <t>Толеранција | Tolerance</t>
        </is>
      </c>
      <c r="K5" s="11" t="inlineStr">
        <is>
          <t>CBD лимит | CBD Limit</t>
        </is>
      </c>
    </row>
    <row r="6">
      <c r="A6" s="12" t="inlineStr">
        <is>
          <t>ACC</t>
        </is>
      </c>
      <c r="B6" s="12" t="inlineStr">
        <is>
          <t>AMNESIA CORE CUT</t>
        </is>
      </c>
      <c r="C6" s="12" t="inlineStr">
        <is>
          <t>Grade I</t>
        </is>
      </c>
      <c r="D6" s="12" t="inlineStr">
        <is>
          <t>QCSP 001_ACC-I_v.01</t>
        </is>
      </c>
      <c r="E6" s="12" t="inlineStr">
        <is>
          <t>27.00 – 30.00%</t>
        </is>
      </c>
      <c r="F6" s="13" t="n">
        <v>27</v>
      </c>
      <c r="G6" s="13" t="n">
        <v>30</v>
      </c>
      <c r="H6" s="12" t="inlineStr">
        <is>
          <t>28.50% ± 1.50%</t>
        </is>
      </c>
      <c r="I6" s="13" t="n">
        <v>28.5</v>
      </c>
      <c r="J6" s="13" t="n">
        <v>1.5</v>
      </c>
      <c r="K6" s="12" t="inlineStr">
        <is>
          <t>≤ 1.0%</t>
        </is>
      </c>
    </row>
    <row r="7">
      <c r="A7" s="14" t="inlineStr">
        <is>
          <t>ACC</t>
        </is>
      </c>
      <c r="B7" s="14" t="inlineStr">
        <is>
          <t>AMNESIA CORE CUT</t>
        </is>
      </c>
      <c r="C7" s="14" t="inlineStr">
        <is>
          <t>Grade II</t>
        </is>
      </c>
      <c r="D7" s="14" t="inlineStr">
        <is>
          <t>QCSP 001_ACC-II_v.01</t>
        </is>
      </c>
      <c r="E7" s="14" t="inlineStr">
        <is>
          <t>23.00 – 26.90%</t>
        </is>
      </c>
      <c r="F7" s="15" t="n">
        <v>23</v>
      </c>
      <c r="G7" s="15" t="n">
        <v>26.9</v>
      </c>
      <c r="H7" s="14" t="inlineStr">
        <is>
          <t>24.95% ± 1.95%</t>
        </is>
      </c>
      <c r="I7" s="15" t="n">
        <v>24.95</v>
      </c>
      <c r="J7" s="15" t="n">
        <v>1.95</v>
      </c>
      <c r="K7" s="14" t="inlineStr">
        <is>
          <t>≤ 1.0%</t>
        </is>
      </c>
    </row>
    <row r="8">
      <c r="A8" s="12" t="inlineStr">
        <is>
          <t>ACC</t>
        </is>
      </c>
      <c r="B8" s="12" t="inlineStr">
        <is>
          <t>AMNESIA CORE CUT</t>
        </is>
      </c>
      <c r="C8" s="12" t="inlineStr">
        <is>
          <t>Grade III</t>
        </is>
      </c>
      <c r="D8" s="12" t="inlineStr">
        <is>
          <t>QCSP 001_ACC-III_v.01</t>
        </is>
      </c>
      <c r="E8" s="12" t="inlineStr">
        <is>
          <t>16.00 – 22.90%</t>
        </is>
      </c>
      <c r="F8" s="13" t="n">
        <v>16</v>
      </c>
      <c r="G8" s="13" t="n">
        <v>22.9</v>
      </c>
      <c r="H8" s="12" t="inlineStr">
        <is>
          <t>19.45% ± 3.45%</t>
        </is>
      </c>
      <c r="I8" s="13" t="n">
        <v>19.45</v>
      </c>
      <c r="J8" s="13" t="n">
        <v>3.45</v>
      </c>
      <c r="K8" s="12" t="inlineStr">
        <is>
          <t>≤ 1.0%</t>
        </is>
      </c>
    </row>
    <row r="9">
      <c r="A9" s="14" t="inlineStr">
        <is>
          <t>ACC</t>
        </is>
      </c>
      <c r="B9" s="14" t="inlineStr">
        <is>
          <t>AMNESIA CORE CUT</t>
        </is>
      </c>
      <c r="C9" s="14" t="inlineStr">
        <is>
          <t>Grade IV</t>
        </is>
      </c>
      <c r="D9" s="14" t="inlineStr">
        <is>
          <t>QCSP 001_ACC-IV_v.01</t>
        </is>
      </c>
      <c r="E9" s="14" t="inlineStr">
        <is>
          <t>5.00 – 15.90%</t>
        </is>
      </c>
      <c r="F9" s="15" t="n">
        <v>5</v>
      </c>
      <c r="G9" s="15" t="n">
        <v>15.9</v>
      </c>
      <c r="H9" s="14" t="inlineStr">
        <is>
          <t>10.45% ± 5.45%</t>
        </is>
      </c>
      <c r="I9" s="15" t="n">
        <v>10.45</v>
      </c>
      <c r="J9" s="15" t="n">
        <v>5.45</v>
      </c>
      <c r="K9" s="14" t="inlineStr">
        <is>
          <t>≤ 1.0%</t>
        </is>
      </c>
    </row>
    <row r="10">
      <c r="A10" s="12" t="inlineStr">
        <is>
          <t>AA</t>
        </is>
      </c>
      <c r="B10" s="12" t="inlineStr">
        <is>
          <t>AMSTERDAM AMNESIA</t>
        </is>
      </c>
      <c r="C10" s="12" t="inlineStr">
        <is>
          <t>Grade I</t>
        </is>
      </c>
      <c r="D10" s="12" t="inlineStr">
        <is>
          <t>QCSP 001_AA-I_v.01</t>
        </is>
      </c>
      <c r="E10" s="12" t="inlineStr">
        <is>
          <t>27.00 – 30.00%</t>
        </is>
      </c>
      <c r="F10" s="13" t="n">
        <v>27</v>
      </c>
      <c r="G10" s="13" t="n">
        <v>30</v>
      </c>
      <c r="H10" s="12" t="inlineStr">
        <is>
          <t>28.50% ± 1.50%</t>
        </is>
      </c>
      <c r="I10" s="13" t="n">
        <v>28.5</v>
      </c>
      <c r="J10" s="13" t="n">
        <v>1.5</v>
      </c>
      <c r="K10" s="12" t="inlineStr">
        <is>
          <t>≤ 1.0%</t>
        </is>
      </c>
    </row>
    <row r="11">
      <c r="A11" s="14" t="inlineStr">
        <is>
          <t>AA</t>
        </is>
      </c>
      <c r="B11" s="14" t="inlineStr">
        <is>
          <t>AMSTERDAM AMNESIA</t>
        </is>
      </c>
      <c r="C11" s="14" t="inlineStr">
        <is>
          <t>Grade II</t>
        </is>
      </c>
      <c r="D11" s="14" t="inlineStr">
        <is>
          <t>QCSP 001_AA-II_v.01</t>
        </is>
      </c>
      <c r="E11" s="14" t="inlineStr">
        <is>
          <t>23.00 – 26.90%</t>
        </is>
      </c>
      <c r="F11" s="15" t="n">
        <v>23</v>
      </c>
      <c r="G11" s="15" t="n">
        <v>26.9</v>
      </c>
      <c r="H11" s="14" t="inlineStr">
        <is>
          <t>24.95% ± 1.95%</t>
        </is>
      </c>
      <c r="I11" s="15" t="n">
        <v>24.95</v>
      </c>
      <c r="J11" s="15" t="n">
        <v>1.95</v>
      </c>
      <c r="K11" s="14" t="inlineStr">
        <is>
          <t>≤ 1.0%</t>
        </is>
      </c>
    </row>
    <row r="12">
      <c r="A12" s="12" t="inlineStr">
        <is>
          <t>AA</t>
        </is>
      </c>
      <c r="B12" s="12" t="inlineStr">
        <is>
          <t>AMSTERDAM AMNESIA</t>
        </is>
      </c>
      <c r="C12" s="12" t="inlineStr">
        <is>
          <t>Grade III</t>
        </is>
      </c>
      <c r="D12" s="12" t="inlineStr">
        <is>
          <t>QCSP 001_AA-III_v.01</t>
        </is>
      </c>
      <c r="E12" s="12" t="inlineStr">
        <is>
          <t>16.00 – 22.90%</t>
        </is>
      </c>
      <c r="F12" s="13" t="n">
        <v>16</v>
      </c>
      <c r="G12" s="13" t="n">
        <v>22.9</v>
      </c>
      <c r="H12" s="12" t="inlineStr">
        <is>
          <t>19.45% ± 3.45%</t>
        </is>
      </c>
      <c r="I12" s="13" t="n">
        <v>19.45</v>
      </c>
      <c r="J12" s="13" t="n">
        <v>3.45</v>
      </c>
      <c r="K12" s="12" t="inlineStr">
        <is>
          <t>≤ 1.0%</t>
        </is>
      </c>
    </row>
    <row r="13">
      <c r="A13" s="14" t="inlineStr">
        <is>
          <t>AA</t>
        </is>
      </c>
      <c r="B13" s="14" t="inlineStr">
        <is>
          <t>AMSTERDAM AMNESIA</t>
        </is>
      </c>
      <c r="C13" s="14" t="inlineStr">
        <is>
          <t>Grade IV</t>
        </is>
      </c>
      <c r="D13" s="14" t="inlineStr">
        <is>
          <t>QCSP 001_AA-IV_v.01</t>
        </is>
      </c>
      <c r="E13" s="14" t="inlineStr">
        <is>
          <t>5.00 – 15.90%</t>
        </is>
      </c>
      <c r="F13" s="15" t="n">
        <v>5</v>
      </c>
      <c r="G13" s="15" t="n">
        <v>15.9</v>
      </c>
      <c r="H13" s="14" t="inlineStr">
        <is>
          <t>10.45% ± 5.45%</t>
        </is>
      </c>
      <c r="I13" s="15" t="n">
        <v>10.45</v>
      </c>
      <c r="J13" s="15" t="n">
        <v>5.45</v>
      </c>
      <c r="K13" s="14" t="inlineStr">
        <is>
          <t>≤ 1.0%</t>
        </is>
      </c>
    </row>
    <row r="14">
      <c r="A14" s="12" t="inlineStr">
        <is>
          <t>AB</t>
        </is>
      </c>
      <c r="B14" s="12" t="inlineStr">
        <is>
          <t>APPLES &amp; BANANAS</t>
        </is>
      </c>
      <c r="C14" s="12" t="inlineStr">
        <is>
          <t>Grade I</t>
        </is>
      </c>
      <c r="D14" s="12" t="inlineStr">
        <is>
          <t>QCSP 001_AB-I_v.01</t>
        </is>
      </c>
      <c r="E14" s="12" t="inlineStr">
        <is>
          <t>25.00 – 30.00%</t>
        </is>
      </c>
      <c r="F14" s="13" t="n">
        <v>25</v>
      </c>
      <c r="G14" s="13" t="n">
        <v>30</v>
      </c>
      <c r="H14" s="12" t="inlineStr">
        <is>
          <t>27.50% ± 2.50%</t>
        </is>
      </c>
      <c r="I14" s="13" t="n">
        <v>27.5</v>
      </c>
      <c r="J14" s="13" t="n">
        <v>2.5</v>
      </c>
      <c r="K14" s="12" t="inlineStr">
        <is>
          <t>≤ 1.0%</t>
        </is>
      </c>
    </row>
    <row r="15">
      <c r="A15" s="14" t="inlineStr">
        <is>
          <t>AB</t>
        </is>
      </c>
      <c r="B15" s="14" t="inlineStr">
        <is>
          <t>APPLES &amp; BANANAS</t>
        </is>
      </c>
      <c r="C15" s="14" t="inlineStr">
        <is>
          <t>Grade II</t>
        </is>
      </c>
      <c r="D15" s="14" t="inlineStr">
        <is>
          <t>QCSP 001_AB-II_v.01</t>
        </is>
      </c>
      <c r="E15" s="14" t="inlineStr">
        <is>
          <t>20.00 – 25.00%</t>
        </is>
      </c>
      <c r="F15" s="15" t="n">
        <v>20</v>
      </c>
      <c r="G15" s="15" t="n">
        <v>25</v>
      </c>
      <c r="H15" s="14" t="inlineStr">
        <is>
          <t>22.50% ± 2.50%</t>
        </is>
      </c>
      <c r="I15" s="15" t="n">
        <v>22.5</v>
      </c>
      <c r="J15" s="15" t="n">
        <v>2.5</v>
      </c>
      <c r="K15" s="14" t="inlineStr">
        <is>
          <t>≤ 1.0%</t>
        </is>
      </c>
    </row>
    <row r="16">
      <c r="A16" s="12" t="inlineStr">
        <is>
          <t>AB</t>
        </is>
      </c>
      <c r="B16" s="12" t="inlineStr">
        <is>
          <t>APPLES &amp; BANANAS</t>
        </is>
      </c>
      <c r="C16" s="12" t="inlineStr">
        <is>
          <t>Grade III</t>
        </is>
      </c>
      <c r="D16" s="12" t="inlineStr">
        <is>
          <t>QCSP 001_AB-III_v.01</t>
        </is>
      </c>
      <c r="E16" s="12" t="inlineStr">
        <is>
          <t>15.00 – 20.00%</t>
        </is>
      </c>
      <c r="F16" s="13" t="n">
        <v>15</v>
      </c>
      <c r="G16" s="13" t="n">
        <v>20</v>
      </c>
      <c r="H16" s="12" t="inlineStr">
        <is>
          <t>17.50% ± 2.50%</t>
        </is>
      </c>
      <c r="I16" s="13" t="n">
        <v>17.5</v>
      </c>
      <c r="J16" s="13" t="n">
        <v>2.5</v>
      </c>
      <c r="K16" s="12" t="inlineStr">
        <is>
          <t>≤ 1.0%</t>
        </is>
      </c>
    </row>
    <row r="17">
      <c r="A17" s="14" t="inlineStr">
        <is>
          <t>BB</t>
        </is>
      </c>
      <c r="B17" s="14" t="inlineStr">
        <is>
          <t>BANANA BLAZE</t>
        </is>
      </c>
      <c r="C17" s="14" t="inlineStr">
        <is>
          <t>Grade I</t>
        </is>
      </c>
      <c r="D17" s="14" t="inlineStr">
        <is>
          <t>QCSP 001_BB-I_v.01</t>
        </is>
      </c>
      <c r="E17" s="14" t="inlineStr">
        <is>
          <t>27.00 – 30.00%</t>
        </is>
      </c>
      <c r="F17" s="15" t="n">
        <v>27</v>
      </c>
      <c r="G17" s="15" t="n">
        <v>30</v>
      </c>
      <c r="H17" s="14" t="inlineStr">
        <is>
          <t>28.50% ± 1.50%</t>
        </is>
      </c>
      <c r="I17" s="15" t="n">
        <v>28.5</v>
      </c>
      <c r="J17" s="15" t="n">
        <v>1.5</v>
      </c>
      <c r="K17" s="14" t="inlineStr">
        <is>
          <t>≤ 1.0%</t>
        </is>
      </c>
    </row>
    <row r="18">
      <c r="A18" s="12" t="inlineStr">
        <is>
          <t>BB</t>
        </is>
      </c>
      <c r="B18" s="12" t="inlineStr">
        <is>
          <t>BANANA BLAZE</t>
        </is>
      </c>
      <c r="C18" s="12" t="inlineStr">
        <is>
          <t>Grade II</t>
        </is>
      </c>
      <c r="D18" s="12" t="inlineStr">
        <is>
          <t>QCSP 001_BB-II_v.01</t>
        </is>
      </c>
      <c r="E18" s="12" t="inlineStr">
        <is>
          <t>23.00 – 26.90%</t>
        </is>
      </c>
      <c r="F18" s="13" t="n">
        <v>23</v>
      </c>
      <c r="G18" s="13" t="n">
        <v>26.9</v>
      </c>
      <c r="H18" s="12" t="inlineStr">
        <is>
          <t>24.95% ± 1.95%</t>
        </is>
      </c>
      <c r="I18" s="13" t="n">
        <v>24.95</v>
      </c>
      <c r="J18" s="13" t="n">
        <v>1.95</v>
      </c>
      <c r="K18" s="12" t="inlineStr">
        <is>
          <t>≤ 1.0%</t>
        </is>
      </c>
    </row>
    <row r="19">
      <c r="A19" s="14" t="inlineStr">
        <is>
          <t>BB</t>
        </is>
      </c>
      <c r="B19" s="14" t="inlineStr">
        <is>
          <t>BANANA BLAZE</t>
        </is>
      </c>
      <c r="C19" s="14" t="inlineStr">
        <is>
          <t>Grade III</t>
        </is>
      </c>
      <c r="D19" s="14" t="inlineStr">
        <is>
          <t>QCSP 001_BB-III_v.01</t>
        </is>
      </c>
      <c r="E19" s="14" t="inlineStr">
        <is>
          <t>16.00 – 22.90%</t>
        </is>
      </c>
      <c r="F19" s="15" t="n">
        <v>16</v>
      </c>
      <c r="G19" s="15" t="n">
        <v>22.9</v>
      </c>
      <c r="H19" s="14" t="inlineStr">
        <is>
          <t>19.45% ± 3.45%</t>
        </is>
      </c>
      <c r="I19" s="15" t="n">
        <v>19.45</v>
      </c>
      <c r="J19" s="15" t="n">
        <v>3.45</v>
      </c>
      <c r="K19" s="14" t="inlineStr">
        <is>
          <t>≤ 1.0%</t>
        </is>
      </c>
    </row>
    <row r="20">
      <c r="A20" s="12" t="inlineStr">
        <is>
          <t>BB</t>
        </is>
      </c>
      <c r="B20" s="12" t="inlineStr">
        <is>
          <t>BANANA BLAZE</t>
        </is>
      </c>
      <c r="C20" s="12" t="inlineStr">
        <is>
          <t>Grade IV</t>
        </is>
      </c>
      <c r="D20" s="12" t="inlineStr">
        <is>
          <t>QCSP 001_BB-IV_v.01</t>
        </is>
      </c>
      <c r="E20" s="12" t="inlineStr">
        <is>
          <t>5.00 – 15.90%</t>
        </is>
      </c>
      <c r="F20" s="13" t="n">
        <v>5</v>
      </c>
      <c r="G20" s="13" t="n">
        <v>15.9</v>
      </c>
      <c r="H20" s="12" t="inlineStr">
        <is>
          <t>10.45% ± 5.45%</t>
        </is>
      </c>
      <c r="I20" s="13" t="n">
        <v>10.45</v>
      </c>
      <c r="J20" s="13" t="n">
        <v>5.45</v>
      </c>
      <c r="K20" s="12" t="inlineStr">
        <is>
          <t>≤ 1.0%</t>
        </is>
      </c>
    </row>
    <row r="21">
      <c r="A21" s="14" t="inlineStr">
        <is>
          <t>BG</t>
        </is>
      </c>
      <c r="B21" s="14" t="inlineStr">
        <is>
          <t>BLUE GELATO</t>
        </is>
      </c>
      <c r="C21" s="14" t="inlineStr">
        <is>
          <t>Grade I</t>
        </is>
      </c>
      <c r="D21" s="14" t="inlineStr">
        <is>
          <t>QCSP 001_BG-I_v.01</t>
        </is>
      </c>
      <c r="E21" s="14" t="inlineStr">
        <is>
          <t>25.25 – 30.00%</t>
        </is>
      </c>
      <c r="F21" s="15" t="n">
        <v>25.25</v>
      </c>
      <c r="G21" s="15" t="n">
        <v>30</v>
      </c>
      <c r="H21" s="14" t="inlineStr">
        <is>
          <t>27.50% ± 2.38%</t>
        </is>
      </c>
      <c r="I21" s="15" t="n">
        <v>27.5</v>
      </c>
      <c r="J21" s="15" t="n">
        <v>2.38</v>
      </c>
      <c r="K21" s="14" t="inlineStr">
        <is>
          <t>≤ 1.0%</t>
        </is>
      </c>
    </row>
    <row r="22">
      <c r="A22" s="12" t="inlineStr">
        <is>
          <t>BG</t>
        </is>
      </c>
      <c r="B22" s="12" t="inlineStr">
        <is>
          <t>BLUE GELATO</t>
        </is>
      </c>
      <c r="C22" s="12" t="inlineStr">
        <is>
          <t>Grade II</t>
        </is>
      </c>
      <c r="D22" s="12" t="inlineStr">
        <is>
          <t>QCSP 001_BG-II_v.01</t>
        </is>
      </c>
      <c r="E22" s="12" t="inlineStr">
        <is>
          <t>20.80 – 25.25%</t>
        </is>
      </c>
      <c r="F22" s="13" t="n">
        <v>20.8</v>
      </c>
      <c r="G22" s="13" t="n">
        <v>25.25</v>
      </c>
      <c r="H22" s="12" t="inlineStr">
        <is>
          <t>23.00% ± 2.22%</t>
        </is>
      </c>
      <c r="I22" s="13" t="n">
        <v>23</v>
      </c>
      <c r="J22" s="13" t="n">
        <v>2.22</v>
      </c>
      <c r="K22" s="12" t="inlineStr">
        <is>
          <t>≤ 1.0%</t>
        </is>
      </c>
    </row>
    <row r="23">
      <c r="A23" s="14" t="inlineStr">
        <is>
          <t>BSS</t>
        </is>
      </c>
      <c r="B23" s="14" t="inlineStr">
        <is>
          <t>BLUE SUNSET SHERBET</t>
        </is>
      </c>
      <c r="C23" s="14" t="inlineStr">
        <is>
          <t>Grade I</t>
        </is>
      </c>
      <c r="D23" s="14" t="inlineStr">
        <is>
          <t>QCSP 001_BSS-I_v.01</t>
        </is>
      </c>
      <c r="E23" s="14" t="inlineStr">
        <is>
          <t>24.75 – 30.00%</t>
        </is>
      </c>
      <c r="F23" s="15" t="n">
        <v>24.75</v>
      </c>
      <c r="G23" s="15" t="n">
        <v>30</v>
      </c>
      <c r="H23" s="14" t="inlineStr">
        <is>
          <t>27.50% ± 2.63%</t>
        </is>
      </c>
      <c r="I23" s="15" t="n">
        <v>27.5</v>
      </c>
      <c r="J23" s="15" t="n">
        <v>2.63</v>
      </c>
      <c r="K23" s="14" t="inlineStr">
        <is>
          <t>≤ 1.0%</t>
        </is>
      </c>
    </row>
    <row r="24">
      <c r="A24" s="12" t="inlineStr">
        <is>
          <t>BSS</t>
        </is>
      </c>
      <c r="B24" s="12" t="inlineStr">
        <is>
          <t>BLUE SUNSET SHERBET</t>
        </is>
      </c>
      <c r="C24" s="12" t="inlineStr">
        <is>
          <t>Grade II</t>
        </is>
      </c>
      <c r="D24" s="12" t="inlineStr">
        <is>
          <t>QCSP 001_BSS-II_v.01</t>
        </is>
      </c>
      <c r="E24" s="12" t="inlineStr">
        <is>
          <t>19.39 – 24.75%</t>
        </is>
      </c>
      <c r="F24" s="13" t="n">
        <v>19.39</v>
      </c>
      <c r="G24" s="13" t="n">
        <v>24.75</v>
      </c>
      <c r="H24" s="12" t="inlineStr">
        <is>
          <t>22.00% ± 2.68%</t>
        </is>
      </c>
      <c r="I24" s="13" t="n">
        <v>22</v>
      </c>
      <c r="J24" s="13" t="n">
        <v>2.68</v>
      </c>
      <c r="K24" s="12" t="inlineStr">
        <is>
          <t>≤ 1.0%</t>
        </is>
      </c>
    </row>
    <row r="25">
      <c r="A25" s="14" t="inlineStr">
        <is>
          <t>CJ</t>
        </is>
      </c>
      <c r="B25" s="14" t="inlineStr">
        <is>
          <t>CAP JUNKY</t>
        </is>
      </c>
      <c r="C25" s="14" t="inlineStr">
        <is>
          <t>Grade I</t>
        </is>
      </c>
      <c r="D25" s="14" t="inlineStr">
        <is>
          <t>QCSP 001_CJ-I_v.01</t>
        </is>
      </c>
      <c r="E25" s="14" t="inlineStr">
        <is>
          <t>25.25 – 30.00%</t>
        </is>
      </c>
      <c r="F25" s="15" t="n">
        <v>25.25</v>
      </c>
      <c r="G25" s="15" t="n">
        <v>30</v>
      </c>
      <c r="H25" s="14" t="inlineStr">
        <is>
          <t>28.00% ± 2.38%</t>
        </is>
      </c>
      <c r="I25" s="15" t="n">
        <v>28</v>
      </c>
      <c r="J25" s="15" t="n">
        <v>2.38</v>
      </c>
      <c r="K25" s="14" t="inlineStr">
        <is>
          <t>≤ 1.0%</t>
        </is>
      </c>
    </row>
    <row r="26">
      <c r="A26" s="12" t="inlineStr">
        <is>
          <t>CJ</t>
        </is>
      </c>
      <c r="B26" s="12" t="inlineStr">
        <is>
          <t>CAP JUNKY</t>
        </is>
      </c>
      <c r="C26" s="12" t="inlineStr">
        <is>
          <t>Grade II</t>
        </is>
      </c>
      <c r="D26" s="12" t="inlineStr">
        <is>
          <t>QCSP 001_CJ-II_v.01</t>
        </is>
      </c>
      <c r="E26" s="12" t="inlineStr">
        <is>
          <t>19.75 – 25.25%</t>
        </is>
      </c>
      <c r="F26" s="13" t="n">
        <v>19.75</v>
      </c>
      <c r="G26" s="13" t="n">
        <v>25.25</v>
      </c>
      <c r="H26" s="12" t="inlineStr">
        <is>
          <t>22.50% ± 2.75%</t>
        </is>
      </c>
      <c r="I26" s="13" t="n">
        <v>22.5</v>
      </c>
      <c r="J26" s="13" t="n">
        <v>2.75</v>
      </c>
      <c r="K26" s="12" t="inlineStr">
        <is>
          <t>≤ 1.0%</t>
        </is>
      </c>
    </row>
    <row r="27">
      <c r="A27" s="14" t="inlineStr">
        <is>
          <t>CJ</t>
        </is>
      </c>
      <c r="B27" s="14" t="inlineStr">
        <is>
          <t>CAP JUNKY</t>
        </is>
      </c>
      <c r="C27" s="14" t="inlineStr">
        <is>
          <t>Grade III</t>
        </is>
      </c>
      <c r="D27" s="14" t="inlineStr">
        <is>
          <t>QCSP 001_CJ-III_v.01</t>
        </is>
      </c>
      <c r="E27" s="14" t="inlineStr">
        <is>
          <t>13.93 – 19.75%</t>
        </is>
      </c>
      <c r="F27" s="15" t="n">
        <v>13.93</v>
      </c>
      <c r="G27" s="15" t="n">
        <v>19.75</v>
      </c>
      <c r="H27" s="14" t="inlineStr">
        <is>
          <t>17.00% ± 2.91%</t>
        </is>
      </c>
      <c r="I27" s="15" t="n">
        <v>17</v>
      </c>
      <c r="J27" s="15" t="n">
        <v>2.91</v>
      </c>
      <c r="K27" s="14" t="inlineStr">
        <is>
          <t>≤ 1.0%</t>
        </is>
      </c>
    </row>
    <row r="28">
      <c r="A28" s="12" t="inlineStr">
        <is>
          <t>CC</t>
        </is>
      </c>
      <c r="B28" s="12" t="inlineStr">
        <is>
          <t>CASH COW</t>
        </is>
      </c>
      <c r="C28" s="12" t="inlineStr">
        <is>
          <t>Grade I</t>
        </is>
      </c>
      <c r="D28" s="12" t="inlineStr">
        <is>
          <t>QCSP 001_CC-I_v.01</t>
        </is>
      </c>
      <c r="E28" s="12" t="inlineStr">
        <is>
          <t>25.50 – 30.00%</t>
        </is>
      </c>
      <c r="F28" s="13" t="n">
        <v>25.5</v>
      </c>
      <c r="G28" s="13" t="n">
        <v>30</v>
      </c>
      <c r="H28" s="12" t="inlineStr">
        <is>
          <t>28.00% ± 2.25%</t>
        </is>
      </c>
      <c r="I28" s="13" t="n">
        <v>28</v>
      </c>
      <c r="J28" s="13" t="n">
        <v>2.25</v>
      </c>
      <c r="K28" s="12" t="inlineStr">
        <is>
          <t>≤ 1.0%</t>
        </is>
      </c>
    </row>
    <row r="29">
      <c r="A29" s="14" t="inlineStr">
        <is>
          <t>CC</t>
        </is>
      </c>
      <c r="B29" s="14" t="inlineStr">
        <is>
          <t>CASH COW</t>
        </is>
      </c>
      <c r="C29" s="14" t="inlineStr">
        <is>
          <t>Grade II</t>
        </is>
      </c>
      <c r="D29" s="14" t="inlineStr">
        <is>
          <t>QCSP 001_CC-II_v.01</t>
        </is>
      </c>
      <c r="E29" s="14" t="inlineStr">
        <is>
          <t>20.50 – 25.50%</t>
        </is>
      </c>
      <c r="F29" s="15" t="n">
        <v>20.5</v>
      </c>
      <c r="G29" s="15" t="n">
        <v>25.5</v>
      </c>
      <c r="H29" s="14" t="inlineStr">
        <is>
          <t>23.00% ± 2.50%</t>
        </is>
      </c>
      <c r="I29" s="15" t="n">
        <v>23</v>
      </c>
      <c r="J29" s="15" t="n">
        <v>2.5</v>
      </c>
      <c r="K29" s="14" t="inlineStr">
        <is>
          <t>≤ 1.0%</t>
        </is>
      </c>
    </row>
    <row r="30">
      <c r="A30" s="12" t="inlineStr">
        <is>
          <t>CC</t>
        </is>
      </c>
      <c r="B30" s="12" t="inlineStr">
        <is>
          <t>CASH COW</t>
        </is>
      </c>
      <c r="C30" s="12" t="inlineStr">
        <is>
          <t>Grade III</t>
        </is>
      </c>
      <c r="D30" s="12" t="inlineStr">
        <is>
          <t>QCSP 001_CC-III_v.01</t>
        </is>
      </c>
      <c r="E30" s="12" t="inlineStr">
        <is>
          <t>15.50 – 20.50%</t>
        </is>
      </c>
      <c r="F30" s="13" t="n">
        <v>15.5</v>
      </c>
      <c r="G30" s="13" t="n">
        <v>20.5</v>
      </c>
      <c r="H30" s="12" t="inlineStr">
        <is>
          <t>18.00% ± 2.50%</t>
        </is>
      </c>
      <c r="I30" s="13" t="n">
        <v>18</v>
      </c>
      <c r="J30" s="13" t="n">
        <v>2.5</v>
      </c>
      <c r="K30" s="12" t="inlineStr">
        <is>
          <t>≤ 1.0%</t>
        </is>
      </c>
    </row>
    <row r="31">
      <c r="A31" s="14" t="inlineStr">
        <is>
          <t>CHA</t>
        </is>
      </c>
      <c r="B31" s="14" t="inlineStr">
        <is>
          <t>CBD CHARLOTTE'S ANGEL</t>
        </is>
      </c>
      <c r="C31" s="14" t="inlineStr">
        <is>
          <t>Grade I</t>
        </is>
      </c>
      <c r="D31" s="14" t="inlineStr">
        <is>
          <t>QCSP 001_CHA-I_v.01</t>
        </is>
      </c>
      <c r="E31" s="14" t="inlineStr">
        <is>
          <t>27.00 – 30.00%</t>
        </is>
      </c>
      <c r="F31" s="15" t="n">
        <v>27</v>
      </c>
      <c r="G31" s="15" t="n">
        <v>30</v>
      </c>
      <c r="H31" s="14" t="inlineStr">
        <is>
          <t>28.50% ± 1.50%</t>
        </is>
      </c>
      <c r="I31" s="15" t="n">
        <v>28.5</v>
      </c>
      <c r="J31" s="15" t="n">
        <v>1.5</v>
      </c>
      <c r="K31" s="14" t="inlineStr">
        <is>
          <t>≤ 1.0%</t>
        </is>
      </c>
    </row>
    <row r="32">
      <c r="A32" s="12" t="inlineStr">
        <is>
          <t>CHA</t>
        </is>
      </c>
      <c r="B32" s="12" t="inlineStr">
        <is>
          <t>CBD CHARLOTTE'S ANGEL</t>
        </is>
      </c>
      <c r="C32" s="12" t="inlineStr">
        <is>
          <t>Grade II</t>
        </is>
      </c>
      <c r="D32" s="12" t="inlineStr">
        <is>
          <t>QCSP 001_CHA-II_v.01</t>
        </is>
      </c>
      <c r="E32" s="12" t="inlineStr">
        <is>
          <t>23.00 – 26.90%</t>
        </is>
      </c>
      <c r="F32" s="13" t="n">
        <v>23</v>
      </c>
      <c r="G32" s="13" t="n">
        <v>26.9</v>
      </c>
      <c r="H32" s="12" t="inlineStr">
        <is>
          <t>24.95% ± 1.95%</t>
        </is>
      </c>
      <c r="I32" s="13" t="n">
        <v>24.95</v>
      </c>
      <c r="J32" s="13" t="n">
        <v>1.95</v>
      </c>
      <c r="K32" s="12" t="inlineStr">
        <is>
          <t>≤ 1.0%</t>
        </is>
      </c>
    </row>
    <row r="33">
      <c r="A33" s="14" t="inlineStr">
        <is>
          <t>CHA</t>
        </is>
      </c>
      <c r="B33" s="14" t="inlineStr">
        <is>
          <t>CBD CHARLOTTE'S ANGEL</t>
        </is>
      </c>
      <c r="C33" s="14" t="inlineStr">
        <is>
          <t>Grade III</t>
        </is>
      </c>
      <c r="D33" s="14" t="inlineStr">
        <is>
          <t>QCSP 001_CHA-III_v.01</t>
        </is>
      </c>
      <c r="E33" s="14" t="inlineStr">
        <is>
          <t>16.00 – 22.90%</t>
        </is>
      </c>
      <c r="F33" s="15" t="n">
        <v>16</v>
      </c>
      <c r="G33" s="15" t="n">
        <v>22.9</v>
      </c>
      <c r="H33" s="14" t="inlineStr">
        <is>
          <t>19.45% ± 3.45%</t>
        </is>
      </c>
      <c r="I33" s="15" t="n">
        <v>19.45</v>
      </c>
      <c r="J33" s="15" t="n">
        <v>3.45</v>
      </c>
      <c r="K33" s="14" t="inlineStr">
        <is>
          <t>≤ 1.0%</t>
        </is>
      </c>
    </row>
    <row r="34">
      <c r="A34" s="12" t="inlineStr">
        <is>
          <t>CHA</t>
        </is>
      </c>
      <c r="B34" s="12" t="inlineStr">
        <is>
          <t>CBD CHARLOTTE'S ANGEL</t>
        </is>
      </c>
      <c r="C34" s="12" t="inlineStr">
        <is>
          <t>Grade IV</t>
        </is>
      </c>
      <c r="D34" s="12" t="inlineStr">
        <is>
          <t>QCSP 001_CHA-IV_v.01</t>
        </is>
      </c>
      <c r="E34" s="12" t="inlineStr">
        <is>
          <t>5.00 – 15.90%</t>
        </is>
      </c>
      <c r="F34" s="13" t="n">
        <v>5</v>
      </c>
      <c r="G34" s="13" t="n">
        <v>15.9</v>
      </c>
      <c r="H34" s="12" t="inlineStr">
        <is>
          <t>10.45% ± 5.45%</t>
        </is>
      </c>
      <c r="I34" s="13" t="n">
        <v>10.45</v>
      </c>
      <c r="J34" s="13" t="n">
        <v>5.45</v>
      </c>
      <c r="K34" s="12" t="inlineStr">
        <is>
          <t>≤ 1.0%</t>
        </is>
      </c>
    </row>
    <row r="35">
      <c r="A35" s="14" t="inlineStr">
        <is>
          <t>CF</t>
        </is>
      </c>
      <c r="B35" s="14" t="inlineStr">
        <is>
          <t>CHEM FLYER</t>
        </is>
      </c>
      <c r="C35" s="14" t="inlineStr">
        <is>
          <t>Grade I</t>
        </is>
      </c>
      <c r="D35" s="14" t="inlineStr">
        <is>
          <t>QCSP 001_CF-I_v.01</t>
        </is>
      </c>
      <c r="E35" s="14" t="inlineStr">
        <is>
          <t>27.00 – 30.00%</t>
        </is>
      </c>
      <c r="F35" s="15" t="n">
        <v>27</v>
      </c>
      <c r="G35" s="15" t="n">
        <v>30</v>
      </c>
      <c r="H35" s="14" t="inlineStr">
        <is>
          <t>28.50% ± 1.50%</t>
        </is>
      </c>
      <c r="I35" s="15" t="n">
        <v>28.5</v>
      </c>
      <c r="J35" s="15" t="n">
        <v>1.5</v>
      </c>
      <c r="K35" s="14" t="inlineStr">
        <is>
          <t>≤ 1.0%</t>
        </is>
      </c>
    </row>
    <row r="36">
      <c r="A36" s="12" t="inlineStr">
        <is>
          <t>CF</t>
        </is>
      </c>
      <c r="B36" s="12" t="inlineStr">
        <is>
          <t>CHEM FLYER</t>
        </is>
      </c>
      <c r="C36" s="12" t="inlineStr">
        <is>
          <t>Grade II</t>
        </is>
      </c>
      <c r="D36" s="12" t="inlineStr">
        <is>
          <t>QCSP 001_CF-II_v.01</t>
        </is>
      </c>
      <c r="E36" s="12" t="inlineStr">
        <is>
          <t>23.00 – 26.90%</t>
        </is>
      </c>
      <c r="F36" s="13" t="n">
        <v>23</v>
      </c>
      <c r="G36" s="13" t="n">
        <v>26.9</v>
      </c>
      <c r="H36" s="12" t="inlineStr">
        <is>
          <t>24.95% ± 1.95%</t>
        </is>
      </c>
      <c r="I36" s="13" t="n">
        <v>24.95</v>
      </c>
      <c r="J36" s="13" t="n">
        <v>1.95</v>
      </c>
      <c r="K36" s="12" t="inlineStr">
        <is>
          <t>≤ 1.0%</t>
        </is>
      </c>
    </row>
    <row r="37">
      <c r="A37" s="14" t="inlineStr">
        <is>
          <t>CF</t>
        </is>
      </c>
      <c r="B37" s="14" t="inlineStr">
        <is>
          <t>CHEM FLYER</t>
        </is>
      </c>
      <c r="C37" s="14" t="inlineStr">
        <is>
          <t>Grade III</t>
        </is>
      </c>
      <c r="D37" s="14" t="inlineStr">
        <is>
          <t>QCSP 001_CF-III_v.01</t>
        </is>
      </c>
      <c r="E37" s="14" t="inlineStr">
        <is>
          <t>16.00 – 22.90%</t>
        </is>
      </c>
      <c r="F37" s="15" t="n">
        <v>16</v>
      </c>
      <c r="G37" s="15" t="n">
        <v>22.9</v>
      </c>
      <c r="H37" s="14" t="inlineStr">
        <is>
          <t>19.45% ± 3.45%</t>
        </is>
      </c>
      <c r="I37" s="15" t="n">
        <v>19.45</v>
      </c>
      <c r="J37" s="15" t="n">
        <v>3.45</v>
      </c>
      <c r="K37" s="14" t="inlineStr">
        <is>
          <t>≤ 1.0%</t>
        </is>
      </c>
    </row>
    <row r="38">
      <c r="A38" s="12" t="inlineStr">
        <is>
          <t>CF</t>
        </is>
      </c>
      <c r="B38" s="12" t="inlineStr">
        <is>
          <t>CHEM FLYER</t>
        </is>
      </c>
      <c r="C38" s="12" t="inlineStr">
        <is>
          <t>Grade IV</t>
        </is>
      </c>
      <c r="D38" s="12" t="inlineStr">
        <is>
          <t>QCSP 001_CF-IV_v.01</t>
        </is>
      </c>
      <c r="E38" s="12" t="inlineStr">
        <is>
          <t>5.00 – 15.90%</t>
        </is>
      </c>
      <c r="F38" s="13" t="n">
        <v>5</v>
      </c>
      <c r="G38" s="13" t="n">
        <v>15.9</v>
      </c>
      <c r="H38" s="12" t="inlineStr">
        <is>
          <t>10.45% ± 5.45%</t>
        </is>
      </c>
      <c r="I38" s="13" t="n">
        <v>10.45</v>
      </c>
      <c r="J38" s="13" t="n">
        <v>5.45</v>
      </c>
      <c r="K38" s="12" t="inlineStr">
        <is>
          <t>≤ 1.0%</t>
        </is>
      </c>
    </row>
    <row r="39">
      <c r="A39" s="14" t="inlineStr">
        <is>
          <t>CLE</t>
        </is>
      </c>
      <c r="B39" s="14" t="inlineStr">
        <is>
          <t>CLEMOSA</t>
        </is>
      </c>
      <c r="C39" s="14" t="inlineStr">
        <is>
          <t>Grade I</t>
        </is>
      </c>
      <c r="D39" s="14" t="inlineStr">
        <is>
          <t>QCSP 001_CLE-I_v.01</t>
        </is>
      </c>
      <c r="E39" s="14" t="inlineStr">
        <is>
          <t>25.00 – 30.00%</t>
        </is>
      </c>
      <c r="F39" s="15" t="n">
        <v>25</v>
      </c>
      <c r="G39" s="15" t="n">
        <v>30</v>
      </c>
      <c r="H39" s="14" t="inlineStr">
        <is>
          <t>27.50% ± 2.50%</t>
        </is>
      </c>
      <c r="I39" s="15" t="n">
        <v>27.5</v>
      </c>
      <c r="J39" s="15" t="n">
        <v>2.5</v>
      </c>
      <c r="K39" s="14" t="inlineStr">
        <is>
          <t>≤ 1.0%</t>
        </is>
      </c>
    </row>
    <row r="40">
      <c r="A40" s="12" t="inlineStr">
        <is>
          <t>CLE</t>
        </is>
      </c>
      <c r="B40" s="12" t="inlineStr">
        <is>
          <t>CLEMOSA</t>
        </is>
      </c>
      <c r="C40" s="12" t="inlineStr">
        <is>
          <t>Grade II</t>
        </is>
      </c>
      <c r="D40" s="12" t="inlineStr">
        <is>
          <t>QCSP 001_CLE-II_v.01</t>
        </is>
      </c>
      <c r="E40" s="12" t="inlineStr">
        <is>
          <t>20.00 – 25.00%</t>
        </is>
      </c>
      <c r="F40" s="13" t="n">
        <v>20</v>
      </c>
      <c r="G40" s="13" t="n">
        <v>25</v>
      </c>
      <c r="H40" s="12" t="inlineStr">
        <is>
          <t>22.50% ± 2.50%</t>
        </is>
      </c>
      <c r="I40" s="13" t="n">
        <v>22.5</v>
      </c>
      <c r="J40" s="13" t="n">
        <v>2.5</v>
      </c>
      <c r="K40" s="12" t="inlineStr">
        <is>
          <t>≤ 1.0%</t>
        </is>
      </c>
    </row>
    <row r="41">
      <c r="A41" s="14" t="inlineStr">
        <is>
          <t>CLE</t>
        </is>
      </c>
      <c r="B41" s="14" t="inlineStr">
        <is>
          <t>CLEMOSA</t>
        </is>
      </c>
      <c r="C41" s="14" t="inlineStr">
        <is>
          <t>Grade III</t>
        </is>
      </c>
      <c r="D41" s="14" t="inlineStr">
        <is>
          <t>QCSP 001_CLE-III_v.01</t>
        </is>
      </c>
      <c r="E41" s="14" t="inlineStr">
        <is>
          <t>15.00 – 20.00%</t>
        </is>
      </c>
      <c r="F41" s="15" t="n">
        <v>15</v>
      </c>
      <c r="G41" s="15" t="n">
        <v>20</v>
      </c>
      <c r="H41" s="14" t="inlineStr">
        <is>
          <t>17.50% ± 2.50%</t>
        </is>
      </c>
      <c r="I41" s="15" t="n">
        <v>17.5</v>
      </c>
      <c r="J41" s="15" t="n">
        <v>2.5</v>
      </c>
      <c r="K41" s="14" t="inlineStr">
        <is>
          <t>≤ 1.0%</t>
        </is>
      </c>
    </row>
    <row r="42">
      <c r="A42" s="12" t="inlineStr">
        <is>
          <t>CLE</t>
        </is>
      </c>
      <c r="B42" s="12" t="inlineStr">
        <is>
          <t>CLEMOSA</t>
        </is>
      </c>
      <c r="C42" s="12" t="inlineStr">
        <is>
          <t>Grade IV</t>
        </is>
      </c>
      <c r="D42" s="12" t="inlineStr">
        <is>
          <t>QCSP 001_CLE-IV_v.01</t>
        </is>
      </c>
      <c r="E42" s="12" t="inlineStr">
        <is>
          <t>10.00 – 15.00%</t>
        </is>
      </c>
      <c r="F42" s="13" t="n">
        <v>10</v>
      </c>
      <c r="G42" s="13" t="n">
        <v>15</v>
      </c>
      <c r="H42" s="12" t="inlineStr">
        <is>
          <t>12.50% ± 2.50%</t>
        </is>
      </c>
      <c r="I42" s="13" t="n">
        <v>12.5</v>
      </c>
      <c r="J42" s="13" t="n">
        <v>2.5</v>
      </c>
      <c r="K42" s="12" t="inlineStr">
        <is>
          <t>≤ 1.0%</t>
        </is>
      </c>
    </row>
    <row r="43">
      <c r="A43" s="14" t="inlineStr">
        <is>
          <t>CLE</t>
        </is>
      </c>
      <c r="B43" s="14" t="inlineStr">
        <is>
          <t>CLEMOSA</t>
        </is>
      </c>
      <c r="C43" s="14" t="inlineStr">
        <is>
          <t>Grade V</t>
        </is>
      </c>
      <c r="D43" s="14" t="inlineStr">
        <is>
          <t>QCSP 001_CLE-V_v.01</t>
        </is>
      </c>
      <c r="E43" s="14" t="inlineStr">
        <is>
          <t>5.00 – 10.00%</t>
        </is>
      </c>
      <c r="F43" s="15" t="n">
        <v>5</v>
      </c>
      <c r="G43" s="15" t="n">
        <v>10</v>
      </c>
      <c r="H43" s="14" t="inlineStr">
        <is>
          <t>7.50% ± 2.50%</t>
        </is>
      </c>
      <c r="I43" s="15" t="n">
        <v>7.5</v>
      </c>
      <c r="J43" s="15" t="n">
        <v>2.5</v>
      </c>
      <c r="K43" s="14" t="inlineStr">
        <is>
          <t>≤ 1.0%</t>
        </is>
      </c>
    </row>
    <row r="44">
      <c r="A44" s="12" t="inlineStr">
        <is>
          <t>WED</t>
        </is>
      </c>
      <c r="B44" s="12" t="inlineStr">
        <is>
          <t>COC WEDDING CAKE</t>
        </is>
      </c>
      <c r="C44" s="12" t="inlineStr">
        <is>
          <t>Grade I</t>
        </is>
      </c>
      <c r="D44" s="12" t="inlineStr">
        <is>
          <t>QCSP 001_WED-I_v.01</t>
        </is>
      </c>
      <c r="E44" s="12" t="inlineStr">
        <is>
          <t>27.00 – 30.00%</t>
        </is>
      </c>
      <c r="F44" s="13" t="n">
        <v>27</v>
      </c>
      <c r="G44" s="13" t="n">
        <v>30</v>
      </c>
      <c r="H44" s="12" t="inlineStr">
        <is>
          <t>28.50% ± 1.50%</t>
        </is>
      </c>
      <c r="I44" s="13" t="n">
        <v>28.5</v>
      </c>
      <c r="J44" s="13" t="n">
        <v>1.5</v>
      </c>
      <c r="K44" s="12" t="inlineStr">
        <is>
          <t>≤ 1.0%</t>
        </is>
      </c>
    </row>
    <row r="45">
      <c r="A45" s="14" t="inlineStr">
        <is>
          <t>WED</t>
        </is>
      </c>
      <c r="B45" s="14" t="inlineStr">
        <is>
          <t>COC WEDDING CAKE</t>
        </is>
      </c>
      <c r="C45" s="14" t="inlineStr">
        <is>
          <t>Grade II</t>
        </is>
      </c>
      <c r="D45" s="14" t="inlineStr">
        <is>
          <t>QCSP 001_WED-II_v.01</t>
        </is>
      </c>
      <c r="E45" s="14" t="inlineStr">
        <is>
          <t>23.00 – 26.90%</t>
        </is>
      </c>
      <c r="F45" s="15" t="n">
        <v>23</v>
      </c>
      <c r="G45" s="15" t="n">
        <v>26.9</v>
      </c>
      <c r="H45" s="14" t="inlineStr">
        <is>
          <t>24.95% ± 1.95%</t>
        </is>
      </c>
      <c r="I45" s="15" t="n">
        <v>24.95</v>
      </c>
      <c r="J45" s="15" t="n">
        <v>1.95</v>
      </c>
      <c r="K45" s="14" t="inlineStr">
        <is>
          <t>≤ 1.0%</t>
        </is>
      </c>
    </row>
    <row r="46">
      <c r="A46" s="12" t="inlineStr">
        <is>
          <t>WED</t>
        </is>
      </c>
      <c r="B46" s="12" t="inlineStr">
        <is>
          <t>COC WEDDING CAKE</t>
        </is>
      </c>
      <c r="C46" s="12" t="inlineStr">
        <is>
          <t>Grade III</t>
        </is>
      </c>
      <c r="D46" s="12" t="inlineStr">
        <is>
          <t>QCSP 001_WED-III_v.01</t>
        </is>
      </c>
      <c r="E46" s="12" t="inlineStr">
        <is>
          <t>16.00 – 22.90%</t>
        </is>
      </c>
      <c r="F46" s="13" t="n">
        <v>16</v>
      </c>
      <c r="G46" s="13" t="n">
        <v>22.9</v>
      </c>
      <c r="H46" s="12" t="inlineStr">
        <is>
          <t>19.45% ± 3.45%</t>
        </is>
      </c>
      <c r="I46" s="13" t="n">
        <v>19.45</v>
      </c>
      <c r="J46" s="13" t="n">
        <v>3.45</v>
      </c>
      <c r="K46" s="12" t="inlineStr">
        <is>
          <t>≤ 1.0%</t>
        </is>
      </c>
    </row>
    <row r="47">
      <c r="A47" s="14" t="inlineStr">
        <is>
          <t>WED</t>
        </is>
      </c>
      <c r="B47" s="14" t="inlineStr">
        <is>
          <t>COC WEDDING CAKE</t>
        </is>
      </c>
      <c r="C47" s="14" t="inlineStr">
        <is>
          <t>Grade IV</t>
        </is>
      </c>
      <c r="D47" s="14" t="inlineStr">
        <is>
          <t>QCSP 001_WED-IV_v.01</t>
        </is>
      </c>
      <c r="E47" s="14" t="inlineStr">
        <is>
          <t>5.00 – 15.90%</t>
        </is>
      </c>
      <c r="F47" s="15" t="n">
        <v>5</v>
      </c>
      <c r="G47" s="15" t="n">
        <v>15.9</v>
      </c>
      <c r="H47" s="14" t="inlineStr">
        <is>
          <t>10.45% ± 5.45%</t>
        </is>
      </c>
      <c r="I47" s="15" t="n">
        <v>10.45</v>
      </c>
      <c r="J47" s="15" t="n">
        <v>5.45</v>
      </c>
      <c r="K47" s="14" t="inlineStr">
        <is>
          <t>≤ 1.0%</t>
        </is>
      </c>
    </row>
    <row r="48">
      <c r="A48" s="12" t="inlineStr">
        <is>
          <t>COP</t>
        </is>
      </c>
      <c r="B48" s="12" t="inlineStr">
        <is>
          <t>CRITICAL ORANGE PUNCH</t>
        </is>
      </c>
      <c r="C48" s="12" t="inlineStr">
        <is>
          <t>Grade I</t>
        </is>
      </c>
      <c r="D48" s="12" t="inlineStr">
        <is>
          <t>QCSP 001_COP-I_v.01</t>
        </is>
      </c>
      <c r="E48" s="12" t="inlineStr">
        <is>
          <t>27.00 – 30.00%</t>
        </is>
      </c>
      <c r="F48" s="13" t="n">
        <v>27</v>
      </c>
      <c r="G48" s="13" t="n">
        <v>30</v>
      </c>
      <c r="H48" s="12" t="inlineStr">
        <is>
          <t>28.50% ± 1.50%</t>
        </is>
      </c>
      <c r="I48" s="13" t="n">
        <v>28.5</v>
      </c>
      <c r="J48" s="13" t="n">
        <v>1.5</v>
      </c>
      <c r="K48" s="12" t="inlineStr">
        <is>
          <t>≤ 1.0%</t>
        </is>
      </c>
    </row>
    <row r="49">
      <c r="A49" s="14" t="inlineStr">
        <is>
          <t>COP</t>
        </is>
      </c>
      <c r="B49" s="14" t="inlineStr">
        <is>
          <t>CRITICAL ORANGE PUNCH</t>
        </is>
      </c>
      <c r="C49" s="14" t="inlineStr">
        <is>
          <t>Grade II</t>
        </is>
      </c>
      <c r="D49" s="14" t="inlineStr">
        <is>
          <t>QCSP 001_COP-II_v.01</t>
        </is>
      </c>
      <c r="E49" s="14" t="inlineStr">
        <is>
          <t>23.00 – 26.90%</t>
        </is>
      </c>
      <c r="F49" s="15" t="n">
        <v>23</v>
      </c>
      <c r="G49" s="15" t="n">
        <v>26.9</v>
      </c>
      <c r="H49" s="14" t="inlineStr">
        <is>
          <t>24.95% ± 1.95%</t>
        </is>
      </c>
      <c r="I49" s="15" t="n">
        <v>24.95</v>
      </c>
      <c r="J49" s="15" t="n">
        <v>1.95</v>
      </c>
      <c r="K49" s="14" t="inlineStr">
        <is>
          <t>≤ 1.0%</t>
        </is>
      </c>
    </row>
    <row r="50">
      <c r="A50" s="12" t="inlineStr">
        <is>
          <t>COP</t>
        </is>
      </c>
      <c r="B50" s="12" t="inlineStr">
        <is>
          <t>CRITICAL ORANGE PUNCH</t>
        </is>
      </c>
      <c r="C50" s="12" t="inlineStr">
        <is>
          <t>Grade III</t>
        </is>
      </c>
      <c r="D50" s="12" t="inlineStr">
        <is>
          <t>QCSP 001_COP-III_v.01</t>
        </is>
      </c>
      <c r="E50" s="12" t="inlineStr">
        <is>
          <t>16.00 – 22.90%</t>
        </is>
      </c>
      <c r="F50" s="13" t="n">
        <v>16</v>
      </c>
      <c r="G50" s="13" t="n">
        <v>22.9</v>
      </c>
      <c r="H50" s="12" t="inlineStr">
        <is>
          <t>19.45% ± 3.45%</t>
        </is>
      </c>
      <c r="I50" s="13" t="n">
        <v>19.45</v>
      </c>
      <c r="J50" s="13" t="n">
        <v>3.45</v>
      </c>
      <c r="K50" s="12" t="inlineStr">
        <is>
          <t>≤ 1.0%</t>
        </is>
      </c>
    </row>
    <row r="51">
      <c r="A51" s="14" t="inlineStr">
        <is>
          <t>COP</t>
        </is>
      </c>
      <c r="B51" s="14" t="inlineStr">
        <is>
          <t>CRITICAL ORANGE PUNCH</t>
        </is>
      </c>
      <c r="C51" s="14" t="inlineStr">
        <is>
          <t>Grade IV</t>
        </is>
      </c>
      <c r="D51" s="14" t="inlineStr">
        <is>
          <t>QCSP 001_COP-IV_v.01</t>
        </is>
      </c>
      <c r="E51" s="14" t="inlineStr">
        <is>
          <t>5.00 – 15.90%</t>
        </is>
      </c>
      <c r="F51" s="15" t="n">
        <v>5</v>
      </c>
      <c r="G51" s="15" t="n">
        <v>15.9</v>
      </c>
      <c r="H51" s="14" t="inlineStr">
        <is>
          <t>10.45% ± 5.45%</t>
        </is>
      </c>
      <c r="I51" s="15" t="n">
        <v>10.45</v>
      </c>
      <c r="J51" s="15" t="n">
        <v>5.45</v>
      </c>
      <c r="K51" s="14" t="inlineStr">
        <is>
          <t>≤ 1.0%</t>
        </is>
      </c>
    </row>
    <row r="52">
      <c r="A52" s="12" t="inlineStr">
        <is>
          <t>FB</t>
        </is>
      </c>
      <c r="B52" s="12" t="inlineStr">
        <is>
          <t>FAT BASTARD</t>
        </is>
      </c>
      <c r="C52" s="12" t="inlineStr">
        <is>
          <t>Grade I</t>
        </is>
      </c>
      <c r="D52" s="12" t="inlineStr">
        <is>
          <t>QCSP 001_FB-I_v.01</t>
        </is>
      </c>
      <c r="E52" s="12" t="inlineStr">
        <is>
          <t>24.75 – 30.00%</t>
        </is>
      </c>
      <c r="F52" s="13" t="n">
        <v>24.75</v>
      </c>
      <c r="G52" s="13" t="n">
        <v>30</v>
      </c>
      <c r="H52" s="12" t="inlineStr">
        <is>
          <t>27.50% ± 2.63%</t>
        </is>
      </c>
      <c r="I52" s="13" t="n">
        <v>27.5</v>
      </c>
      <c r="J52" s="13" t="n">
        <v>2.63</v>
      </c>
      <c r="K52" s="12" t="inlineStr">
        <is>
          <t>≤ 1.0%</t>
        </is>
      </c>
    </row>
    <row r="53">
      <c r="A53" s="14" t="inlineStr">
        <is>
          <t>FB</t>
        </is>
      </c>
      <c r="B53" s="14" t="inlineStr">
        <is>
          <t>FAT BASTARD</t>
        </is>
      </c>
      <c r="C53" s="14" t="inlineStr">
        <is>
          <t>Grade II</t>
        </is>
      </c>
      <c r="D53" s="14" t="inlineStr">
        <is>
          <t>QCSP 001_FB-II_v.01</t>
        </is>
      </c>
      <c r="E53" s="14" t="inlineStr">
        <is>
          <t>19.25 – 24.75%</t>
        </is>
      </c>
      <c r="F53" s="15" t="n">
        <v>19.25</v>
      </c>
      <c r="G53" s="15" t="n">
        <v>24.75</v>
      </c>
      <c r="H53" s="14" t="inlineStr">
        <is>
          <t>22.00% ± 2.75%</t>
        </is>
      </c>
      <c r="I53" s="15" t="n">
        <v>22</v>
      </c>
      <c r="J53" s="15" t="n">
        <v>2.75</v>
      </c>
      <c r="K53" s="14" t="inlineStr">
        <is>
          <t>≤ 1.0%</t>
        </is>
      </c>
    </row>
    <row r="54">
      <c r="A54" s="12" t="inlineStr">
        <is>
          <t>FB</t>
        </is>
      </c>
      <c r="B54" s="12" t="inlineStr">
        <is>
          <t>FAT BASTARD</t>
        </is>
      </c>
      <c r="C54" s="12" t="inlineStr">
        <is>
          <t>Grade III</t>
        </is>
      </c>
      <c r="D54" s="12" t="inlineStr">
        <is>
          <t>QCSP 001_FB-III_v.01</t>
        </is>
      </c>
      <c r="E54" s="12" t="inlineStr">
        <is>
          <t>13.68 – 19.25%</t>
        </is>
      </c>
      <c r="F54" s="13" t="n">
        <v>13.68</v>
      </c>
      <c r="G54" s="13" t="n">
        <v>19.25</v>
      </c>
      <c r="H54" s="12" t="inlineStr">
        <is>
          <t>16.50% ± 2.79%</t>
        </is>
      </c>
      <c r="I54" s="13" t="n">
        <v>16.5</v>
      </c>
      <c r="J54" s="13" t="n">
        <v>2.79</v>
      </c>
      <c r="K54" s="12" t="inlineStr">
        <is>
          <t>≤ 1.0%</t>
        </is>
      </c>
    </row>
    <row r="55">
      <c r="A55" s="14" t="inlineStr">
        <is>
          <t>GOG</t>
        </is>
      </c>
      <c r="B55" s="14" t="inlineStr">
        <is>
          <t>GLUEBERRY O.G.</t>
        </is>
      </c>
      <c r="C55" s="14" t="inlineStr">
        <is>
          <t>Grade I</t>
        </is>
      </c>
      <c r="D55" s="14" t="inlineStr">
        <is>
          <t>QCSP 001_GOG-I_v.01</t>
        </is>
      </c>
      <c r="E55" s="14" t="inlineStr">
        <is>
          <t>27.00 – 30.00%</t>
        </is>
      </c>
      <c r="F55" s="15" t="n">
        <v>27</v>
      </c>
      <c r="G55" s="15" t="n">
        <v>30</v>
      </c>
      <c r="H55" s="14" t="inlineStr">
        <is>
          <t>28.50% ± 1.50%</t>
        </is>
      </c>
      <c r="I55" s="15" t="n">
        <v>28.5</v>
      </c>
      <c r="J55" s="15" t="n">
        <v>1.5</v>
      </c>
      <c r="K55" s="14" t="inlineStr">
        <is>
          <t>≤ 1.0%</t>
        </is>
      </c>
    </row>
    <row r="56">
      <c r="A56" s="12" t="inlineStr">
        <is>
          <t>GOG</t>
        </is>
      </c>
      <c r="B56" s="12" t="inlineStr">
        <is>
          <t>GLUEBERRY O.G.</t>
        </is>
      </c>
      <c r="C56" s="12" t="inlineStr">
        <is>
          <t>Grade II</t>
        </is>
      </c>
      <c r="D56" s="12" t="inlineStr">
        <is>
          <t>QCSP 001_GOG-II_v.01</t>
        </is>
      </c>
      <c r="E56" s="12" t="inlineStr">
        <is>
          <t>23.00 – 26.90%</t>
        </is>
      </c>
      <c r="F56" s="13" t="n">
        <v>23</v>
      </c>
      <c r="G56" s="13" t="n">
        <v>26.9</v>
      </c>
      <c r="H56" s="12" t="inlineStr">
        <is>
          <t>24.95% ± 1.95%</t>
        </is>
      </c>
      <c r="I56" s="13" t="n">
        <v>24.95</v>
      </c>
      <c r="J56" s="13" t="n">
        <v>1.95</v>
      </c>
      <c r="K56" s="12" t="inlineStr">
        <is>
          <t>≤ 1.0%</t>
        </is>
      </c>
    </row>
    <row r="57">
      <c r="A57" s="14" t="inlineStr">
        <is>
          <t>GOG</t>
        </is>
      </c>
      <c r="B57" s="14" t="inlineStr">
        <is>
          <t>GLUEBERRY O.G.</t>
        </is>
      </c>
      <c r="C57" s="14" t="inlineStr">
        <is>
          <t>Grade III</t>
        </is>
      </c>
      <c r="D57" s="14" t="inlineStr">
        <is>
          <t>QCSP 001_GOG-III_v.01</t>
        </is>
      </c>
      <c r="E57" s="14" t="inlineStr">
        <is>
          <t>16.00 – 22.90%</t>
        </is>
      </c>
      <c r="F57" s="15" t="n">
        <v>16</v>
      </c>
      <c r="G57" s="15" t="n">
        <v>22.9</v>
      </c>
      <c r="H57" s="14" t="inlineStr">
        <is>
          <t>19.45% ± 3.45%</t>
        </is>
      </c>
      <c r="I57" s="15" t="n">
        <v>19.45</v>
      </c>
      <c r="J57" s="15" t="n">
        <v>3.45</v>
      </c>
      <c r="K57" s="14" t="inlineStr">
        <is>
          <t>≤ 1.0%</t>
        </is>
      </c>
    </row>
    <row r="58">
      <c r="A58" s="12" t="inlineStr">
        <is>
          <t>GOG</t>
        </is>
      </c>
      <c r="B58" s="12" t="inlineStr">
        <is>
          <t>GLUEBERRY O.G.</t>
        </is>
      </c>
      <c r="C58" s="12" t="inlineStr">
        <is>
          <t>Grade IV</t>
        </is>
      </c>
      <c r="D58" s="12" t="inlineStr">
        <is>
          <t>QCSP 001_GOG-IV_v.01</t>
        </is>
      </c>
      <c r="E58" s="12" t="inlineStr">
        <is>
          <t>5.00 – 15.90%</t>
        </is>
      </c>
      <c r="F58" s="13" t="n">
        <v>5</v>
      </c>
      <c r="G58" s="13" t="n">
        <v>15.9</v>
      </c>
      <c r="H58" s="12" t="inlineStr">
        <is>
          <t>10.45% ± 5.45%</t>
        </is>
      </c>
      <c r="I58" s="13" t="n">
        <v>10.45</v>
      </c>
      <c r="J58" s="13" t="n">
        <v>5.45</v>
      </c>
      <c r="K58" s="12" t="inlineStr">
        <is>
          <t>≤ 1.0%</t>
        </is>
      </c>
    </row>
    <row r="59">
      <c r="A59" s="14" t="inlineStr">
        <is>
          <t>GG</t>
        </is>
      </c>
      <c r="B59" s="14" t="inlineStr">
        <is>
          <t>GORILLA GLUE</t>
        </is>
      </c>
      <c r="C59" s="14" t="inlineStr">
        <is>
          <t>Grade I</t>
        </is>
      </c>
      <c r="D59" s="14" t="inlineStr">
        <is>
          <t>QCSP 001_GG-I_v.01</t>
        </is>
      </c>
      <c r="E59" s="14" t="inlineStr">
        <is>
          <t>24.00 – 30.00%</t>
        </is>
      </c>
      <c r="F59" s="15" t="n">
        <v>24</v>
      </c>
      <c r="G59" s="15" t="n">
        <v>30</v>
      </c>
      <c r="H59" s="14" t="inlineStr">
        <is>
          <t>27.00% ± 3.00%</t>
        </is>
      </c>
      <c r="I59" s="15" t="n">
        <v>27</v>
      </c>
      <c r="J59" s="15" t="n">
        <v>3</v>
      </c>
      <c r="K59" s="14" t="inlineStr">
        <is>
          <t>≤ 1.0%</t>
        </is>
      </c>
    </row>
    <row r="60">
      <c r="A60" s="12" t="inlineStr">
        <is>
          <t>GG</t>
        </is>
      </c>
      <c r="B60" s="12" t="inlineStr">
        <is>
          <t>GORILLA GLUE</t>
        </is>
      </c>
      <c r="C60" s="12" t="inlineStr">
        <is>
          <t>Grade II</t>
        </is>
      </c>
      <c r="D60" s="12" t="inlineStr">
        <is>
          <t>QCSP 001_GG-II_v.01</t>
        </is>
      </c>
      <c r="E60" s="12" t="inlineStr">
        <is>
          <t>18.00 – 24.00%</t>
        </is>
      </c>
      <c r="F60" s="13" t="n">
        <v>18</v>
      </c>
      <c r="G60" s="13" t="n">
        <v>24</v>
      </c>
      <c r="H60" s="12" t="inlineStr">
        <is>
          <t>21.00% ± 3.00%</t>
        </is>
      </c>
      <c r="I60" s="13" t="n">
        <v>21</v>
      </c>
      <c r="J60" s="13" t="n">
        <v>3</v>
      </c>
      <c r="K60" s="12" t="inlineStr">
        <is>
          <t>≤ 1.0%</t>
        </is>
      </c>
    </row>
    <row r="61">
      <c r="A61" s="14" t="inlineStr">
        <is>
          <t>GG</t>
        </is>
      </c>
      <c r="B61" s="14" t="inlineStr">
        <is>
          <t>GORILLA GLUE</t>
        </is>
      </c>
      <c r="C61" s="14" t="inlineStr">
        <is>
          <t>Grade III</t>
        </is>
      </c>
      <c r="D61" s="14" t="inlineStr">
        <is>
          <t>QCSP 001_GG-III_v.01</t>
        </is>
      </c>
      <c r="E61" s="14" t="inlineStr">
        <is>
          <t>12.34 – 18.00%</t>
        </is>
      </c>
      <c r="F61" s="15" t="n">
        <v>12.34</v>
      </c>
      <c r="G61" s="15" t="n">
        <v>18</v>
      </c>
      <c r="H61" s="14" t="inlineStr">
        <is>
          <t>15.00% ± 2.83%</t>
        </is>
      </c>
      <c r="I61" s="15" t="n">
        <v>15</v>
      </c>
      <c r="J61" s="15" t="n">
        <v>2.83</v>
      </c>
      <c r="K61" s="14" t="inlineStr">
        <is>
          <t>≤ 1.0%</t>
        </is>
      </c>
    </row>
    <row r="62">
      <c r="A62" s="12" t="inlineStr">
        <is>
          <t>GP</t>
        </is>
      </c>
      <c r="B62" s="12" t="inlineStr">
        <is>
          <t>GRAPE PIE</t>
        </is>
      </c>
      <c r="C62" s="12" t="inlineStr">
        <is>
          <t>Grade I</t>
        </is>
      </c>
      <c r="D62" s="12" t="inlineStr">
        <is>
          <t>QCSP 001_GP-I_v.01</t>
        </is>
      </c>
      <c r="E62" s="12" t="inlineStr">
        <is>
          <t>26.00 – 30.00%</t>
        </is>
      </c>
      <c r="F62" s="13" t="n">
        <v>26</v>
      </c>
      <c r="G62" s="13" t="n">
        <v>30</v>
      </c>
      <c r="H62" s="12" t="inlineStr">
        <is>
          <t>28.00% ± 2.00%</t>
        </is>
      </c>
      <c r="I62" s="13" t="n">
        <v>28</v>
      </c>
      <c r="J62" s="13" t="n">
        <v>2</v>
      </c>
      <c r="K62" s="12" t="inlineStr">
        <is>
          <t>≤ 1.0%</t>
        </is>
      </c>
    </row>
    <row r="63">
      <c r="A63" s="14" t="inlineStr">
        <is>
          <t>GP</t>
        </is>
      </c>
      <c r="B63" s="14" t="inlineStr">
        <is>
          <t>GRAPE PIE</t>
        </is>
      </c>
      <c r="C63" s="14" t="inlineStr">
        <is>
          <t>Grade II</t>
        </is>
      </c>
      <c r="D63" s="14" t="inlineStr">
        <is>
          <t>QCSP 001_GP-II_v.01</t>
        </is>
      </c>
      <c r="E63" s="14" t="inlineStr">
        <is>
          <t>22.00 – 26.00%</t>
        </is>
      </c>
      <c r="F63" s="15" t="n">
        <v>22</v>
      </c>
      <c r="G63" s="15" t="n">
        <v>26</v>
      </c>
      <c r="H63" s="14" t="inlineStr">
        <is>
          <t>24.00% ± 2.00%</t>
        </is>
      </c>
      <c r="I63" s="15" t="n">
        <v>24</v>
      </c>
      <c r="J63" s="15" t="n">
        <v>2</v>
      </c>
      <c r="K63" s="14" t="inlineStr">
        <is>
          <t>≤ 1.0%</t>
        </is>
      </c>
    </row>
    <row r="64">
      <c r="A64" s="12" t="inlineStr">
        <is>
          <t>GP</t>
        </is>
      </c>
      <c r="B64" s="12" t="inlineStr">
        <is>
          <t>GRAPE PIE</t>
        </is>
      </c>
      <c r="C64" s="12" t="inlineStr">
        <is>
          <t>Grade III</t>
        </is>
      </c>
      <c r="D64" s="12" t="inlineStr">
        <is>
          <t>QCSP 001_GP-III_v.01</t>
        </is>
      </c>
      <c r="E64" s="12" t="inlineStr">
        <is>
          <t>18.00 – 22.00%</t>
        </is>
      </c>
      <c r="F64" s="13" t="n">
        <v>18</v>
      </c>
      <c r="G64" s="13" t="n">
        <v>22</v>
      </c>
      <c r="H64" s="12" t="inlineStr">
        <is>
          <t>20.00% ± 2.00%</t>
        </is>
      </c>
      <c r="I64" s="13" t="n">
        <v>20</v>
      </c>
      <c r="J64" s="13" t="n">
        <v>2</v>
      </c>
      <c r="K64" s="12" t="inlineStr">
        <is>
          <t>≤ 1.0%</t>
        </is>
      </c>
    </row>
    <row r="65">
      <c r="A65" s="14" t="inlineStr">
        <is>
          <t>GP</t>
        </is>
      </c>
      <c r="B65" s="14" t="inlineStr">
        <is>
          <t>GRAPE PIE</t>
        </is>
      </c>
      <c r="C65" s="14" t="inlineStr">
        <is>
          <t>Grade IV</t>
        </is>
      </c>
      <c r="D65" s="14" t="inlineStr">
        <is>
          <t>QCSP 001_GP-IV_v.01</t>
        </is>
      </c>
      <c r="E65" s="14" t="inlineStr">
        <is>
          <t>13.83 – 18.00%</t>
        </is>
      </c>
      <c r="F65" s="15" t="n">
        <v>13.83</v>
      </c>
      <c r="G65" s="15" t="n">
        <v>18</v>
      </c>
      <c r="H65" s="14" t="inlineStr">
        <is>
          <t>16.00% ± 2.08%</t>
        </is>
      </c>
      <c r="I65" s="15" t="n">
        <v>16</v>
      </c>
      <c r="J65" s="15" t="n">
        <v>2.08</v>
      </c>
      <c r="K65" s="14" t="inlineStr">
        <is>
          <t>≤ 1.0%</t>
        </is>
      </c>
    </row>
    <row r="66">
      <c r="A66" s="12" t="inlineStr">
        <is>
          <t>GRC</t>
        </is>
      </c>
      <c r="B66" s="12" t="inlineStr">
        <is>
          <t>GRAPS &amp; CRÈME</t>
        </is>
      </c>
      <c r="C66" s="12" t="inlineStr">
        <is>
          <t>Grade I</t>
        </is>
      </c>
      <c r="D66" s="12" t="inlineStr">
        <is>
          <t>QCSP 001_GRC-I_v.01</t>
        </is>
      </c>
      <c r="E66" s="12" t="inlineStr">
        <is>
          <t>25.00 – 30.00%</t>
        </is>
      </c>
      <c r="F66" s="13" t="n">
        <v>25</v>
      </c>
      <c r="G66" s="13" t="n">
        <v>30</v>
      </c>
      <c r="H66" s="12" t="inlineStr">
        <is>
          <t>27.50% ± 2.50%</t>
        </is>
      </c>
      <c r="I66" s="13" t="n">
        <v>27.5</v>
      </c>
      <c r="J66" s="13" t="n">
        <v>2.5</v>
      </c>
      <c r="K66" s="12" t="inlineStr">
        <is>
          <t>≤ 1.0%</t>
        </is>
      </c>
    </row>
    <row r="67">
      <c r="A67" s="14" t="inlineStr">
        <is>
          <t>GRC</t>
        </is>
      </c>
      <c r="B67" s="14" t="inlineStr">
        <is>
          <t>GRAPS &amp; CRÈME</t>
        </is>
      </c>
      <c r="C67" s="14" t="inlineStr">
        <is>
          <t>Grade II</t>
        </is>
      </c>
      <c r="D67" s="14" t="inlineStr">
        <is>
          <t>QCSP 001_GRC-II_v.01</t>
        </is>
      </c>
      <c r="E67" s="14" t="inlineStr">
        <is>
          <t>20.00 – 25.00%</t>
        </is>
      </c>
      <c r="F67" s="15" t="n">
        <v>20</v>
      </c>
      <c r="G67" s="15" t="n">
        <v>25</v>
      </c>
      <c r="H67" s="14" t="inlineStr">
        <is>
          <t>22.50% ± 2.50%</t>
        </is>
      </c>
      <c r="I67" s="15" t="n">
        <v>22.5</v>
      </c>
      <c r="J67" s="15" t="n">
        <v>2.5</v>
      </c>
      <c r="K67" s="14" t="inlineStr">
        <is>
          <t>≤ 1.0%</t>
        </is>
      </c>
    </row>
    <row r="68">
      <c r="A68" s="12" t="inlineStr">
        <is>
          <t>GRC</t>
        </is>
      </c>
      <c r="B68" s="12" t="inlineStr">
        <is>
          <t>GRAPS &amp; CRÈME</t>
        </is>
      </c>
      <c r="C68" s="12" t="inlineStr">
        <is>
          <t>Grade III</t>
        </is>
      </c>
      <c r="D68" s="12" t="inlineStr">
        <is>
          <t>QCSP 001_GRC-III_v.01</t>
        </is>
      </c>
      <c r="E68" s="12" t="inlineStr">
        <is>
          <t>15.00 – 20.00%</t>
        </is>
      </c>
      <c r="F68" s="13" t="n">
        <v>15</v>
      </c>
      <c r="G68" s="13" t="n">
        <v>20</v>
      </c>
      <c r="H68" s="12" t="inlineStr">
        <is>
          <t>17.50% ± 2.50%</t>
        </is>
      </c>
      <c r="I68" s="13" t="n">
        <v>17.5</v>
      </c>
      <c r="J68" s="13" t="n">
        <v>2.5</v>
      </c>
      <c r="K68" s="12" t="inlineStr">
        <is>
          <t>≤ 1.0%</t>
        </is>
      </c>
    </row>
    <row r="69">
      <c r="A69" s="14" t="inlineStr">
        <is>
          <t>GRC</t>
        </is>
      </c>
      <c r="B69" s="14" t="inlineStr">
        <is>
          <t>GRAPS &amp; CRÈME</t>
        </is>
      </c>
      <c r="C69" s="14" t="inlineStr">
        <is>
          <t>Grade IV</t>
        </is>
      </c>
      <c r="D69" s="14" t="inlineStr">
        <is>
          <t>QCSP 001_GRC-IV_v.01</t>
        </is>
      </c>
      <c r="E69" s="14" t="inlineStr">
        <is>
          <t>10.00 – 15.00%</t>
        </is>
      </c>
      <c r="F69" s="15" t="n">
        <v>10</v>
      </c>
      <c r="G69" s="15" t="n">
        <v>15</v>
      </c>
      <c r="H69" s="14" t="inlineStr">
        <is>
          <t>12.50% ± 2.50%</t>
        </is>
      </c>
      <c r="I69" s="15" t="n">
        <v>12.5</v>
      </c>
      <c r="J69" s="15" t="n">
        <v>2.5</v>
      </c>
      <c r="K69" s="14" t="inlineStr">
        <is>
          <t>≤ 1.0%</t>
        </is>
      </c>
    </row>
    <row r="70">
      <c r="A70" s="12" t="inlineStr">
        <is>
          <t>HFG</t>
        </is>
      </c>
      <c r="B70" s="12" t="inlineStr">
        <is>
          <t>HIFI 4G</t>
        </is>
      </c>
      <c r="C70" s="12" t="inlineStr">
        <is>
          <t>Grade I</t>
        </is>
      </c>
      <c r="D70" s="12" t="inlineStr">
        <is>
          <t>QCSP 001_HFG-I_v.01</t>
        </is>
      </c>
      <c r="E70" s="12" t="inlineStr">
        <is>
          <t>27.00 – 30.00%</t>
        </is>
      </c>
      <c r="F70" s="13" t="n">
        <v>27</v>
      </c>
      <c r="G70" s="13" t="n">
        <v>30</v>
      </c>
      <c r="H70" s="12" t="inlineStr">
        <is>
          <t>28.50% ± 1.50%</t>
        </is>
      </c>
      <c r="I70" s="13" t="n">
        <v>28.5</v>
      </c>
      <c r="J70" s="13" t="n">
        <v>1.5</v>
      </c>
      <c r="K70" s="12" t="inlineStr">
        <is>
          <t>≤ 1.0%</t>
        </is>
      </c>
    </row>
    <row r="71">
      <c r="A71" s="14" t="inlineStr">
        <is>
          <t>HFG</t>
        </is>
      </c>
      <c r="B71" s="14" t="inlineStr">
        <is>
          <t>HIFI 4G</t>
        </is>
      </c>
      <c r="C71" s="14" t="inlineStr">
        <is>
          <t>Grade II</t>
        </is>
      </c>
      <c r="D71" s="14" t="inlineStr">
        <is>
          <t>QCSP 001_HFG-II_v.01</t>
        </is>
      </c>
      <c r="E71" s="14" t="inlineStr">
        <is>
          <t>23.00 – 26.90%</t>
        </is>
      </c>
      <c r="F71" s="15" t="n">
        <v>23</v>
      </c>
      <c r="G71" s="15" t="n">
        <v>26.9</v>
      </c>
      <c r="H71" s="14" t="inlineStr">
        <is>
          <t>24.95% ± 1.95%</t>
        </is>
      </c>
      <c r="I71" s="15" t="n">
        <v>24.95</v>
      </c>
      <c r="J71" s="15" t="n">
        <v>1.95</v>
      </c>
      <c r="K71" s="14" t="inlineStr">
        <is>
          <t>≤ 1.0%</t>
        </is>
      </c>
    </row>
    <row r="72">
      <c r="A72" s="12" t="inlineStr">
        <is>
          <t>HFG</t>
        </is>
      </c>
      <c r="B72" s="12" t="inlineStr">
        <is>
          <t>HIFI 4G</t>
        </is>
      </c>
      <c r="C72" s="12" t="inlineStr">
        <is>
          <t>Grade III</t>
        </is>
      </c>
      <c r="D72" s="12" t="inlineStr">
        <is>
          <t>QCSP 001_HFG-III_v.01</t>
        </is>
      </c>
      <c r="E72" s="12" t="inlineStr">
        <is>
          <t>16.00 – 22.90%</t>
        </is>
      </c>
      <c r="F72" s="13" t="n">
        <v>16</v>
      </c>
      <c r="G72" s="13" t="n">
        <v>22.9</v>
      </c>
      <c r="H72" s="12" t="inlineStr">
        <is>
          <t>19.45% ± 3.45%</t>
        </is>
      </c>
      <c r="I72" s="13" t="n">
        <v>19.45</v>
      </c>
      <c r="J72" s="13" t="n">
        <v>3.45</v>
      </c>
      <c r="K72" s="12" t="inlineStr">
        <is>
          <t>≤ 1.0%</t>
        </is>
      </c>
    </row>
    <row r="73">
      <c r="A73" s="14" t="inlineStr">
        <is>
          <t>HFG</t>
        </is>
      </c>
      <c r="B73" s="14" t="inlineStr">
        <is>
          <t>HIFI 4G</t>
        </is>
      </c>
      <c r="C73" s="14" t="inlineStr">
        <is>
          <t>Grade IV</t>
        </is>
      </c>
      <c r="D73" s="14" t="inlineStr">
        <is>
          <t>QCSP 001_HFG-IV_v.01</t>
        </is>
      </c>
      <c r="E73" s="14" t="inlineStr">
        <is>
          <t>5.00 – 15.90%</t>
        </is>
      </c>
      <c r="F73" s="15" t="n">
        <v>5</v>
      </c>
      <c r="G73" s="15" t="n">
        <v>15.9</v>
      </c>
      <c r="H73" s="14" t="inlineStr">
        <is>
          <t>10.45% ± 5.45%</t>
        </is>
      </c>
      <c r="I73" s="15" t="n">
        <v>10.45</v>
      </c>
      <c r="J73" s="15" t="n">
        <v>5.45</v>
      </c>
      <c r="K73" s="14" t="inlineStr">
        <is>
          <t>≤ 1.0%</t>
        </is>
      </c>
    </row>
    <row r="74">
      <c r="A74" s="12" t="inlineStr">
        <is>
          <t>HPA</t>
        </is>
      </c>
      <c r="B74" s="12" t="inlineStr">
        <is>
          <t>HIGH PRO AMNESIA</t>
        </is>
      </c>
      <c r="C74" s="12" t="inlineStr">
        <is>
          <t>Grade I</t>
        </is>
      </c>
      <c r="D74" s="12" t="inlineStr">
        <is>
          <t>QCSP 001_HPA-I_v.01</t>
        </is>
      </c>
      <c r="E74" s="12" t="inlineStr">
        <is>
          <t>24.75 – 30.00%</t>
        </is>
      </c>
      <c r="F74" s="13" t="n">
        <v>24.75</v>
      </c>
      <c r="G74" s="13" t="n">
        <v>30</v>
      </c>
      <c r="H74" s="12" t="inlineStr">
        <is>
          <t>27.50% ± 2.63%</t>
        </is>
      </c>
      <c r="I74" s="13" t="n">
        <v>27.5</v>
      </c>
      <c r="J74" s="13" t="n">
        <v>2.63</v>
      </c>
      <c r="K74" s="12" t="inlineStr">
        <is>
          <t>≤ 1.0%</t>
        </is>
      </c>
    </row>
    <row r="75">
      <c r="A75" s="14" t="inlineStr">
        <is>
          <t>HPA</t>
        </is>
      </c>
      <c r="B75" s="14" t="inlineStr">
        <is>
          <t>HIGH PRO AMNESIA</t>
        </is>
      </c>
      <c r="C75" s="14" t="inlineStr">
        <is>
          <t>Grade II</t>
        </is>
      </c>
      <c r="D75" s="14" t="inlineStr">
        <is>
          <t>QCSP 001_HPA-II_v.01</t>
        </is>
      </c>
      <c r="E75" s="14" t="inlineStr">
        <is>
          <t>19.39 – 24.75%</t>
        </is>
      </c>
      <c r="F75" s="15" t="n">
        <v>19.39</v>
      </c>
      <c r="G75" s="15" t="n">
        <v>24.75</v>
      </c>
      <c r="H75" s="14" t="inlineStr">
        <is>
          <t>22.00% ± 2.68%</t>
        </is>
      </c>
      <c r="I75" s="15" t="n">
        <v>22</v>
      </c>
      <c r="J75" s="15" t="n">
        <v>2.68</v>
      </c>
      <c r="K75" s="14" t="inlineStr">
        <is>
          <t>≤ 1.0%</t>
        </is>
      </c>
    </row>
    <row r="76">
      <c r="A76" s="12" t="inlineStr">
        <is>
          <t>HPA</t>
        </is>
      </c>
      <c r="B76" s="12" t="inlineStr">
        <is>
          <t>HIGH PRO AMNESIA</t>
        </is>
      </c>
      <c r="C76" s="12" t="inlineStr">
        <is>
          <t>Grade III</t>
        </is>
      </c>
      <c r="D76" s="12" t="inlineStr">
        <is>
          <t>QCSP 001_HPA-III_v.01</t>
        </is>
      </c>
      <c r="E76" s="12" t="inlineStr">
        <is>
          <t>13.50 – 19.39%</t>
        </is>
      </c>
      <c r="F76" s="13" t="n">
        <v>13.5</v>
      </c>
      <c r="G76" s="13" t="n">
        <v>19.39</v>
      </c>
      <c r="H76" s="12" t="inlineStr">
        <is>
          <t>16.00% ± 2.95%</t>
        </is>
      </c>
      <c r="I76" s="13" t="n">
        <v>16</v>
      </c>
      <c r="J76" s="13" t="n">
        <v>2.95</v>
      </c>
      <c r="K76" s="12" t="inlineStr">
        <is>
          <t>≤ 1.0%</t>
        </is>
      </c>
    </row>
    <row r="77">
      <c r="A77" s="14" t="inlineStr">
        <is>
          <t>JD</t>
        </is>
      </c>
      <c r="B77" s="14" t="inlineStr">
        <is>
          <t>JELLY DONUTZ</t>
        </is>
      </c>
      <c r="C77" s="14" t="inlineStr">
        <is>
          <t>Grade I</t>
        </is>
      </c>
      <c r="D77" s="14" t="inlineStr">
        <is>
          <t>QCSP 001_JD-I_v.01</t>
        </is>
      </c>
      <c r="E77" s="14" t="inlineStr">
        <is>
          <t>26.00 – 30.00%</t>
        </is>
      </c>
      <c r="F77" s="15" t="n">
        <v>26</v>
      </c>
      <c r="G77" s="15" t="n">
        <v>30</v>
      </c>
      <c r="H77" s="14" t="inlineStr">
        <is>
          <t>28.00% ± 2.00%</t>
        </is>
      </c>
      <c r="I77" s="15" t="n">
        <v>28</v>
      </c>
      <c r="J77" s="15" t="n">
        <v>2</v>
      </c>
      <c r="K77" s="14" t="inlineStr">
        <is>
          <t>≤ 1.0%</t>
        </is>
      </c>
    </row>
    <row r="78">
      <c r="A78" s="12" t="inlineStr">
        <is>
          <t>JD</t>
        </is>
      </c>
      <c r="B78" s="12" t="inlineStr">
        <is>
          <t>JELLY DONUTZ</t>
        </is>
      </c>
      <c r="C78" s="12" t="inlineStr">
        <is>
          <t>Grade II</t>
        </is>
      </c>
      <c r="D78" s="12" t="inlineStr">
        <is>
          <t>QCSP 001_JD-II_v.01</t>
        </is>
      </c>
      <c r="E78" s="12" t="inlineStr">
        <is>
          <t>22.00 – 26.00%</t>
        </is>
      </c>
      <c r="F78" s="13" t="n">
        <v>22</v>
      </c>
      <c r="G78" s="13" t="n">
        <v>26</v>
      </c>
      <c r="H78" s="12" t="inlineStr">
        <is>
          <t>24.00% ± 2.00%</t>
        </is>
      </c>
      <c r="I78" s="13" t="n">
        <v>24</v>
      </c>
      <c r="J78" s="13" t="n">
        <v>2</v>
      </c>
      <c r="K78" s="12" t="inlineStr">
        <is>
          <t>≤ 1.0%</t>
        </is>
      </c>
    </row>
    <row r="79">
      <c r="A79" s="14" t="inlineStr">
        <is>
          <t>JD</t>
        </is>
      </c>
      <c r="B79" s="14" t="inlineStr">
        <is>
          <t>JELLY DONUTZ</t>
        </is>
      </c>
      <c r="C79" s="14" t="inlineStr">
        <is>
          <t>Grade III</t>
        </is>
      </c>
      <c r="D79" s="14" t="inlineStr">
        <is>
          <t>QCSP 001_JD-III_v.01</t>
        </is>
      </c>
      <c r="E79" s="14" t="inlineStr">
        <is>
          <t>18.00 – 22.00%</t>
        </is>
      </c>
      <c r="F79" s="15" t="n">
        <v>18</v>
      </c>
      <c r="G79" s="15" t="n">
        <v>22</v>
      </c>
      <c r="H79" s="14" t="inlineStr">
        <is>
          <t>20.00% ± 2.00%</t>
        </is>
      </c>
      <c r="I79" s="15" t="n">
        <v>20</v>
      </c>
      <c r="J79" s="15" t="n">
        <v>2</v>
      </c>
      <c r="K79" s="14" t="inlineStr">
        <is>
          <t>≤ 1.0%</t>
        </is>
      </c>
    </row>
    <row r="80">
      <c r="A80" s="12" t="inlineStr">
        <is>
          <t>JD</t>
        </is>
      </c>
      <c r="B80" s="12" t="inlineStr">
        <is>
          <t>JELLY DONUTZ</t>
        </is>
      </c>
      <c r="C80" s="12" t="inlineStr">
        <is>
          <t>Grade IV</t>
        </is>
      </c>
      <c r="D80" s="12" t="inlineStr">
        <is>
          <t>QCSP 001_JD-IV_v.01</t>
        </is>
      </c>
      <c r="E80" s="12" t="inlineStr">
        <is>
          <t>12.50 – 18.00%</t>
        </is>
      </c>
      <c r="F80" s="13" t="n">
        <v>12.5</v>
      </c>
      <c r="G80" s="13" t="n">
        <v>18</v>
      </c>
      <c r="H80" s="12" t="inlineStr">
        <is>
          <t>15.00% ± 2.75%</t>
        </is>
      </c>
      <c r="I80" s="13" t="n">
        <v>15</v>
      </c>
      <c r="J80" s="13" t="n">
        <v>2.75</v>
      </c>
      <c r="K80" s="12" t="inlineStr">
        <is>
          <t>≤ 1.0%</t>
        </is>
      </c>
    </row>
    <row r="81">
      <c r="A81" s="14" t="inlineStr">
        <is>
          <t>J31</t>
        </is>
      </c>
      <c r="B81" s="14" t="inlineStr">
        <is>
          <t>JOKERZ 31</t>
        </is>
      </c>
      <c r="C81" s="14" t="inlineStr">
        <is>
          <t>Grade I</t>
        </is>
      </c>
      <c r="D81" s="14" t="inlineStr">
        <is>
          <t>QCSP 001_J31-I_v.01</t>
        </is>
      </c>
      <c r="E81" s="14" t="inlineStr">
        <is>
          <t>23.50 – 30.00%</t>
        </is>
      </c>
      <c r="F81" s="15" t="n">
        <v>23.5</v>
      </c>
      <c r="G81" s="15" t="n">
        <v>30</v>
      </c>
      <c r="H81" s="14" t="inlineStr">
        <is>
          <t>27.00% ± 3.25%</t>
        </is>
      </c>
      <c r="I81" s="15" t="n">
        <v>27</v>
      </c>
      <c r="J81" s="15" t="n">
        <v>3.25</v>
      </c>
      <c r="K81" s="14" t="inlineStr">
        <is>
          <t>≤ 1.0%</t>
        </is>
      </c>
    </row>
    <row r="82">
      <c r="A82" s="12" t="inlineStr">
        <is>
          <t>J31</t>
        </is>
      </c>
      <c r="B82" s="12" t="inlineStr">
        <is>
          <t>JOKERZ 31</t>
        </is>
      </c>
      <c r="C82" s="12" t="inlineStr">
        <is>
          <t>Grade II</t>
        </is>
      </c>
      <c r="D82" s="12" t="inlineStr">
        <is>
          <t>QCSP 001_J31-II_v.01</t>
        </is>
      </c>
      <c r="E82" s="12" t="inlineStr">
        <is>
          <t>16.50 – 23.50%</t>
        </is>
      </c>
      <c r="F82" s="13" t="n">
        <v>16.5</v>
      </c>
      <c r="G82" s="13" t="n">
        <v>23.5</v>
      </c>
      <c r="H82" s="12" t="inlineStr">
        <is>
          <t>20.00% ± 3.50%</t>
        </is>
      </c>
      <c r="I82" s="13" t="n">
        <v>20</v>
      </c>
      <c r="J82" s="13" t="n">
        <v>3.5</v>
      </c>
      <c r="K82" s="12" t="inlineStr">
        <is>
          <t>≤ 1.0%</t>
        </is>
      </c>
    </row>
    <row r="83">
      <c r="A83" s="14" t="inlineStr">
        <is>
          <t>KK</t>
        </is>
      </c>
      <c r="B83" s="14" t="inlineStr">
        <is>
          <t>KANDY KUSH</t>
        </is>
      </c>
      <c r="C83" s="14" t="inlineStr">
        <is>
          <t>Grade I</t>
        </is>
      </c>
      <c r="D83" s="14" t="inlineStr">
        <is>
          <t>QCSP 001_KK-I_v.01</t>
        </is>
      </c>
      <c r="E83" s="14" t="inlineStr">
        <is>
          <t>27.00 – 30.00%</t>
        </is>
      </c>
      <c r="F83" s="15" t="n">
        <v>27</v>
      </c>
      <c r="G83" s="15" t="n">
        <v>30</v>
      </c>
      <c r="H83" s="14" t="inlineStr">
        <is>
          <t>28.50% ± 1.50%</t>
        </is>
      </c>
      <c r="I83" s="15" t="n">
        <v>28.5</v>
      </c>
      <c r="J83" s="15" t="n">
        <v>1.5</v>
      </c>
      <c r="K83" s="14" t="inlineStr">
        <is>
          <t>≤ 1.0%</t>
        </is>
      </c>
    </row>
    <row r="84">
      <c r="A84" s="12" t="inlineStr">
        <is>
          <t>KK</t>
        </is>
      </c>
      <c r="B84" s="12" t="inlineStr">
        <is>
          <t>KANDY KUSH</t>
        </is>
      </c>
      <c r="C84" s="12" t="inlineStr">
        <is>
          <t>Grade II</t>
        </is>
      </c>
      <c r="D84" s="12" t="inlineStr">
        <is>
          <t>QCSP 001_KK-II_v.01</t>
        </is>
      </c>
      <c r="E84" s="12" t="inlineStr">
        <is>
          <t>23.00 – 26.90%</t>
        </is>
      </c>
      <c r="F84" s="13" t="n">
        <v>23</v>
      </c>
      <c r="G84" s="13" t="n">
        <v>26.9</v>
      </c>
      <c r="H84" s="12" t="inlineStr">
        <is>
          <t>24.95% ± 1.95%</t>
        </is>
      </c>
      <c r="I84" s="13" t="n">
        <v>24.95</v>
      </c>
      <c r="J84" s="13" t="n">
        <v>1.95</v>
      </c>
      <c r="K84" s="12" t="inlineStr">
        <is>
          <t>≤ 1.0%</t>
        </is>
      </c>
    </row>
    <row r="85">
      <c r="A85" s="14" t="inlineStr">
        <is>
          <t>KK</t>
        </is>
      </c>
      <c r="B85" s="14" t="inlineStr">
        <is>
          <t>KANDY KUSH</t>
        </is>
      </c>
      <c r="C85" s="14" t="inlineStr">
        <is>
          <t>Grade III</t>
        </is>
      </c>
      <c r="D85" s="14" t="inlineStr">
        <is>
          <t>QCSP 001_KK-III_v.01</t>
        </is>
      </c>
      <c r="E85" s="14" t="inlineStr">
        <is>
          <t>16.00 – 22.90%</t>
        </is>
      </c>
      <c r="F85" s="15" t="n">
        <v>16</v>
      </c>
      <c r="G85" s="15" t="n">
        <v>22.9</v>
      </c>
      <c r="H85" s="14" t="inlineStr">
        <is>
          <t>19.45% ± 3.45%</t>
        </is>
      </c>
      <c r="I85" s="15" t="n">
        <v>19.45</v>
      </c>
      <c r="J85" s="15" t="n">
        <v>3.45</v>
      </c>
      <c r="K85" s="14" t="inlineStr">
        <is>
          <t>≤ 1.0%</t>
        </is>
      </c>
    </row>
    <row r="86">
      <c r="A86" s="12" t="inlineStr">
        <is>
          <t>KK</t>
        </is>
      </c>
      <c r="B86" s="12" t="inlineStr">
        <is>
          <t>KANDY KUSH</t>
        </is>
      </c>
      <c r="C86" s="12" t="inlineStr">
        <is>
          <t>Grade IV</t>
        </is>
      </c>
      <c r="D86" s="12" t="inlineStr">
        <is>
          <t>QCSP 001_KK-IV_v.01</t>
        </is>
      </c>
      <c r="E86" s="12" t="inlineStr">
        <is>
          <t>5.00 – 15.90%</t>
        </is>
      </c>
      <c r="F86" s="13" t="n">
        <v>5</v>
      </c>
      <c r="G86" s="13" t="n">
        <v>15.9</v>
      </c>
      <c r="H86" s="12" t="inlineStr">
        <is>
          <t>10.45% ± 5.45%</t>
        </is>
      </c>
      <c r="I86" s="13" t="n">
        <v>10.45</v>
      </c>
      <c r="J86" s="13" t="n">
        <v>5.45</v>
      </c>
      <c r="K86" s="12" t="inlineStr">
        <is>
          <t>≤ 1.0%</t>
        </is>
      </c>
    </row>
    <row r="87">
      <c r="A87" s="14" t="inlineStr">
        <is>
          <t>KC</t>
        </is>
      </c>
      <c r="B87" s="14" t="inlineStr">
        <is>
          <t>KUSH CRASHER</t>
        </is>
      </c>
      <c r="C87" s="14" t="inlineStr">
        <is>
          <t>Grade I</t>
        </is>
      </c>
      <c r="D87" s="14" t="inlineStr">
        <is>
          <t>QCSP 001_KC-I_v.01</t>
        </is>
      </c>
      <c r="E87" s="14" t="inlineStr">
        <is>
          <t>25.00 – 30.00%</t>
        </is>
      </c>
      <c r="F87" s="15" t="n">
        <v>25</v>
      </c>
      <c r="G87" s="15" t="n">
        <v>30</v>
      </c>
      <c r="H87" s="14" t="inlineStr">
        <is>
          <t>27.50% ± 2.50%</t>
        </is>
      </c>
      <c r="I87" s="15" t="n">
        <v>27.5</v>
      </c>
      <c r="J87" s="15" t="n">
        <v>2.5</v>
      </c>
      <c r="K87" s="14" t="inlineStr">
        <is>
          <t>≤ 1.0%</t>
        </is>
      </c>
    </row>
    <row r="88">
      <c r="A88" s="12" t="inlineStr">
        <is>
          <t>KC</t>
        </is>
      </c>
      <c r="B88" s="12" t="inlineStr">
        <is>
          <t>KUSH CRASHER</t>
        </is>
      </c>
      <c r="C88" s="12" t="inlineStr">
        <is>
          <t>Grade II</t>
        </is>
      </c>
      <c r="D88" s="12" t="inlineStr">
        <is>
          <t>QCSP 001_KC-II_v.01</t>
        </is>
      </c>
      <c r="E88" s="12" t="inlineStr">
        <is>
          <t>20.00 – 25.00%</t>
        </is>
      </c>
      <c r="F88" s="13" t="n">
        <v>20</v>
      </c>
      <c r="G88" s="13" t="n">
        <v>25</v>
      </c>
      <c r="H88" s="12" t="inlineStr">
        <is>
          <t>22.50% ± 2.50%</t>
        </is>
      </c>
      <c r="I88" s="13" t="n">
        <v>22.5</v>
      </c>
      <c r="J88" s="13" t="n">
        <v>2.5</v>
      </c>
      <c r="K88" s="12" t="inlineStr">
        <is>
          <t>≤ 1.0%</t>
        </is>
      </c>
    </row>
    <row r="89">
      <c r="A89" s="14" t="inlineStr">
        <is>
          <t>KC</t>
        </is>
      </c>
      <c r="B89" s="14" t="inlineStr">
        <is>
          <t>KUSH CRASHER</t>
        </is>
      </c>
      <c r="C89" s="14" t="inlineStr">
        <is>
          <t>Grade III</t>
        </is>
      </c>
      <c r="D89" s="14" t="inlineStr">
        <is>
          <t>QCSP 001_KC-III_v.01</t>
        </is>
      </c>
      <c r="E89" s="14" t="inlineStr">
        <is>
          <t>15.00 – 20.00%</t>
        </is>
      </c>
      <c r="F89" s="15" t="n">
        <v>15</v>
      </c>
      <c r="G89" s="15" t="n">
        <v>20</v>
      </c>
      <c r="H89" s="14" t="inlineStr">
        <is>
          <t>17.50% ± 2.50%</t>
        </is>
      </c>
      <c r="I89" s="15" t="n">
        <v>17.5</v>
      </c>
      <c r="J89" s="15" t="n">
        <v>2.5</v>
      </c>
      <c r="K89" s="14" t="inlineStr">
        <is>
          <t>≤ 1.0%</t>
        </is>
      </c>
    </row>
    <row r="90">
      <c r="A90" s="12" t="inlineStr">
        <is>
          <t>MRG</t>
        </is>
      </c>
      <c r="B90" s="12" t="inlineStr">
        <is>
          <t>MERINGE</t>
        </is>
      </c>
      <c r="C90" s="12" t="inlineStr">
        <is>
          <t>Grade I</t>
        </is>
      </c>
      <c r="D90" s="12" t="inlineStr">
        <is>
          <t>QCSP 001_MRG-I_v.01</t>
        </is>
      </c>
      <c r="E90" s="12" t="inlineStr">
        <is>
          <t>27.00 – 30.00%</t>
        </is>
      </c>
      <c r="F90" s="13" t="n">
        <v>27</v>
      </c>
      <c r="G90" s="13" t="n">
        <v>30</v>
      </c>
      <c r="H90" s="12" t="inlineStr">
        <is>
          <t>28.50% ± 1.50%</t>
        </is>
      </c>
      <c r="I90" s="13" t="n">
        <v>28.5</v>
      </c>
      <c r="J90" s="13" t="n">
        <v>1.5</v>
      </c>
      <c r="K90" s="12" t="inlineStr">
        <is>
          <t>≤ 1.0%</t>
        </is>
      </c>
    </row>
    <row r="91">
      <c r="A91" s="14" t="inlineStr">
        <is>
          <t>MRG</t>
        </is>
      </c>
      <c r="B91" s="14" t="inlineStr">
        <is>
          <t>MERINGE</t>
        </is>
      </c>
      <c r="C91" s="14" t="inlineStr">
        <is>
          <t>Grade II</t>
        </is>
      </c>
      <c r="D91" s="14" t="inlineStr">
        <is>
          <t>QCSP 001_MRG-II_v.01</t>
        </is>
      </c>
      <c r="E91" s="14" t="inlineStr">
        <is>
          <t>23.00 – 26.90%</t>
        </is>
      </c>
      <c r="F91" s="15" t="n">
        <v>23</v>
      </c>
      <c r="G91" s="15" t="n">
        <v>26.9</v>
      </c>
      <c r="H91" s="14" t="inlineStr">
        <is>
          <t>24.95% ± 1.95%</t>
        </is>
      </c>
      <c r="I91" s="15" t="n">
        <v>24.95</v>
      </c>
      <c r="J91" s="15" t="n">
        <v>1.95</v>
      </c>
      <c r="K91" s="14" t="inlineStr">
        <is>
          <t>≤ 1.0%</t>
        </is>
      </c>
    </row>
    <row r="92">
      <c r="A92" s="12" t="inlineStr">
        <is>
          <t>MRG</t>
        </is>
      </c>
      <c r="B92" s="12" t="inlineStr">
        <is>
          <t>MERINGE</t>
        </is>
      </c>
      <c r="C92" s="12" t="inlineStr">
        <is>
          <t>Grade III</t>
        </is>
      </c>
      <c r="D92" s="12" t="inlineStr">
        <is>
          <t>QCSP 001_MRG-III_v.01</t>
        </is>
      </c>
      <c r="E92" s="12" t="inlineStr">
        <is>
          <t>16.00 – 22.90%</t>
        </is>
      </c>
      <c r="F92" s="13" t="n">
        <v>16</v>
      </c>
      <c r="G92" s="13" t="n">
        <v>22.9</v>
      </c>
      <c r="H92" s="12" t="inlineStr">
        <is>
          <t>19.45% ± 3.45%</t>
        </is>
      </c>
      <c r="I92" s="13" t="n">
        <v>19.45</v>
      </c>
      <c r="J92" s="13" t="n">
        <v>3.45</v>
      </c>
      <c r="K92" s="12" t="inlineStr">
        <is>
          <t>≤ 1.0%</t>
        </is>
      </c>
    </row>
    <row r="93">
      <c r="A93" s="14" t="inlineStr">
        <is>
          <t>MRG</t>
        </is>
      </c>
      <c r="B93" s="14" t="inlineStr">
        <is>
          <t>MERINGE</t>
        </is>
      </c>
      <c r="C93" s="14" t="inlineStr">
        <is>
          <t>Grade IV</t>
        </is>
      </c>
      <c r="D93" s="14" t="inlineStr">
        <is>
          <t>QCSP 001_MRG-IV_v.01</t>
        </is>
      </c>
      <c r="E93" s="14" t="inlineStr">
        <is>
          <t>5.00 – 15.90%</t>
        </is>
      </c>
      <c r="F93" s="15" t="n">
        <v>5</v>
      </c>
      <c r="G93" s="15" t="n">
        <v>15.9</v>
      </c>
      <c r="H93" s="14" t="inlineStr">
        <is>
          <t>10.45% ± 5.45%</t>
        </is>
      </c>
      <c r="I93" s="15" t="n">
        <v>10.45</v>
      </c>
      <c r="J93" s="15" t="n">
        <v>5.45</v>
      </c>
      <c r="K93" s="14" t="inlineStr">
        <is>
          <t>≤ 1.0%</t>
        </is>
      </c>
    </row>
    <row r="94">
      <c r="A94" s="12" t="inlineStr">
        <is>
          <t>MB</t>
        </is>
      </c>
      <c r="B94" s="12" t="inlineStr">
        <is>
          <t>MOTOR BREATH</t>
        </is>
      </c>
      <c r="C94" s="12" t="inlineStr">
        <is>
          <t>Grade I</t>
        </is>
      </c>
      <c r="D94" s="12" t="inlineStr">
        <is>
          <t>QCSP 001_MB-I_v.01</t>
        </is>
      </c>
      <c r="E94" s="12" t="inlineStr">
        <is>
          <t>25.00 – 30.00%</t>
        </is>
      </c>
      <c r="F94" s="13" t="n">
        <v>25</v>
      </c>
      <c r="G94" s="13" t="n">
        <v>30</v>
      </c>
      <c r="H94" s="12" t="inlineStr">
        <is>
          <t>27.50% ± 2.50%</t>
        </is>
      </c>
      <c r="I94" s="13" t="n">
        <v>27.5</v>
      </c>
      <c r="J94" s="13" t="n">
        <v>2.5</v>
      </c>
      <c r="K94" s="12" t="inlineStr">
        <is>
          <t>≤ 1.0%</t>
        </is>
      </c>
    </row>
    <row r="95">
      <c r="A95" s="14" t="inlineStr">
        <is>
          <t>MB</t>
        </is>
      </c>
      <c r="B95" s="14" t="inlineStr">
        <is>
          <t>MOTOR BREATH</t>
        </is>
      </c>
      <c r="C95" s="14" t="inlineStr">
        <is>
          <t>Grade II</t>
        </is>
      </c>
      <c r="D95" s="14" t="inlineStr">
        <is>
          <t>QCSP 001_MB-II_v.01</t>
        </is>
      </c>
      <c r="E95" s="14" t="inlineStr">
        <is>
          <t>20.00 – 25.00%</t>
        </is>
      </c>
      <c r="F95" s="15" t="n">
        <v>20</v>
      </c>
      <c r="G95" s="15" t="n">
        <v>25</v>
      </c>
      <c r="H95" s="14" t="inlineStr">
        <is>
          <t>22.50% ± 2.50%</t>
        </is>
      </c>
      <c r="I95" s="15" t="n">
        <v>22.5</v>
      </c>
      <c r="J95" s="15" t="n">
        <v>2.5</v>
      </c>
      <c r="K95" s="14" t="inlineStr">
        <is>
          <t>≤ 1.0%</t>
        </is>
      </c>
    </row>
    <row r="96">
      <c r="A96" s="12" t="inlineStr">
        <is>
          <t>MB</t>
        </is>
      </c>
      <c r="B96" s="12" t="inlineStr">
        <is>
          <t>MOTOR BREATH</t>
        </is>
      </c>
      <c r="C96" s="12" t="inlineStr">
        <is>
          <t>Grade III</t>
        </is>
      </c>
      <c r="D96" s="12" t="inlineStr">
        <is>
          <t>QCSP 001_MB-III_v.01</t>
        </is>
      </c>
      <c r="E96" s="12" t="inlineStr">
        <is>
          <t>15.00 – 20.00%</t>
        </is>
      </c>
      <c r="F96" s="13" t="n">
        <v>15</v>
      </c>
      <c r="G96" s="13" t="n">
        <v>20</v>
      </c>
      <c r="H96" s="12" t="inlineStr">
        <is>
          <t>17.50% ± 2.50%</t>
        </is>
      </c>
      <c r="I96" s="13" t="n">
        <v>17.5</v>
      </c>
      <c r="J96" s="13" t="n">
        <v>2.5</v>
      </c>
      <c r="K96" s="12" t="inlineStr">
        <is>
          <t>≤ 1.0%</t>
        </is>
      </c>
    </row>
    <row r="97">
      <c r="A97" s="14" t="inlineStr">
        <is>
          <t>OPM</t>
        </is>
      </c>
      <c r="B97" s="14" t="inlineStr">
        <is>
          <t>ORANGE PUNCH MIMOSA</t>
        </is>
      </c>
      <c r="C97" s="14" t="inlineStr">
        <is>
          <t>Grade I</t>
        </is>
      </c>
      <c r="D97" s="14" t="inlineStr">
        <is>
          <t>QCSP 001_OPM-I_v.01</t>
        </is>
      </c>
      <c r="E97" s="14" t="inlineStr">
        <is>
          <t>25.00 – 30.00%</t>
        </is>
      </c>
      <c r="F97" s="15" t="n">
        <v>25</v>
      </c>
      <c r="G97" s="15" t="n">
        <v>30</v>
      </c>
      <c r="H97" s="14" t="inlineStr">
        <is>
          <t>28.00% ± 2.50%</t>
        </is>
      </c>
      <c r="I97" s="15" t="n">
        <v>28</v>
      </c>
      <c r="J97" s="15" t="n">
        <v>2.5</v>
      </c>
      <c r="K97" s="14" t="inlineStr">
        <is>
          <t>≤ 1.0%</t>
        </is>
      </c>
    </row>
    <row r="98">
      <c r="A98" s="12" t="inlineStr">
        <is>
          <t>OPM</t>
        </is>
      </c>
      <c r="B98" s="12" t="inlineStr">
        <is>
          <t>ORANGE PUNCH MIMOSA</t>
        </is>
      </c>
      <c r="C98" s="12" t="inlineStr">
        <is>
          <t>Grade II</t>
        </is>
      </c>
      <c r="D98" s="12" t="inlineStr">
        <is>
          <t>QCSP 001_OPM-II_v.01</t>
        </is>
      </c>
      <c r="E98" s="12" t="inlineStr">
        <is>
          <t>19.00 – 25.00%</t>
        </is>
      </c>
      <c r="F98" s="13" t="n">
        <v>19</v>
      </c>
      <c r="G98" s="13" t="n">
        <v>25</v>
      </c>
      <c r="H98" s="12" t="inlineStr">
        <is>
          <t>22.00% ± 3.00%</t>
        </is>
      </c>
      <c r="I98" s="13" t="n">
        <v>22</v>
      </c>
      <c r="J98" s="13" t="n">
        <v>3</v>
      </c>
      <c r="K98" s="12" t="inlineStr">
        <is>
          <t>≤ 1.0%</t>
        </is>
      </c>
    </row>
    <row r="99">
      <c r="A99" s="14" t="inlineStr">
        <is>
          <t>OPM</t>
        </is>
      </c>
      <c r="B99" s="14" t="inlineStr">
        <is>
          <t>ORANGE PUNCH MIMOSA</t>
        </is>
      </c>
      <c r="C99" s="14" t="inlineStr">
        <is>
          <t>Grade III</t>
        </is>
      </c>
      <c r="D99" s="14" t="inlineStr">
        <is>
          <t>QCSP 001_OPM-III_v.01</t>
        </is>
      </c>
      <c r="E99" s="14" t="inlineStr">
        <is>
          <t>13.00 – 19.00%</t>
        </is>
      </c>
      <c r="F99" s="15" t="n">
        <v>13</v>
      </c>
      <c r="G99" s="15" t="n">
        <v>19</v>
      </c>
      <c r="H99" s="14" t="inlineStr">
        <is>
          <t>16.00% ± 3.00%</t>
        </is>
      </c>
      <c r="I99" s="15" t="n">
        <v>16</v>
      </c>
      <c r="J99" s="15" t="n">
        <v>3</v>
      </c>
      <c r="K99" s="14" t="inlineStr">
        <is>
          <t>≤ 1.0%</t>
        </is>
      </c>
    </row>
    <row r="100">
      <c r="A100" s="12" t="inlineStr">
        <is>
          <t>OPM</t>
        </is>
      </c>
      <c r="B100" s="12" t="inlineStr">
        <is>
          <t>ORANGE PUNCH MIMOSA</t>
        </is>
      </c>
      <c r="C100" s="12" t="inlineStr">
        <is>
          <t>Grade IV</t>
        </is>
      </c>
      <c r="D100" s="12" t="inlineStr">
        <is>
          <t>QCSP 001_OPM-IV_v.01</t>
        </is>
      </c>
      <c r="E100" s="12" t="inlineStr">
        <is>
          <t>7.09 – 13.00%</t>
        </is>
      </c>
      <c r="F100" s="13" t="n">
        <v>7.09</v>
      </c>
      <c r="G100" s="13" t="n">
        <v>13</v>
      </c>
      <c r="H100" s="12" t="inlineStr">
        <is>
          <t>10.00% ± 2.96%</t>
        </is>
      </c>
      <c r="I100" s="13" t="n">
        <v>10</v>
      </c>
      <c r="J100" s="13" t="n">
        <v>2.96</v>
      </c>
      <c r="K100" s="12" t="inlineStr">
        <is>
          <t>≤ 1.0%</t>
        </is>
      </c>
    </row>
    <row r="101">
      <c r="A101" s="14" t="inlineStr">
        <is>
          <t>PM</t>
        </is>
      </c>
      <c r="B101" s="14" t="inlineStr">
        <is>
          <t>PERMANENT MARKER</t>
        </is>
      </c>
      <c r="C101" s="14" t="inlineStr">
        <is>
          <t>Grade I</t>
        </is>
      </c>
      <c r="D101" s="14" t="inlineStr">
        <is>
          <t>QCSP 001_PM-I_v.01</t>
        </is>
      </c>
      <c r="E101" s="14" t="inlineStr">
        <is>
          <t>24.00 – 30.00%</t>
        </is>
      </c>
      <c r="F101" s="15" t="n">
        <v>24</v>
      </c>
      <c r="G101" s="15" t="n">
        <v>30</v>
      </c>
      <c r="H101" s="14" t="inlineStr">
        <is>
          <t>26.50% ± 3.00%</t>
        </is>
      </c>
      <c r="I101" s="15" t="n">
        <v>26.5</v>
      </c>
      <c r="J101" s="15" t="n">
        <v>3</v>
      </c>
      <c r="K101" s="14" t="inlineStr">
        <is>
          <t>≤ 1.0%</t>
        </is>
      </c>
    </row>
    <row r="102">
      <c r="A102" s="12" t="inlineStr">
        <is>
          <t>PM</t>
        </is>
      </c>
      <c r="B102" s="12" t="inlineStr">
        <is>
          <t>PERMANENT MARKER</t>
        </is>
      </c>
      <c r="C102" s="12" t="inlineStr">
        <is>
          <t>Grade II</t>
        </is>
      </c>
      <c r="D102" s="12" t="inlineStr">
        <is>
          <t>QCSP 001_PM-II_v.01</t>
        </is>
      </c>
      <c r="E102" s="12" t="inlineStr">
        <is>
          <t>19.00 – 24.00%</t>
        </is>
      </c>
      <c r="F102" s="13" t="n">
        <v>19</v>
      </c>
      <c r="G102" s="13" t="n">
        <v>24</v>
      </c>
      <c r="H102" s="12" t="inlineStr">
        <is>
          <t>21.50% ± 2.50%</t>
        </is>
      </c>
      <c r="I102" s="13" t="n">
        <v>21.5</v>
      </c>
      <c r="J102" s="13" t="n">
        <v>2.5</v>
      </c>
      <c r="K102" s="12" t="inlineStr">
        <is>
          <t>≤ 1.0%</t>
        </is>
      </c>
    </row>
    <row r="103">
      <c r="A103" s="14" t="inlineStr">
        <is>
          <t>PM</t>
        </is>
      </c>
      <c r="B103" s="14" t="inlineStr">
        <is>
          <t>PERMANENT MARKER</t>
        </is>
      </c>
      <c r="C103" s="14" t="inlineStr">
        <is>
          <t>Grade III</t>
        </is>
      </c>
      <c r="D103" s="14" t="inlineStr">
        <is>
          <t>QCSP 001_PM-III_v.01</t>
        </is>
      </c>
      <c r="E103" s="14" t="inlineStr">
        <is>
          <t>14.00 – 19.00%</t>
        </is>
      </c>
      <c r="F103" s="15" t="n">
        <v>14</v>
      </c>
      <c r="G103" s="15" t="n">
        <v>19</v>
      </c>
      <c r="H103" s="14" t="inlineStr">
        <is>
          <t>16.50% ± 2.50%</t>
        </is>
      </c>
      <c r="I103" s="15" t="n">
        <v>16.5</v>
      </c>
      <c r="J103" s="15" t="n">
        <v>2.5</v>
      </c>
      <c r="K103" s="14" t="inlineStr">
        <is>
          <t>≤ 1.0%</t>
        </is>
      </c>
    </row>
    <row r="104">
      <c r="A104" s="12" t="inlineStr">
        <is>
          <t>PM</t>
        </is>
      </c>
      <c r="B104" s="12" t="inlineStr">
        <is>
          <t>PERMANENT MARKER</t>
        </is>
      </c>
      <c r="C104" s="12" t="inlineStr">
        <is>
          <t>Grade IV</t>
        </is>
      </c>
      <c r="D104" s="12" t="inlineStr">
        <is>
          <t>QCSP 001_PM-IV_v.01</t>
        </is>
      </c>
      <c r="E104" s="12" t="inlineStr">
        <is>
          <t>9.01 – 14.00%</t>
        </is>
      </c>
      <c r="F104" s="13" t="n">
        <v>9.01</v>
      </c>
      <c r="G104" s="13" t="n">
        <v>14</v>
      </c>
      <c r="H104" s="12" t="inlineStr">
        <is>
          <t>11.50% ± 2.50%</t>
        </is>
      </c>
      <c r="I104" s="13" t="n">
        <v>11.5</v>
      </c>
      <c r="J104" s="13" t="n">
        <v>2.5</v>
      </c>
      <c r="K104" s="12" t="inlineStr">
        <is>
          <t>≤ 1.0%</t>
        </is>
      </c>
    </row>
    <row r="105">
      <c r="A105" s="14" t="inlineStr">
        <is>
          <t>PUM</t>
        </is>
      </c>
      <c r="B105" s="14" t="inlineStr">
        <is>
          <t>PURE MICHIGAN</t>
        </is>
      </c>
      <c r="C105" s="14" t="inlineStr">
        <is>
          <t>Grade I</t>
        </is>
      </c>
      <c r="D105" s="14" t="inlineStr">
        <is>
          <t>QCSP 001_PUM-I_v.01</t>
        </is>
      </c>
      <c r="E105" s="14" t="inlineStr">
        <is>
          <t>27.00 – 30.00%</t>
        </is>
      </c>
      <c r="F105" s="15" t="n">
        <v>27</v>
      </c>
      <c r="G105" s="15" t="n">
        <v>30</v>
      </c>
      <c r="H105" s="14" t="inlineStr">
        <is>
          <t>28.50% ± 1.50%</t>
        </is>
      </c>
      <c r="I105" s="15" t="n">
        <v>28.5</v>
      </c>
      <c r="J105" s="15" t="n">
        <v>1.5</v>
      </c>
      <c r="K105" s="14" t="inlineStr">
        <is>
          <t>≤ 1.0%</t>
        </is>
      </c>
    </row>
    <row r="106">
      <c r="A106" s="12" t="inlineStr">
        <is>
          <t>PUM</t>
        </is>
      </c>
      <c r="B106" s="12" t="inlineStr">
        <is>
          <t>PURE MICHIGAN</t>
        </is>
      </c>
      <c r="C106" s="12" t="inlineStr">
        <is>
          <t>Grade II</t>
        </is>
      </c>
      <c r="D106" s="12" t="inlineStr">
        <is>
          <t>QCSP 001_PUM-II_v.01</t>
        </is>
      </c>
      <c r="E106" s="12" t="inlineStr">
        <is>
          <t>23.00 – 26.90%</t>
        </is>
      </c>
      <c r="F106" s="13" t="n">
        <v>23</v>
      </c>
      <c r="G106" s="13" t="n">
        <v>26.9</v>
      </c>
      <c r="H106" s="12" t="inlineStr">
        <is>
          <t>24.95% ± 1.95%</t>
        </is>
      </c>
      <c r="I106" s="13" t="n">
        <v>24.95</v>
      </c>
      <c r="J106" s="13" t="n">
        <v>1.95</v>
      </c>
      <c r="K106" s="12" t="inlineStr">
        <is>
          <t>≤ 1.0%</t>
        </is>
      </c>
    </row>
    <row r="107">
      <c r="A107" s="14" t="inlineStr">
        <is>
          <t>PUM</t>
        </is>
      </c>
      <c r="B107" s="14" t="inlineStr">
        <is>
          <t>PURE MICHIGAN</t>
        </is>
      </c>
      <c r="C107" s="14" t="inlineStr">
        <is>
          <t>Grade III</t>
        </is>
      </c>
      <c r="D107" s="14" t="inlineStr">
        <is>
          <t>QCSP 001_PUM-III_v.01</t>
        </is>
      </c>
      <c r="E107" s="14" t="inlineStr">
        <is>
          <t>16.00 – 22.90%</t>
        </is>
      </c>
      <c r="F107" s="15" t="n">
        <v>16</v>
      </c>
      <c r="G107" s="15" t="n">
        <v>22.9</v>
      </c>
      <c r="H107" s="14" t="inlineStr">
        <is>
          <t>19.45% ± 3.45%</t>
        </is>
      </c>
      <c r="I107" s="15" t="n">
        <v>19.45</v>
      </c>
      <c r="J107" s="15" t="n">
        <v>3.45</v>
      </c>
      <c r="K107" s="14" t="inlineStr">
        <is>
          <t>≤ 1.0%</t>
        </is>
      </c>
    </row>
    <row r="108">
      <c r="A108" s="12" t="inlineStr">
        <is>
          <t>PUM</t>
        </is>
      </c>
      <c r="B108" s="12" t="inlineStr">
        <is>
          <t>PURE MICHIGAN</t>
        </is>
      </c>
      <c r="C108" s="12" t="inlineStr">
        <is>
          <t>Grade IV</t>
        </is>
      </c>
      <c r="D108" s="12" t="inlineStr">
        <is>
          <t>QCSP 001_PUM-IV_v.01</t>
        </is>
      </c>
      <c r="E108" s="12" t="inlineStr">
        <is>
          <t>5.00 – 15.90%</t>
        </is>
      </c>
      <c r="F108" s="13" t="n">
        <v>5</v>
      </c>
      <c r="G108" s="13" t="n">
        <v>15.9</v>
      </c>
      <c r="H108" s="12" t="inlineStr">
        <is>
          <t>10.45% ± 5.45%</t>
        </is>
      </c>
      <c r="I108" s="13" t="n">
        <v>10.45</v>
      </c>
      <c r="J108" s="13" t="n">
        <v>5.45</v>
      </c>
      <c r="K108" s="12" t="inlineStr">
        <is>
          <t>≤ 1.0%</t>
        </is>
      </c>
    </row>
    <row r="109">
      <c r="A109" s="14" t="inlineStr">
        <is>
          <t>RS</t>
        </is>
      </c>
      <c r="B109" s="14" t="inlineStr">
        <is>
          <t>RS 11</t>
        </is>
      </c>
      <c r="C109" s="14" t="inlineStr">
        <is>
          <t>Grade I</t>
        </is>
      </c>
      <c r="D109" s="14" t="inlineStr">
        <is>
          <t>QCSP 001_RS-I_v.01</t>
        </is>
      </c>
      <c r="E109" s="14" t="inlineStr">
        <is>
          <t>27.00 – 30.00%</t>
        </is>
      </c>
      <c r="F109" s="15" t="n">
        <v>27</v>
      </c>
      <c r="G109" s="15" t="n">
        <v>30</v>
      </c>
      <c r="H109" s="14" t="inlineStr">
        <is>
          <t>28.50% ± 1.50%</t>
        </is>
      </c>
      <c r="I109" s="15" t="n">
        <v>28.5</v>
      </c>
      <c r="J109" s="15" t="n">
        <v>1.5</v>
      </c>
      <c r="K109" s="14" t="inlineStr">
        <is>
          <t>≤ 1.0%</t>
        </is>
      </c>
    </row>
    <row r="110">
      <c r="A110" s="12" t="inlineStr">
        <is>
          <t>RS</t>
        </is>
      </c>
      <c r="B110" s="12" t="inlineStr">
        <is>
          <t>RS 11</t>
        </is>
      </c>
      <c r="C110" s="12" t="inlineStr">
        <is>
          <t>Grade II</t>
        </is>
      </c>
      <c r="D110" s="12" t="inlineStr">
        <is>
          <t>QCSP 001_RS-II_v.01</t>
        </is>
      </c>
      <c r="E110" s="12" t="inlineStr">
        <is>
          <t>23.00 – 26.90%</t>
        </is>
      </c>
      <c r="F110" s="13" t="n">
        <v>23</v>
      </c>
      <c r="G110" s="13" t="n">
        <v>26.9</v>
      </c>
      <c r="H110" s="12" t="inlineStr">
        <is>
          <t>24.95% ± 1.95%</t>
        </is>
      </c>
      <c r="I110" s="13" t="n">
        <v>24.95</v>
      </c>
      <c r="J110" s="13" t="n">
        <v>1.95</v>
      </c>
      <c r="K110" s="12" t="inlineStr">
        <is>
          <t>≤ 1.0%</t>
        </is>
      </c>
    </row>
    <row r="111">
      <c r="A111" s="14" t="inlineStr">
        <is>
          <t>RS</t>
        </is>
      </c>
      <c r="B111" s="14" t="inlineStr">
        <is>
          <t>RS 11</t>
        </is>
      </c>
      <c r="C111" s="14" t="inlineStr">
        <is>
          <t>Grade III</t>
        </is>
      </c>
      <c r="D111" s="14" t="inlineStr">
        <is>
          <t>QCSP 001_RS-III_v.01</t>
        </is>
      </c>
      <c r="E111" s="14" t="inlineStr">
        <is>
          <t>16.00 – 22.90%</t>
        </is>
      </c>
      <c r="F111" s="15" t="n">
        <v>16</v>
      </c>
      <c r="G111" s="15" t="n">
        <v>22.9</v>
      </c>
      <c r="H111" s="14" t="inlineStr">
        <is>
          <t>19.45% ± 3.45%</t>
        </is>
      </c>
      <c r="I111" s="15" t="n">
        <v>19.45</v>
      </c>
      <c r="J111" s="15" t="n">
        <v>3.45</v>
      </c>
      <c r="K111" s="14" t="inlineStr">
        <is>
          <t>≤ 1.0%</t>
        </is>
      </c>
    </row>
    <row r="112">
      <c r="A112" s="12" t="inlineStr">
        <is>
          <t>RS</t>
        </is>
      </c>
      <c r="B112" s="12" t="inlineStr">
        <is>
          <t>RS 11</t>
        </is>
      </c>
      <c r="C112" s="12" t="inlineStr">
        <is>
          <t>Grade IV</t>
        </is>
      </c>
      <c r="D112" s="12" t="inlineStr">
        <is>
          <t>QCSP 001_RS-IV_v.01</t>
        </is>
      </c>
      <c r="E112" s="12" t="inlineStr">
        <is>
          <t>5.00 – 15.90%</t>
        </is>
      </c>
      <c r="F112" s="13" t="n">
        <v>5</v>
      </c>
      <c r="G112" s="13" t="n">
        <v>15.9</v>
      </c>
      <c r="H112" s="12" t="inlineStr">
        <is>
          <t>10.45% ± 5.45%</t>
        </is>
      </c>
      <c r="I112" s="13" t="n">
        <v>10.45</v>
      </c>
      <c r="J112" s="13" t="n">
        <v>5.45</v>
      </c>
      <c r="K112" s="12" t="inlineStr">
        <is>
          <t>≤ 1.0%</t>
        </is>
      </c>
    </row>
    <row r="113">
      <c r="A113" s="14" t="inlineStr">
        <is>
          <t>SCR</t>
        </is>
      </c>
      <c r="B113" s="14" t="inlineStr">
        <is>
          <t>SCRAMBLER</t>
        </is>
      </c>
      <c r="C113" s="14" t="inlineStr">
        <is>
          <t>Grade I</t>
        </is>
      </c>
      <c r="D113" s="14" t="inlineStr">
        <is>
          <t>QCSP 001_SCR-I_v.01</t>
        </is>
      </c>
      <c r="E113" s="14" t="inlineStr">
        <is>
          <t>25.25 – 30.00%</t>
        </is>
      </c>
      <c r="F113" s="15" t="n">
        <v>25.25</v>
      </c>
      <c r="G113" s="15" t="n">
        <v>30</v>
      </c>
      <c r="H113" s="14" t="inlineStr">
        <is>
          <t>27.50% ± 2.38%</t>
        </is>
      </c>
      <c r="I113" s="15" t="n">
        <v>27.5</v>
      </c>
      <c r="J113" s="15" t="n">
        <v>2.38</v>
      </c>
      <c r="K113" s="14" t="inlineStr">
        <is>
          <t>≤ 1.0%</t>
        </is>
      </c>
    </row>
    <row r="114">
      <c r="A114" s="12" t="inlineStr">
        <is>
          <t>SCR</t>
        </is>
      </c>
      <c r="B114" s="12" t="inlineStr">
        <is>
          <t>SCRAMBLER</t>
        </is>
      </c>
      <c r="C114" s="12" t="inlineStr">
        <is>
          <t>Grade II</t>
        </is>
      </c>
      <c r="D114" s="12" t="inlineStr">
        <is>
          <t>QCSP 001_SCR-II_v.01</t>
        </is>
      </c>
      <c r="E114" s="12" t="inlineStr">
        <is>
          <t>20.75 – 25.25%</t>
        </is>
      </c>
      <c r="F114" s="13" t="n">
        <v>20.75</v>
      </c>
      <c r="G114" s="13" t="n">
        <v>25.25</v>
      </c>
      <c r="H114" s="12" t="inlineStr">
        <is>
          <t>23.00% ± 2.25%</t>
        </is>
      </c>
      <c r="I114" s="13" t="n">
        <v>23</v>
      </c>
      <c r="J114" s="13" t="n">
        <v>2.25</v>
      </c>
      <c r="K114" s="12" t="inlineStr">
        <is>
          <t>≤ 1.0%</t>
        </is>
      </c>
    </row>
    <row r="115">
      <c r="A115" s="14" t="inlineStr">
        <is>
          <t>SCR</t>
        </is>
      </c>
      <c r="B115" s="14" t="inlineStr">
        <is>
          <t>SCRAMBLER</t>
        </is>
      </c>
      <c r="C115" s="14" t="inlineStr">
        <is>
          <t>Grade III</t>
        </is>
      </c>
      <c r="D115" s="14" t="inlineStr">
        <is>
          <t>QCSP 001_SCR-III_v.01</t>
        </is>
      </c>
      <c r="E115" s="14" t="inlineStr">
        <is>
          <t>16.13 – 20.75%</t>
        </is>
      </c>
      <c r="F115" s="15" t="n">
        <v>16.13</v>
      </c>
      <c r="G115" s="15" t="n">
        <v>20.75</v>
      </c>
      <c r="H115" s="14" t="inlineStr">
        <is>
          <t>18.50% ± 2.31%</t>
        </is>
      </c>
      <c r="I115" s="15" t="n">
        <v>18.5</v>
      </c>
      <c r="J115" s="15" t="n">
        <v>2.31</v>
      </c>
      <c r="K115" s="14" t="inlineStr">
        <is>
          <t>≤ 1.0%</t>
        </is>
      </c>
    </row>
    <row r="116">
      <c r="A116" s="12" t="inlineStr">
        <is>
          <t>SH</t>
        </is>
      </c>
      <c r="B116" s="12" t="inlineStr">
        <is>
          <t>SKYWALKER HAZE</t>
        </is>
      </c>
      <c r="C116" s="12" t="inlineStr">
        <is>
          <t>Grade I</t>
        </is>
      </c>
      <c r="D116" s="12" t="inlineStr">
        <is>
          <t>QCSP 001_SH-I_v.01</t>
        </is>
      </c>
      <c r="E116" s="12" t="inlineStr">
        <is>
          <t>27.00 – 30.00%</t>
        </is>
      </c>
      <c r="F116" s="13" t="n">
        <v>27</v>
      </c>
      <c r="G116" s="13" t="n">
        <v>30</v>
      </c>
      <c r="H116" s="12" t="inlineStr">
        <is>
          <t>28.50% ± 1.50%</t>
        </is>
      </c>
      <c r="I116" s="13" t="n">
        <v>28.5</v>
      </c>
      <c r="J116" s="13" t="n">
        <v>1.5</v>
      </c>
      <c r="K116" s="12" t="inlineStr">
        <is>
          <t>≤ 1.0%</t>
        </is>
      </c>
    </row>
    <row r="117">
      <c r="A117" s="14" t="inlineStr">
        <is>
          <t>SH</t>
        </is>
      </c>
      <c r="B117" s="14" t="inlineStr">
        <is>
          <t>SKYWALKER HAZE</t>
        </is>
      </c>
      <c r="C117" s="14" t="inlineStr">
        <is>
          <t>Grade II</t>
        </is>
      </c>
      <c r="D117" s="14" t="inlineStr">
        <is>
          <t>QCSP 001_SH-II_v.01</t>
        </is>
      </c>
      <c r="E117" s="14" t="inlineStr">
        <is>
          <t>23.00 – 26.90%</t>
        </is>
      </c>
      <c r="F117" s="15" t="n">
        <v>23</v>
      </c>
      <c r="G117" s="15" t="n">
        <v>26.9</v>
      </c>
      <c r="H117" s="14" t="inlineStr">
        <is>
          <t>24.95% ± 1.95%</t>
        </is>
      </c>
      <c r="I117" s="15" t="n">
        <v>24.95</v>
      </c>
      <c r="J117" s="15" t="n">
        <v>1.95</v>
      </c>
      <c r="K117" s="14" t="inlineStr">
        <is>
          <t>≤ 1.0%</t>
        </is>
      </c>
    </row>
    <row r="118">
      <c r="A118" s="12" t="inlineStr">
        <is>
          <t>SH</t>
        </is>
      </c>
      <c r="B118" s="12" t="inlineStr">
        <is>
          <t>SKYWALKER HAZE</t>
        </is>
      </c>
      <c r="C118" s="12" t="inlineStr">
        <is>
          <t>Grade III</t>
        </is>
      </c>
      <c r="D118" s="12" t="inlineStr">
        <is>
          <t>QCSP 001_SH-III_v.01</t>
        </is>
      </c>
      <c r="E118" s="12" t="inlineStr">
        <is>
          <t>16.00 – 22.90%</t>
        </is>
      </c>
      <c r="F118" s="13" t="n">
        <v>16</v>
      </c>
      <c r="G118" s="13" t="n">
        <v>22.9</v>
      </c>
      <c r="H118" s="12" t="inlineStr">
        <is>
          <t>19.45% ± 3.45%</t>
        </is>
      </c>
      <c r="I118" s="13" t="n">
        <v>19.45</v>
      </c>
      <c r="J118" s="13" t="n">
        <v>3.45</v>
      </c>
      <c r="K118" s="12" t="inlineStr">
        <is>
          <t>≤ 1.0%</t>
        </is>
      </c>
    </row>
    <row r="119">
      <c r="A119" s="14" t="inlineStr">
        <is>
          <t>SH</t>
        </is>
      </c>
      <c r="B119" s="14" t="inlineStr">
        <is>
          <t>SKYWALKER HAZE</t>
        </is>
      </c>
      <c r="C119" s="14" t="inlineStr">
        <is>
          <t>Grade IV</t>
        </is>
      </c>
      <c r="D119" s="14" t="inlineStr">
        <is>
          <t>QCSP 001_SH-IV_v.01</t>
        </is>
      </c>
      <c r="E119" s="14" t="inlineStr">
        <is>
          <t>5.00 – 15.90%</t>
        </is>
      </c>
      <c r="F119" s="15" t="n">
        <v>5</v>
      </c>
      <c r="G119" s="15" t="n">
        <v>15.9</v>
      </c>
      <c r="H119" s="14" t="inlineStr">
        <is>
          <t>10.45% ± 5.45%</t>
        </is>
      </c>
      <c r="I119" s="15" t="n">
        <v>10.45</v>
      </c>
      <c r="J119" s="15" t="n">
        <v>5.45</v>
      </c>
      <c r="K119" s="14" t="inlineStr">
        <is>
          <t>≤ 1.0%</t>
        </is>
      </c>
    </row>
    <row r="120">
      <c r="A120" s="12" t="inlineStr">
        <is>
          <t>SJ</t>
        </is>
      </c>
      <c r="B120" s="12" t="inlineStr">
        <is>
          <t>SLEEPY JOE</t>
        </is>
      </c>
      <c r="C120" s="12" t="inlineStr">
        <is>
          <t>Grade I</t>
        </is>
      </c>
      <c r="D120" s="12" t="inlineStr">
        <is>
          <t>QCSP 001_SJ-I_v.01</t>
        </is>
      </c>
      <c r="E120" s="12" t="inlineStr">
        <is>
          <t>24.00 – 30.00%</t>
        </is>
      </c>
      <c r="F120" s="13" t="n">
        <v>24</v>
      </c>
      <c r="G120" s="13" t="n">
        <v>30</v>
      </c>
      <c r="H120" s="12" t="inlineStr">
        <is>
          <t>27.00% ± 3.00%</t>
        </is>
      </c>
      <c r="I120" s="13" t="n">
        <v>27</v>
      </c>
      <c r="J120" s="13" t="n">
        <v>3</v>
      </c>
      <c r="K120" s="12" t="inlineStr">
        <is>
          <t>≤ 1.0%</t>
        </is>
      </c>
    </row>
    <row r="121">
      <c r="A121" s="14" t="inlineStr">
        <is>
          <t>SJ</t>
        </is>
      </c>
      <c r="B121" s="14" t="inlineStr">
        <is>
          <t>SLEEPY JOE</t>
        </is>
      </c>
      <c r="C121" s="14" t="inlineStr">
        <is>
          <t>Grade II</t>
        </is>
      </c>
      <c r="D121" s="14" t="inlineStr">
        <is>
          <t>QCSP 001_SJ-II_v.01</t>
        </is>
      </c>
      <c r="E121" s="14" t="inlineStr">
        <is>
          <t>18.00 – 24.00%</t>
        </is>
      </c>
      <c r="F121" s="15" t="n">
        <v>18</v>
      </c>
      <c r="G121" s="15" t="n">
        <v>24</v>
      </c>
      <c r="H121" s="14" t="inlineStr">
        <is>
          <t>21.00% ± 3.00%</t>
        </is>
      </c>
      <c r="I121" s="15" t="n">
        <v>21</v>
      </c>
      <c r="J121" s="15" t="n">
        <v>3</v>
      </c>
      <c r="K121" s="14" t="inlineStr">
        <is>
          <t>≤ 1.0%</t>
        </is>
      </c>
    </row>
    <row r="122">
      <c r="A122" s="12" t="inlineStr">
        <is>
          <t>SJ</t>
        </is>
      </c>
      <c r="B122" s="12" t="inlineStr">
        <is>
          <t>SLEEPY JOE</t>
        </is>
      </c>
      <c r="C122" s="12" t="inlineStr">
        <is>
          <t>Grade III</t>
        </is>
      </c>
      <c r="D122" s="12" t="inlineStr">
        <is>
          <t>QCSP 001_SJ-III_v.01</t>
        </is>
      </c>
      <c r="E122" s="12" t="inlineStr">
        <is>
          <t>13.00 – 18.00%</t>
        </is>
      </c>
      <c r="F122" s="13" t="n">
        <v>13</v>
      </c>
      <c r="G122" s="13" t="n">
        <v>18</v>
      </c>
      <c r="H122" s="12" t="inlineStr">
        <is>
          <t>15.50% ± 2.50%</t>
        </is>
      </c>
      <c r="I122" s="13" t="n">
        <v>15.5</v>
      </c>
      <c r="J122" s="13" t="n">
        <v>2.5</v>
      </c>
      <c r="K122" s="12" t="inlineStr">
        <is>
          <t>≤ 1.0%</t>
        </is>
      </c>
    </row>
    <row r="123">
      <c r="A123" s="14" t="inlineStr">
        <is>
          <t>SJ</t>
        </is>
      </c>
      <c r="B123" s="14" t="inlineStr">
        <is>
          <t>SLEEPY JOE</t>
        </is>
      </c>
      <c r="C123" s="14" t="inlineStr">
        <is>
          <t>Grade IV</t>
        </is>
      </c>
      <c r="D123" s="14" t="inlineStr">
        <is>
          <t>QCSP 001_SJ-IV_v.01</t>
        </is>
      </c>
      <c r="E123" s="14" t="inlineStr">
        <is>
          <t>7.75 – 13.00%</t>
        </is>
      </c>
      <c r="F123" s="15" t="n">
        <v>7.75</v>
      </c>
      <c r="G123" s="15" t="n">
        <v>13</v>
      </c>
      <c r="H123" s="14" t="inlineStr">
        <is>
          <t>10.50% ± 2.63%</t>
        </is>
      </c>
      <c r="I123" s="15" t="n">
        <v>10.5</v>
      </c>
      <c r="J123" s="15" t="n">
        <v>2.63</v>
      </c>
      <c r="K123" s="14" t="inlineStr">
        <is>
          <t>≤ 1.0%</t>
        </is>
      </c>
    </row>
    <row r="124">
      <c r="A124" s="12" t="inlineStr">
        <is>
          <t>SC</t>
        </is>
      </c>
      <c r="B124" s="12" t="inlineStr">
        <is>
          <t>STRAWBERRY COUGH</t>
        </is>
      </c>
      <c r="C124" s="12" t="inlineStr">
        <is>
          <t>Grade I</t>
        </is>
      </c>
      <c r="D124" s="12" t="inlineStr">
        <is>
          <t>QCSP 001_SC-I_v.01</t>
        </is>
      </c>
      <c r="E124" s="12" t="inlineStr">
        <is>
          <t>27.00 – 30.00%</t>
        </is>
      </c>
      <c r="F124" s="13" t="n">
        <v>27</v>
      </c>
      <c r="G124" s="13" t="n">
        <v>30</v>
      </c>
      <c r="H124" s="12" t="inlineStr">
        <is>
          <t>28.50% ± 1.50%</t>
        </is>
      </c>
      <c r="I124" s="13" t="n">
        <v>28.5</v>
      </c>
      <c r="J124" s="13" t="n">
        <v>1.5</v>
      </c>
      <c r="K124" s="12" t="inlineStr">
        <is>
          <t>≤ 1.0%</t>
        </is>
      </c>
    </row>
    <row r="125">
      <c r="A125" s="14" t="inlineStr">
        <is>
          <t>SC</t>
        </is>
      </c>
      <c r="B125" s="14" t="inlineStr">
        <is>
          <t>STRAWBERRY COUGH</t>
        </is>
      </c>
      <c r="C125" s="14" t="inlineStr">
        <is>
          <t>Grade II</t>
        </is>
      </c>
      <c r="D125" s="14" t="inlineStr">
        <is>
          <t>QCSP 001_SC-II_v.01</t>
        </is>
      </c>
      <c r="E125" s="14" t="inlineStr">
        <is>
          <t>23.00 – 26.90%</t>
        </is>
      </c>
      <c r="F125" s="15" t="n">
        <v>23</v>
      </c>
      <c r="G125" s="15" t="n">
        <v>26.9</v>
      </c>
      <c r="H125" s="14" t="inlineStr">
        <is>
          <t>24.95% ± 1.95%</t>
        </is>
      </c>
      <c r="I125" s="15" t="n">
        <v>24.95</v>
      </c>
      <c r="J125" s="15" t="n">
        <v>1.95</v>
      </c>
      <c r="K125" s="14" t="inlineStr">
        <is>
          <t>≤ 1.0%</t>
        </is>
      </c>
    </row>
    <row r="126">
      <c r="A126" s="12" t="inlineStr">
        <is>
          <t>SC</t>
        </is>
      </c>
      <c r="B126" s="12" t="inlineStr">
        <is>
          <t>STRAWBERRY COUGH</t>
        </is>
      </c>
      <c r="C126" s="12" t="inlineStr">
        <is>
          <t>Grade III</t>
        </is>
      </c>
      <c r="D126" s="12" t="inlineStr">
        <is>
          <t>QCSP 001_SC-III_v.01</t>
        </is>
      </c>
      <c r="E126" s="12" t="inlineStr">
        <is>
          <t>16.00 – 22.90%</t>
        </is>
      </c>
      <c r="F126" s="13" t="n">
        <v>16</v>
      </c>
      <c r="G126" s="13" t="n">
        <v>22.9</v>
      </c>
      <c r="H126" s="12" t="inlineStr">
        <is>
          <t>19.45% ± 3.45%</t>
        </is>
      </c>
      <c r="I126" s="13" t="n">
        <v>19.45</v>
      </c>
      <c r="J126" s="13" t="n">
        <v>3.45</v>
      </c>
      <c r="K126" s="12" t="inlineStr">
        <is>
          <t>≤ 1.0%</t>
        </is>
      </c>
    </row>
    <row r="127">
      <c r="A127" s="14" t="inlineStr">
        <is>
          <t>SC</t>
        </is>
      </c>
      <c r="B127" s="14" t="inlineStr">
        <is>
          <t>STRAWBERRY COUGH</t>
        </is>
      </c>
      <c r="C127" s="14" t="inlineStr">
        <is>
          <t>Grade IV</t>
        </is>
      </c>
      <c r="D127" s="14" t="inlineStr">
        <is>
          <t>QCSP 001_SC-IV_v.01</t>
        </is>
      </c>
      <c r="E127" s="14" t="inlineStr">
        <is>
          <t>5.00 – 15.90%</t>
        </is>
      </c>
      <c r="F127" s="15" t="n">
        <v>5</v>
      </c>
      <c r="G127" s="15" t="n">
        <v>15.9</v>
      </c>
      <c r="H127" s="14" t="inlineStr">
        <is>
          <t>10.45% ± 5.45%</t>
        </is>
      </c>
      <c r="I127" s="15" t="n">
        <v>10.45</v>
      </c>
      <c r="J127" s="15" t="n">
        <v>5.45</v>
      </c>
      <c r="K127" s="14" t="inlineStr">
        <is>
          <t>≤ 1.0%</t>
        </is>
      </c>
    </row>
    <row r="128">
      <c r="A128" s="12" t="inlineStr">
        <is>
          <t>WC</t>
        </is>
      </c>
      <c r="B128" s="12" t="inlineStr">
        <is>
          <t>WEDDING CRASHER</t>
        </is>
      </c>
      <c r="C128" s="12" t="inlineStr">
        <is>
          <t>Grade I</t>
        </is>
      </c>
      <c r="D128" s="12" t="inlineStr">
        <is>
          <t>QCSP 001_WC-I_v.01</t>
        </is>
      </c>
      <c r="E128" s="12" t="inlineStr">
        <is>
          <t>25.00 – 30.00%</t>
        </is>
      </c>
      <c r="F128" s="13" t="n">
        <v>25</v>
      </c>
      <c r="G128" s="13" t="n">
        <v>30</v>
      </c>
      <c r="H128" s="12" t="inlineStr">
        <is>
          <t>27.50% ± 2.50%</t>
        </is>
      </c>
      <c r="I128" s="13" t="n">
        <v>27.5</v>
      </c>
      <c r="J128" s="13" t="n">
        <v>2.5</v>
      </c>
      <c r="K128" s="12" t="inlineStr">
        <is>
          <t>≤ 1.0%</t>
        </is>
      </c>
    </row>
    <row r="129">
      <c r="A129" s="14" t="inlineStr">
        <is>
          <t>WC</t>
        </is>
      </c>
      <c r="B129" s="14" t="inlineStr">
        <is>
          <t>WEDDING CRASHER</t>
        </is>
      </c>
      <c r="C129" s="14" t="inlineStr">
        <is>
          <t>Grade II</t>
        </is>
      </c>
      <c r="D129" s="14" t="inlineStr">
        <is>
          <t>QCSP 001_WC-II_v.01</t>
        </is>
      </c>
      <c r="E129" s="14" t="inlineStr">
        <is>
          <t>20.00 – 25.00%</t>
        </is>
      </c>
      <c r="F129" s="15" t="n">
        <v>20</v>
      </c>
      <c r="G129" s="15" t="n">
        <v>25</v>
      </c>
      <c r="H129" s="14" t="inlineStr">
        <is>
          <t>22.50% ± 2.50%</t>
        </is>
      </c>
      <c r="I129" s="15" t="n">
        <v>22.5</v>
      </c>
      <c r="J129" s="15" t="n">
        <v>2.5</v>
      </c>
      <c r="K129" s="14" t="inlineStr">
        <is>
          <t>≤ 1.0%</t>
        </is>
      </c>
    </row>
    <row r="130">
      <c r="A130" s="12" t="inlineStr">
        <is>
          <t>WC</t>
        </is>
      </c>
      <c r="B130" s="12" t="inlineStr">
        <is>
          <t>WEDDING CRASHER</t>
        </is>
      </c>
      <c r="C130" s="12" t="inlineStr">
        <is>
          <t>Grade III</t>
        </is>
      </c>
      <c r="D130" s="12" t="inlineStr">
        <is>
          <t>QCSP 001_WC-III_v.01</t>
        </is>
      </c>
      <c r="E130" s="12" t="inlineStr">
        <is>
          <t>15.00 – 20.00%</t>
        </is>
      </c>
      <c r="F130" s="13" t="n">
        <v>15</v>
      </c>
      <c r="G130" s="13" t="n">
        <v>20</v>
      </c>
      <c r="H130" s="12" t="inlineStr">
        <is>
          <t>17.50% ± 2.50%</t>
        </is>
      </c>
      <c r="I130" s="13" t="n">
        <v>17.5</v>
      </c>
      <c r="J130" s="13" t="n">
        <v>2.5</v>
      </c>
      <c r="K130" s="12" t="inlineStr">
        <is>
          <t>≤ 1.0%</t>
        </is>
      </c>
    </row>
  </sheetData>
  <mergeCells count="3">
    <mergeCell ref="A2:K2"/>
    <mergeCell ref="A1:K1"/>
    <mergeCell ref="A3:K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7"/>
  <sheetViews>
    <sheetView showGridLines="0" workbookViewId="0">
      <pane ySplit="5" topLeftCell="A6" activePane="bottomLeft" state="frozen"/>
      <selection pane="bottomLeft" activeCell="A1" sqref="A1"/>
    </sheetView>
  </sheetViews>
  <sheetFormatPr baseColWidth="8" defaultRowHeight="15"/>
  <cols>
    <col width="7" customWidth="1" min="1" max="1"/>
    <col width="22" customWidth="1" min="2" max="2"/>
    <col width="9" customWidth="1" min="3" max="3"/>
    <col width="20" customWidth="1" min="4" max="4"/>
    <col width="15" customWidth="1" min="5" max="5"/>
    <col width="9" customWidth="1" min="6" max="6"/>
    <col width="9" customWidth="1" min="7" max="7"/>
    <col width="20" customWidth="1" min="8" max="8"/>
    <col width="12" customWidth="1" min="9" max="9"/>
    <col width="10" customWidth="1" min="10" max="10"/>
    <col width="12" customWidth="1" min="11" max="11"/>
    <col width="26" customWidth="1" min="12" max="12"/>
  </cols>
  <sheetData>
    <row r="1" ht="26" customHeight="1">
      <c r="A1" s="8" t="inlineStr">
        <is>
          <t>Издадени спецификации — нови (преименувани) имиња</t>
        </is>
      </c>
    </row>
    <row r="2">
      <c r="A2" s="9" t="inlineStr">
        <is>
          <t>Issued Specifications — New (Renamed) Names</t>
        </is>
      </c>
    </row>
    <row r="3" ht="32" customHeight="1">
      <c r="A3" s="10" t="inlineStr">
        <is>
          <t>Секоја издадена QCSP 001 спецификација за ново име (RENs/NEWs), со оригиналното(ите) име(иња) што водат до него, според Portfolio Master.  |  Every issued QCSP 001 specification for a new name (RENs/NEWs), with the original name(s) it maps from, per the Portfolio Master.</t>
        </is>
      </c>
    </row>
    <row r="5" ht="30" customHeight="1">
      <c r="A5" s="11" t="inlineStr">
        <is>
          <t>Код | Code</t>
        </is>
      </c>
      <c r="B5" s="11" t="inlineStr">
        <is>
          <t>Ново име | New Strain Name</t>
        </is>
      </c>
      <c r="C5" s="11" t="inlineStr">
        <is>
          <t>Класа | Grade</t>
        </is>
      </c>
      <c r="D5" s="11" t="inlineStr">
        <is>
          <t>Код на документ | Doc Code</t>
        </is>
      </c>
      <c r="E5" s="11" t="inlineStr">
        <is>
          <t>THC-опсег (%) | THC Range (%)</t>
        </is>
      </c>
      <c r="F5" s="11" t="inlineStr">
        <is>
          <t>THC мин. | Min</t>
        </is>
      </c>
      <c r="G5" s="11" t="inlineStr">
        <is>
          <t>THC макс. | Max</t>
        </is>
      </c>
      <c r="H5" s="11" t="inlineStr">
        <is>
          <t>Номинала (печатена) | Nominal (as printed)</t>
        </is>
      </c>
      <c r="I5" s="11" t="inlineStr">
        <is>
          <t>Номинала THC | Nominal THC</t>
        </is>
      </c>
      <c r="J5" s="11" t="inlineStr">
        <is>
          <t>Толеранција | Tolerance</t>
        </is>
      </c>
      <c r="K5" s="11" t="inlineStr">
        <is>
          <t>CBD лимит | CBD Limit</t>
        </is>
      </c>
      <c r="L5" s="11" t="inlineStr">
        <is>
          <t>Оригинално(и) име(иња) | Original name(s)</t>
        </is>
      </c>
    </row>
    <row r="6">
      <c r="A6" s="12" t="inlineStr">
        <is>
          <t>AC</t>
        </is>
      </c>
      <c r="B6" s="12" t="inlineStr">
        <is>
          <t>AMNESIA CORE</t>
        </is>
      </c>
      <c r="C6" s="12" t="inlineStr">
        <is>
          <t>Grade I</t>
        </is>
      </c>
      <c r="D6" s="12" t="inlineStr">
        <is>
          <t>QCSP 001_AC-I_v.01</t>
        </is>
      </c>
      <c r="E6" s="12" t="inlineStr">
        <is>
          <t>27.00 – 30.00%</t>
        </is>
      </c>
      <c r="F6" s="13" t="n">
        <v>27</v>
      </c>
      <c r="G6" s="13" t="n">
        <v>30</v>
      </c>
      <c r="H6" s="12" t="inlineStr">
        <is>
          <t>28.50% ± 1.50%</t>
        </is>
      </c>
      <c r="I6" s="13" t="n">
        <v>28.5</v>
      </c>
      <c r="J6" s="13" t="n">
        <v>1.5</v>
      </c>
      <c r="K6" s="12" t="inlineStr">
        <is>
          <t>≤ 1.0%</t>
        </is>
      </c>
      <c r="L6" s="12" t="inlineStr">
        <is>
          <t>Amnesia Core Cut</t>
        </is>
      </c>
    </row>
    <row r="7">
      <c r="A7" s="14" t="inlineStr">
        <is>
          <t>AC</t>
        </is>
      </c>
      <c r="B7" s="14" t="inlineStr">
        <is>
          <t>AMNESIA CORE</t>
        </is>
      </c>
      <c r="C7" s="14" t="inlineStr">
        <is>
          <t>Grade II</t>
        </is>
      </c>
      <c r="D7" s="14" t="inlineStr">
        <is>
          <t>QCSP 001_AC-II_v.01</t>
        </is>
      </c>
      <c r="E7" s="14" t="inlineStr">
        <is>
          <t>23.00 – 26.90%</t>
        </is>
      </c>
      <c r="F7" s="15" t="n">
        <v>23</v>
      </c>
      <c r="G7" s="15" t="n">
        <v>26.9</v>
      </c>
      <c r="H7" s="14" t="inlineStr">
        <is>
          <t>24.95% ± 1.95%</t>
        </is>
      </c>
      <c r="I7" s="15" t="n">
        <v>24.95</v>
      </c>
      <c r="J7" s="15" t="n">
        <v>1.95</v>
      </c>
      <c r="K7" s="14" t="inlineStr">
        <is>
          <t>≤ 1.0%</t>
        </is>
      </c>
      <c r="L7" s="14" t="inlineStr">
        <is>
          <t>Amnesia Core Cut</t>
        </is>
      </c>
    </row>
    <row r="8">
      <c r="A8" s="12" t="inlineStr">
        <is>
          <t>AC</t>
        </is>
      </c>
      <c r="B8" s="12" t="inlineStr">
        <is>
          <t>AMNESIA CORE</t>
        </is>
      </c>
      <c r="C8" s="12" t="inlineStr">
        <is>
          <t>Grade III</t>
        </is>
      </c>
      <c r="D8" s="12" t="inlineStr">
        <is>
          <t>QCSP 001_AC-III_v.01</t>
        </is>
      </c>
      <c r="E8" s="12" t="inlineStr">
        <is>
          <t>16.00 – 22.90%</t>
        </is>
      </c>
      <c r="F8" s="13" t="n">
        <v>16</v>
      </c>
      <c r="G8" s="13" t="n">
        <v>22.9</v>
      </c>
      <c r="H8" s="12" t="inlineStr">
        <is>
          <t>19.45% ± 3.45%</t>
        </is>
      </c>
      <c r="I8" s="13" t="n">
        <v>19.45</v>
      </c>
      <c r="J8" s="13" t="n">
        <v>3.45</v>
      </c>
      <c r="K8" s="12" t="inlineStr">
        <is>
          <t>≤ 1.0%</t>
        </is>
      </c>
      <c r="L8" s="12" t="inlineStr">
        <is>
          <t>Amnesia Core Cut</t>
        </is>
      </c>
    </row>
    <row r="9">
      <c r="A9" s="14" t="inlineStr">
        <is>
          <t>AC</t>
        </is>
      </c>
      <c r="B9" s="14" t="inlineStr">
        <is>
          <t>AMNESIA CORE</t>
        </is>
      </c>
      <c r="C9" s="14" t="inlineStr">
        <is>
          <t>Grade IV</t>
        </is>
      </c>
      <c r="D9" s="14" t="inlineStr">
        <is>
          <t>QCSP 001_AC-IV_v.01</t>
        </is>
      </c>
      <c r="E9" s="14" t="inlineStr">
        <is>
          <t>5.00 – 15.90%</t>
        </is>
      </c>
      <c r="F9" s="15" t="n">
        <v>5</v>
      </c>
      <c r="G9" s="15" t="n">
        <v>15.9</v>
      </c>
      <c r="H9" s="14" t="inlineStr">
        <is>
          <t>10.45% ± 5.45%</t>
        </is>
      </c>
      <c r="I9" s="15" t="n">
        <v>10.45</v>
      </c>
      <c r="J9" s="15" t="n">
        <v>5.45</v>
      </c>
      <c r="K9" s="14" t="inlineStr">
        <is>
          <t>≤ 1.0%</t>
        </is>
      </c>
      <c r="L9" s="14" t="inlineStr">
        <is>
          <t>Amnesia Core Cut</t>
        </is>
      </c>
    </row>
    <row r="10">
      <c r="A10" s="12" t="inlineStr">
        <is>
          <t>BC</t>
        </is>
      </c>
      <c r="B10" s="12" t="inlineStr">
        <is>
          <t>BANANA CAKE</t>
        </is>
      </c>
      <c r="C10" s="12" t="inlineStr">
        <is>
          <t>Grade I</t>
        </is>
      </c>
      <c r="D10" s="12" t="inlineStr">
        <is>
          <t>QCSP 001_BC-I_v.01</t>
        </is>
      </c>
      <c r="E10" s="12" t="inlineStr">
        <is>
          <t>27.00 – 30.00%</t>
        </is>
      </c>
      <c r="F10" s="13" t="n">
        <v>27</v>
      </c>
      <c r="G10" s="13" t="n">
        <v>30</v>
      </c>
      <c r="H10" s="12" t="inlineStr">
        <is>
          <t>28.50% ± 1.50%</t>
        </is>
      </c>
      <c r="I10" s="13" t="n">
        <v>28.5</v>
      </c>
      <c r="J10" s="13" t="n">
        <v>1.5</v>
      </c>
      <c r="K10" s="12" t="inlineStr">
        <is>
          <t>≤ 1.0%</t>
        </is>
      </c>
      <c r="L10" s="12" t="inlineStr">
        <is>
          <t>—</t>
        </is>
      </c>
    </row>
    <row r="11">
      <c r="A11" s="14" t="inlineStr">
        <is>
          <t>BC</t>
        </is>
      </c>
      <c r="B11" s="14" t="inlineStr">
        <is>
          <t>BANANA CAKE</t>
        </is>
      </c>
      <c r="C11" s="14" t="inlineStr">
        <is>
          <t>Grade II</t>
        </is>
      </c>
      <c r="D11" s="14" t="inlineStr">
        <is>
          <t>QCSP 001_BC-II_v.01</t>
        </is>
      </c>
      <c r="E11" s="14" t="inlineStr">
        <is>
          <t>23.00 – 26.90%</t>
        </is>
      </c>
      <c r="F11" s="15" t="n">
        <v>23</v>
      </c>
      <c r="G11" s="15" t="n">
        <v>26.9</v>
      </c>
      <c r="H11" s="14" t="inlineStr">
        <is>
          <t>24.95% ± 1.95%</t>
        </is>
      </c>
      <c r="I11" s="15" t="n">
        <v>24.95</v>
      </c>
      <c r="J11" s="15" t="n">
        <v>1.95</v>
      </c>
      <c r="K11" s="14" t="inlineStr">
        <is>
          <t>≤ 1.0%</t>
        </is>
      </c>
      <c r="L11" s="14" t="inlineStr">
        <is>
          <t>—</t>
        </is>
      </c>
    </row>
    <row r="12">
      <c r="A12" s="12" t="inlineStr">
        <is>
          <t>BC</t>
        </is>
      </c>
      <c r="B12" s="12" t="inlineStr">
        <is>
          <t>BANANA CAKE</t>
        </is>
      </c>
      <c r="C12" s="12" t="inlineStr">
        <is>
          <t>Grade III</t>
        </is>
      </c>
      <c r="D12" s="12" t="inlineStr">
        <is>
          <t>QCSP 001_BC-III_v.01</t>
        </is>
      </c>
      <c r="E12" s="12" t="inlineStr">
        <is>
          <t>16.00 – 22.90%</t>
        </is>
      </c>
      <c r="F12" s="13" t="n">
        <v>16</v>
      </c>
      <c r="G12" s="13" t="n">
        <v>22.9</v>
      </c>
      <c r="H12" s="12" t="inlineStr">
        <is>
          <t>19.45% ± 3.45%</t>
        </is>
      </c>
      <c r="I12" s="13" t="n">
        <v>19.45</v>
      </c>
      <c r="J12" s="13" t="n">
        <v>3.45</v>
      </c>
      <c r="K12" s="12" t="inlineStr">
        <is>
          <t>≤ 1.0%</t>
        </is>
      </c>
      <c r="L12" s="12" t="inlineStr">
        <is>
          <t>—</t>
        </is>
      </c>
    </row>
    <row r="13">
      <c r="A13" s="14" t="inlineStr">
        <is>
          <t>BC</t>
        </is>
      </c>
      <c r="B13" s="14" t="inlineStr">
        <is>
          <t>BANANA CAKE</t>
        </is>
      </c>
      <c r="C13" s="14" t="inlineStr">
        <is>
          <t>Grade IV</t>
        </is>
      </c>
      <c r="D13" s="14" t="inlineStr">
        <is>
          <t>QCSP 001_BC-IV_v.01</t>
        </is>
      </c>
      <c r="E13" s="14" t="inlineStr">
        <is>
          <t>5.00 – 15.90%</t>
        </is>
      </c>
      <c r="F13" s="15" t="n">
        <v>5</v>
      </c>
      <c r="G13" s="15" t="n">
        <v>15.9</v>
      </c>
      <c r="H13" s="14" t="inlineStr">
        <is>
          <t>10.45% ± 5.45%</t>
        </is>
      </c>
      <c r="I13" s="15" t="n">
        <v>10.45</v>
      </c>
      <c r="J13" s="15" t="n">
        <v>5.45</v>
      </c>
      <c r="K13" s="14" t="inlineStr">
        <is>
          <t>≤ 1.0%</t>
        </is>
      </c>
      <c r="L13" s="14" t="inlineStr">
        <is>
          <t>—</t>
        </is>
      </c>
    </row>
    <row r="14">
      <c r="A14" s="12" t="inlineStr">
        <is>
          <t>CAL</t>
        </is>
      </c>
      <c r="B14" s="12" t="inlineStr">
        <is>
          <t>CALMINO</t>
        </is>
      </c>
      <c r="C14" s="12" t="inlineStr">
        <is>
          <t>Grade I</t>
        </is>
      </c>
      <c r="D14" s="12" t="inlineStr">
        <is>
          <t>QCSP 001_CAL-I_v.01</t>
        </is>
      </c>
      <c r="E14" s="12" t="inlineStr">
        <is>
          <t>24.00 – 30.00%</t>
        </is>
      </c>
      <c r="F14" s="13" t="n">
        <v>24</v>
      </c>
      <c r="G14" s="13" t="n">
        <v>30</v>
      </c>
      <c r="H14" s="12" t="inlineStr">
        <is>
          <t>27.00% ± 3.00%</t>
        </is>
      </c>
      <c r="I14" s="13" t="n">
        <v>27</v>
      </c>
      <c r="J14" s="13" t="n">
        <v>3</v>
      </c>
      <c r="K14" s="12" t="inlineStr">
        <is>
          <t>≤ 1.0%</t>
        </is>
      </c>
      <c r="L14" s="12" t="inlineStr">
        <is>
          <t>Sleepy Joe</t>
        </is>
      </c>
    </row>
    <row r="15">
      <c r="A15" s="14" t="inlineStr">
        <is>
          <t>CAL</t>
        </is>
      </c>
      <c r="B15" s="14" t="inlineStr">
        <is>
          <t>CALMINO</t>
        </is>
      </c>
      <c r="C15" s="14" t="inlineStr">
        <is>
          <t>Grade II</t>
        </is>
      </c>
      <c r="D15" s="14" t="inlineStr">
        <is>
          <t>QCSP 001_CAL-II_v.01</t>
        </is>
      </c>
      <c r="E15" s="14" t="inlineStr">
        <is>
          <t>18.00 – 24.00%</t>
        </is>
      </c>
      <c r="F15" s="15" t="n">
        <v>18</v>
      </c>
      <c r="G15" s="15" t="n">
        <v>24</v>
      </c>
      <c r="H15" s="14" t="inlineStr">
        <is>
          <t>21.00% ± 3.00%</t>
        </is>
      </c>
      <c r="I15" s="15" t="n">
        <v>21</v>
      </c>
      <c r="J15" s="15" t="n">
        <v>3</v>
      </c>
      <c r="K15" s="14" t="inlineStr">
        <is>
          <t>≤ 1.0%</t>
        </is>
      </c>
      <c r="L15" s="14" t="inlineStr">
        <is>
          <t>Sleepy Joe</t>
        </is>
      </c>
    </row>
    <row r="16">
      <c r="A16" s="12" t="inlineStr">
        <is>
          <t>CAL</t>
        </is>
      </c>
      <c r="B16" s="12" t="inlineStr">
        <is>
          <t>CALMINO</t>
        </is>
      </c>
      <c r="C16" s="12" t="inlineStr">
        <is>
          <t>Grade III</t>
        </is>
      </c>
      <c r="D16" s="12" t="inlineStr">
        <is>
          <t>QCSP 001_CAL-III_v.01</t>
        </is>
      </c>
      <c r="E16" s="12" t="inlineStr">
        <is>
          <t>13.00 – 18.00%</t>
        </is>
      </c>
      <c r="F16" s="13" t="n">
        <v>13</v>
      </c>
      <c r="G16" s="13" t="n">
        <v>18</v>
      </c>
      <c r="H16" s="12" t="inlineStr">
        <is>
          <t>15.50% ± 2.50%</t>
        </is>
      </c>
      <c r="I16" s="13" t="n">
        <v>15.5</v>
      </c>
      <c r="J16" s="13" t="n">
        <v>2.5</v>
      </c>
      <c r="K16" s="12" t="inlineStr">
        <is>
          <t>≤ 1.0%</t>
        </is>
      </c>
      <c r="L16" s="12" t="inlineStr">
        <is>
          <t>Sleepy Joe</t>
        </is>
      </c>
    </row>
    <row r="17">
      <c r="A17" s="14" t="inlineStr">
        <is>
          <t>CAL</t>
        </is>
      </c>
      <c r="B17" s="14" t="inlineStr">
        <is>
          <t>CALMINO</t>
        </is>
      </c>
      <c r="C17" s="14" t="inlineStr">
        <is>
          <t>Grade IV</t>
        </is>
      </c>
      <c r="D17" s="14" t="inlineStr">
        <is>
          <t>QCSP 001_CAL-IV_v.01</t>
        </is>
      </c>
      <c r="E17" s="14" t="inlineStr">
        <is>
          <t>7.75 – 13.00%</t>
        </is>
      </c>
      <c r="F17" s="15" t="n">
        <v>7.75</v>
      </c>
      <c r="G17" s="15" t="n">
        <v>13</v>
      </c>
      <c r="H17" s="14" t="inlineStr">
        <is>
          <t>10.50% ± 2.63%</t>
        </is>
      </c>
      <c r="I17" s="15" t="n">
        <v>10.5</v>
      </c>
      <c r="J17" s="15" t="n">
        <v>2.63</v>
      </c>
      <c r="K17" s="14" t="inlineStr">
        <is>
          <t>≤ 1.0%</t>
        </is>
      </c>
      <c r="L17" s="14" t="inlineStr">
        <is>
          <t>Sleepy Joe</t>
        </is>
      </c>
    </row>
    <row r="18">
      <c r="A18" s="12" t="inlineStr">
        <is>
          <t>CHC</t>
        </is>
      </c>
      <c r="B18" s="12" t="inlineStr">
        <is>
          <t>CHERRY CHOCOLATE</t>
        </is>
      </c>
      <c r="C18" s="12" t="inlineStr">
        <is>
          <t>Grade I</t>
        </is>
      </c>
      <c r="D18" s="12" t="inlineStr">
        <is>
          <t>QCSP 001_CHC-I_v.01</t>
        </is>
      </c>
      <c r="E18" s="12" t="inlineStr">
        <is>
          <t>24.00 – 30.00%</t>
        </is>
      </c>
      <c r="F18" s="13" t="n">
        <v>24</v>
      </c>
      <c r="G18" s="13" t="n">
        <v>30</v>
      </c>
      <c r="H18" s="12" t="inlineStr">
        <is>
          <t>27.00% ± 3.00%</t>
        </is>
      </c>
      <c r="I18" s="13" t="n">
        <v>27</v>
      </c>
      <c r="J18" s="13" t="n">
        <v>3</v>
      </c>
      <c r="K18" s="12" t="inlineStr">
        <is>
          <t>≤ 1.0%</t>
        </is>
      </c>
      <c r="L18" s="12" t="inlineStr">
        <is>
          <t>GG4</t>
        </is>
      </c>
    </row>
    <row r="19">
      <c r="A19" s="14" t="inlineStr">
        <is>
          <t>CHC</t>
        </is>
      </c>
      <c r="B19" s="14" t="inlineStr">
        <is>
          <t>CHERRY CHOCOLATE</t>
        </is>
      </c>
      <c r="C19" s="14" t="inlineStr">
        <is>
          <t>Grade II</t>
        </is>
      </c>
      <c r="D19" s="14" t="inlineStr">
        <is>
          <t>QCSP 001_CHC-II_v.01</t>
        </is>
      </c>
      <c r="E19" s="14" t="inlineStr">
        <is>
          <t>18.00 – 24.00%</t>
        </is>
      </c>
      <c r="F19" s="15" t="n">
        <v>18</v>
      </c>
      <c r="G19" s="15" t="n">
        <v>24</v>
      </c>
      <c r="H19" s="14" t="inlineStr">
        <is>
          <t>21.00% ± 3.00%</t>
        </is>
      </c>
      <c r="I19" s="15" t="n">
        <v>21</v>
      </c>
      <c r="J19" s="15" t="n">
        <v>3</v>
      </c>
      <c r="K19" s="14" t="inlineStr">
        <is>
          <t>≤ 1.0%</t>
        </is>
      </c>
      <c r="L19" s="14" t="inlineStr">
        <is>
          <t>GG4</t>
        </is>
      </c>
    </row>
    <row r="20">
      <c r="A20" s="12" t="inlineStr">
        <is>
          <t>CHC</t>
        </is>
      </c>
      <c r="B20" s="12" t="inlineStr">
        <is>
          <t>CHERRY CHOCOLATE</t>
        </is>
      </c>
      <c r="C20" s="12" t="inlineStr">
        <is>
          <t>Grade III</t>
        </is>
      </c>
      <c r="D20" s="12" t="inlineStr">
        <is>
          <t>QCSP 001_CHC-III_v.01</t>
        </is>
      </c>
      <c r="E20" s="12" t="inlineStr">
        <is>
          <t>12.34 – 18.00%</t>
        </is>
      </c>
      <c r="F20" s="13" t="n">
        <v>12.34</v>
      </c>
      <c r="G20" s="13" t="n">
        <v>18</v>
      </c>
      <c r="H20" s="12" t="inlineStr">
        <is>
          <t>15.00% ± 2.83%</t>
        </is>
      </c>
      <c r="I20" s="13" t="n">
        <v>15</v>
      </c>
      <c r="J20" s="13" t="n">
        <v>2.83</v>
      </c>
      <c r="K20" s="12" t="inlineStr">
        <is>
          <t>≤ 1.0%</t>
        </is>
      </c>
      <c r="L20" s="12" t="inlineStr">
        <is>
          <t>GG4</t>
        </is>
      </c>
    </row>
    <row r="21">
      <c r="A21" s="14" t="inlineStr">
        <is>
          <t>CB</t>
        </is>
      </c>
      <c r="B21" s="14" t="inlineStr">
        <is>
          <t>CITRUS BLOOM</t>
        </is>
      </c>
      <c r="C21" s="14" t="inlineStr">
        <is>
          <t>Grade I</t>
        </is>
      </c>
      <c r="D21" s="14" t="inlineStr">
        <is>
          <t>QCSP 001_CB-I_v.01</t>
        </is>
      </c>
      <c r="E21" s="14" t="inlineStr">
        <is>
          <t>25.00 – 30.00%</t>
        </is>
      </c>
      <c r="F21" s="15" t="n">
        <v>25</v>
      </c>
      <c r="G21" s="15" t="n">
        <v>30</v>
      </c>
      <c r="H21" s="14" t="inlineStr">
        <is>
          <t>28.00% ± 2.50%</t>
        </is>
      </c>
      <c r="I21" s="15" t="n">
        <v>28</v>
      </c>
      <c r="J21" s="15" t="n">
        <v>2.5</v>
      </c>
      <c r="K21" s="14" t="inlineStr">
        <is>
          <t>≤ 1.0%</t>
        </is>
      </c>
      <c r="L21" s="14" t="inlineStr">
        <is>
          <t>Orange Punch Mimosa</t>
        </is>
      </c>
    </row>
    <row r="22">
      <c r="A22" s="12" t="inlineStr">
        <is>
          <t>CB</t>
        </is>
      </c>
      <c r="B22" s="12" t="inlineStr">
        <is>
          <t>CITRUS BLOOM</t>
        </is>
      </c>
      <c r="C22" s="12" t="inlineStr">
        <is>
          <t>Grade II</t>
        </is>
      </c>
      <c r="D22" s="12" t="inlineStr">
        <is>
          <t>QCSP 001_CB-II_v.01</t>
        </is>
      </c>
      <c r="E22" s="12" t="inlineStr">
        <is>
          <t>19.00 – 25.00%</t>
        </is>
      </c>
      <c r="F22" s="13" t="n">
        <v>19</v>
      </c>
      <c r="G22" s="13" t="n">
        <v>25</v>
      </c>
      <c r="H22" s="12" t="inlineStr">
        <is>
          <t>22.00% ± 3.00%</t>
        </is>
      </c>
      <c r="I22" s="13" t="n">
        <v>22</v>
      </c>
      <c r="J22" s="13" t="n">
        <v>3</v>
      </c>
      <c r="K22" s="12" t="inlineStr">
        <is>
          <t>≤ 1.0%</t>
        </is>
      </c>
      <c r="L22" s="12" t="inlineStr">
        <is>
          <t>Orange Punch Mimosa</t>
        </is>
      </c>
    </row>
    <row r="23">
      <c r="A23" s="14" t="inlineStr">
        <is>
          <t>CB</t>
        </is>
      </c>
      <c r="B23" s="14" t="inlineStr">
        <is>
          <t>CITRUS BLOOM</t>
        </is>
      </c>
      <c r="C23" s="14" t="inlineStr">
        <is>
          <t>Grade III</t>
        </is>
      </c>
      <c r="D23" s="14" t="inlineStr">
        <is>
          <t>QCSP 001_CB-III_v.01</t>
        </is>
      </c>
      <c r="E23" s="14" t="inlineStr">
        <is>
          <t>13.00 – 19.00%</t>
        </is>
      </c>
      <c r="F23" s="15" t="n">
        <v>13</v>
      </c>
      <c r="G23" s="15" t="n">
        <v>19</v>
      </c>
      <c r="H23" s="14" t="inlineStr">
        <is>
          <t>16.00% ± 3.00%</t>
        </is>
      </c>
      <c r="I23" s="15" t="n">
        <v>16</v>
      </c>
      <c r="J23" s="15" t="n">
        <v>3</v>
      </c>
      <c r="K23" s="14" t="inlineStr">
        <is>
          <t>≤ 1.0%</t>
        </is>
      </c>
      <c r="L23" s="14" t="inlineStr">
        <is>
          <t>Orange Punch Mimosa</t>
        </is>
      </c>
    </row>
    <row r="24">
      <c r="A24" s="12" t="inlineStr">
        <is>
          <t>CB</t>
        </is>
      </c>
      <c r="B24" s="12" t="inlineStr">
        <is>
          <t>CITRUS BLOOM</t>
        </is>
      </c>
      <c r="C24" s="12" t="inlineStr">
        <is>
          <t>Grade IV</t>
        </is>
      </c>
      <c r="D24" s="12" t="inlineStr">
        <is>
          <t>QCSP 001_CB-IV_v.01</t>
        </is>
      </c>
      <c r="E24" s="12" t="inlineStr">
        <is>
          <t>7.09 – 13.00%</t>
        </is>
      </c>
      <c r="F24" s="13" t="n">
        <v>7.09</v>
      </c>
      <c r="G24" s="13" t="n">
        <v>13</v>
      </c>
      <c r="H24" s="12" t="inlineStr">
        <is>
          <t>10.00% ± 2.96%</t>
        </is>
      </c>
      <c r="I24" s="13" t="n">
        <v>10</v>
      </c>
      <c r="J24" s="13" t="n">
        <v>2.96</v>
      </c>
      <c r="K24" s="12" t="inlineStr">
        <is>
          <t>≤ 1.0%</t>
        </is>
      </c>
      <c r="L24" s="12" t="inlineStr">
        <is>
          <t>Orange Punch Mimosa</t>
        </is>
      </c>
    </row>
    <row r="25">
      <c r="A25" s="14" t="inlineStr">
        <is>
          <t>CK</t>
        </is>
      </c>
      <c r="B25" s="14" t="inlineStr">
        <is>
          <t>COOKIE KUSH</t>
        </is>
      </c>
      <c r="C25" s="14" t="inlineStr">
        <is>
          <t>Grade I</t>
        </is>
      </c>
      <c r="D25" s="14" t="inlineStr">
        <is>
          <t>QCSP 001_CK-I_v.01</t>
        </is>
      </c>
      <c r="E25" s="14" t="inlineStr">
        <is>
          <t>25.25 – 30.00%</t>
        </is>
      </c>
      <c r="F25" s="15" t="n">
        <v>25.25</v>
      </c>
      <c r="G25" s="15" t="n">
        <v>30</v>
      </c>
      <c r="H25" s="14" t="inlineStr">
        <is>
          <t>28.00% ± 2.38%</t>
        </is>
      </c>
      <c r="I25" s="15" t="n">
        <v>28</v>
      </c>
      <c r="J25" s="15" t="n">
        <v>2.38</v>
      </c>
      <c r="K25" s="14" t="inlineStr">
        <is>
          <t>≤ 1.0%</t>
        </is>
      </c>
      <c r="L25" s="14" t="inlineStr">
        <is>
          <t>Cap Junkie</t>
        </is>
      </c>
    </row>
    <row r="26">
      <c r="A26" s="12" t="inlineStr">
        <is>
          <t>CK</t>
        </is>
      </c>
      <c r="B26" s="12" t="inlineStr">
        <is>
          <t>COOKIE KUSH</t>
        </is>
      </c>
      <c r="C26" s="12" t="inlineStr">
        <is>
          <t>Grade II</t>
        </is>
      </c>
      <c r="D26" s="12" t="inlineStr">
        <is>
          <t>QCSP 001_CK-II_v.01</t>
        </is>
      </c>
      <c r="E26" s="12" t="inlineStr">
        <is>
          <t>19.75 – 25.25%</t>
        </is>
      </c>
      <c r="F26" s="13" t="n">
        <v>19.75</v>
      </c>
      <c r="G26" s="13" t="n">
        <v>25.25</v>
      </c>
      <c r="H26" s="12" t="inlineStr">
        <is>
          <t>22.50% ± 2.75%</t>
        </is>
      </c>
      <c r="I26" s="13" t="n">
        <v>22.5</v>
      </c>
      <c r="J26" s="13" t="n">
        <v>2.75</v>
      </c>
      <c r="K26" s="12" t="inlineStr">
        <is>
          <t>≤ 1.0%</t>
        </is>
      </c>
      <c r="L26" s="12" t="inlineStr">
        <is>
          <t>Cap Junkie</t>
        </is>
      </c>
    </row>
    <row r="27">
      <c r="A27" s="14" t="inlineStr">
        <is>
          <t>CK</t>
        </is>
      </c>
      <c r="B27" s="14" t="inlineStr">
        <is>
          <t>COOKIE KUSH</t>
        </is>
      </c>
      <c r="C27" s="14" t="inlineStr">
        <is>
          <t>Grade III</t>
        </is>
      </c>
      <c r="D27" s="14" t="inlineStr">
        <is>
          <t>QCSP 001_CK-III_v.01</t>
        </is>
      </c>
      <c r="E27" s="14" t="inlineStr">
        <is>
          <t>13.93 – 19.75%</t>
        </is>
      </c>
      <c r="F27" s="15" t="n">
        <v>13.93</v>
      </c>
      <c r="G27" s="15" t="n">
        <v>19.75</v>
      </c>
      <c r="H27" s="14" t="inlineStr">
        <is>
          <t>17.00% ± 2.91%</t>
        </is>
      </c>
      <c r="I27" s="15" t="n">
        <v>17</v>
      </c>
      <c r="J27" s="15" t="n">
        <v>2.91</v>
      </c>
      <c r="K27" s="14" t="inlineStr">
        <is>
          <t>≤ 1.0%</t>
        </is>
      </c>
      <c r="L27" s="14" t="inlineStr">
        <is>
          <t>Cap Junkie</t>
        </is>
      </c>
    </row>
    <row r="28">
      <c r="A28" s="12" t="inlineStr">
        <is>
          <t>DI8</t>
        </is>
      </c>
      <c r="B28" s="12" t="inlineStr">
        <is>
          <t>DANTE'S INFERNO #8</t>
        </is>
      </c>
      <c r="C28" s="12" t="inlineStr">
        <is>
          <t>Grade I</t>
        </is>
      </c>
      <c r="D28" s="12" t="inlineStr">
        <is>
          <t>QCSP 001_DI8-I_v.01</t>
        </is>
      </c>
      <c r="E28" s="12" t="inlineStr">
        <is>
          <t>27.00 – 30.00%</t>
        </is>
      </c>
      <c r="F28" s="13" t="n">
        <v>27</v>
      </c>
      <c r="G28" s="13" t="n">
        <v>30</v>
      </c>
      <c r="H28" s="12" t="inlineStr">
        <is>
          <t>28.50% ± 1.50%</t>
        </is>
      </c>
      <c r="I28" s="13" t="n">
        <v>28.5</v>
      </c>
      <c r="J28" s="13" t="n">
        <v>1.5</v>
      </c>
      <c r="K28" s="12" t="inlineStr">
        <is>
          <t>≤ 1.0%</t>
        </is>
      </c>
      <c r="L28" s="12" t="inlineStr">
        <is>
          <t>—</t>
        </is>
      </c>
    </row>
    <row r="29">
      <c r="A29" s="14" t="inlineStr">
        <is>
          <t>DI8</t>
        </is>
      </c>
      <c r="B29" s="14" t="inlineStr">
        <is>
          <t>DANTE'S INFERNO #8</t>
        </is>
      </c>
      <c r="C29" s="14" t="inlineStr">
        <is>
          <t>Grade II</t>
        </is>
      </c>
      <c r="D29" s="14" t="inlineStr">
        <is>
          <t>QCSP 001_DI8-II_v.01</t>
        </is>
      </c>
      <c r="E29" s="14" t="inlineStr">
        <is>
          <t>23.00 – 26.90%</t>
        </is>
      </c>
      <c r="F29" s="15" t="n">
        <v>23</v>
      </c>
      <c r="G29" s="15" t="n">
        <v>26.9</v>
      </c>
      <c r="H29" s="14" t="inlineStr">
        <is>
          <t>24.95% ± 1.95%</t>
        </is>
      </c>
      <c r="I29" s="15" t="n">
        <v>24.95</v>
      </c>
      <c r="J29" s="15" t="n">
        <v>1.95</v>
      </c>
      <c r="K29" s="14" t="inlineStr">
        <is>
          <t>≤ 1.0%</t>
        </is>
      </c>
      <c r="L29" s="14" t="inlineStr">
        <is>
          <t>—</t>
        </is>
      </c>
    </row>
    <row r="30">
      <c r="A30" s="12" t="inlineStr">
        <is>
          <t>DI8</t>
        </is>
      </c>
      <c r="B30" s="12" t="inlineStr">
        <is>
          <t>DANTE'S INFERNO #8</t>
        </is>
      </c>
      <c r="C30" s="12" t="inlineStr">
        <is>
          <t>Grade III</t>
        </is>
      </c>
      <c r="D30" s="12" t="inlineStr">
        <is>
          <t>QCSP 001_DI8-III_v.01</t>
        </is>
      </c>
      <c r="E30" s="12" t="inlineStr">
        <is>
          <t>16.00 – 22.90%</t>
        </is>
      </c>
      <c r="F30" s="13" t="n">
        <v>16</v>
      </c>
      <c r="G30" s="13" t="n">
        <v>22.9</v>
      </c>
      <c r="H30" s="12" t="inlineStr">
        <is>
          <t>19.45% ± 3.45%</t>
        </is>
      </c>
      <c r="I30" s="13" t="n">
        <v>19.45</v>
      </c>
      <c r="J30" s="13" t="n">
        <v>3.45</v>
      </c>
      <c r="K30" s="12" t="inlineStr">
        <is>
          <t>≤ 1.0%</t>
        </is>
      </c>
      <c r="L30" s="12" t="inlineStr">
        <is>
          <t>—</t>
        </is>
      </c>
    </row>
    <row r="31">
      <c r="A31" s="14" t="inlineStr">
        <is>
          <t>DI8</t>
        </is>
      </c>
      <c r="B31" s="14" t="inlineStr">
        <is>
          <t>DANTE'S INFERNO #8</t>
        </is>
      </c>
      <c r="C31" s="14" t="inlineStr">
        <is>
          <t>Grade IV</t>
        </is>
      </c>
      <c r="D31" s="14" t="inlineStr">
        <is>
          <t>QCSP 001_DI8-IV_v.01</t>
        </is>
      </c>
      <c r="E31" s="14" t="inlineStr">
        <is>
          <t>5.00 – 15.90%</t>
        </is>
      </c>
      <c r="F31" s="15" t="n">
        <v>5</v>
      </c>
      <c r="G31" s="15" t="n">
        <v>15.9</v>
      </c>
      <c r="H31" s="14" t="inlineStr">
        <is>
          <t>10.45% ± 5.45%</t>
        </is>
      </c>
      <c r="I31" s="15" t="n">
        <v>10.45</v>
      </c>
      <c r="J31" s="15" t="n">
        <v>5.45</v>
      </c>
      <c r="K31" s="14" t="inlineStr">
        <is>
          <t>≤ 1.0%</t>
        </is>
      </c>
      <c r="L31" s="14" t="inlineStr">
        <is>
          <t>—</t>
        </is>
      </c>
    </row>
    <row r="32">
      <c r="A32" s="12" t="inlineStr">
        <is>
          <t>DW</t>
        </is>
      </c>
      <c r="B32" s="12" t="inlineStr">
        <is>
          <t>DAYWALKER</t>
        </is>
      </c>
      <c r="C32" s="12" t="inlineStr">
        <is>
          <t>Grade I</t>
        </is>
      </c>
      <c r="D32" s="12" t="inlineStr">
        <is>
          <t>QCSP 001_DW-I_v.01</t>
        </is>
      </c>
      <c r="E32" s="12" t="inlineStr">
        <is>
          <t>24.75 – 30.00%</t>
        </is>
      </c>
      <c r="F32" s="13" t="n">
        <v>24.75</v>
      </c>
      <c r="G32" s="13" t="n">
        <v>30</v>
      </c>
      <c r="H32" s="12" t="inlineStr">
        <is>
          <t>27.50% ± 2.63%</t>
        </is>
      </c>
      <c r="I32" s="13" t="n">
        <v>27.5</v>
      </c>
      <c r="J32" s="13" t="n">
        <v>2.63</v>
      </c>
      <c r="K32" s="12" t="inlineStr">
        <is>
          <t>≤ 1.0%</t>
        </is>
      </c>
      <c r="L32" s="12" t="inlineStr">
        <is>
          <t>Fat Bastard</t>
        </is>
      </c>
    </row>
    <row r="33">
      <c r="A33" s="14" t="inlineStr">
        <is>
          <t>DW</t>
        </is>
      </c>
      <c r="B33" s="14" t="inlineStr">
        <is>
          <t>DAYWALKER</t>
        </is>
      </c>
      <c r="C33" s="14" t="inlineStr">
        <is>
          <t>Grade II</t>
        </is>
      </c>
      <c r="D33" s="14" t="inlineStr">
        <is>
          <t>QCSP 001_DW-II_v.01</t>
        </is>
      </c>
      <c r="E33" s="14" t="inlineStr">
        <is>
          <t>19.25 – 24.75%</t>
        </is>
      </c>
      <c r="F33" s="15" t="n">
        <v>19.25</v>
      </c>
      <c r="G33" s="15" t="n">
        <v>24.75</v>
      </c>
      <c r="H33" s="14" t="inlineStr">
        <is>
          <t>22.00% ± 2.75%</t>
        </is>
      </c>
      <c r="I33" s="15" t="n">
        <v>22</v>
      </c>
      <c r="J33" s="15" t="n">
        <v>2.75</v>
      </c>
      <c r="K33" s="14" t="inlineStr">
        <is>
          <t>≤ 1.0%</t>
        </is>
      </c>
      <c r="L33" s="14" t="inlineStr">
        <is>
          <t>Fat Bastard</t>
        </is>
      </c>
    </row>
    <row r="34">
      <c r="A34" s="12" t="inlineStr">
        <is>
          <t>DW</t>
        </is>
      </c>
      <c r="B34" s="12" t="inlineStr">
        <is>
          <t>DAYWALKER</t>
        </is>
      </c>
      <c r="C34" s="12" t="inlineStr">
        <is>
          <t>Grade III</t>
        </is>
      </c>
      <c r="D34" s="12" t="inlineStr">
        <is>
          <t>QCSP 001_DW-III_v.01</t>
        </is>
      </c>
      <c r="E34" s="12" t="inlineStr">
        <is>
          <t>13.68 – 19.25%</t>
        </is>
      </c>
      <c r="F34" s="13" t="n">
        <v>13.68</v>
      </c>
      <c r="G34" s="13" t="n">
        <v>19.25</v>
      </c>
      <c r="H34" s="12" t="inlineStr">
        <is>
          <t>16.50% ± 2.79%</t>
        </is>
      </c>
      <c r="I34" s="13" t="n">
        <v>16.5</v>
      </c>
      <c r="J34" s="13" t="n">
        <v>2.79</v>
      </c>
      <c r="K34" s="12" t="inlineStr">
        <is>
          <t>≤ 1.0%</t>
        </is>
      </c>
      <c r="L34" s="12" t="inlineStr">
        <is>
          <t>Fat Bastard</t>
        </is>
      </c>
    </row>
    <row r="35">
      <c r="A35" s="14" t="inlineStr">
        <is>
          <t>FS</t>
        </is>
      </c>
      <c r="B35" s="14" t="inlineStr">
        <is>
          <t>FAT SOFA</t>
        </is>
      </c>
      <c r="C35" s="14" t="inlineStr">
        <is>
          <t>Grade I</t>
        </is>
      </c>
      <c r="D35" s="14" t="inlineStr">
        <is>
          <t>QCSP 001_FS-I_v.01</t>
        </is>
      </c>
      <c r="E35" s="14" t="inlineStr">
        <is>
          <t>24.75 – 30.00%</t>
        </is>
      </c>
      <c r="F35" s="15" t="n">
        <v>24.75</v>
      </c>
      <c r="G35" s="15" t="n">
        <v>30</v>
      </c>
      <c r="H35" s="14" t="inlineStr">
        <is>
          <t>27.50% ± 2.63%</t>
        </is>
      </c>
      <c r="I35" s="15" t="n">
        <v>27.5</v>
      </c>
      <c r="J35" s="15" t="n">
        <v>2.63</v>
      </c>
      <c r="K35" s="14" t="inlineStr">
        <is>
          <t>≤ 1.0%</t>
        </is>
      </c>
      <c r="L35" s="14" t="inlineStr">
        <is>
          <t>Fat Bastard</t>
        </is>
      </c>
    </row>
    <row r="36">
      <c r="A36" s="12" t="inlineStr">
        <is>
          <t>FS</t>
        </is>
      </c>
      <c r="B36" s="12" t="inlineStr">
        <is>
          <t>FAT SOFA</t>
        </is>
      </c>
      <c r="C36" s="12" t="inlineStr">
        <is>
          <t>Grade II</t>
        </is>
      </c>
      <c r="D36" s="12" t="inlineStr">
        <is>
          <t>QCSP 001_FS-II_v.01</t>
        </is>
      </c>
      <c r="E36" s="12" t="inlineStr">
        <is>
          <t>19.25 – 24.75%</t>
        </is>
      </c>
      <c r="F36" s="13" t="n">
        <v>19.25</v>
      </c>
      <c r="G36" s="13" t="n">
        <v>24.75</v>
      </c>
      <c r="H36" s="12" t="inlineStr">
        <is>
          <t>22.00% ± 2.75%</t>
        </is>
      </c>
      <c r="I36" s="13" t="n">
        <v>22</v>
      </c>
      <c r="J36" s="13" t="n">
        <v>2.75</v>
      </c>
      <c r="K36" s="12" t="inlineStr">
        <is>
          <t>≤ 1.0%</t>
        </is>
      </c>
      <c r="L36" s="12" t="inlineStr">
        <is>
          <t>Fat Bastard</t>
        </is>
      </c>
    </row>
    <row r="37">
      <c r="A37" s="14" t="inlineStr">
        <is>
          <t>FS</t>
        </is>
      </c>
      <c r="B37" s="14" t="inlineStr">
        <is>
          <t>FAT SOFA</t>
        </is>
      </c>
      <c r="C37" s="14" t="inlineStr">
        <is>
          <t>Grade III</t>
        </is>
      </c>
      <c r="D37" s="14" t="inlineStr">
        <is>
          <t>QCSP 001_FS-III_v.01</t>
        </is>
      </c>
      <c r="E37" s="14" t="inlineStr">
        <is>
          <t>13.68 – 19.25%</t>
        </is>
      </c>
      <c r="F37" s="15" t="n">
        <v>13.68</v>
      </c>
      <c r="G37" s="15" t="n">
        <v>19.25</v>
      </c>
      <c r="H37" s="14" t="inlineStr">
        <is>
          <t>16.50% ± 2.79%</t>
        </is>
      </c>
      <c r="I37" s="15" t="n">
        <v>16.5</v>
      </c>
      <c r="J37" s="15" t="n">
        <v>2.79</v>
      </c>
      <c r="K37" s="14" t="inlineStr">
        <is>
          <t>≤ 1.0%</t>
        </is>
      </c>
      <c r="L37" s="14" t="inlineStr">
        <is>
          <t>Fat Bastard</t>
        </is>
      </c>
    </row>
    <row r="38">
      <c r="A38" s="12" t="inlineStr">
        <is>
          <t>F1</t>
        </is>
      </c>
      <c r="B38" s="12" t="inlineStr">
        <is>
          <t>FORMULA 1</t>
        </is>
      </c>
      <c r="C38" s="12" t="inlineStr">
        <is>
          <t>Grade I</t>
        </is>
      </c>
      <c r="D38" s="12" t="inlineStr">
        <is>
          <t>QCSP 001_F1-I_v.01</t>
        </is>
      </c>
      <c r="E38" s="12" t="inlineStr">
        <is>
          <t>24.00 – 30.00%</t>
        </is>
      </c>
      <c r="F38" s="13" t="n">
        <v>24</v>
      </c>
      <c r="G38" s="13" t="n">
        <v>30</v>
      </c>
      <c r="H38" s="12" t="inlineStr">
        <is>
          <t>26.50% ± 3.00%</t>
        </is>
      </c>
      <c r="I38" s="13" t="n">
        <v>26.5</v>
      </c>
      <c r="J38" s="13" t="n">
        <v>3</v>
      </c>
      <c r="K38" s="12" t="inlineStr">
        <is>
          <t>≤ 1.0%</t>
        </is>
      </c>
      <c r="L38" s="12" t="inlineStr">
        <is>
          <t>Permanent Marker</t>
        </is>
      </c>
    </row>
    <row r="39">
      <c r="A39" s="14" t="inlineStr">
        <is>
          <t>F1</t>
        </is>
      </c>
      <c r="B39" s="14" t="inlineStr">
        <is>
          <t>FORMULA 1</t>
        </is>
      </c>
      <c r="C39" s="14" t="inlineStr">
        <is>
          <t>Grade II</t>
        </is>
      </c>
      <c r="D39" s="14" t="inlineStr">
        <is>
          <t>QCSP 001_F1-II_v.01</t>
        </is>
      </c>
      <c r="E39" s="14" t="inlineStr">
        <is>
          <t>19.00 – 24.00%</t>
        </is>
      </c>
      <c r="F39" s="15" t="n">
        <v>19</v>
      </c>
      <c r="G39" s="15" t="n">
        <v>24</v>
      </c>
      <c r="H39" s="14" t="inlineStr">
        <is>
          <t>21.50% ± 2.50%</t>
        </is>
      </c>
      <c r="I39" s="15" t="n">
        <v>21.5</v>
      </c>
      <c r="J39" s="15" t="n">
        <v>2.5</v>
      </c>
      <c r="K39" s="14" t="inlineStr">
        <is>
          <t>≤ 1.0%</t>
        </is>
      </c>
      <c r="L39" s="14" t="inlineStr">
        <is>
          <t>Permanent Marker</t>
        </is>
      </c>
    </row>
    <row r="40">
      <c r="A40" s="12" t="inlineStr">
        <is>
          <t>F1</t>
        </is>
      </c>
      <c r="B40" s="12" t="inlineStr">
        <is>
          <t>FORMULA 1</t>
        </is>
      </c>
      <c r="C40" s="12" t="inlineStr">
        <is>
          <t>Grade III</t>
        </is>
      </c>
      <c r="D40" s="12" t="inlineStr">
        <is>
          <t>QCSP 001_F1-III_v.01</t>
        </is>
      </c>
      <c r="E40" s="12" t="inlineStr">
        <is>
          <t>14.00 – 19.00%</t>
        </is>
      </c>
      <c r="F40" s="13" t="n">
        <v>14</v>
      </c>
      <c r="G40" s="13" t="n">
        <v>19</v>
      </c>
      <c r="H40" s="12" t="inlineStr">
        <is>
          <t>16.50% ± 2.50%</t>
        </is>
      </c>
      <c r="I40" s="13" t="n">
        <v>16.5</v>
      </c>
      <c r="J40" s="13" t="n">
        <v>2.5</v>
      </c>
      <c r="K40" s="12" t="inlineStr">
        <is>
          <t>≤ 1.0%</t>
        </is>
      </c>
      <c r="L40" s="12" t="inlineStr">
        <is>
          <t>Permanent Marker</t>
        </is>
      </c>
    </row>
    <row r="41">
      <c r="A41" s="14" t="inlineStr">
        <is>
          <t>F1</t>
        </is>
      </c>
      <c r="B41" s="14" t="inlineStr">
        <is>
          <t>FORMULA 1</t>
        </is>
      </c>
      <c r="C41" s="14" t="inlineStr">
        <is>
          <t>Grade IV</t>
        </is>
      </c>
      <c r="D41" s="14" t="inlineStr">
        <is>
          <t>QCSP 001_F1-IV_v.01</t>
        </is>
      </c>
      <c r="E41" s="14" t="inlineStr">
        <is>
          <t>9.01 – 14.00%</t>
        </is>
      </c>
      <c r="F41" s="15" t="n">
        <v>9.01</v>
      </c>
      <c r="G41" s="15" t="n">
        <v>14</v>
      </c>
      <c r="H41" s="14" t="inlineStr">
        <is>
          <t>11.50% ± 2.50%</t>
        </is>
      </c>
      <c r="I41" s="15" t="n">
        <v>11.5</v>
      </c>
      <c r="J41" s="15" t="n">
        <v>2.5</v>
      </c>
      <c r="K41" s="14" t="inlineStr">
        <is>
          <t>≤ 1.0%</t>
        </is>
      </c>
      <c r="L41" s="14" t="inlineStr">
        <is>
          <t>Permanent Marker</t>
        </is>
      </c>
    </row>
    <row r="42">
      <c r="A42" s="12" t="inlineStr">
        <is>
          <t>FC</t>
        </is>
      </c>
      <c r="B42" s="12" t="inlineStr">
        <is>
          <t>FROSTED COOKIES</t>
        </is>
      </c>
      <c r="C42" s="12" t="inlineStr">
        <is>
          <t>Grade I</t>
        </is>
      </c>
      <c r="D42" s="12" t="inlineStr">
        <is>
          <t>QCSP 001_FC-I_v.01</t>
        </is>
      </c>
      <c r="E42" s="12" t="inlineStr">
        <is>
          <t>27.00 – 30.00%</t>
        </is>
      </c>
      <c r="F42" s="13" t="n">
        <v>27</v>
      </c>
      <c r="G42" s="13" t="n">
        <v>30</v>
      </c>
      <c r="H42" s="12" t="inlineStr">
        <is>
          <t>28.50% ± 1.50%</t>
        </is>
      </c>
      <c r="I42" s="13" t="n">
        <v>28.5</v>
      </c>
      <c r="J42" s="13" t="n">
        <v>1.5</v>
      </c>
      <c r="K42" s="12" t="inlineStr">
        <is>
          <t>≤ 1.0%</t>
        </is>
      </c>
      <c r="L42" s="12" t="inlineStr">
        <is>
          <t>—</t>
        </is>
      </c>
    </row>
    <row r="43">
      <c r="A43" s="14" t="inlineStr">
        <is>
          <t>FC</t>
        </is>
      </c>
      <c r="B43" s="14" t="inlineStr">
        <is>
          <t>FROSTED COOKIES</t>
        </is>
      </c>
      <c r="C43" s="14" t="inlineStr">
        <is>
          <t>Grade II</t>
        </is>
      </c>
      <c r="D43" s="14" t="inlineStr">
        <is>
          <t>QCSP 001_FC-II_v.01</t>
        </is>
      </c>
      <c r="E43" s="14" t="inlineStr">
        <is>
          <t>23.00 – 26.90%</t>
        </is>
      </c>
      <c r="F43" s="15" t="n">
        <v>23</v>
      </c>
      <c r="G43" s="15" t="n">
        <v>26.9</v>
      </c>
      <c r="H43" s="14" t="inlineStr">
        <is>
          <t>24.95% ± 1.95%</t>
        </is>
      </c>
      <c r="I43" s="15" t="n">
        <v>24.95</v>
      </c>
      <c r="J43" s="15" t="n">
        <v>1.95</v>
      </c>
      <c r="K43" s="14" t="inlineStr">
        <is>
          <t>≤ 1.0%</t>
        </is>
      </c>
      <c r="L43" s="14" t="inlineStr">
        <is>
          <t>—</t>
        </is>
      </c>
    </row>
    <row r="44">
      <c r="A44" s="12" t="inlineStr">
        <is>
          <t>FC</t>
        </is>
      </c>
      <c r="B44" s="12" t="inlineStr">
        <is>
          <t>FROSTED COOKIES</t>
        </is>
      </c>
      <c r="C44" s="12" t="inlineStr">
        <is>
          <t>Grade III</t>
        </is>
      </c>
      <c r="D44" s="12" t="inlineStr">
        <is>
          <t>QCSP 001_FC-III_v.01</t>
        </is>
      </c>
      <c r="E44" s="12" t="inlineStr">
        <is>
          <t>16.00 – 22.90%</t>
        </is>
      </c>
      <c r="F44" s="13" t="n">
        <v>16</v>
      </c>
      <c r="G44" s="13" t="n">
        <v>22.9</v>
      </c>
      <c r="H44" s="12" t="inlineStr">
        <is>
          <t>19.45% ± 3.45%</t>
        </is>
      </c>
      <c r="I44" s="13" t="n">
        <v>19.45</v>
      </c>
      <c r="J44" s="13" t="n">
        <v>3.45</v>
      </c>
      <c r="K44" s="12" t="inlineStr">
        <is>
          <t>≤ 1.0%</t>
        </is>
      </c>
      <c r="L44" s="12" t="inlineStr">
        <is>
          <t>—</t>
        </is>
      </c>
    </row>
    <row r="45">
      <c r="A45" s="14" t="inlineStr">
        <is>
          <t>FC</t>
        </is>
      </c>
      <c r="B45" s="14" t="inlineStr">
        <is>
          <t>FROSTED COOKIES</t>
        </is>
      </c>
      <c r="C45" s="14" t="inlineStr">
        <is>
          <t>Grade IV</t>
        </is>
      </c>
      <c r="D45" s="14" t="inlineStr">
        <is>
          <t>QCSP 001_FC-IV_v.01</t>
        </is>
      </c>
      <c r="E45" s="14" t="inlineStr">
        <is>
          <t>5.00 – 15.90%</t>
        </is>
      </c>
      <c r="F45" s="15" t="n">
        <v>5</v>
      </c>
      <c r="G45" s="15" t="n">
        <v>15.9</v>
      </c>
      <c r="H45" s="14" t="inlineStr">
        <is>
          <t>10.45% ± 5.45%</t>
        </is>
      </c>
      <c r="I45" s="15" t="n">
        <v>10.45</v>
      </c>
      <c r="J45" s="15" t="n">
        <v>5.45</v>
      </c>
      <c r="K45" s="14" t="inlineStr">
        <is>
          <t>≤ 1.0%</t>
        </is>
      </c>
      <c r="L45" s="14" t="inlineStr">
        <is>
          <t>—</t>
        </is>
      </c>
    </row>
    <row r="46">
      <c r="A46" s="12" t="inlineStr">
        <is>
          <t>GEL</t>
        </is>
      </c>
      <c r="B46" s="12" t="inlineStr">
        <is>
          <t>GELAIR</t>
        </is>
      </c>
      <c r="C46" s="12" t="inlineStr">
        <is>
          <t>Grade I</t>
        </is>
      </c>
      <c r="D46" s="12" t="inlineStr">
        <is>
          <t>QCSP 001_GEL-I_v.01</t>
        </is>
      </c>
      <c r="E46" s="12" t="inlineStr">
        <is>
          <t>27.00 – 30.00%</t>
        </is>
      </c>
      <c r="F46" s="13" t="n">
        <v>27</v>
      </c>
      <c r="G46" s="13" t="n">
        <v>30</v>
      </c>
      <c r="H46" s="12" t="inlineStr">
        <is>
          <t>28.50% ± 1.50%</t>
        </is>
      </c>
      <c r="I46" s="13" t="n">
        <v>28.5</v>
      </c>
      <c r="J46" s="13" t="n">
        <v>1.5</v>
      </c>
      <c r="K46" s="12" t="inlineStr">
        <is>
          <t>≤ 1.0%</t>
        </is>
      </c>
      <c r="L46" s="12" t="inlineStr">
        <is>
          <t>—</t>
        </is>
      </c>
    </row>
    <row r="47">
      <c r="A47" s="14" t="inlineStr">
        <is>
          <t>GEL</t>
        </is>
      </c>
      <c r="B47" s="14" t="inlineStr">
        <is>
          <t>GELAIR</t>
        </is>
      </c>
      <c r="C47" s="14" t="inlineStr">
        <is>
          <t>Grade II</t>
        </is>
      </c>
      <c r="D47" s="14" t="inlineStr">
        <is>
          <t>QCSP 001_GEL-II_v.01</t>
        </is>
      </c>
      <c r="E47" s="14" t="inlineStr">
        <is>
          <t>23.00 – 26.90%</t>
        </is>
      </c>
      <c r="F47" s="15" t="n">
        <v>23</v>
      </c>
      <c r="G47" s="15" t="n">
        <v>26.9</v>
      </c>
      <c r="H47" s="14" t="inlineStr">
        <is>
          <t>24.95% ± 1.95%</t>
        </is>
      </c>
      <c r="I47" s="15" t="n">
        <v>24.95</v>
      </c>
      <c r="J47" s="15" t="n">
        <v>1.95</v>
      </c>
      <c r="K47" s="14" t="inlineStr">
        <is>
          <t>≤ 1.0%</t>
        </is>
      </c>
      <c r="L47" s="14" t="inlineStr">
        <is>
          <t>—</t>
        </is>
      </c>
    </row>
    <row r="48">
      <c r="A48" s="12" t="inlineStr">
        <is>
          <t>GEL</t>
        </is>
      </c>
      <c r="B48" s="12" t="inlineStr">
        <is>
          <t>GELAIR</t>
        </is>
      </c>
      <c r="C48" s="12" t="inlineStr">
        <is>
          <t>Grade III</t>
        </is>
      </c>
      <c r="D48" s="12" t="inlineStr">
        <is>
          <t>QCSP 001_GEL-III_v.01</t>
        </is>
      </c>
      <c r="E48" s="12" t="inlineStr">
        <is>
          <t>16.00 – 22.90%</t>
        </is>
      </c>
      <c r="F48" s="13" t="n">
        <v>16</v>
      </c>
      <c r="G48" s="13" t="n">
        <v>22.9</v>
      </c>
      <c r="H48" s="12" t="inlineStr">
        <is>
          <t>19.45% ± 3.45%</t>
        </is>
      </c>
      <c r="I48" s="13" t="n">
        <v>19.45</v>
      </c>
      <c r="J48" s="13" t="n">
        <v>3.45</v>
      </c>
      <c r="K48" s="12" t="inlineStr">
        <is>
          <t>≤ 1.0%</t>
        </is>
      </c>
      <c r="L48" s="12" t="inlineStr">
        <is>
          <t>—</t>
        </is>
      </c>
    </row>
    <row r="49">
      <c r="A49" s="14" t="inlineStr">
        <is>
          <t>GEL</t>
        </is>
      </c>
      <c r="B49" s="14" t="inlineStr">
        <is>
          <t>GELAIR</t>
        </is>
      </c>
      <c r="C49" s="14" t="inlineStr">
        <is>
          <t>Grade IV</t>
        </is>
      </c>
      <c r="D49" s="14" t="inlineStr">
        <is>
          <t>QCSP 001_GEL-IV_v.01</t>
        </is>
      </c>
      <c r="E49" s="14" t="inlineStr">
        <is>
          <t>5.00 – 15.90%</t>
        </is>
      </c>
      <c r="F49" s="15" t="n">
        <v>5</v>
      </c>
      <c r="G49" s="15" t="n">
        <v>15.9</v>
      </c>
      <c r="H49" s="14" t="inlineStr">
        <is>
          <t>10.45% ± 5.45%</t>
        </is>
      </c>
      <c r="I49" s="15" t="n">
        <v>10.45</v>
      </c>
      <c r="J49" s="15" t="n">
        <v>5.45</v>
      </c>
      <c r="K49" s="14" t="inlineStr">
        <is>
          <t>≤ 1.0%</t>
        </is>
      </c>
      <c r="L49" s="14" t="inlineStr">
        <is>
          <t>—</t>
        </is>
      </c>
    </row>
    <row r="50">
      <c r="A50" s="12" t="inlineStr">
        <is>
          <t>GG4</t>
        </is>
      </c>
      <c r="B50" s="12" t="inlineStr">
        <is>
          <t>GG4</t>
        </is>
      </c>
      <c r="C50" s="12" t="inlineStr">
        <is>
          <t>Grade I</t>
        </is>
      </c>
      <c r="D50" s="12" t="inlineStr">
        <is>
          <t>QCSP 001_GG4-I_v.01</t>
        </is>
      </c>
      <c r="E50" s="12" t="inlineStr">
        <is>
          <t>27.00 – 30.00%</t>
        </is>
      </c>
      <c r="F50" s="13" t="n">
        <v>27</v>
      </c>
      <c r="G50" s="13" t="n">
        <v>30</v>
      </c>
      <c r="H50" s="12" t="inlineStr">
        <is>
          <t>28.50% ± 1.50%</t>
        </is>
      </c>
      <c r="I50" s="13" t="n">
        <v>28.5</v>
      </c>
      <c r="J50" s="13" t="n">
        <v>1.5</v>
      </c>
      <c r="K50" s="12" t="inlineStr">
        <is>
          <t>≤ 1.0%</t>
        </is>
      </c>
      <c r="L50" s="12" t="inlineStr">
        <is>
          <t>GG4</t>
        </is>
      </c>
    </row>
    <row r="51">
      <c r="A51" s="14" t="inlineStr">
        <is>
          <t>GG4</t>
        </is>
      </c>
      <c r="B51" s="14" t="inlineStr">
        <is>
          <t>GG4</t>
        </is>
      </c>
      <c r="C51" s="14" t="inlineStr">
        <is>
          <t>Grade II</t>
        </is>
      </c>
      <c r="D51" s="14" t="inlineStr">
        <is>
          <t>QCSP 001_GG4-II_v.01</t>
        </is>
      </c>
      <c r="E51" s="14" t="inlineStr">
        <is>
          <t>23.00 – 26.90%</t>
        </is>
      </c>
      <c r="F51" s="15" t="n">
        <v>23</v>
      </c>
      <c r="G51" s="15" t="n">
        <v>26.9</v>
      </c>
      <c r="H51" s="14" t="inlineStr">
        <is>
          <t>24.95% ± 1.95%</t>
        </is>
      </c>
      <c r="I51" s="15" t="n">
        <v>24.95</v>
      </c>
      <c r="J51" s="15" t="n">
        <v>1.95</v>
      </c>
      <c r="K51" s="14" t="inlineStr">
        <is>
          <t>≤ 1.0%</t>
        </is>
      </c>
      <c r="L51" s="14" t="inlineStr">
        <is>
          <t>GG4</t>
        </is>
      </c>
    </row>
    <row r="52">
      <c r="A52" s="12" t="inlineStr">
        <is>
          <t>GG4</t>
        </is>
      </c>
      <c r="B52" s="12" t="inlineStr">
        <is>
          <t>GG4</t>
        </is>
      </c>
      <c r="C52" s="12" t="inlineStr">
        <is>
          <t>Grade III</t>
        </is>
      </c>
      <c r="D52" s="12" t="inlineStr">
        <is>
          <t>QCSP 001_GG4-III_v.01</t>
        </is>
      </c>
      <c r="E52" s="12" t="inlineStr">
        <is>
          <t>16.00 – 22.90%</t>
        </is>
      </c>
      <c r="F52" s="13" t="n">
        <v>16</v>
      </c>
      <c r="G52" s="13" t="n">
        <v>22.9</v>
      </c>
      <c r="H52" s="12" t="inlineStr">
        <is>
          <t>19.45% ± 3.45%</t>
        </is>
      </c>
      <c r="I52" s="13" t="n">
        <v>19.45</v>
      </c>
      <c r="J52" s="13" t="n">
        <v>3.45</v>
      </c>
      <c r="K52" s="12" t="inlineStr">
        <is>
          <t>≤ 1.0%</t>
        </is>
      </c>
      <c r="L52" s="12" t="inlineStr">
        <is>
          <t>GG4</t>
        </is>
      </c>
    </row>
    <row r="53">
      <c r="A53" s="14" t="inlineStr">
        <is>
          <t>GG4</t>
        </is>
      </c>
      <c r="B53" s="14" t="inlineStr">
        <is>
          <t>GG4</t>
        </is>
      </c>
      <c r="C53" s="14" t="inlineStr">
        <is>
          <t>Grade IV</t>
        </is>
      </c>
      <c r="D53" s="14" t="inlineStr">
        <is>
          <t>QCSP 001_GG4-IV_v.01</t>
        </is>
      </c>
      <c r="E53" s="14" t="inlineStr">
        <is>
          <t>5.00 – 15.90%</t>
        </is>
      </c>
      <c r="F53" s="15" t="n">
        <v>5</v>
      </c>
      <c r="G53" s="15" t="n">
        <v>15.9</v>
      </c>
      <c r="H53" s="14" t="inlineStr">
        <is>
          <t>10.45% ± 5.45%</t>
        </is>
      </c>
      <c r="I53" s="15" t="n">
        <v>10.45</v>
      </c>
      <c r="J53" s="15" t="n">
        <v>5.45</v>
      </c>
      <c r="K53" s="14" t="inlineStr">
        <is>
          <t>≤ 1.0%</t>
        </is>
      </c>
      <c r="L53" s="14" t="inlineStr">
        <is>
          <t>GG4</t>
        </is>
      </c>
    </row>
    <row r="54">
      <c r="A54" s="12" t="inlineStr">
        <is>
          <t>GNG</t>
        </is>
      </c>
      <c r="B54" s="12" t="inlineStr">
        <is>
          <t>GORILLA GANG</t>
        </is>
      </c>
      <c r="C54" s="12" t="inlineStr">
        <is>
          <t>Grade I</t>
        </is>
      </c>
      <c r="D54" s="12" t="inlineStr">
        <is>
          <t>QCSP 001_GNG-I_v.01</t>
        </is>
      </c>
      <c r="E54" s="12" t="inlineStr">
        <is>
          <t>24.00 – 30.00%</t>
        </is>
      </c>
      <c r="F54" s="13" t="n">
        <v>24</v>
      </c>
      <c r="G54" s="13" t="n">
        <v>30</v>
      </c>
      <c r="H54" s="12" t="inlineStr">
        <is>
          <t>27.00% ± 3.00%</t>
        </is>
      </c>
      <c r="I54" s="13" t="n">
        <v>27</v>
      </c>
      <c r="J54" s="13" t="n">
        <v>3</v>
      </c>
      <c r="K54" s="12" t="inlineStr">
        <is>
          <t>≤ 1.0%</t>
        </is>
      </c>
      <c r="L54" s="12" t="inlineStr">
        <is>
          <t>Gorilla Glue</t>
        </is>
      </c>
    </row>
    <row r="55">
      <c r="A55" s="14" t="inlineStr">
        <is>
          <t>GNG</t>
        </is>
      </c>
      <c r="B55" s="14" t="inlineStr">
        <is>
          <t>GORILLA GANG</t>
        </is>
      </c>
      <c r="C55" s="14" t="inlineStr">
        <is>
          <t>Grade II</t>
        </is>
      </c>
      <c r="D55" s="14" t="inlineStr">
        <is>
          <t>QCSP 001_GNG-II_v.01</t>
        </is>
      </c>
      <c r="E55" s="14" t="inlineStr">
        <is>
          <t>18.00 – 24.00%</t>
        </is>
      </c>
      <c r="F55" s="15" t="n">
        <v>18</v>
      </c>
      <c r="G55" s="15" t="n">
        <v>24</v>
      </c>
      <c r="H55" s="14" t="inlineStr">
        <is>
          <t>21.00% ± 3.00%</t>
        </is>
      </c>
      <c r="I55" s="15" t="n">
        <v>21</v>
      </c>
      <c r="J55" s="15" t="n">
        <v>3</v>
      </c>
      <c r="K55" s="14" t="inlineStr">
        <is>
          <t>≤ 1.0%</t>
        </is>
      </c>
      <c r="L55" s="14" t="inlineStr">
        <is>
          <t>Gorilla Glue</t>
        </is>
      </c>
    </row>
    <row r="56">
      <c r="A56" s="12" t="inlineStr">
        <is>
          <t>GNG</t>
        </is>
      </c>
      <c r="B56" s="12" t="inlineStr">
        <is>
          <t>GORILLA GANG</t>
        </is>
      </c>
      <c r="C56" s="12" t="inlineStr">
        <is>
          <t>Grade III</t>
        </is>
      </c>
      <c r="D56" s="12" t="inlineStr">
        <is>
          <t>QCSP 001_GNG-III_v.01</t>
        </is>
      </c>
      <c r="E56" s="12" t="inlineStr">
        <is>
          <t>12.34 – 18.00%</t>
        </is>
      </c>
      <c r="F56" s="13" t="n">
        <v>12.34</v>
      </c>
      <c r="G56" s="13" t="n">
        <v>18</v>
      </c>
      <c r="H56" s="12" t="inlineStr">
        <is>
          <t>15.00% ± 2.83%</t>
        </is>
      </c>
      <c r="I56" s="13" t="n">
        <v>15</v>
      </c>
      <c r="J56" s="13" t="n">
        <v>2.83</v>
      </c>
      <c r="K56" s="12" t="inlineStr">
        <is>
          <t>≤ 1.0%</t>
        </is>
      </c>
      <c r="L56" s="12" t="inlineStr">
        <is>
          <t>Gorilla Glue</t>
        </is>
      </c>
    </row>
    <row r="57">
      <c r="A57" s="14" t="inlineStr">
        <is>
          <t>HD</t>
        </is>
      </c>
      <c r="B57" s="14" t="inlineStr">
        <is>
          <t>HAZY DAZE</t>
        </is>
      </c>
      <c r="C57" s="14" t="inlineStr">
        <is>
          <t>Grade I</t>
        </is>
      </c>
      <c r="D57" s="14" t="inlineStr">
        <is>
          <t>QCSP 001_HD-I_v.01</t>
        </is>
      </c>
      <c r="E57" s="14" t="inlineStr">
        <is>
          <t>24.75 – 30.00%</t>
        </is>
      </c>
      <c r="F57" s="15" t="n">
        <v>24.75</v>
      </c>
      <c r="G57" s="15" t="n">
        <v>30</v>
      </c>
      <c r="H57" s="14" t="inlineStr">
        <is>
          <t>27.50% ± 2.63%</t>
        </is>
      </c>
      <c r="I57" s="15" t="n">
        <v>27.5</v>
      </c>
      <c r="J57" s="15" t="n">
        <v>2.63</v>
      </c>
      <c r="K57" s="14" t="inlineStr">
        <is>
          <t>≤ 1.0%</t>
        </is>
      </c>
      <c r="L57" s="14" t="inlineStr">
        <is>
          <t>High Pro Amnesia</t>
        </is>
      </c>
    </row>
    <row r="58">
      <c r="A58" s="12" t="inlineStr">
        <is>
          <t>HD</t>
        </is>
      </c>
      <c r="B58" s="12" t="inlineStr">
        <is>
          <t>HAZY DAZE</t>
        </is>
      </c>
      <c r="C58" s="12" t="inlineStr">
        <is>
          <t>Grade II</t>
        </is>
      </c>
      <c r="D58" s="12" t="inlineStr">
        <is>
          <t>QCSP 001_HD-II_v.01</t>
        </is>
      </c>
      <c r="E58" s="12" t="inlineStr">
        <is>
          <t>19.39 – 24.75%</t>
        </is>
      </c>
      <c r="F58" s="13" t="n">
        <v>19.39</v>
      </c>
      <c r="G58" s="13" t="n">
        <v>24.75</v>
      </c>
      <c r="H58" s="12" t="inlineStr">
        <is>
          <t>22.00% ± 2.68%</t>
        </is>
      </c>
      <c r="I58" s="13" t="n">
        <v>22</v>
      </c>
      <c r="J58" s="13" t="n">
        <v>2.68</v>
      </c>
      <c r="K58" s="12" t="inlineStr">
        <is>
          <t>≤ 1.0%</t>
        </is>
      </c>
      <c r="L58" s="12" t="inlineStr">
        <is>
          <t>High Pro Amnesia</t>
        </is>
      </c>
    </row>
    <row r="59">
      <c r="A59" s="14" t="inlineStr">
        <is>
          <t>HD</t>
        </is>
      </c>
      <c r="B59" s="14" t="inlineStr">
        <is>
          <t>HAZY DAZE</t>
        </is>
      </c>
      <c r="C59" s="14" t="inlineStr">
        <is>
          <t>Grade III</t>
        </is>
      </c>
      <c r="D59" s="14" t="inlineStr">
        <is>
          <t>QCSP 001_HD-III_v.01</t>
        </is>
      </c>
      <c r="E59" s="14" t="inlineStr">
        <is>
          <t>13.50 – 19.39%</t>
        </is>
      </c>
      <c r="F59" s="15" t="n">
        <v>13.5</v>
      </c>
      <c r="G59" s="15" t="n">
        <v>19.39</v>
      </c>
      <c r="H59" s="14" t="inlineStr">
        <is>
          <t>16.00% ± 2.95%</t>
        </is>
      </c>
      <c r="I59" s="15" t="n">
        <v>16</v>
      </c>
      <c r="J59" s="15" t="n">
        <v>2.95</v>
      </c>
      <c r="K59" s="14" t="inlineStr">
        <is>
          <t>≤ 1.0%</t>
        </is>
      </c>
      <c r="L59" s="14" t="inlineStr">
        <is>
          <t>High Pro Amnesia</t>
        </is>
      </c>
    </row>
    <row r="60">
      <c r="A60" s="12" t="inlineStr">
        <is>
          <t>JR</t>
        </is>
      </c>
      <c r="B60" s="12" t="inlineStr">
        <is>
          <t>JELLY RANCHER</t>
        </is>
      </c>
      <c r="C60" s="12" t="inlineStr">
        <is>
          <t>Grade I</t>
        </is>
      </c>
      <c r="D60" s="12" t="inlineStr">
        <is>
          <t>QCSP 001_JR-I_v.01</t>
        </is>
      </c>
      <c r="E60" s="12" t="inlineStr">
        <is>
          <t>27.00 – 30.00%</t>
        </is>
      </c>
      <c r="F60" s="13" t="n">
        <v>27</v>
      </c>
      <c r="G60" s="13" t="n">
        <v>30</v>
      </c>
      <c r="H60" s="12" t="inlineStr">
        <is>
          <t>28.50% ± 1.50%</t>
        </is>
      </c>
      <c r="I60" s="13" t="n">
        <v>28.5</v>
      </c>
      <c r="J60" s="13" t="n">
        <v>1.5</v>
      </c>
      <c r="K60" s="12" t="inlineStr">
        <is>
          <t>≤ 1.0%</t>
        </is>
      </c>
      <c r="L60" s="12" t="inlineStr">
        <is>
          <t>—</t>
        </is>
      </c>
    </row>
    <row r="61">
      <c r="A61" s="14" t="inlineStr">
        <is>
          <t>JR</t>
        </is>
      </c>
      <c r="B61" s="14" t="inlineStr">
        <is>
          <t>JELLY RANCHER</t>
        </is>
      </c>
      <c r="C61" s="14" t="inlineStr">
        <is>
          <t>Grade II</t>
        </is>
      </c>
      <c r="D61" s="14" t="inlineStr">
        <is>
          <t>QCSP 001_JR-II_v.01</t>
        </is>
      </c>
      <c r="E61" s="14" t="inlineStr">
        <is>
          <t>23.00 – 26.90%</t>
        </is>
      </c>
      <c r="F61" s="15" t="n">
        <v>23</v>
      </c>
      <c r="G61" s="15" t="n">
        <v>26.9</v>
      </c>
      <c r="H61" s="14" t="inlineStr">
        <is>
          <t>24.95% ± 1.95%</t>
        </is>
      </c>
      <c r="I61" s="15" t="n">
        <v>24.95</v>
      </c>
      <c r="J61" s="15" t="n">
        <v>1.95</v>
      </c>
      <c r="K61" s="14" t="inlineStr">
        <is>
          <t>≤ 1.0%</t>
        </is>
      </c>
      <c r="L61" s="14" t="inlineStr">
        <is>
          <t>—</t>
        </is>
      </c>
    </row>
    <row r="62">
      <c r="A62" s="12" t="inlineStr">
        <is>
          <t>JR</t>
        </is>
      </c>
      <c r="B62" s="12" t="inlineStr">
        <is>
          <t>JELLY RANCHER</t>
        </is>
      </c>
      <c r="C62" s="12" t="inlineStr">
        <is>
          <t>Grade III</t>
        </is>
      </c>
      <c r="D62" s="12" t="inlineStr">
        <is>
          <t>QCSP 001_JR-III_v.01</t>
        </is>
      </c>
      <c r="E62" s="12" t="inlineStr">
        <is>
          <t>16.00 – 22.90%</t>
        </is>
      </c>
      <c r="F62" s="13" t="n">
        <v>16</v>
      </c>
      <c r="G62" s="13" t="n">
        <v>22.9</v>
      </c>
      <c r="H62" s="12" t="inlineStr">
        <is>
          <t>19.45% ± 3.45%</t>
        </is>
      </c>
      <c r="I62" s="13" t="n">
        <v>19.45</v>
      </c>
      <c r="J62" s="13" t="n">
        <v>3.45</v>
      </c>
      <c r="K62" s="12" t="inlineStr">
        <is>
          <t>≤ 1.0%</t>
        </is>
      </c>
      <c r="L62" s="12" t="inlineStr">
        <is>
          <t>—</t>
        </is>
      </c>
    </row>
    <row r="63">
      <c r="A63" s="14" t="inlineStr">
        <is>
          <t>JR</t>
        </is>
      </c>
      <c r="B63" s="14" t="inlineStr">
        <is>
          <t>JELLY RANCHER</t>
        </is>
      </c>
      <c r="C63" s="14" t="inlineStr">
        <is>
          <t>Grade IV</t>
        </is>
      </c>
      <c r="D63" s="14" t="inlineStr">
        <is>
          <t>QCSP 001_JR-IV_v.01</t>
        </is>
      </c>
      <c r="E63" s="14" t="inlineStr">
        <is>
          <t>5.00 – 15.90%</t>
        </is>
      </c>
      <c r="F63" s="15" t="n">
        <v>5</v>
      </c>
      <c r="G63" s="15" t="n">
        <v>15.9</v>
      </c>
      <c r="H63" s="14" t="inlineStr">
        <is>
          <t>10.45% ± 5.45%</t>
        </is>
      </c>
      <c r="I63" s="15" t="n">
        <v>10.45</v>
      </c>
      <c r="J63" s="15" t="n">
        <v>5.45</v>
      </c>
      <c r="K63" s="14" t="inlineStr">
        <is>
          <t>≤ 1.0%</t>
        </is>
      </c>
      <c r="L63" s="14" t="inlineStr">
        <is>
          <t>—</t>
        </is>
      </c>
    </row>
    <row r="64">
      <c r="A64" s="12" t="inlineStr">
        <is>
          <t>LB</t>
        </is>
      </c>
      <c r="B64" s="12" t="inlineStr">
        <is>
          <t>LA BOMBA</t>
        </is>
      </c>
      <c r="C64" s="12" t="inlineStr">
        <is>
          <t>Grade I</t>
        </is>
      </c>
      <c r="D64" s="12" t="inlineStr">
        <is>
          <t>QCSP 001_LB-I_v.01</t>
        </is>
      </c>
      <c r="E64" s="12" t="inlineStr">
        <is>
          <t>27.00 – 30.00%</t>
        </is>
      </c>
      <c r="F64" s="13" t="n">
        <v>27</v>
      </c>
      <c r="G64" s="13" t="n">
        <v>30</v>
      </c>
      <c r="H64" s="12" t="inlineStr">
        <is>
          <t>28.50% ± 1.50%</t>
        </is>
      </c>
      <c r="I64" s="13" t="n">
        <v>28.5</v>
      </c>
      <c r="J64" s="13" t="n">
        <v>1.5</v>
      </c>
      <c r="K64" s="12" t="inlineStr">
        <is>
          <t>≤ 1.0%</t>
        </is>
      </c>
      <c r="L64" s="12" t="inlineStr">
        <is>
          <t>—</t>
        </is>
      </c>
    </row>
    <row r="65">
      <c r="A65" s="14" t="inlineStr">
        <is>
          <t>LB</t>
        </is>
      </c>
      <c r="B65" s="14" t="inlineStr">
        <is>
          <t>LA BOMBA</t>
        </is>
      </c>
      <c r="C65" s="14" t="inlineStr">
        <is>
          <t>Grade II</t>
        </is>
      </c>
      <c r="D65" s="14" t="inlineStr">
        <is>
          <t>QCSP 001_LB-II_v.01</t>
        </is>
      </c>
      <c r="E65" s="14" t="inlineStr">
        <is>
          <t>23.00 – 26.90%</t>
        </is>
      </c>
      <c r="F65" s="15" t="n">
        <v>23</v>
      </c>
      <c r="G65" s="15" t="n">
        <v>26.9</v>
      </c>
      <c r="H65" s="14" t="inlineStr">
        <is>
          <t>24.95% ± 1.95%</t>
        </is>
      </c>
      <c r="I65" s="15" t="n">
        <v>24.95</v>
      </c>
      <c r="J65" s="15" t="n">
        <v>1.95</v>
      </c>
      <c r="K65" s="14" t="inlineStr">
        <is>
          <t>≤ 1.0%</t>
        </is>
      </c>
      <c r="L65" s="14" t="inlineStr">
        <is>
          <t>—</t>
        </is>
      </c>
    </row>
    <row r="66">
      <c r="A66" s="12" t="inlineStr">
        <is>
          <t>LB</t>
        </is>
      </c>
      <c r="B66" s="12" t="inlineStr">
        <is>
          <t>LA BOMBA</t>
        </is>
      </c>
      <c r="C66" s="12" t="inlineStr">
        <is>
          <t>Grade III</t>
        </is>
      </c>
      <c r="D66" s="12" t="inlineStr">
        <is>
          <t>QCSP 001_LB-III_v.01</t>
        </is>
      </c>
      <c r="E66" s="12" t="inlineStr">
        <is>
          <t>16.00 – 22.90%</t>
        </is>
      </c>
      <c r="F66" s="13" t="n">
        <v>16</v>
      </c>
      <c r="G66" s="13" t="n">
        <v>22.9</v>
      </c>
      <c r="H66" s="12" t="inlineStr">
        <is>
          <t>19.45% ± 3.45%</t>
        </is>
      </c>
      <c r="I66" s="13" t="n">
        <v>19.45</v>
      </c>
      <c r="J66" s="13" t="n">
        <v>3.45</v>
      </c>
      <c r="K66" s="12" t="inlineStr">
        <is>
          <t>≤ 1.0%</t>
        </is>
      </c>
      <c r="L66" s="12" t="inlineStr">
        <is>
          <t>—</t>
        </is>
      </c>
    </row>
    <row r="67">
      <c r="A67" s="14" t="inlineStr">
        <is>
          <t>LB</t>
        </is>
      </c>
      <c r="B67" s="14" t="inlineStr">
        <is>
          <t>LA BOMBA</t>
        </is>
      </c>
      <c r="C67" s="14" t="inlineStr">
        <is>
          <t>Grade IV</t>
        </is>
      </c>
      <c r="D67" s="14" t="inlineStr">
        <is>
          <t>QCSP 001_LB-IV_v.01</t>
        </is>
      </c>
      <c r="E67" s="14" t="inlineStr">
        <is>
          <t>5.00 – 15.90%</t>
        </is>
      </c>
      <c r="F67" s="15" t="n">
        <v>5</v>
      </c>
      <c r="G67" s="15" t="n">
        <v>15.9</v>
      </c>
      <c r="H67" s="14" t="inlineStr">
        <is>
          <t>10.45% ± 5.45%</t>
        </is>
      </c>
      <c r="I67" s="15" t="n">
        <v>10.45</v>
      </c>
      <c r="J67" s="15" t="n">
        <v>5.45</v>
      </c>
      <c r="K67" s="14" t="inlineStr">
        <is>
          <t>≤ 1.0%</t>
        </is>
      </c>
      <c r="L67" s="14" t="inlineStr">
        <is>
          <t>—</t>
        </is>
      </c>
    </row>
    <row r="68">
      <c r="A68" s="12" t="inlineStr">
        <is>
          <t>LG</t>
        </is>
      </c>
      <c r="B68" s="12" t="inlineStr">
        <is>
          <t>LIFEGUARD</t>
        </is>
      </c>
      <c r="C68" s="12" t="inlineStr">
        <is>
          <t>Grade I</t>
        </is>
      </c>
      <c r="D68" s="12" t="inlineStr">
        <is>
          <t>QCSP 001_LG-I_v.01</t>
        </is>
      </c>
      <c r="E68" s="12" t="inlineStr">
        <is>
          <t>27.00 – 30.00%</t>
        </is>
      </c>
      <c r="F68" s="13" t="n">
        <v>27</v>
      </c>
      <c r="G68" s="13" t="n">
        <v>30</v>
      </c>
      <c r="H68" s="12" t="inlineStr">
        <is>
          <t>28.50% ± 1.50%</t>
        </is>
      </c>
      <c r="I68" s="13" t="n">
        <v>28.5</v>
      </c>
      <c r="J68" s="13" t="n">
        <v>1.5</v>
      </c>
      <c r="K68" s="12" t="inlineStr">
        <is>
          <t>≤ 1.0%</t>
        </is>
      </c>
      <c r="L68" s="12" t="inlineStr">
        <is>
          <t>Pure Michigen</t>
        </is>
      </c>
    </row>
    <row r="69">
      <c r="A69" s="14" t="inlineStr">
        <is>
          <t>LG</t>
        </is>
      </c>
      <c r="B69" s="14" t="inlineStr">
        <is>
          <t>LIFEGUARD</t>
        </is>
      </c>
      <c r="C69" s="14" t="inlineStr">
        <is>
          <t>Grade II</t>
        </is>
      </c>
      <c r="D69" s="14" t="inlineStr">
        <is>
          <t>QCSP 001_LG-II_v.01</t>
        </is>
      </c>
      <c r="E69" s="14" t="inlineStr">
        <is>
          <t>23.00 – 26.90%</t>
        </is>
      </c>
      <c r="F69" s="15" t="n">
        <v>23</v>
      </c>
      <c r="G69" s="15" t="n">
        <v>26.9</v>
      </c>
      <c r="H69" s="14" t="inlineStr">
        <is>
          <t>24.95% ± 1.95%</t>
        </is>
      </c>
      <c r="I69" s="15" t="n">
        <v>24.95</v>
      </c>
      <c r="J69" s="15" t="n">
        <v>1.95</v>
      </c>
      <c r="K69" s="14" t="inlineStr">
        <is>
          <t>≤ 1.0%</t>
        </is>
      </c>
      <c r="L69" s="14" t="inlineStr">
        <is>
          <t>Pure Michigen</t>
        </is>
      </c>
    </row>
    <row r="70">
      <c r="A70" s="12" t="inlineStr">
        <is>
          <t>LG</t>
        </is>
      </c>
      <c r="B70" s="12" t="inlineStr">
        <is>
          <t>LIFEGUARD</t>
        </is>
      </c>
      <c r="C70" s="12" t="inlineStr">
        <is>
          <t>Grade III</t>
        </is>
      </c>
      <c r="D70" s="12" t="inlineStr">
        <is>
          <t>QCSP 001_LG-III_v.01</t>
        </is>
      </c>
      <c r="E70" s="12" t="inlineStr">
        <is>
          <t>16.00 – 22.90%</t>
        </is>
      </c>
      <c r="F70" s="13" t="n">
        <v>16</v>
      </c>
      <c r="G70" s="13" t="n">
        <v>22.9</v>
      </c>
      <c r="H70" s="12" t="inlineStr">
        <is>
          <t>19.45% ± 3.45%</t>
        </is>
      </c>
      <c r="I70" s="13" t="n">
        <v>19.45</v>
      </c>
      <c r="J70" s="13" t="n">
        <v>3.45</v>
      </c>
      <c r="K70" s="12" t="inlineStr">
        <is>
          <t>≤ 1.0%</t>
        </is>
      </c>
      <c r="L70" s="12" t="inlineStr">
        <is>
          <t>Pure Michigen</t>
        </is>
      </c>
    </row>
    <row r="71">
      <c r="A71" s="14" t="inlineStr">
        <is>
          <t>LG</t>
        </is>
      </c>
      <c r="B71" s="14" t="inlineStr">
        <is>
          <t>LIFEGUARD</t>
        </is>
      </c>
      <c r="C71" s="14" t="inlineStr">
        <is>
          <t>Grade IV</t>
        </is>
      </c>
      <c r="D71" s="14" t="inlineStr">
        <is>
          <t>QCSP 001_LG-IV_v.01</t>
        </is>
      </c>
      <c r="E71" s="14" t="inlineStr">
        <is>
          <t>5.00 – 15.90%</t>
        </is>
      </c>
      <c r="F71" s="15" t="n">
        <v>5</v>
      </c>
      <c r="G71" s="15" t="n">
        <v>15.9</v>
      </c>
      <c r="H71" s="14" t="inlineStr">
        <is>
          <t>10.45% ± 5.45%</t>
        </is>
      </c>
      <c r="I71" s="15" t="n">
        <v>10.45</v>
      </c>
      <c r="J71" s="15" t="n">
        <v>5.45</v>
      </c>
      <c r="K71" s="14" t="inlineStr">
        <is>
          <t>≤ 1.0%</t>
        </is>
      </c>
      <c r="L71" s="14" t="inlineStr">
        <is>
          <t>Pure Michigen</t>
        </is>
      </c>
    </row>
    <row r="72">
      <c r="A72" s="12" t="inlineStr">
        <is>
          <t>NYD</t>
        </is>
      </c>
      <c r="B72" s="12" t="inlineStr">
        <is>
          <t>NY DIESEL</t>
        </is>
      </c>
      <c r="C72" s="12" t="inlineStr">
        <is>
          <t>Grade I</t>
        </is>
      </c>
      <c r="D72" s="12" t="inlineStr">
        <is>
          <t>QCSP 001_NYD-I_v.01</t>
        </is>
      </c>
      <c r="E72" s="12" t="inlineStr">
        <is>
          <t>25.00 – 30.00%</t>
        </is>
      </c>
      <c r="F72" s="13" t="n">
        <v>25</v>
      </c>
      <c r="G72" s="13" t="n">
        <v>30</v>
      </c>
      <c r="H72" s="12" t="inlineStr">
        <is>
          <t>27.50% ± 2.50%</t>
        </is>
      </c>
      <c r="I72" s="13" t="n">
        <v>27.5</v>
      </c>
      <c r="J72" s="13" t="n">
        <v>2.5</v>
      </c>
      <c r="K72" s="12" t="inlineStr">
        <is>
          <t>≤ 1.0%</t>
        </is>
      </c>
      <c r="L72" s="12" t="inlineStr">
        <is>
          <t>Motor Breath</t>
        </is>
      </c>
    </row>
    <row r="73">
      <c r="A73" s="14" t="inlineStr">
        <is>
          <t>NYD</t>
        </is>
      </c>
      <c r="B73" s="14" t="inlineStr">
        <is>
          <t>NY DIESEL</t>
        </is>
      </c>
      <c r="C73" s="14" t="inlineStr">
        <is>
          <t>Grade II</t>
        </is>
      </c>
      <c r="D73" s="14" t="inlineStr">
        <is>
          <t>QCSP 001_NYD-II_v.01</t>
        </is>
      </c>
      <c r="E73" s="14" t="inlineStr">
        <is>
          <t>20.00 – 25.00%</t>
        </is>
      </c>
      <c r="F73" s="15" t="n">
        <v>20</v>
      </c>
      <c r="G73" s="15" t="n">
        <v>25</v>
      </c>
      <c r="H73" s="14" t="inlineStr">
        <is>
          <t>22.50% ± 2.50%</t>
        </is>
      </c>
      <c r="I73" s="15" t="n">
        <v>22.5</v>
      </c>
      <c r="J73" s="15" t="n">
        <v>2.5</v>
      </c>
      <c r="K73" s="14" t="inlineStr">
        <is>
          <t>≤ 1.0%</t>
        </is>
      </c>
      <c r="L73" s="14" t="inlineStr">
        <is>
          <t>Motor Breath</t>
        </is>
      </c>
    </row>
    <row r="74">
      <c r="A74" s="12" t="inlineStr">
        <is>
          <t>NYD</t>
        </is>
      </c>
      <c r="B74" s="12" t="inlineStr">
        <is>
          <t>NY DIESEL</t>
        </is>
      </c>
      <c r="C74" s="12" t="inlineStr">
        <is>
          <t>Grade III</t>
        </is>
      </c>
      <c r="D74" s="12" t="inlineStr">
        <is>
          <t>QCSP 001_NYD-III_v.01</t>
        </is>
      </c>
      <c r="E74" s="12" t="inlineStr">
        <is>
          <t>15.00 – 20.00%</t>
        </is>
      </c>
      <c r="F74" s="13" t="n">
        <v>15</v>
      </c>
      <c r="G74" s="13" t="n">
        <v>20</v>
      </c>
      <c r="H74" s="12" t="inlineStr">
        <is>
          <t>17.50% ± 2.50%</t>
        </is>
      </c>
      <c r="I74" s="13" t="n">
        <v>17.5</v>
      </c>
      <c r="J74" s="13" t="n">
        <v>2.5</v>
      </c>
      <c r="K74" s="12" t="inlineStr">
        <is>
          <t>≤ 1.0%</t>
        </is>
      </c>
      <c r="L74" s="12" t="inlineStr">
        <is>
          <t>Motor Breath</t>
        </is>
      </c>
    </row>
    <row r="75">
      <c r="A75" s="14" t="inlineStr">
        <is>
          <t>OGB</t>
        </is>
      </c>
      <c r="B75" s="14" t="inlineStr">
        <is>
          <t>OG BANANA'S</t>
        </is>
      </c>
      <c r="C75" s="14" t="inlineStr">
        <is>
          <t>Grade I</t>
        </is>
      </c>
      <c r="D75" s="14" t="inlineStr">
        <is>
          <t>QCSP 001_OGB-I_v.01</t>
        </is>
      </c>
      <c r="E75" s="14" t="inlineStr">
        <is>
          <t>25.25 – 30.00%</t>
        </is>
      </c>
      <c r="F75" s="15" t="n">
        <v>25.25</v>
      </c>
      <c r="G75" s="15" t="n">
        <v>30</v>
      </c>
      <c r="H75" s="14" t="inlineStr">
        <is>
          <t>28.00% ± 2.38%</t>
        </is>
      </c>
      <c r="I75" s="15" t="n">
        <v>28</v>
      </c>
      <c r="J75" s="15" t="n">
        <v>2.38</v>
      </c>
      <c r="K75" s="14" t="inlineStr">
        <is>
          <t>≤ 1.0%</t>
        </is>
      </c>
      <c r="L75" s="14" t="inlineStr">
        <is>
          <t>Cap Junkie</t>
        </is>
      </c>
    </row>
    <row r="76">
      <c r="A76" s="12" t="inlineStr">
        <is>
          <t>OGB</t>
        </is>
      </c>
      <c r="B76" s="12" t="inlineStr">
        <is>
          <t>OG BANANA'S</t>
        </is>
      </c>
      <c r="C76" s="12" t="inlineStr">
        <is>
          <t>Grade II</t>
        </is>
      </c>
      <c r="D76" s="12" t="inlineStr">
        <is>
          <t>QCSP 001_OGB-II_v.01</t>
        </is>
      </c>
      <c r="E76" s="12" t="inlineStr">
        <is>
          <t>19.75 – 25.25%</t>
        </is>
      </c>
      <c r="F76" s="13" t="n">
        <v>19.75</v>
      </c>
      <c r="G76" s="13" t="n">
        <v>25.25</v>
      </c>
      <c r="H76" s="12" t="inlineStr">
        <is>
          <t>22.50% ± 2.75%</t>
        </is>
      </c>
      <c r="I76" s="13" t="n">
        <v>22.5</v>
      </c>
      <c r="J76" s="13" t="n">
        <v>2.75</v>
      </c>
      <c r="K76" s="12" t="inlineStr">
        <is>
          <t>≤ 1.0%</t>
        </is>
      </c>
      <c r="L76" s="12" t="inlineStr">
        <is>
          <t>Cap Junkie</t>
        </is>
      </c>
    </row>
    <row r="77">
      <c r="A77" s="14" t="inlineStr">
        <is>
          <t>OGB</t>
        </is>
      </c>
      <c r="B77" s="14" t="inlineStr">
        <is>
          <t>OG BANANA'S</t>
        </is>
      </c>
      <c r="C77" s="14" t="inlineStr">
        <is>
          <t>Grade III</t>
        </is>
      </c>
      <c r="D77" s="14" t="inlineStr">
        <is>
          <t>QCSP 001_OGB-III_v.01</t>
        </is>
      </c>
      <c r="E77" s="14" t="inlineStr">
        <is>
          <t>13.93 – 19.75%</t>
        </is>
      </c>
      <c r="F77" s="15" t="n">
        <v>13.93</v>
      </c>
      <c r="G77" s="15" t="n">
        <v>19.75</v>
      </c>
      <c r="H77" s="14" t="inlineStr">
        <is>
          <t>17.00% ± 2.91%</t>
        </is>
      </c>
      <c r="I77" s="15" t="n">
        <v>17</v>
      </c>
      <c r="J77" s="15" t="n">
        <v>2.91</v>
      </c>
      <c r="K77" s="14" t="inlineStr">
        <is>
          <t>≤ 1.0%</t>
        </is>
      </c>
      <c r="L77" s="14" t="inlineStr">
        <is>
          <t>Cap Junkie</t>
        </is>
      </c>
    </row>
    <row r="78">
      <c r="A78" s="12" t="inlineStr">
        <is>
          <t>OD</t>
        </is>
      </c>
      <c r="B78" s="12" t="inlineStr">
        <is>
          <t>ORANGE DREAM</t>
        </is>
      </c>
      <c r="C78" s="12" t="inlineStr">
        <is>
          <t>Grade I</t>
        </is>
      </c>
      <c r="D78" s="12" t="inlineStr">
        <is>
          <t>QCSP 001_OD-I_v.01</t>
        </is>
      </c>
      <c r="E78" s="12" t="inlineStr">
        <is>
          <t>25.00 – 30.00%</t>
        </is>
      </c>
      <c r="F78" s="13" t="n">
        <v>25</v>
      </c>
      <c r="G78" s="13" t="n">
        <v>30</v>
      </c>
      <c r="H78" s="12" t="inlineStr">
        <is>
          <t>28.00% ± 2.50%</t>
        </is>
      </c>
      <c r="I78" s="13" t="n">
        <v>28</v>
      </c>
      <c r="J78" s="13" t="n">
        <v>2.5</v>
      </c>
      <c r="K78" s="12" t="inlineStr">
        <is>
          <t>≤ 1.0%</t>
        </is>
      </c>
      <c r="L78" s="12" t="inlineStr">
        <is>
          <t>Orange Punch Mimosa</t>
        </is>
      </c>
    </row>
    <row r="79">
      <c r="A79" s="14" t="inlineStr">
        <is>
          <t>OD</t>
        </is>
      </c>
      <c r="B79" s="14" t="inlineStr">
        <is>
          <t>ORANGE DREAM</t>
        </is>
      </c>
      <c r="C79" s="14" t="inlineStr">
        <is>
          <t>Grade II</t>
        </is>
      </c>
      <c r="D79" s="14" t="inlineStr">
        <is>
          <t>QCSP 001_OD-II_v.01</t>
        </is>
      </c>
      <c r="E79" s="14" t="inlineStr">
        <is>
          <t>19.00 – 25.00%</t>
        </is>
      </c>
      <c r="F79" s="15" t="n">
        <v>19</v>
      </c>
      <c r="G79" s="15" t="n">
        <v>25</v>
      </c>
      <c r="H79" s="14" t="inlineStr">
        <is>
          <t>22.00% ± 3.00%</t>
        </is>
      </c>
      <c r="I79" s="15" t="n">
        <v>22</v>
      </c>
      <c r="J79" s="15" t="n">
        <v>3</v>
      </c>
      <c r="K79" s="14" t="inlineStr">
        <is>
          <t>≤ 1.0%</t>
        </is>
      </c>
      <c r="L79" s="14" t="inlineStr">
        <is>
          <t>Orange Punch Mimosa</t>
        </is>
      </c>
    </row>
    <row r="80">
      <c r="A80" s="12" t="inlineStr">
        <is>
          <t>OD</t>
        </is>
      </c>
      <c r="B80" s="12" t="inlineStr">
        <is>
          <t>ORANGE DREAM</t>
        </is>
      </c>
      <c r="C80" s="12" t="inlineStr">
        <is>
          <t>Grade III</t>
        </is>
      </c>
      <c r="D80" s="12" t="inlineStr">
        <is>
          <t>QCSP 001_OD-III_v.01</t>
        </is>
      </c>
      <c r="E80" s="12" t="inlineStr">
        <is>
          <t>13.00 – 19.00%</t>
        </is>
      </c>
      <c r="F80" s="13" t="n">
        <v>13</v>
      </c>
      <c r="G80" s="13" t="n">
        <v>19</v>
      </c>
      <c r="H80" s="12" t="inlineStr">
        <is>
          <t>16.00% ± 3.00%</t>
        </is>
      </c>
      <c r="I80" s="13" t="n">
        <v>16</v>
      </c>
      <c r="J80" s="13" t="n">
        <v>3</v>
      </c>
      <c r="K80" s="12" t="inlineStr">
        <is>
          <t>≤ 1.0%</t>
        </is>
      </c>
      <c r="L80" s="12" t="inlineStr">
        <is>
          <t>Orange Punch Mimosa</t>
        </is>
      </c>
    </row>
    <row r="81">
      <c r="A81" s="14" t="inlineStr">
        <is>
          <t>OD</t>
        </is>
      </c>
      <c r="B81" s="14" t="inlineStr">
        <is>
          <t>ORANGE DREAM</t>
        </is>
      </c>
      <c r="C81" s="14" t="inlineStr">
        <is>
          <t>Grade IV</t>
        </is>
      </c>
      <c r="D81" s="14" t="inlineStr">
        <is>
          <t>QCSP 001_OD-IV_v.01</t>
        </is>
      </c>
      <c r="E81" s="14" t="inlineStr">
        <is>
          <t>7.09 – 13.00%</t>
        </is>
      </c>
      <c r="F81" s="15" t="n">
        <v>7.09</v>
      </c>
      <c r="G81" s="15" t="n">
        <v>13</v>
      </c>
      <c r="H81" s="14" t="inlineStr">
        <is>
          <t>10.00% ± 2.96%</t>
        </is>
      </c>
      <c r="I81" s="15" t="n">
        <v>10</v>
      </c>
      <c r="J81" s="15" t="n">
        <v>2.96</v>
      </c>
      <c r="K81" s="14" t="inlineStr">
        <is>
          <t>≤ 1.0%</t>
        </is>
      </c>
      <c r="L81" s="14" t="inlineStr">
        <is>
          <t>Orange Punch Mimosa</t>
        </is>
      </c>
    </row>
    <row r="82">
      <c r="A82" s="12" t="inlineStr">
        <is>
          <t>PKB</t>
        </is>
      </c>
      <c r="B82" s="12" t="inlineStr">
        <is>
          <t>PANCAKE BERRIES</t>
        </is>
      </c>
      <c r="C82" s="12" t="inlineStr">
        <is>
          <t>Grade I</t>
        </is>
      </c>
      <c r="D82" s="12" t="inlineStr">
        <is>
          <t>QCSP 001_PKB-I_v.01</t>
        </is>
      </c>
      <c r="E82" s="12" t="inlineStr">
        <is>
          <t>27.00 – 30.00%</t>
        </is>
      </c>
      <c r="F82" s="13" t="n">
        <v>27</v>
      </c>
      <c r="G82" s="13" t="n">
        <v>30</v>
      </c>
      <c r="H82" s="12" t="inlineStr">
        <is>
          <t>28.50% ± 1.50%</t>
        </is>
      </c>
      <c r="I82" s="13" t="n">
        <v>28.5</v>
      </c>
      <c r="J82" s="13" t="n">
        <v>1.5</v>
      </c>
      <c r="K82" s="12" t="inlineStr">
        <is>
          <t>≤ 1.0%</t>
        </is>
      </c>
      <c r="L82" s="12" t="inlineStr">
        <is>
          <t>—</t>
        </is>
      </c>
    </row>
    <row r="83">
      <c r="A83" s="14" t="inlineStr">
        <is>
          <t>PKB</t>
        </is>
      </c>
      <c r="B83" s="14" t="inlineStr">
        <is>
          <t>PANCAKE BERRIES</t>
        </is>
      </c>
      <c r="C83" s="14" t="inlineStr">
        <is>
          <t>Grade II</t>
        </is>
      </c>
      <c r="D83" s="14" t="inlineStr">
        <is>
          <t>QCSP 001_PKB-II_v.01</t>
        </is>
      </c>
      <c r="E83" s="14" t="inlineStr">
        <is>
          <t>23.00 – 26.90%</t>
        </is>
      </c>
      <c r="F83" s="15" t="n">
        <v>23</v>
      </c>
      <c r="G83" s="15" t="n">
        <v>26.9</v>
      </c>
      <c r="H83" s="14" t="inlineStr">
        <is>
          <t>24.95% ± 1.95%</t>
        </is>
      </c>
      <c r="I83" s="15" t="n">
        <v>24.95</v>
      </c>
      <c r="J83" s="15" t="n">
        <v>1.95</v>
      </c>
      <c r="K83" s="14" t="inlineStr">
        <is>
          <t>≤ 1.0%</t>
        </is>
      </c>
      <c r="L83" s="14" t="inlineStr">
        <is>
          <t>—</t>
        </is>
      </c>
    </row>
    <row r="84">
      <c r="A84" s="12" t="inlineStr">
        <is>
          <t>PKB</t>
        </is>
      </c>
      <c r="B84" s="12" t="inlineStr">
        <is>
          <t>PANCAKE BERRIES</t>
        </is>
      </c>
      <c r="C84" s="12" t="inlineStr">
        <is>
          <t>Grade III</t>
        </is>
      </c>
      <c r="D84" s="12" t="inlineStr">
        <is>
          <t>QCSP 001_PKB-III_v.01</t>
        </is>
      </c>
      <c r="E84" s="12" t="inlineStr">
        <is>
          <t>16.00 – 22.90%</t>
        </is>
      </c>
      <c r="F84" s="13" t="n">
        <v>16</v>
      </c>
      <c r="G84" s="13" t="n">
        <v>22.9</v>
      </c>
      <c r="H84" s="12" t="inlineStr">
        <is>
          <t>19.45% ± 3.45%</t>
        </is>
      </c>
      <c r="I84" s="13" t="n">
        <v>19.45</v>
      </c>
      <c r="J84" s="13" t="n">
        <v>3.45</v>
      </c>
      <c r="K84" s="12" t="inlineStr">
        <is>
          <t>≤ 1.0%</t>
        </is>
      </c>
      <c r="L84" s="12" t="inlineStr">
        <is>
          <t>—</t>
        </is>
      </c>
    </row>
    <row r="85">
      <c r="A85" s="14" t="inlineStr">
        <is>
          <t>PKB</t>
        </is>
      </c>
      <c r="B85" s="14" t="inlineStr">
        <is>
          <t>PANCAKE BERRIES</t>
        </is>
      </c>
      <c r="C85" s="14" t="inlineStr">
        <is>
          <t>Grade IV</t>
        </is>
      </c>
      <c r="D85" s="14" t="inlineStr">
        <is>
          <t>QCSP 001_PKB-IV_v.01</t>
        </is>
      </c>
      <c r="E85" s="14" t="inlineStr">
        <is>
          <t>5.00 – 15.90%</t>
        </is>
      </c>
      <c r="F85" s="15" t="n">
        <v>5</v>
      </c>
      <c r="G85" s="15" t="n">
        <v>15.9</v>
      </c>
      <c r="H85" s="14" t="inlineStr">
        <is>
          <t>10.45% ± 5.45%</t>
        </is>
      </c>
      <c r="I85" s="15" t="n">
        <v>10.45</v>
      </c>
      <c r="J85" s="15" t="n">
        <v>5.45</v>
      </c>
      <c r="K85" s="14" t="inlineStr">
        <is>
          <t>≤ 1.0%</t>
        </is>
      </c>
      <c r="L85" s="14" t="inlineStr">
        <is>
          <t>—</t>
        </is>
      </c>
    </row>
    <row r="86">
      <c r="A86" s="12" t="inlineStr">
        <is>
          <t>PDY</t>
        </is>
      </c>
      <c r="B86" s="12" t="inlineStr">
        <is>
          <t>PAYDAY</t>
        </is>
      </c>
      <c r="C86" s="12" t="inlineStr">
        <is>
          <t>Grade I</t>
        </is>
      </c>
      <c r="D86" s="12" t="inlineStr">
        <is>
          <t>QCSP 001_PDY-I_v.01</t>
        </is>
      </c>
      <c r="E86" s="12" t="inlineStr">
        <is>
          <t>25.50 – 30.00%</t>
        </is>
      </c>
      <c r="F86" s="13" t="n">
        <v>25.5</v>
      </c>
      <c r="G86" s="13" t="n">
        <v>30</v>
      </c>
      <c r="H86" s="12" t="inlineStr">
        <is>
          <t>28.00% ± 2.25%</t>
        </is>
      </c>
      <c r="I86" s="13" t="n">
        <v>28</v>
      </c>
      <c r="J86" s="13" t="n">
        <v>2.25</v>
      </c>
      <c r="K86" s="12" t="inlineStr">
        <is>
          <t>≤ 1.0%</t>
        </is>
      </c>
      <c r="L86" s="12" t="inlineStr">
        <is>
          <t>CashCow</t>
        </is>
      </c>
    </row>
    <row r="87">
      <c r="A87" s="14" t="inlineStr">
        <is>
          <t>PDY</t>
        </is>
      </c>
      <c r="B87" s="14" t="inlineStr">
        <is>
          <t>PAYDAY</t>
        </is>
      </c>
      <c r="C87" s="14" t="inlineStr">
        <is>
          <t>Grade II</t>
        </is>
      </c>
      <c r="D87" s="14" t="inlineStr">
        <is>
          <t>QCSP 001_PDY-II_v.01</t>
        </is>
      </c>
      <c r="E87" s="14" t="inlineStr">
        <is>
          <t>20.50 – 25.50%</t>
        </is>
      </c>
      <c r="F87" s="15" t="n">
        <v>20.5</v>
      </c>
      <c r="G87" s="15" t="n">
        <v>25.5</v>
      </c>
      <c r="H87" s="14" t="inlineStr">
        <is>
          <t>23.00% ± 2.50%</t>
        </is>
      </c>
      <c r="I87" s="15" t="n">
        <v>23</v>
      </c>
      <c r="J87" s="15" t="n">
        <v>2.5</v>
      </c>
      <c r="K87" s="14" t="inlineStr">
        <is>
          <t>≤ 1.0%</t>
        </is>
      </c>
      <c r="L87" s="14" t="inlineStr">
        <is>
          <t>CashCow</t>
        </is>
      </c>
    </row>
    <row r="88">
      <c r="A88" s="12" t="inlineStr">
        <is>
          <t>PDY</t>
        </is>
      </c>
      <c r="B88" s="12" t="inlineStr">
        <is>
          <t>PAYDAY</t>
        </is>
      </c>
      <c r="C88" s="12" t="inlineStr">
        <is>
          <t>Grade III</t>
        </is>
      </c>
      <c r="D88" s="12" t="inlineStr">
        <is>
          <t>QCSP 001_PDY-III_v.01</t>
        </is>
      </c>
      <c r="E88" s="12" t="inlineStr">
        <is>
          <t>15.50 – 20.50%</t>
        </is>
      </c>
      <c r="F88" s="13" t="n">
        <v>15.5</v>
      </c>
      <c r="G88" s="13" t="n">
        <v>20.5</v>
      </c>
      <c r="H88" s="12" t="inlineStr">
        <is>
          <t>18.00% ± 2.50%</t>
        </is>
      </c>
      <c r="I88" s="13" t="n">
        <v>18</v>
      </c>
      <c r="J88" s="13" t="n">
        <v>2.5</v>
      </c>
      <c r="K88" s="12" t="inlineStr">
        <is>
          <t>≤ 1.0%</t>
        </is>
      </c>
      <c r="L88" s="12" t="inlineStr">
        <is>
          <t>CashCow</t>
        </is>
      </c>
    </row>
    <row r="89">
      <c r="A89" s="14" t="inlineStr">
        <is>
          <t>PLB</t>
        </is>
      </c>
      <c r="B89" s="14" t="inlineStr">
        <is>
          <t>PLATINUM BLUE</t>
        </is>
      </c>
      <c r="C89" s="14" t="inlineStr">
        <is>
          <t>Grade I</t>
        </is>
      </c>
      <c r="D89" s="14" t="inlineStr">
        <is>
          <t>QCSP 001_PLB-I_v.01</t>
        </is>
      </c>
      <c r="E89" s="14" t="inlineStr">
        <is>
          <t>27.00 – 30.00%</t>
        </is>
      </c>
      <c r="F89" s="15" t="n">
        <v>27</v>
      </c>
      <c r="G89" s="15" t="n">
        <v>30</v>
      </c>
      <c r="H89" s="14" t="inlineStr">
        <is>
          <t>28.50% ± 1.50%</t>
        </is>
      </c>
      <c r="I89" s="15" t="n">
        <v>28.5</v>
      </c>
      <c r="J89" s="15" t="n">
        <v>1.5</v>
      </c>
      <c r="K89" s="14" t="inlineStr">
        <is>
          <t>≤ 1.0%</t>
        </is>
      </c>
      <c r="L89" s="14" t="inlineStr">
        <is>
          <t>—</t>
        </is>
      </c>
    </row>
    <row r="90">
      <c r="A90" s="12" t="inlineStr">
        <is>
          <t>PLB</t>
        </is>
      </c>
      <c r="B90" s="12" t="inlineStr">
        <is>
          <t>PLATINUM BLUE</t>
        </is>
      </c>
      <c r="C90" s="12" t="inlineStr">
        <is>
          <t>Grade II</t>
        </is>
      </c>
      <c r="D90" s="12" t="inlineStr">
        <is>
          <t>QCSP 001_PLB-II_v.01</t>
        </is>
      </c>
      <c r="E90" s="12" t="inlineStr">
        <is>
          <t>23.00 – 26.90%</t>
        </is>
      </c>
      <c r="F90" s="13" t="n">
        <v>23</v>
      </c>
      <c r="G90" s="13" t="n">
        <v>26.9</v>
      </c>
      <c r="H90" s="12" t="inlineStr">
        <is>
          <t>24.95% ± 1.95%</t>
        </is>
      </c>
      <c r="I90" s="13" t="n">
        <v>24.95</v>
      </c>
      <c r="J90" s="13" t="n">
        <v>1.95</v>
      </c>
      <c r="K90" s="12" t="inlineStr">
        <is>
          <t>≤ 1.0%</t>
        </is>
      </c>
      <c r="L90" s="12" t="inlineStr">
        <is>
          <t>—</t>
        </is>
      </c>
    </row>
    <row r="91">
      <c r="A91" s="14" t="inlineStr">
        <is>
          <t>PLB</t>
        </is>
      </c>
      <c r="B91" s="14" t="inlineStr">
        <is>
          <t>PLATINUM BLUE</t>
        </is>
      </c>
      <c r="C91" s="14" t="inlineStr">
        <is>
          <t>Grade III</t>
        </is>
      </c>
      <c r="D91" s="14" t="inlineStr">
        <is>
          <t>QCSP 001_PLB-III_v.01</t>
        </is>
      </c>
      <c r="E91" s="14" t="inlineStr">
        <is>
          <t>16.00 – 22.90%</t>
        </is>
      </c>
      <c r="F91" s="15" t="n">
        <v>16</v>
      </c>
      <c r="G91" s="15" t="n">
        <v>22.9</v>
      </c>
      <c r="H91" s="14" t="inlineStr">
        <is>
          <t>19.45% ± 3.45%</t>
        </is>
      </c>
      <c r="I91" s="15" t="n">
        <v>19.45</v>
      </c>
      <c r="J91" s="15" t="n">
        <v>3.45</v>
      </c>
      <c r="K91" s="14" t="inlineStr">
        <is>
          <t>≤ 1.0%</t>
        </is>
      </c>
      <c r="L91" s="14" t="inlineStr">
        <is>
          <t>—</t>
        </is>
      </c>
    </row>
    <row r="92">
      <c r="A92" s="12" t="inlineStr">
        <is>
          <t>PLB</t>
        </is>
      </c>
      <c r="B92" s="12" t="inlineStr">
        <is>
          <t>PLATINUM BLUE</t>
        </is>
      </c>
      <c r="C92" s="12" t="inlineStr">
        <is>
          <t>Grade IV</t>
        </is>
      </c>
      <c r="D92" s="12" t="inlineStr">
        <is>
          <t>QCSP 001_PLB-IV_v.01</t>
        </is>
      </c>
      <c r="E92" s="12" t="inlineStr">
        <is>
          <t>5.00 – 15.90%</t>
        </is>
      </c>
      <c r="F92" s="13" t="n">
        <v>5</v>
      </c>
      <c r="G92" s="13" t="n">
        <v>15.9</v>
      </c>
      <c r="H92" s="12" t="inlineStr">
        <is>
          <t>10.45% ± 5.45%</t>
        </is>
      </c>
      <c r="I92" s="13" t="n">
        <v>10.45</v>
      </c>
      <c r="J92" s="13" t="n">
        <v>5.45</v>
      </c>
      <c r="K92" s="12" t="inlineStr">
        <is>
          <t>≤ 1.0%</t>
        </is>
      </c>
      <c r="L92" s="12" t="inlineStr">
        <is>
          <t>—</t>
        </is>
      </c>
    </row>
    <row r="93">
      <c r="A93" s="14" t="inlineStr">
        <is>
          <t>PT</t>
        </is>
      </c>
      <c r="B93" s="14" t="inlineStr">
        <is>
          <t>PLUM TARTE</t>
        </is>
      </c>
      <c r="C93" s="14" t="inlineStr">
        <is>
          <t>Grade I</t>
        </is>
      </c>
      <c r="D93" s="14" t="inlineStr">
        <is>
          <t>QCSP 001_PT-I_v.01</t>
        </is>
      </c>
      <c r="E93" s="14" t="inlineStr">
        <is>
          <t>25.00 – 30.00%</t>
        </is>
      </c>
      <c r="F93" s="15" t="n">
        <v>25</v>
      </c>
      <c r="G93" s="15" t="n">
        <v>30</v>
      </c>
      <c r="H93" s="14" t="inlineStr">
        <is>
          <t>27.50% ± 2.50%</t>
        </is>
      </c>
      <c r="I93" s="15" t="n">
        <v>27.5</v>
      </c>
      <c r="J93" s="15" t="n">
        <v>2.5</v>
      </c>
      <c r="K93" s="14" t="inlineStr">
        <is>
          <t>≤ 1.0%</t>
        </is>
      </c>
      <c r="L93" s="14" t="inlineStr">
        <is>
          <t>Grapes and Cream</t>
        </is>
      </c>
    </row>
    <row r="94">
      <c r="A94" s="12" t="inlineStr">
        <is>
          <t>PT</t>
        </is>
      </c>
      <c r="B94" s="12" t="inlineStr">
        <is>
          <t>PLUM TARTE</t>
        </is>
      </c>
      <c r="C94" s="12" t="inlineStr">
        <is>
          <t>Grade II</t>
        </is>
      </c>
      <c r="D94" s="12" t="inlineStr">
        <is>
          <t>QCSP 001_PT-II_v.01</t>
        </is>
      </c>
      <c r="E94" s="12" t="inlineStr">
        <is>
          <t>20.00 – 25.00%</t>
        </is>
      </c>
      <c r="F94" s="13" t="n">
        <v>20</v>
      </c>
      <c r="G94" s="13" t="n">
        <v>25</v>
      </c>
      <c r="H94" s="12" t="inlineStr">
        <is>
          <t>22.50% ± 2.50%</t>
        </is>
      </c>
      <c r="I94" s="13" t="n">
        <v>22.5</v>
      </c>
      <c r="J94" s="13" t="n">
        <v>2.5</v>
      </c>
      <c r="K94" s="12" t="inlineStr">
        <is>
          <t>≤ 1.0%</t>
        </is>
      </c>
      <c r="L94" s="12" t="inlineStr">
        <is>
          <t>Grapes and Cream</t>
        </is>
      </c>
    </row>
    <row r="95">
      <c r="A95" s="14" t="inlineStr">
        <is>
          <t>PT</t>
        </is>
      </c>
      <c r="B95" s="14" t="inlineStr">
        <is>
          <t>PLUM TARTE</t>
        </is>
      </c>
      <c r="C95" s="14" t="inlineStr">
        <is>
          <t>Grade III</t>
        </is>
      </c>
      <c r="D95" s="14" t="inlineStr">
        <is>
          <t>QCSP 001_PT-III_v.01</t>
        </is>
      </c>
      <c r="E95" s="14" t="inlineStr">
        <is>
          <t>15.00 – 20.00%</t>
        </is>
      </c>
      <c r="F95" s="15" t="n">
        <v>15</v>
      </c>
      <c r="G95" s="15" t="n">
        <v>20</v>
      </c>
      <c r="H95" s="14" t="inlineStr">
        <is>
          <t>17.50% ± 2.50%</t>
        </is>
      </c>
      <c r="I95" s="15" t="n">
        <v>17.5</v>
      </c>
      <c r="J95" s="15" t="n">
        <v>2.5</v>
      </c>
      <c r="K95" s="14" t="inlineStr">
        <is>
          <t>≤ 1.0%</t>
        </is>
      </c>
      <c r="L95" s="14" t="inlineStr">
        <is>
          <t>Grapes and Cream</t>
        </is>
      </c>
    </row>
    <row r="96">
      <c r="A96" s="12" t="inlineStr">
        <is>
          <t>PT</t>
        </is>
      </c>
      <c r="B96" s="12" t="inlineStr">
        <is>
          <t>PLUM TARTE</t>
        </is>
      </c>
      <c r="C96" s="12" t="inlineStr">
        <is>
          <t>Grade IV</t>
        </is>
      </c>
      <c r="D96" s="12" t="inlineStr">
        <is>
          <t>QCSP 001_PT-IV_v.01</t>
        </is>
      </c>
      <c r="E96" s="12" t="inlineStr">
        <is>
          <t>10.00 – 15.00%</t>
        </is>
      </c>
      <c r="F96" s="13" t="n">
        <v>10</v>
      </c>
      <c r="G96" s="13" t="n">
        <v>15</v>
      </c>
      <c r="H96" s="12" t="inlineStr">
        <is>
          <t>12.50% ± 2.50%</t>
        </is>
      </c>
      <c r="I96" s="13" t="n">
        <v>12.5</v>
      </c>
      <c r="J96" s="13" t="n">
        <v>2.5</v>
      </c>
      <c r="K96" s="12" t="inlineStr">
        <is>
          <t>≤ 1.0%</t>
        </is>
      </c>
      <c r="L96" s="12" t="inlineStr">
        <is>
          <t>Grapes and Cream</t>
        </is>
      </c>
    </row>
    <row r="97">
      <c r="A97" s="14" t="inlineStr">
        <is>
          <t>RP</t>
        </is>
      </c>
      <c r="B97" s="14" t="inlineStr">
        <is>
          <t>RAINBOW PAVÉ</t>
        </is>
      </c>
      <c r="C97" s="14" t="inlineStr">
        <is>
          <t>Grade I</t>
        </is>
      </c>
      <c r="D97" s="14" t="inlineStr">
        <is>
          <t>QCSP 001_RP-I_v.01</t>
        </is>
      </c>
      <c r="E97" s="14" t="inlineStr">
        <is>
          <t>27.00 – 30.00%</t>
        </is>
      </c>
      <c r="F97" s="15" t="n">
        <v>27</v>
      </c>
      <c r="G97" s="15" t="n">
        <v>30</v>
      </c>
      <c r="H97" s="14" t="inlineStr">
        <is>
          <t>28.50% ± 1.50%</t>
        </is>
      </c>
      <c r="I97" s="15" t="n">
        <v>28.5</v>
      </c>
      <c r="J97" s="15" t="n">
        <v>1.5</v>
      </c>
      <c r="K97" s="14" t="inlineStr">
        <is>
          <t>≤ 1.0%</t>
        </is>
      </c>
      <c r="L97" s="14" t="inlineStr">
        <is>
          <t>—</t>
        </is>
      </c>
    </row>
    <row r="98">
      <c r="A98" s="12" t="inlineStr">
        <is>
          <t>RP</t>
        </is>
      </c>
      <c r="B98" s="12" t="inlineStr">
        <is>
          <t>RAINBOW PAVÉ</t>
        </is>
      </c>
      <c r="C98" s="12" t="inlineStr">
        <is>
          <t>Grade II</t>
        </is>
      </c>
      <c r="D98" s="12" t="inlineStr">
        <is>
          <t>QCSP 001_RP-II_v.01</t>
        </is>
      </c>
      <c r="E98" s="12" t="inlineStr">
        <is>
          <t>23.00 – 26.90%</t>
        </is>
      </c>
      <c r="F98" s="13" t="n">
        <v>23</v>
      </c>
      <c r="G98" s="13" t="n">
        <v>26.9</v>
      </c>
      <c r="H98" s="12" t="inlineStr">
        <is>
          <t>24.95% ± 1.95%</t>
        </is>
      </c>
      <c r="I98" s="13" t="n">
        <v>24.95</v>
      </c>
      <c r="J98" s="13" t="n">
        <v>1.95</v>
      </c>
      <c r="K98" s="12" t="inlineStr">
        <is>
          <t>≤ 1.0%</t>
        </is>
      </c>
      <c r="L98" s="12" t="inlineStr">
        <is>
          <t>—</t>
        </is>
      </c>
    </row>
    <row r="99">
      <c r="A99" s="14" t="inlineStr">
        <is>
          <t>RP</t>
        </is>
      </c>
      <c r="B99" s="14" t="inlineStr">
        <is>
          <t>RAINBOW PAVÉ</t>
        </is>
      </c>
      <c r="C99" s="14" t="inlineStr">
        <is>
          <t>Grade III</t>
        </is>
      </c>
      <c r="D99" s="14" t="inlineStr">
        <is>
          <t>QCSP 001_RP-III_v.01</t>
        </is>
      </c>
      <c r="E99" s="14" t="inlineStr">
        <is>
          <t>16.00 – 22.90%</t>
        </is>
      </c>
      <c r="F99" s="15" t="n">
        <v>16</v>
      </c>
      <c r="G99" s="15" t="n">
        <v>22.9</v>
      </c>
      <c r="H99" s="14" t="inlineStr">
        <is>
          <t>19.45% ± 3.45%</t>
        </is>
      </c>
      <c r="I99" s="15" t="n">
        <v>19.45</v>
      </c>
      <c r="J99" s="15" t="n">
        <v>3.45</v>
      </c>
      <c r="K99" s="14" t="inlineStr">
        <is>
          <t>≤ 1.0%</t>
        </is>
      </c>
      <c r="L99" s="14" t="inlineStr">
        <is>
          <t>—</t>
        </is>
      </c>
    </row>
    <row r="100">
      <c r="A100" s="12" t="inlineStr">
        <is>
          <t>RP</t>
        </is>
      </c>
      <c r="B100" s="12" t="inlineStr">
        <is>
          <t>RAINBOW PAVÉ</t>
        </is>
      </c>
      <c r="C100" s="12" t="inlineStr">
        <is>
          <t>Grade IV</t>
        </is>
      </c>
      <c r="D100" s="12" t="inlineStr">
        <is>
          <t>QCSP 001_RP-IV_v.01</t>
        </is>
      </c>
      <c r="E100" s="12" t="inlineStr">
        <is>
          <t>5.00 – 15.90%</t>
        </is>
      </c>
      <c r="F100" s="13" t="n">
        <v>5</v>
      </c>
      <c r="G100" s="13" t="n">
        <v>15.9</v>
      </c>
      <c r="H100" s="12" t="inlineStr">
        <is>
          <t>10.45% ± 5.45%</t>
        </is>
      </c>
      <c r="I100" s="13" t="n">
        <v>10.45</v>
      </c>
      <c r="J100" s="13" t="n">
        <v>5.45</v>
      </c>
      <c r="K100" s="12" t="inlineStr">
        <is>
          <t>≤ 1.0%</t>
        </is>
      </c>
      <c r="L100" s="12" t="inlineStr">
        <is>
          <t>—</t>
        </is>
      </c>
    </row>
    <row r="101">
      <c r="A101" s="14" t="inlineStr">
        <is>
          <t>RSB</t>
        </is>
      </c>
      <c r="B101" s="14" t="inlineStr">
        <is>
          <t>RAINBOW SHERBET</t>
        </is>
      </c>
      <c r="C101" s="14" t="inlineStr">
        <is>
          <t>Grade I</t>
        </is>
      </c>
      <c r="D101" s="14" t="inlineStr">
        <is>
          <t>QCSP 001_RSB-I_v.01</t>
        </is>
      </c>
      <c r="E101" s="14" t="inlineStr">
        <is>
          <t>25.25 – 30.00%</t>
        </is>
      </c>
      <c r="F101" s="15" t="n">
        <v>25.25</v>
      </c>
      <c r="G101" s="15" t="n">
        <v>30</v>
      </c>
      <c r="H101" s="14" t="inlineStr">
        <is>
          <t>27.50% ± 2.38%</t>
        </is>
      </c>
      <c r="I101" s="15" t="n">
        <v>27.5</v>
      </c>
      <c r="J101" s="15" t="n">
        <v>2.38</v>
      </c>
      <c r="K101" s="14" t="inlineStr">
        <is>
          <t>≤ 1.0%</t>
        </is>
      </c>
      <c r="L101" s="14" t="inlineStr">
        <is>
          <t>Scrambler</t>
        </is>
      </c>
    </row>
    <row r="102">
      <c r="A102" s="12" t="inlineStr">
        <is>
          <t>RSB</t>
        </is>
      </c>
      <c r="B102" s="12" t="inlineStr">
        <is>
          <t>RAINBOW SHERBET</t>
        </is>
      </c>
      <c r="C102" s="12" t="inlineStr">
        <is>
          <t>Grade II</t>
        </is>
      </c>
      <c r="D102" s="12" t="inlineStr">
        <is>
          <t>QCSP 001_RSB-II_v.01</t>
        </is>
      </c>
      <c r="E102" s="12" t="inlineStr">
        <is>
          <t>20.75 – 25.25%</t>
        </is>
      </c>
      <c r="F102" s="13" t="n">
        <v>20.75</v>
      </c>
      <c r="G102" s="13" t="n">
        <v>25.25</v>
      </c>
      <c r="H102" s="12" t="inlineStr">
        <is>
          <t>23.00% ± 2.25%</t>
        </is>
      </c>
      <c r="I102" s="13" t="n">
        <v>23</v>
      </c>
      <c r="J102" s="13" t="n">
        <v>2.25</v>
      </c>
      <c r="K102" s="12" t="inlineStr">
        <is>
          <t>≤ 1.0%</t>
        </is>
      </c>
      <c r="L102" s="12" t="inlineStr">
        <is>
          <t>Scrambler</t>
        </is>
      </c>
    </row>
    <row r="103">
      <c r="A103" s="14" t="inlineStr">
        <is>
          <t>RSB</t>
        </is>
      </c>
      <c r="B103" s="14" t="inlineStr">
        <is>
          <t>RAINBOW SHERBET</t>
        </is>
      </c>
      <c r="C103" s="14" t="inlineStr">
        <is>
          <t>Grade III</t>
        </is>
      </c>
      <c r="D103" s="14" t="inlineStr">
        <is>
          <t>QCSP 001_RSB-III_v.01</t>
        </is>
      </c>
      <c r="E103" s="14" t="inlineStr">
        <is>
          <t>16.13 – 20.75%</t>
        </is>
      </c>
      <c r="F103" s="15" t="n">
        <v>16.13</v>
      </c>
      <c r="G103" s="15" t="n">
        <v>20.75</v>
      </c>
      <c r="H103" s="14" t="inlineStr">
        <is>
          <t>18.50% ± 2.31%</t>
        </is>
      </c>
      <c r="I103" s="15" t="n">
        <v>18.5</v>
      </c>
      <c r="J103" s="15" t="n">
        <v>2.31</v>
      </c>
      <c r="K103" s="14" t="inlineStr">
        <is>
          <t>≤ 1.0%</t>
        </is>
      </c>
      <c r="L103" s="14" t="inlineStr">
        <is>
          <t>Scrambler</t>
        </is>
      </c>
    </row>
    <row r="104">
      <c r="A104" s="12" t="inlineStr">
        <is>
          <t>ST</t>
        </is>
      </c>
      <c r="B104" s="12" t="inlineStr">
        <is>
          <t>SHARK TANK</t>
        </is>
      </c>
      <c r="C104" s="12" t="inlineStr">
        <is>
          <t>Grade I</t>
        </is>
      </c>
      <c r="D104" s="12" t="inlineStr">
        <is>
          <t>QCSP 001_ST-I_v.01</t>
        </is>
      </c>
      <c r="E104" s="12" t="inlineStr">
        <is>
          <t>27.00 – 30.00%</t>
        </is>
      </c>
      <c r="F104" s="13" t="n">
        <v>27</v>
      </c>
      <c r="G104" s="13" t="n">
        <v>30</v>
      </c>
      <c r="H104" s="12" t="inlineStr">
        <is>
          <t>28.50% ± 1.50%</t>
        </is>
      </c>
      <c r="I104" s="13" t="n">
        <v>28.5</v>
      </c>
      <c r="J104" s="13" t="n">
        <v>1.5</v>
      </c>
      <c r="K104" s="12" t="inlineStr">
        <is>
          <t>≤ 1.0%</t>
        </is>
      </c>
      <c r="L104" s="12" t="inlineStr">
        <is>
          <t>Chem Flyer</t>
        </is>
      </c>
    </row>
    <row r="105">
      <c r="A105" s="14" t="inlineStr">
        <is>
          <t>ST</t>
        </is>
      </c>
      <c r="B105" s="14" t="inlineStr">
        <is>
          <t>SHARK TANK</t>
        </is>
      </c>
      <c r="C105" s="14" t="inlineStr">
        <is>
          <t>Grade II</t>
        </is>
      </c>
      <c r="D105" s="14" t="inlineStr">
        <is>
          <t>QCSP 001_ST-II_v.01</t>
        </is>
      </c>
      <c r="E105" s="14" t="inlineStr">
        <is>
          <t>23.00 – 26.90%</t>
        </is>
      </c>
      <c r="F105" s="15" t="n">
        <v>23</v>
      </c>
      <c r="G105" s="15" t="n">
        <v>26.9</v>
      </c>
      <c r="H105" s="14" t="inlineStr">
        <is>
          <t>24.95% ± 1.95%</t>
        </is>
      </c>
      <c r="I105" s="15" t="n">
        <v>24.95</v>
      </c>
      <c r="J105" s="15" t="n">
        <v>1.95</v>
      </c>
      <c r="K105" s="14" t="inlineStr">
        <is>
          <t>≤ 1.0%</t>
        </is>
      </c>
      <c r="L105" s="14" t="inlineStr">
        <is>
          <t>Chem Flyer</t>
        </is>
      </c>
    </row>
    <row r="106">
      <c r="A106" s="12" t="inlineStr">
        <is>
          <t>ST</t>
        </is>
      </c>
      <c r="B106" s="12" t="inlineStr">
        <is>
          <t>SHARK TANK</t>
        </is>
      </c>
      <c r="C106" s="12" t="inlineStr">
        <is>
          <t>Grade III</t>
        </is>
      </c>
      <c r="D106" s="12" t="inlineStr">
        <is>
          <t>QCSP 001_ST-III_v.01</t>
        </is>
      </c>
      <c r="E106" s="12" t="inlineStr">
        <is>
          <t>16.00 – 22.90%</t>
        </is>
      </c>
      <c r="F106" s="13" t="n">
        <v>16</v>
      </c>
      <c r="G106" s="13" t="n">
        <v>22.9</v>
      </c>
      <c r="H106" s="12" t="inlineStr">
        <is>
          <t>19.45% ± 3.45%</t>
        </is>
      </c>
      <c r="I106" s="13" t="n">
        <v>19.45</v>
      </c>
      <c r="J106" s="13" t="n">
        <v>3.45</v>
      </c>
      <c r="K106" s="12" t="inlineStr">
        <is>
          <t>≤ 1.0%</t>
        </is>
      </c>
      <c r="L106" s="12" t="inlineStr">
        <is>
          <t>Chem Flyer</t>
        </is>
      </c>
    </row>
    <row r="107">
      <c r="A107" s="14" t="inlineStr">
        <is>
          <t>ST</t>
        </is>
      </c>
      <c r="B107" s="14" t="inlineStr">
        <is>
          <t>SHARK TANK</t>
        </is>
      </c>
      <c r="C107" s="14" t="inlineStr">
        <is>
          <t>Grade IV</t>
        </is>
      </c>
      <c r="D107" s="14" t="inlineStr">
        <is>
          <t>QCSP 001_ST-IV_v.01</t>
        </is>
      </c>
      <c r="E107" s="14" t="inlineStr">
        <is>
          <t>5.00 – 15.90%</t>
        </is>
      </c>
      <c r="F107" s="15" t="n">
        <v>5</v>
      </c>
      <c r="G107" s="15" t="n">
        <v>15.9</v>
      </c>
      <c r="H107" s="14" t="inlineStr">
        <is>
          <t>10.45% ± 5.45%</t>
        </is>
      </c>
      <c r="I107" s="15" t="n">
        <v>10.45</v>
      </c>
      <c r="J107" s="15" t="n">
        <v>5.45</v>
      </c>
      <c r="K107" s="14" t="inlineStr">
        <is>
          <t>≤ 1.0%</t>
        </is>
      </c>
      <c r="L107" s="14" t="inlineStr">
        <is>
          <t>Chem Flyer</t>
        </is>
      </c>
    </row>
    <row r="108">
      <c r="A108" s="12" t="inlineStr">
        <is>
          <t>SCB</t>
        </is>
      </c>
      <c r="B108" s="12" t="inlineStr">
        <is>
          <t>SOFT CITRUS BLOOM</t>
        </is>
      </c>
      <c r="C108" s="12" t="inlineStr">
        <is>
          <t>Grade I</t>
        </is>
      </c>
      <c r="D108" s="12" t="inlineStr">
        <is>
          <t>QCSP 001_SCB-I_v.01</t>
        </is>
      </c>
      <c r="E108" s="12" t="inlineStr">
        <is>
          <t>25.00 – 30.00%</t>
        </is>
      </c>
      <c r="F108" s="13" t="n">
        <v>25</v>
      </c>
      <c r="G108" s="13" t="n">
        <v>30</v>
      </c>
      <c r="H108" s="12" t="inlineStr">
        <is>
          <t>28.00% ± 2.50%</t>
        </is>
      </c>
      <c r="I108" s="13" t="n">
        <v>28</v>
      </c>
      <c r="J108" s="13" t="n">
        <v>2.5</v>
      </c>
      <c r="K108" s="12" t="inlineStr">
        <is>
          <t>≤ 1.0%</t>
        </is>
      </c>
      <c r="L108" s="12" t="inlineStr">
        <is>
          <t>Orange Punch Mimosa</t>
        </is>
      </c>
    </row>
    <row r="109">
      <c r="A109" s="14" t="inlineStr">
        <is>
          <t>SCB</t>
        </is>
      </c>
      <c r="B109" s="14" t="inlineStr">
        <is>
          <t>SOFT CITRUS BLOOM</t>
        </is>
      </c>
      <c r="C109" s="14" t="inlineStr">
        <is>
          <t>Grade II</t>
        </is>
      </c>
      <c r="D109" s="14" t="inlineStr">
        <is>
          <t>QCSP 001_SCB-II_v.01</t>
        </is>
      </c>
      <c r="E109" s="14" t="inlineStr">
        <is>
          <t>19.00 – 25.00%</t>
        </is>
      </c>
      <c r="F109" s="15" t="n">
        <v>19</v>
      </c>
      <c r="G109" s="15" t="n">
        <v>25</v>
      </c>
      <c r="H109" s="14" t="inlineStr">
        <is>
          <t>22.00% ± 3.00%</t>
        </is>
      </c>
      <c r="I109" s="15" t="n">
        <v>22</v>
      </c>
      <c r="J109" s="15" t="n">
        <v>3</v>
      </c>
      <c r="K109" s="14" t="inlineStr">
        <is>
          <t>≤ 1.0%</t>
        </is>
      </c>
      <c r="L109" s="14" t="inlineStr">
        <is>
          <t>Orange Punch Mimosa</t>
        </is>
      </c>
    </row>
    <row r="110">
      <c r="A110" s="12" t="inlineStr">
        <is>
          <t>SCB</t>
        </is>
      </c>
      <c r="B110" s="12" t="inlineStr">
        <is>
          <t>SOFT CITRUS BLOOM</t>
        </is>
      </c>
      <c r="C110" s="12" t="inlineStr">
        <is>
          <t>Grade III</t>
        </is>
      </c>
      <c r="D110" s="12" t="inlineStr">
        <is>
          <t>QCSP 001_SCB-III_v.01</t>
        </is>
      </c>
      <c r="E110" s="12" t="inlineStr">
        <is>
          <t>13.00 – 19.00%</t>
        </is>
      </c>
      <c r="F110" s="13" t="n">
        <v>13</v>
      </c>
      <c r="G110" s="13" t="n">
        <v>19</v>
      </c>
      <c r="H110" s="12" t="inlineStr">
        <is>
          <t>16.00% ± 3.00%</t>
        </is>
      </c>
      <c r="I110" s="13" t="n">
        <v>16</v>
      </c>
      <c r="J110" s="13" t="n">
        <v>3</v>
      </c>
      <c r="K110" s="12" t="inlineStr">
        <is>
          <t>≤ 1.0%</t>
        </is>
      </c>
      <c r="L110" s="12" t="inlineStr">
        <is>
          <t>Orange Punch Mimosa</t>
        </is>
      </c>
    </row>
    <row r="111">
      <c r="A111" s="14" t="inlineStr">
        <is>
          <t>SCB</t>
        </is>
      </c>
      <c r="B111" s="14" t="inlineStr">
        <is>
          <t>SOFT CITRUS BLOOM</t>
        </is>
      </c>
      <c r="C111" s="14" t="inlineStr">
        <is>
          <t>Grade IV</t>
        </is>
      </c>
      <c r="D111" s="14" t="inlineStr">
        <is>
          <t>QCSP 001_SCB-IV_v.01</t>
        </is>
      </c>
      <c r="E111" s="14" t="inlineStr">
        <is>
          <t>7.09 – 13.00%</t>
        </is>
      </c>
      <c r="F111" s="15" t="n">
        <v>7.09</v>
      </c>
      <c r="G111" s="15" t="n">
        <v>13</v>
      </c>
      <c r="H111" s="14" t="inlineStr">
        <is>
          <t>10.00% ± 2.96%</t>
        </is>
      </c>
      <c r="I111" s="15" t="n">
        <v>10</v>
      </c>
      <c r="J111" s="15" t="n">
        <v>2.96</v>
      </c>
      <c r="K111" s="14" t="inlineStr">
        <is>
          <t>≤ 1.0%</t>
        </is>
      </c>
      <c r="L111" s="14" t="inlineStr">
        <is>
          <t>Orange Punch Mimosa</t>
        </is>
      </c>
    </row>
    <row r="112">
      <c r="A112" s="12" t="inlineStr">
        <is>
          <t>STC</t>
        </is>
      </c>
      <c r="B112" s="12" t="inlineStr">
        <is>
          <t>STRAWBERRY CUPCAKES</t>
        </is>
      </c>
      <c r="C112" s="12" t="inlineStr">
        <is>
          <t>Grade I</t>
        </is>
      </c>
      <c r="D112" s="12" t="inlineStr">
        <is>
          <t>QCSP 001_STC-I_v.01</t>
        </is>
      </c>
      <c r="E112" s="12" t="inlineStr">
        <is>
          <t>26.00 – 30.00%</t>
        </is>
      </c>
      <c r="F112" s="13" t="n">
        <v>26</v>
      </c>
      <c r="G112" s="13" t="n">
        <v>30</v>
      </c>
      <c r="H112" s="12" t="inlineStr">
        <is>
          <t>28.00% ± 2.00%</t>
        </is>
      </c>
      <c r="I112" s="13" t="n">
        <v>28</v>
      </c>
      <c r="J112" s="13" t="n">
        <v>2</v>
      </c>
      <c r="K112" s="12" t="inlineStr">
        <is>
          <t>≤ 1.0%</t>
        </is>
      </c>
      <c r="L112" s="12" t="inlineStr">
        <is>
          <t>Jelly Donuts</t>
        </is>
      </c>
    </row>
    <row r="113">
      <c r="A113" s="14" t="inlineStr">
        <is>
          <t>STC</t>
        </is>
      </c>
      <c r="B113" s="14" t="inlineStr">
        <is>
          <t>STRAWBERRY CUPCAKES</t>
        </is>
      </c>
      <c r="C113" s="14" t="inlineStr">
        <is>
          <t>Grade II</t>
        </is>
      </c>
      <c r="D113" s="14" t="inlineStr">
        <is>
          <t>QCSP 001_STC-II_v.01</t>
        </is>
      </c>
      <c r="E113" s="14" t="inlineStr">
        <is>
          <t>22.00 – 26.00%</t>
        </is>
      </c>
      <c r="F113" s="15" t="n">
        <v>22</v>
      </c>
      <c r="G113" s="15" t="n">
        <v>26</v>
      </c>
      <c r="H113" s="14" t="inlineStr">
        <is>
          <t>24.00% ± 2.00%</t>
        </is>
      </c>
      <c r="I113" s="15" t="n">
        <v>24</v>
      </c>
      <c r="J113" s="15" t="n">
        <v>2</v>
      </c>
      <c r="K113" s="14" t="inlineStr">
        <is>
          <t>≤ 1.0%</t>
        </is>
      </c>
      <c r="L113" s="14" t="inlineStr">
        <is>
          <t>Jelly Donuts</t>
        </is>
      </c>
    </row>
    <row r="114">
      <c r="A114" s="12" t="inlineStr">
        <is>
          <t>STC</t>
        </is>
      </c>
      <c r="B114" s="12" t="inlineStr">
        <is>
          <t>STRAWBERRY CUPCAKES</t>
        </is>
      </c>
      <c r="C114" s="12" t="inlineStr">
        <is>
          <t>Grade III</t>
        </is>
      </c>
      <c r="D114" s="12" t="inlineStr">
        <is>
          <t>QCSP 001_STC-III_v.01</t>
        </is>
      </c>
      <c r="E114" s="12" t="inlineStr">
        <is>
          <t>18.00 – 22.00%</t>
        </is>
      </c>
      <c r="F114" s="13" t="n">
        <v>18</v>
      </c>
      <c r="G114" s="13" t="n">
        <v>22</v>
      </c>
      <c r="H114" s="12" t="inlineStr">
        <is>
          <t>20.00% ± 2.00%</t>
        </is>
      </c>
      <c r="I114" s="13" t="n">
        <v>20</v>
      </c>
      <c r="J114" s="13" t="n">
        <v>2</v>
      </c>
      <c r="K114" s="12" t="inlineStr">
        <is>
          <t>≤ 1.0%</t>
        </is>
      </c>
      <c r="L114" s="12" t="inlineStr">
        <is>
          <t>Jelly Donuts</t>
        </is>
      </c>
    </row>
    <row r="115">
      <c r="A115" s="14" t="inlineStr">
        <is>
          <t>STC</t>
        </is>
      </c>
      <c r="B115" s="14" t="inlineStr">
        <is>
          <t>STRAWBERRY CUPCAKES</t>
        </is>
      </c>
      <c r="C115" s="14" t="inlineStr">
        <is>
          <t>Grade IV</t>
        </is>
      </c>
      <c r="D115" s="14" t="inlineStr">
        <is>
          <t>QCSP 001_STC-IV_v.01</t>
        </is>
      </c>
      <c r="E115" s="14" t="inlineStr">
        <is>
          <t>12.50 – 18.00%</t>
        </is>
      </c>
      <c r="F115" s="15" t="n">
        <v>12.5</v>
      </c>
      <c r="G115" s="15" t="n">
        <v>18</v>
      </c>
      <c r="H115" s="14" t="inlineStr">
        <is>
          <t>15.00% ± 2.75%</t>
        </is>
      </c>
      <c r="I115" s="15" t="n">
        <v>15</v>
      </c>
      <c r="J115" s="15" t="n">
        <v>2.75</v>
      </c>
      <c r="K115" s="14" t="inlineStr">
        <is>
          <t>≤ 1.0%</t>
        </is>
      </c>
      <c r="L115" s="14" t="inlineStr">
        <is>
          <t>Jelly Donuts</t>
        </is>
      </c>
    </row>
    <row r="116">
      <c r="A116" s="12" t="inlineStr">
        <is>
          <t>SUN</t>
        </is>
      </c>
      <c r="B116" s="12" t="inlineStr">
        <is>
          <t>SUNSET SHERBET</t>
        </is>
      </c>
      <c r="C116" s="12" t="inlineStr">
        <is>
          <t>Grade I</t>
        </is>
      </c>
      <c r="D116" s="12" t="inlineStr">
        <is>
          <t>QCSP 001_SUN-I_v.01</t>
        </is>
      </c>
      <c r="E116" s="12" t="inlineStr">
        <is>
          <t>24.75 – 30.00%</t>
        </is>
      </c>
      <c r="F116" s="13" t="n">
        <v>24.75</v>
      </c>
      <c r="G116" s="13" t="n">
        <v>30</v>
      </c>
      <c r="H116" s="12" t="inlineStr">
        <is>
          <t>27.50% ± 2.63%</t>
        </is>
      </c>
      <c r="I116" s="13" t="n">
        <v>27.5</v>
      </c>
      <c r="J116" s="13" t="n">
        <v>2.63</v>
      </c>
      <c r="K116" s="12" t="inlineStr">
        <is>
          <t>≤ 1.0%</t>
        </is>
      </c>
      <c r="L116" s="12" t="inlineStr">
        <is>
          <t>Blue Sunset Sherbet</t>
        </is>
      </c>
    </row>
    <row r="117">
      <c r="A117" s="14" t="inlineStr">
        <is>
          <t>SUN</t>
        </is>
      </c>
      <c r="B117" s="14" t="inlineStr">
        <is>
          <t>SUNSET SHERBET</t>
        </is>
      </c>
      <c r="C117" s="14" t="inlineStr">
        <is>
          <t>Grade II</t>
        </is>
      </c>
      <c r="D117" s="14" t="inlineStr">
        <is>
          <t>QCSP 001_SUN-II_v.01</t>
        </is>
      </c>
      <c r="E117" s="14" t="inlineStr">
        <is>
          <t>19.39 – 24.75%</t>
        </is>
      </c>
      <c r="F117" s="15" t="n">
        <v>19.39</v>
      </c>
      <c r="G117" s="15" t="n">
        <v>24.75</v>
      </c>
      <c r="H117" s="14" t="inlineStr">
        <is>
          <t>22.00% ± 2.68%</t>
        </is>
      </c>
      <c r="I117" s="15" t="n">
        <v>22</v>
      </c>
      <c r="J117" s="15" t="n">
        <v>2.68</v>
      </c>
      <c r="K117" s="14" t="inlineStr">
        <is>
          <t>≤ 1.0%</t>
        </is>
      </c>
      <c r="L117" s="14" t="inlineStr">
        <is>
          <t>Blue Sunset Sherbet</t>
        </is>
      </c>
    </row>
    <row r="118">
      <c r="A118" s="12" t="inlineStr">
        <is>
          <t>TQ</t>
        </is>
      </c>
      <c r="B118" s="12" t="inlineStr">
        <is>
          <t>TANGIE QUEEN</t>
        </is>
      </c>
      <c r="C118" s="12" t="inlineStr">
        <is>
          <t>Grade I</t>
        </is>
      </c>
      <c r="D118" s="12" t="inlineStr">
        <is>
          <t>QCSP 001_TQ-I_v.01</t>
        </is>
      </c>
      <c r="E118" s="12" t="inlineStr">
        <is>
          <t>25.00 – 30.00%</t>
        </is>
      </c>
      <c r="F118" s="13" t="n">
        <v>25</v>
      </c>
      <c r="G118" s="13" t="n">
        <v>30</v>
      </c>
      <c r="H118" s="12" t="inlineStr">
        <is>
          <t>28.00% ± 2.50%</t>
        </is>
      </c>
      <c r="I118" s="13" t="n">
        <v>28</v>
      </c>
      <c r="J118" s="13" t="n">
        <v>2.5</v>
      </c>
      <c r="K118" s="12" t="inlineStr">
        <is>
          <t>≤ 1.0%</t>
        </is>
      </c>
      <c r="L118" s="12" t="inlineStr">
        <is>
          <t>Orange Punch Mimosa</t>
        </is>
      </c>
    </row>
    <row r="119">
      <c r="A119" s="14" t="inlineStr">
        <is>
          <t>TQ</t>
        </is>
      </c>
      <c r="B119" s="14" t="inlineStr">
        <is>
          <t>TANGIE QUEEN</t>
        </is>
      </c>
      <c r="C119" s="14" t="inlineStr">
        <is>
          <t>Grade II</t>
        </is>
      </c>
      <c r="D119" s="14" t="inlineStr">
        <is>
          <t>QCSP 001_TQ-II_v.01</t>
        </is>
      </c>
      <c r="E119" s="14" t="inlineStr">
        <is>
          <t>19.00 – 25.00%</t>
        </is>
      </c>
      <c r="F119" s="15" t="n">
        <v>19</v>
      </c>
      <c r="G119" s="15" t="n">
        <v>25</v>
      </c>
      <c r="H119" s="14" t="inlineStr">
        <is>
          <t>22.00% ± 3.00%</t>
        </is>
      </c>
      <c r="I119" s="15" t="n">
        <v>22</v>
      </c>
      <c r="J119" s="15" t="n">
        <v>3</v>
      </c>
      <c r="K119" s="14" t="inlineStr">
        <is>
          <t>≤ 1.0%</t>
        </is>
      </c>
      <c r="L119" s="14" t="inlineStr">
        <is>
          <t>Orange Punch Mimosa</t>
        </is>
      </c>
    </row>
    <row r="120">
      <c r="A120" s="12" t="inlineStr">
        <is>
          <t>TQ</t>
        </is>
      </c>
      <c r="B120" s="12" t="inlineStr">
        <is>
          <t>TANGIE QUEEN</t>
        </is>
      </c>
      <c r="C120" s="12" t="inlineStr">
        <is>
          <t>Grade III</t>
        </is>
      </c>
      <c r="D120" s="12" t="inlineStr">
        <is>
          <t>QCSP 001_TQ-III_v.01</t>
        </is>
      </c>
      <c r="E120" s="12" t="inlineStr">
        <is>
          <t>13.00 – 19.00%</t>
        </is>
      </c>
      <c r="F120" s="13" t="n">
        <v>13</v>
      </c>
      <c r="G120" s="13" t="n">
        <v>19</v>
      </c>
      <c r="H120" s="12" t="inlineStr">
        <is>
          <t>16.00% ± 3.00%</t>
        </is>
      </c>
      <c r="I120" s="13" t="n">
        <v>16</v>
      </c>
      <c r="J120" s="13" t="n">
        <v>3</v>
      </c>
      <c r="K120" s="12" t="inlineStr">
        <is>
          <t>≤ 1.0%</t>
        </is>
      </c>
      <c r="L120" s="12" t="inlineStr">
        <is>
          <t>Orange Punch Mimosa</t>
        </is>
      </c>
    </row>
    <row r="121">
      <c r="A121" s="14" t="inlineStr">
        <is>
          <t>TQ</t>
        </is>
      </c>
      <c r="B121" s="14" t="inlineStr">
        <is>
          <t>TANGIE QUEEN</t>
        </is>
      </c>
      <c r="C121" s="14" t="inlineStr">
        <is>
          <t>Grade IV</t>
        </is>
      </c>
      <c r="D121" s="14" t="inlineStr">
        <is>
          <t>QCSP 001_TQ-IV_v.01</t>
        </is>
      </c>
      <c r="E121" s="14" t="inlineStr">
        <is>
          <t>7.09 – 13.00%</t>
        </is>
      </c>
      <c r="F121" s="15" t="n">
        <v>7.09</v>
      </c>
      <c r="G121" s="15" t="n">
        <v>13</v>
      </c>
      <c r="H121" s="14" t="inlineStr">
        <is>
          <t>10.00% ± 2.96%</t>
        </is>
      </c>
      <c r="I121" s="15" t="n">
        <v>10</v>
      </c>
      <c r="J121" s="15" t="n">
        <v>2.96</v>
      </c>
      <c r="K121" s="14" t="inlineStr">
        <is>
          <t>≤ 1.0%</t>
        </is>
      </c>
      <c r="L121" s="14" t="inlineStr">
        <is>
          <t>Orange Punch Mimosa</t>
        </is>
      </c>
    </row>
    <row r="122">
      <c r="A122" s="12" t="inlineStr">
        <is>
          <t>TC</t>
        </is>
      </c>
      <c r="B122" s="12" t="inlineStr">
        <is>
          <t>TROPIC CAKE</t>
        </is>
      </c>
      <c r="C122" s="12" t="inlineStr">
        <is>
          <t>Grade I</t>
        </is>
      </c>
      <c r="D122" s="12" t="inlineStr">
        <is>
          <t>QCSP 001_TC-I_v.01</t>
        </is>
      </c>
      <c r="E122" s="12" t="inlineStr">
        <is>
          <t>27.00 – 30.00%</t>
        </is>
      </c>
      <c r="F122" s="13" t="n">
        <v>27</v>
      </c>
      <c r="G122" s="13" t="n">
        <v>30</v>
      </c>
      <c r="H122" s="12" t="inlineStr">
        <is>
          <t>28.50% ± 1.50%</t>
        </is>
      </c>
      <c r="I122" s="13" t="n">
        <v>28.5</v>
      </c>
      <c r="J122" s="13" t="n">
        <v>1.5</v>
      </c>
      <c r="K122" s="12" t="inlineStr">
        <is>
          <t>≤ 1.0%</t>
        </is>
      </c>
      <c r="L122" s="12" t="inlineStr">
        <is>
          <t>Wedding Cake</t>
        </is>
      </c>
    </row>
    <row r="123">
      <c r="A123" s="14" t="inlineStr">
        <is>
          <t>TC</t>
        </is>
      </c>
      <c r="B123" s="14" t="inlineStr">
        <is>
          <t>TROPIC CAKE</t>
        </is>
      </c>
      <c r="C123" s="14" t="inlineStr">
        <is>
          <t>Grade II</t>
        </is>
      </c>
      <c r="D123" s="14" t="inlineStr">
        <is>
          <t>QCSP 001_TC-II_v.01</t>
        </is>
      </c>
      <c r="E123" s="14" t="inlineStr">
        <is>
          <t>23.00 – 26.90%</t>
        </is>
      </c>
      <c r="F123" s="15" t="n">
        <v>23</v>
      </c>
      <c r="G123" s="15" t="n">
        <v>26.9</v>
      </c>
      <c r="H123" s="14" t="inlineStr">
        <is>
          <t>24.95% ± 1.95%</t>
        </is>
      </c>
      <c r="I123" s="15" t="n">
        <v>24.95</v>
      </c>
      <c r="J123" s="15" t="n">
        <v>1.95</v>
      </c>
      <c r="K123" s="14" t="inlineStr">
        <is>
          <t>≤ 1.0%</t>
        </is>
      </c>
      <c r="L123" s="14" t="inlineStr">
        <is>
          <t>Wedding Cake</t>
        </is>
      </c>
    </row>
    <row r="124">
      <c r="A124" s="12" t="inlineStr">
        <is>
          <t>TC</t>
        </is>
      </c>
      <c r="B124" s="12" t="inlineStr">
        <is>
          <t>TROPIC CAKE</t>
        </is>
      </c>
      <c r="C124" s="12" t="inlineStr">
        <is>
          <t>Grade III</t>
        </is>
      </c>
      <c r="D124" s="12" t="inlineStr">
        <is>
          <t>QCSP 001_TC-III_v.01</t>
        </is>
      </c>
      <c r="E124" s="12" t="inlineStr">
        <is>
          <t>16.00 – 22.90%</t>
        </is>
      </c>
      <c r="F124" s="13" t="n">
        <v>16</v>
      </c>
      <c r="G124" s="13" t="n">
        <v>22.9</v>
      </c>
      <c r="H124" s="12" t="inlineStr">
        <is>
          <t>19.45% ± 3.45%</t>
        </is>
      </c>
      <c r="I124" s="13" t="n">
        <v>19.45</v>
      </c>
      <c r="J124" s="13" t="n">
        <v>3.45</v>
      </c>
      <c r="K124" s="12" t="inlineStr">
        <is>
          <t>≤ 1.0%</t>
        </is>
      </c>
      <c r="L124" s="12" t="inlineStr">
        <is>
          <t>Wedding Cake</t>
        </is>
      </c>
    </row>
    <row r="125">
      <c r="A125" s="14" t="inlineStr">
        <is>
          <t>TC</t>
        </is>
      </c>
      <c r="B125" s="14" t="inlineStr">
        <is>
          <t>TROPIC CAKE</t>
        </is>
      </c>
      <c r="C125" s="14" t="inlineStr">
        <is>
          <t>Grade IV</t>
        </is>
      </c>
      <c r="D125" s="14" t="inlineStr">
        <is>
          <t>QCSP 001_TC-IV_v.01</t>
        </is>
      </c>
      <c r="E125" s="14" t="inlineStr">
        <is>
          <t>5.00 – 15.90%</t>
        </is>
      </c>
      <c r="F125" s="15" t="n">
        <v>5</v>
      </c>
      <c r="G125" s="15" t="n">
        <v>15.9</v>
      </c>
      <c r="H125" s="14" t="inlineStr">
        <is>
          <t>10.45% ± 5.45%</t>
        </is>
      </c>
      <c r="I125" s="15" t="n">
        <v>10.45</v>
      </c>
      <c r="J125" s="15" t="n">
        <v>5.45</v>
      </c>
      <c r="K125" s="14" t="inlineStr">
        <is>
          <t>≤ 1.0%</t>
        </is>
      </c>
      <c r="L125" s="14" t="inlineStr">
        <is>
          <t>Wedding Cake</t>
        </is>
      </c>
    </row>
    <row r="126">
      <c r="A126" s="12" t="inlineStr">
        <is>
          <t>VG</t>
        </is>
      </c>
      <c r="B126" s="12" t="inlineStr">
        <is>
          <t>VANILLA GRAPES</t>
        </is>
      </c>
      <c r="C126" s="12" t="inlineStr">
        <is>
          <t>Grade I</t>
        </is>
      </c>
      <c r="D126" s="12" t="inlineStr">
        <is>
          <t>QCSP 001_VG-I_v.01</t>
        </is>
      </c>
      <c r="E126" s="12" t="inlineStr">
        <is>
          <t>26.00 – 30.00%</t>
        </is>
      </c>
      <c r="F126" s="13" t="n">
        <v>26</v>
      </c>
      <c r="G126" s="13" t="n">
        <v>30</v>
      </c>
      <c r="H126" s="12" t="inlineStr">
        <is>
          <t>28.00% ± 2.00%</t>
        </is>
      </c>
      <c r="I126" s="13" t="n">
        <v>28</v>
      </c>
      <c r="J126" s="13" t="n">
        <v>2</v>
      </c>
      <c r="K126" s="12" t="inlineStr">
        <is>
          <t>≤ 1.0%</t>
        </is>
      </c>
      <c r="L126" s="12" t="inlineStr">
        <is>
          <t>Grape Pie</t>
        </is>
      </c>
    </row>
    <row r="127">
      <c r="A127" s="14" t="inlineStr">
        <is>
          <t>VG</t>
        </is>
      </c>
      <c r="B127" s="14" t="inlineStr">
        <is>
          <t>VANILLA GRAPES</t>
        </is>
      </c>
      <c r="C127" s="14" t="inlineStr">
        <is>
          <t>Grade II</t>
        </is>
      </c>
      <c r="D127" s="14" t="inlineStr">
        <is>
          <t>QCSP 001_VG-II_v.01</t>
        </is>
      </c>
      <c r="E127" s="14" t="inlineStr">
        <is>
          <t>22.00 – 26.00%</t>
        </is>
      </c>
      <c r="F127" s="15" t="n">
        <v>22</v>
      </c>
      <c r="G127" s="15" t="n">
        <v>26</v>
      </c>
      <c r="H127" s="14" t="inlineStr">
        <is>
          <t>24.00% ± 2.00%</t>
        </is>
      </c>
      <c r="I127" s="15" t="n">
        <v>24</v>
      </c>
      <c r="J127" s="15" t="n">
        <v>2</v>
      </c>
      <c r="K127" s="14" t="inlineStr">
        <is>
          <t>≤ 1.0%</t>
        </is>
      </c>
      <c r="L127" s="14" t="inlineStr">
        <is>
          <t>Grape Pie</t>
        </is>
      </c>
    </row>
    <row r="128">
      <c r="A128" s="12" t="inlineStr">
        <is>
          <t>VG</t>
        </is>
      </c>
      <c r="B128" s="12" t="inlineStr">
        <is>
          <t>VANILLA GRAPES</t>
        </is>
      </c>
      <c r="C128" s="12" t="inlineStr">
        <is>
          <t>Grade III</t>
        </is>
      </c>
      <c r="D128" s="12" t="inlineStr">
        <is>
          <t>QCSP 001_VG-III_v.01</t>
        </is>
      </c>
      <c r="E128" s="12" t="inlineStr">
        <is>
          <t>18.00 – 22.00%</t>
        </is>
      </c>
      <c r="F128" s="13" t="n">
        <v>18</v>
      </c>
      <c r="G128" s="13" t="n">
        <v>22</v>
      </c>
      <c r="H128" s="12" t="inlineStr">
        <is>
          <t>20.00% ± 2.00%</t>
        </is>
      </c>
      <c r="I128" s="13" t="n">
        <v>20</v>
      </c>
      <c r="J128" s="13" t="n">
        <v>2</v>
      </c>
      <c r="K128" s="12" t="inlineStr">
        <is>
          <t>≤ 1.0%</t>
        </is>
      </c>
      <c r="L128" s="12" t="inlineStr">
        <is>
          <t>Grape Pie</t>
        </is>
      </c>
    </row>
    <row r="129">
      <c r="A129" s="14" t="inlineStr">
        <is>
          <t>VG</t>
        </is>
      </c>
      <c r="B129" s="14" t="inlineStr">
        <is>
          <t>VANILLA GRAPES</t>
        </is>
      </c>
      <c r="C129" s="14" t="inlineStr">
        <is>
          <t>Grade IV</t>
        </is>
      </c>
      <c r="D129" s="14" t="inlineStr">
        <is>
          <t>QCSP 001_VG-IV_v.01</t>
        </is>
      </c>
      <c r="E129" s="14" t="inlineStr">
        <is>
          <t>13.83 – 18.00%</t>
        </is>
      </c>
      <c r="F129" s="15" t="n">
        <v>13.83</v>
      </c>
      <c r="G129" s="15" t="n">
        <v>18</v>
      </c>
      <c r="H129" s="14" t="inlineStr">
        <is>
          <t>16.00% ± 2.08%</t>
        </is>
      </c>
      <c r="I129" s="15" t="n">
        <v>16</v>
      </c>
      <c r="J129" s="15" t="n">
        <v>2.08</v>
      </c>
      <c r="K129" s="14" t="inlineStr">
        <is>
          <t>≤ 1.0%</t>
        </is>
      </c>
      <c r="L129" s="14" t="inlineStr">
        <is>
          <t>Grape Pie</t>
        </is>
      </c>
    </row>
    <row r="130">
      <c r="A130" s="12" t="inlineStr">
        <is>
          <t>WCSS</t>
        </is>
      </c>
      <c r="B130" s="12" t="inlineStr">
        <is>
          <t>WEDDING CAKE X SUNSET SHERBET</t>
        </is>
      </c>
      <c r="C130" s="12" t="inlineStr">
        <is>
          <t>Grade I</t>
        </is>
      </c>
      <c r="D130" s="12" t="inlineStr">
        <is>
          <t>QCSP 001_WCSS-I_v.01</t>
        </is>
      </c>
      <c r="E130" s="12" t="inlineStr">
        <is>
          <t>27.00 – 30.00%</t>
        </is>
      </c>
      <c r="F130" s="13" t="n">
        <v>27</v>
      </c>
      <c r="G130" s="13" t="n">
        <v>30</v>
      </c>
      <c r="H130" s="12" t="inlineStr">
        <is>
          <t>28.50% ± 1.50%</t>
        </is>
      </c>
      <c r="I130" s="13" t="n">
        <v>28.5</v>
      </c>
      <c r="J130" s="13" t="n">
        <v>1.5</v>
      </c>
      <c r="K130" s="12" t="inlineStr">
        <is>
          <t>≤ 1.0%</t>
        </is>
      </c>
      <c r="L130" s="12" t="inlineStr">
        <is>
          <t>—</t>
        </is>
      </c>
    </row>
    <row r="131">
      <c r="A131" s="14" t="inlineStr">
        <is>
          <t>WCSS</t>
        </is>
      </c>
      <c r="B131" s="14" t="inlineStr">
        <is>
          <t>WEDDING CAKE X SUNSET SHERBET</t>
        </is>
      </c>
      <c r="C131" s="14" t="inlineStr">
        <is>
          <t>Grade II</t>
        </is>
      </c>
      <c r="D131" s="14" t="inlineStr">
        <is>
          <t>QCSP 001_WCSS-II_v.01</t>
        </is>
      </c>
      <c r="E131" s="14" t="inlineStr">
        <is>
          <t>23.00 – 26.90%</t>
        </is>
      </c>
      <c r="F131" s="15" t="n">
        <v>23</v>
      </c>
      <c r="G131" s="15" t="n">
        <v>26.9</v>
      </c>
      <c r="H131" s="14" t="inlineStr">
        <is>
          <t>24.95% ± 1.95%</t>
        </is>
      </c>
      <c r="I131" s="15" t="n">
        <v>24.95</v>
      </c>
      <c r="J131" s="15" t="n">
        <v>1.95</v>
      </c>
      <c r="K131" s="14" t="inlineStr">
        <is>
          <t>≤ 1.0%</t>
        </is>
      </c>
      <c r="L131" s="14" t="inlineStr">
        <is>
          <t>—</t>
        </is>
      </c>
    </row>
    <row r="132">
      <c r="A132" s="12" t="inlineStr">
        <is>
          <t>WCSS</t>
        </is>
      </c>
      <c r="B132" s="12" t="inlineStr">
        <is>
          <t>WEDDING CAKE X SUNSET SHERBET</t>
        </is>
      </c>
      <c r="C132" s="12" t="inlineStr">
        <is>
          <t>Grade III</t>
        </is>
      </c>
      <c r="D132" s="12" t="inlineStr">
        <is>
          <t>QCSP 001_WCSS-III_v.01</t>
        </is>
      </c>
      <c r="E132" s="12" t="inlineStr">
        <is>
          <t>16.00 – 22.90%</t>
        </is>
      </c>
      <c r="F132" s="13" t="n">
        <v>16</v>
      </c>
      <c r="G132" s="13" t="n">
        <v>22.9</v>
      </c>
      <c r="H132" s="12" t="inlineStr">
        <is>
          <t>19.45% ± 3.45%</t>
        </is>
      </c>
      <c r="I132" s="13" t="n">
        <v>19.45</v>
      </c>
      <c r="J132" s="13" t="n">
        <v>3.45</v>
      </c>
      <c r="K132" s="12" t="inlineStr">
        <is>
          <t>≤ 1.0%</t>
        </is>
      </c>
      <c r="L132" s="12" t="inlineStr">
        <is>
          <t>—</t>
        </is>
      </c>
    </row>
    <row r="133">
      <c r="A133" s="14" t="inlineStr">
        <is>
          <t>WCSS</t>
        </is>
      </c>
      <c r="B133" s="14" t="inlineStr">
        <is>
          <t>WEDDING CAKE X SUNSET SHERBET</t>
        </is>
      </c>
      <c r="C133" s="14" t="inlineStr">
        <is>
          <t>Grade IV</t>
        </is>
      </c>
      <c r="D133" s="14" t="inlineStr">
        <is>
          <t>QCSP 001_WCSS-IV_v.01</t>
        </is>
      </c>
      <c r="E133" s="14" t="inlineStr">
        <is>
          <t>5.00 – 15.90%</t>
        </is>
      </c>
      <c r="F133" s="15" t="n">
        <v>5</v>
      </c>
      <c r="G133" s="15" t="n">
        <v>15.9</v>
      </c>
      <c r="H133" s="14" t="inlineStr">
        <is>
          <t>10.45% ± 5.45%</t>
        </is>
      </c>
      <c r="I133" s="15" t="n">
        <v>10.45</v>
      </c>
      <c r="J133" s="15" t="n">
        <v>5.45</v>
      </c>
      <c r="K133" s="14" t="inlineStr">
        <is>
          <t>≤ 1.0%</t>
        </is>
      </c>
      <c r="L133" s="14" t="inlineStr">
        <is>
          <t>—</t>
        </is>
      </c>
    </row>
    <row r="134">
      <c r="A134" s="12" t="inlineStr">
        <is>
          <t>ZEC</t>
        </is>
      </c>
      <c r="B134" s="12" t="inlineStr">
        <is>
          <t>ZECLAIR</t>
        </is>
      </c>
      <c r="C134" s="12" t="inlineStr">
        <is>
          <t>Grade I</t>
        </is>
      </c>
      <c r="D134" s="12" t="inlineStr">
        <is>
          <t>QCSP 001_ZEC-I_v.01</t>
        </is>
      </c>
      <c r="E134" s="12" t="inlineStr">
        <is>
          <t>27.00 – 30.00%</t>
        </is>
      </c>
      <c r="F134" s="13" t="n">
        <v>27</v>
      </c>
      <c r="G134" s="13" t="n">
        <v>30</v>
      </c>
      <c r="H134" s="12" t="inlineStr">
        <is>
          <t>28.50% ± 1.50%</t>
        </is>
      </c>
      <c r="I134" s="13" t="n">
        <v>28.5</v>
      </c>
      <c r="J134" s="13" t="n">
        <v>1.5</v>
      </c>
      <c r="K134" s="12" t="inlineStr">
        <is>
          <t>≤ 1.0%</t>
        </is>
      </c>
      <c r="L134" s="12" t="inlineStr">
        <is>
          <t>—</t>
        </is>
      </c>
    </row>
    <row r="135">
      <c r="A135" s="14" t="inlineStr">
        <is>
          <t>ZEC</t>
        </is>
      </c>
      <c r="B135" s="14" t="inlineStr">
        <is>
          <t>ZECLAIR</t>
        </is>
      </c>
      <c r="C135" s="14" t="inlineStr">
        <is>
          <t>Grade II</t>
        </is>
      </c>
      <c r="D135" s="14" t="inlineStr">
        <is>
          <t>QCSP 001_ZEC-II_v.01</t>
        </is>
      </c>
      <c r="E135" s="14" t="inlineStr">
        <is>
          <t>23.00 – 26.90%</t>
        </is>
      </c>
      <c r="F135" s="15" t="n">
        <v>23</v>
      </c>
      <c r="G135" s="15" t="n">
        <v>26.9</v>
      </c>
      <c r="H135" s="14" t="inlineStr">
        <is>
          <t>24.95% ± 1.95%</t>
        </is>
      </c>
      <c r="I135" s="15" t="n">
        <v>24.95</v>
      </c>
      <c r="J135" s="15" t="n">
        <v>1.95</v>
      </c>
      <c r="K135" s="14" t="inlineStr">
        <is>
          <t>≤ 1.0%</t>
        </is>
      </c>
      <c r="L135" s="14" t="inlineStr">
        <is>
          <t>—</t>
        </is>
      </c>
    </row>
    <row r="136">
      <c r="A136" s="12" t="inlineStr">
        <is>
          <t>ZEC</t>
        </is>
      </c>
      <c r="B136" s="12" t="inlineStr">
        <is>
          <t>ZECLAIR</t>
        </is>
      </c>
      <c r="C136" s="12" t="inlineStr">
        <is>
          <t>Grade III</t>
        </is>
      </c>
      <c r="D136" s="12" t="inlineStr">
        <is>
          <t>QCSP 001_ZEC-III_v.01</t>
        </is>
      </c>
      <c r="E136" s="12" t="inlineStr">
        <is>
          <t>16.00 – 22.90%</t>
        </is>
      </c>
      <c r="F136" s="13" t="n">
        <v>16</v>
      </c>
      <c r="G136" s="13" t="n">
        <v>22.9</v>
      </c>
      <c r="H136" s="12" t="inlineStr">
        <is>
          <t>19.45% ± 3.45%</t>
        </is>
      </c>
      <c r="I136" s="13" t="n">
        <v>19.45</v>
      </c>
      <c r="J136" s="13" t="n">
        <v>3.45</v>
      </c>
      <c r="K136" s="12" t="inlineStr">
        <is>
          <t>≤ 1.0%</t>
        </is>
      </c>
      <c r="L136" s="12" t="inlineStr">
        <is>
          <t>—</t>
        </is>
      </c>
    </row>
    <row r="137">
      <c r="A137" s="14" t="inlineStr">
        <is>
          <t>ZEC</t>
        </is>
      </c>
      <c r="B137" s="14" t="inlineStr">
        <is>
          <t>ZECLAIR</t>
        </is>
      </c>
      <c r="C137" s="14" t="inlineStr">
        <is>
          <t>Grade IV</t>
        </is>
      </c>
      <c r="D137" s="14" t="inlineStr">
        <is>
          <t>QCSP 001_ZEC-IV_v.01</t>
        </is>
      </c>
      <c r="E137" s="14" t="inlineStr">
        <is>
          <t>5.00 – 15.90%</t>
        </is>
      </c>
      <c r="F137" s="15" t="n">
        <v>5</v>
      </c>
      <c r="G137" s="15" t="n">
        <v>15.9</v>
      </c>
      <c r="H137" s="14" t="inlineStr">
        <is>
          <t>10.45% ± 5.45%</t>
        </is>
      </c>
      <c r="I137" s="15" t="n">
        <v>10.45</v>
      </c>
      <c r="J137" s="15" t="n">
        <v>5.45</v>
      </c>
      <c r="K137" s="14" t="inlineStr">
        <is>
          <t>≤ 1.0%</t>
        </is>
      </c>
      <c r="L137" s="14" t="inlineStr">
        <is>
          <t>—</t>
        </is>
      </c>
    </row>
  </sheetData>
  <mergeCells count="3">
    <mergeCell ref="A3:L3"/>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showGridLines="0" workbookViewId="0">
      <pane ySplit="5" topLeftCell="A6" activePane="bottomLeft" state="frozen"/>
      <selection pane="bottomLeft" activeCell="A1" sqref="A1"/>
    </sheetView>
  </sheetViews>
  <sheetFormatPr baseColWidth="8" defaultRowHeight="15"/>
  <cols>
    <col width="8" customWidth="1" min="1" max="1"/>
    <col width="15" customWidth="1" min="2" max="2"/>
    <col width="20" customWidth="1" min="3" max="3"/>
    <col width="22" customWidth="1" min="4" max="4"/>
    <col width="13" customWidth="1" min="5" max="5"/>
    <col width="9" customWidth="1" min="6" max="6"/>
    <col width="22" customWidth="1" min="7" max="7"/>
    <col width="12" customWidth="1" min="8" max="8"/>
    <col width="12" customWidth="1" min="9" max="9"/>
  </cols>
  <sheetData>
    <row r="1" ht="26" customHeight="1">
      <c r="A1" s="8" t="inlineStr">
        <is>
          <t>Portfolio Master — преименувања по серија</t>
        </is>
      </c>
    </row>
    <row r="2">
      <c r="A2" s="9" t="inlineStr">
        <is>
          <t>Portfolio Master — Batch-Level Renames</t>
        </is>
      </c>
    </row>
    <row r="3" ht="32" customHeight="1">
      <c r="A3" s="10" t="inlineStr">
        <is>
          <t>78-те редови точно како во 01_Portfolio_Master (BCP_PRODUCT_MASTER_FINAL.xlsx). Колоната „Преименувана?“ е жива формула (старо ≠ ново).  |  The 78 rows exactly as in 01_Portfolio_Master (BCP_PRODUCT_MASTER_FINAL.xlsx). The "Renamed?" column is a live formula (old ≠ new).</t>
        </is>
      </c>
    </row>
    <row r="5" ht="30" customHeight="1">
      <c r="A5" s="11" t="inlineStr">
        <is>
          <t>Транша | Tranche</t>
        </is>
      </c>
      <c r="B5" s="11" t="inlineStr">
        <is>
          <t>Серија | Batch</t>
        </is>
      </c>
      <c r="C5" s="11" t="inlineStr">
        <is>
          <t>Оригинално име | Original Name</t>
        </is>
      </c>
      <c r="D5" s="11" t="inlineStr">
        <is>
          <t>Ново име | New Name</t>
        </is>
      </c>
      <c r="E5" s="11" t="inlineStr">
        <is>
          <t>Преименувана? | Renamed?</t>
        </is>
      </c>
      <c r="F5" s="11" t="inlineStr">
        <is>
          <t>Бренд | Brand</t>
        </is>
      </c>
      <c r="G5" s="11" t="inlineStr">
        <is>
          <t>Етикета | Label</t>
        </is>
      </c>
      <c r="H5" s="11" t="inlineStr">
        <is>
          <t>Декл. THC % | Declared THC %</t>
        </is>
      </c>
      <c r="I5" s="11" t="inlineStr">
        <is>
          <t>Стар опсег | Old Bracket</t>
        </is>
      </c>
    </row>
    <row r="6">
      <c r="A6" s="12" t="inlineStr">
        <is>
          <t>1</t>
        </is>
      </c>
      <c r="B6" s="12" t="inlineStr">
        <is>
          <t>BG1024</t>
        </is>
      </c>
      <c r="C6" s="12" t="inlineStr">
        <is>
          <t>Blue Gelato</t>
        </is>
      </c>
      <c r="D6" s="12" t="inlineStr">
        <is>
          <t>Blue Gelato</t>
        </is>
      </c>
      <c r="E6" s="12">
        <f>IF(C6&lt;&gt;D6,"Да | Yes","Не | No")</f>
        <v/>
      </c>
      <c r="F6" s="12" t="inlineStr">
        <is>
          <t>STEADY</t>
        </is>
      </c>
      <c r="G6" s="12" t="inlineStr">
        <is>
          <t>STEADY BG XY/1</t>
        </is>
      </c>
      <c r="H6" s="16" t="n">
        <v>0.218</v>
      </c>
      <c r="I6" s="12" t="inlineStr">
        <is>
          <t>19–22%</t>
        </is>
      </c>
    </row>
    <row r="7">
      <c r="A7" s="14" t="inlineStr">
        <is>
          <t>1</t>
        </is>
      </c>
      <c r="B7" s="14" t="inlineStr">
        <is>
          <t>BSS1024</t>
        </is>
      </c>
      <c r="C7" s="14" t="inlineStr">
        <is>
          <t>Blue Sunset Sherbet</t>
        </is>
      </c>
      <c r="D7" s="14" t="inlineStr">
        <is>
          <t>Sunset Sherbet</t>
        </is>
      </c>
      <c r="E7" s="14">
        <f>IF(C7&lt;&gt;D7,"Да | Yes","Не | No")</f>
        <v/>
      </c>
      <c r="F7" s="14" t="inlineStr">
        <is>
          <t>STEADY</t>
        </is>
      </c>
      <c r="G7" s="14" t="inlineStr">
        <is>
          <t>STEADY SUN XY/1</t>
        </is>
      </c>
      <c r="H7" s="17" t="n">
        <v>0.21</v>
      </c>
      <c r="I7" s="14" t="inlineStr">
        <is>
          <t>19–22%</t>
        </is>
      </c>
    </row>
    <row r="8">
      <c r="A8" s="12" t="inlineStr">
        <is>
          <t>1</t>
        </is>
      </c>
      <c r="B8" s="12" t="inlineStr">
        <is>
          <t>CC012601/1</t>
        </is>
      </c>
      <c r="C8" s="12" t="inlineStr">
        <is>
          <t>CashCow</t>
        </is>
      </c>
      <c r="D8" s="12" t="inlineStr">
        <is>
          <t>Payday</t>
        </is>
      </c>
      <c r="E8" s="12">
        <f>IF(C8&lt;&gt;D8,"Да | Yes","Не | No")</f>
        <v/>
      </c>
      <c r="F8" s="12" t="inlineStr">
        <is>
          <t>STEADY</t>
        </is>
      </c>
      <c r="G8" s="12" t="inlineStr">
        <is>
          <t>STEADY PDY XY/1</t>
        </is>
      </c>
      <c r="H8" s="16" t="n">
        <v>0.1563</v>
      </c>
      <c r="I8" s="12" t="inlineStr">
        <is>
          <t>13–16%</t>
        </is>
      </c>
    </row>
    <row r="9">
      <c r="A9" s="14" t="inlineStr">
        <is>
          <t>1</t>
        </is>
      </c>
      <c r="B9" s="14" t="inlineStr">
        <is>
          <t>CJ052501/01</t>
        </is>
      </c>
      <c r="C9" s="14" t="inlineStr">
        <is>
          <t>Cap Junkie</t>
        </is>
      </c>
      <c r="D9" s="14" t="inlineStr">
        <is>
          <t>Cookie Kush</t>
        </is>
      </c>
      <c r="E9" s="14">
        <f>IF(C9&lt;&gt;D9,"Да | Yes","Не | No")</f>
        <v/>
      </c>
      <c r="F9" s="14" t="inlineStr">
        <is>
          <t>CAYN</t>
        </is>
      </c>
      <c r="G9" s="14" t="inlineStr">
        <is>
          <t>CAYN CK XY/1</t>
        </is>
      </c>
      <c r="H9" s="17" t="n">
        <v>0.2029</v>
      </c>
      <c r="I9" s="14" t="inlineStr">
        <is>
          <t>19–22%</t>
        </is>
      </c>
    </row>
    <row r="10">
      <c r="A10" s="12" t="inlineStr">
        <is>
          <t>1</t>
        </is>
      </c>
      <c r="B10" s="12" t="inlineStr">
        <is>
          <t>CJ062501/2</t>
        </is>
      </c>
      <c r="C10" s="12" t="inlineStr">
        <is>
          <t>Cap Junkie</t>
        </is>
      </c>
      <c r="D10" s="12" t="inlineStr">
        <is>
          <t>OG Banana's</t>
        </is>
      </c>
      <c r="E10" s="12">
        <f>IF(C10&lt;&gt;D10,"Да | Yes","Не | No")</f>
        <v/>
      </c>
      <c r="F10" s="12" t="inlineStr">
        <is>
          <t>STEADY</t>
        </is>
      </c>
      <c r="G10" s="12" t="inlineStr">
        <is>
          <t>STEADY OGB XY/1</t>
        </is>
      </c>
      <c r="H10" s="16" t="n">
        <v>0.1656</v>
      </c>
      <c r="I10" s="12" t="inlineStr">
        <is>
          <t>16–19%</t>
        </is>
      </c>
    </row>
    <row r="11">
      <c r="A11" s="14" t="inlineStr">
        <is>
          <t>1</t>
        </is>
      </c>
      <c r="B11" s="14" t="inlineStr">
        <is>
          <t>CJ082501/2</t>
        </is>
      </c>
      <c r="C11" s="14" t="inlineStr">
        <is>
          <t>Cap Junkie</t>
        </is>
      </c>
      <c r="D11" s="14" t="inlineStr">
        <is>
          <t>Cookie Kush</t>
        </is>
      </c>
      <c r="E11" s="14">
        <f>IF(C11&lt;&gt;D11,"Да | Yes","Не | No")</f>
        <v/>
      </c>
      <c r="F11" s="14" t="inlineStr">
        <is>
          <t>CAYN</t>
        </is>
      </c>
      <c r="G11" s="14" t="inlineStr">
        <is>
          <t>CAYN CK XY/1</t>
        </is>
      </c>
      <c r="H11" s="17" t="n">
        <v>0.2084</v>
      </c>
      <c r="I11" s="14" t="inlineStr">
        <is>
          <t>19–22%</t>
        </is>
      </c>
    </row>
    <row r="12">
      <c r="A12" s="12" t="inlineStr">
        <is>
          <t>1</t>
        </is>
      </c>
      <c r="B12" s="12" t="inlineStr">
        <is>
          <t>FB012602</t>
        </is>
      </c>
      <c r="C12" s="12" t="inlineStr">
        <is>
          <t>Fat Bastard</t>
        </is>
      </c>
      <c r="D12" s="12" t="inlineStr">
        <is>
          <t>Fat Sofa</t>
        </is>
      </c>
      <c r="E12" s="12">
        <f>IF(C12&lt;&gt;D12,"Да | Yes","Не | No")</f>
        <v/>
      </c>
      <c r="F12" s="12" t="inlineStr">
        <is>
          <t>CAYN</t>
        </is>
      </c>
      <c r="G12" s="12" t="inlineStr">
        <is>
          <t>CAYN FS XY/1</t>
        </is>
      </c>
      <c r="H12" s="16" t="n">
        <v>0.1977</v>
      </c>
      <c r="I12" s="12" t="inlineStr">
        <is>
          <t>19–22%</t>
        </is>
      </c>
    </row>
    <row r="13">
      <c r="A13" s="14" t="inlineStr">
        <is>
          <t>1</t>
        </is>
      </c>
      <c r="B13" s="14" t="inlineStr">
        <is>
          <t>GG012603</t>
        </is>
      </c>
      <c r="C13" s="14" t="inlineStr">
        <is>
          <t>GG4</t>
        </is>
      </c>
      <c r="D13" s="14" t="inlineStr">
        <is>
          <t>GG4</t>
        </is>
      </c>
      <c r="E13" s="14">
        <f>IF(C13&lt;&gt;D13,"Да | Yes","Не | No")</f>
        <v/>
      </c>
      <c r="F13" s="14" t="inlineStr">
        <is>
          <t>STEADY</t>
        </is>
      </c>
      <c r="G13" s="14" t="inlineStr">
        <is>
          <t>STEADY GG4 XY/1</t>
        </is>
      </c>
      <c r="H13" s="17" t="n">
        <v>0.1559</v>
      </c>
      <c r="I13" s="14" t="inlineStr">
        <is>
          <t>13–16%</t>
        </is>
      </c>
    </row>
    <row r="14">
      <c r="A14" s="12" t="inlineStr">
        <is>
          <t>1</t>
        </is>
      </c>
      <c r="B14" s="12" t="inlineStr">
        <is>
          <t>GG1024_01</t>
        </is>
      </c>
      <c r="C14" s="12" t="inlineStr">
        <is>
          <t>Gorilla Glue</t>
        </is>
      </c>
      <c r="D14" s="12" t="inlineStr">
        <is>
          <t>Gorilla Gang</t>
        </is>
      </c>
      <c r="E14" s="12">
        <f>IF(C14&lt;&gt;D14,"Да | Yes","Не | No")</f>
        <v/>
      </c>
      <c r="F14" s="12" t="inlineStr">
        <is>
          <t>STEADY</t>
        </is>
      </c>
      <c r="G14" s="12" t="inlineStr">
        <is>
          <t>STEADY GG XY/1</t>
        </is>
      </c>
      <c r="H14" s="16" t="n">
        <v>0.17</v>
      </c>
      <c r="I14" s="12" t="inlineStr">
        <is>
          <t>16–19%</t>
        </is>
      </c>
    </row>
    <row r="15">
      <c r="A15" s="14" t="inlineStr">
        <is>
          <t>1</t>
        </is>
      </c>
      <c r="B15" s="14" t="inlineStr">
        <is>
          <t>GP052501</t>
        </is>
      </c>
      <c r="C15" s="14" t="inlineStr">
        <is>
          <t>Grape Pie</t>
        </is>
      </c>
      <c r="D15" s="14" t="inlineStr">
        <is>
          <t>Vanilla Grapes</t>
        </is>
      </c>
      <c r="E15" s="14">
        <f>IF(C15&lt;&gt;D15,"Да | Yes","Не | No")</f>
        <v/>
      </c>
      <c r="F15" s="14" t="inlineStr">
        <is>
          <t>CAYN</t>
        </is>
      </c>
      <c r="G15" s="14" t="inlineStr">
        <is>
          <t>CAYN VG XY/1</t>
        </is>
      </c>
      <c r="H15" s="17" t="n">
        <v>0.1898</v>
      </c>
      <c r="I15" s="14" t="inlineStr">
        <is>
          <t>16–19%</t>
        </is>
      </c>
    </row>
    <row r="16">
      <c r="A16" s="12" t="inlineStr">
        <is>
          <t>1</t>
        </is>
      </c>
      <c r="B16" s="12" t="inlineStr">
        <is>
          <t>GP0824_02</t>
        </is>
      </c>
      <c r="C16" s="12" t="inlineStr">
        <is>
          <t>Grape Pie</t>
        </is>
      </c>
      <c r="D16" s="12" t="inlineStr">
        <is>
          <t>Grape Pie</t>
        </is>
      </c>
      <c r="E16" s="12">
        <f>IF(C16&lt;&gt;D16,"Да | Yes","Не | No")</f>
        <v/>
      </c>
      <c r="F16" s="12" t="inlineStr">
        <is>
          <t>STEADY</t>
        </is>
      </c>
      <c r="G16" s="12" t="inlineStr">
        <is>
          <t>STEADY GP XY/1</t>
        </is>
      </c>
      <c r="H16" s="16" t="n">
        <v>0.2379</v>
      </c>
      <c r="I16" s="12" t="inlineStr">
        <is>
          <t>22–25%</t>
        </is>
      </c>
    </row>
    <row r="17">
      <c r="A17" s="14" t="inlineStr">
        <is>
          <t>1</t>
        </is>
      </c>
      <c r="B17" s="14" t="inlineStr">
        <is>
          <t>GP082501/2</t>
        </is>
      </c>
      <c r="C17" s="14" t="inlineStr">
        <is>
          <t>Grape Pie</t>
        </is>
      </c>
      <c r="D17" s="14" t="inlineStr">
        <is>
          <t>Vanilla Grapes</t>
        </is>
      </c>
      <c r="E17" s="14">
        <f>IF(C17&lt;&gt;D17,"Да | Yes","Не | No")</f>
        <v/>
      </c>
      <c r="F17" s="14" t="inlineStr">
        <is>
          <t>CAYN</t>
        </is>
      </c>
      <c r="G17" s="14" t="inlineStr">
        <is>
          <t>CAYN VG XY/1</t>
        </is>
      </c>
      <c r="H17" s="17" t="n">
        <v>0.1483</v>
      </c>
      <c r="I17" s="14" t="inlineStr">
        <is>
          <t>13–16%</t>
        </is>
      </c>
    </row>
    <row r="18">
      <c r="A18" s="12" t="inlineStr">
        <is>
          <t>1</t>
        </is>
      </c>
      <c r="B18" s="12" t="inlineStr">
        <is>
          <t>HPA1024</t>
        </is>
      </c>
      <c r="C18" s="12" t="inlineStr">
        <is>
          <t>High Pro Amnesia</t>
        </is>
      </c>
      <c r="D18" s="12" t="inlineStr">
        <is>
          <t>High Pro Amnesia</t>
        </is>
      </c>
      <c r="E18" s="12">
        <f>IF(C18&lt;&gt;D18,"Да | Yes","Не | No")</f>
        <v/>
      </c>
      <c r="F18" s="12" t="inlineStr">
        <is>
          <t>STEADY</t>
        </is>
      </c>
      <c r="G18" s="12" t="inlineStr">
        <is>
          <t>STEADY HPA XY/1</t>
        </is>
      </c>
      <c r="H18" s="16" t="n">
        <v>0.1497</v>
      </c>
      <c r="I18" s="12" t="inlineStr">
        <is>
          <t>13–16%</t>
        </is>
      </c>
    </row>
    <row r="19">
      <c r="A19" s="14" t="inlineStr">
        <is>
          <t>1</t>
        </is>
      </c>
      <c r="B19" s="14" t="inlineStr">
        <is>
          <t>HPA1024_01</t>
        </is>
      </c>
      <c r="C19" s="14" t="inlineStr">
        <is>
          <t>High Pro Amnesia</t>
        </is>
      </c>
      <c r="D19" s="14" t="inlineStr">
        <is>
          <t>Hazy Daze</t>
        </is>
      </c>
      <c r="E19" s="14">
        <f>IF(C19&lt;&gt;D19,"Да | Yes","Не | No")</f>
        <v/>
      </c>
      <c r="F19" s="14" t="inlineStr">
        <is>
          <t>CAYN</t>
        </is>
      </c>
      <c r="G19" s="14" t="inlineStr">
        <is>
          <t>CAYN HD XY/1</t>
        </is>
      </c>
      <c r="H19" s="17" t="n">
        <v>0.2243</v>
      </c>
      <c r="I19" s="14" t="inlineStr">
        <is>
          <t>22–25%</t>
        </is>
      </c>
    </row>
    <row r="20">
      <c r="A20" s="12" t="inlineStr">
        <is>
          <t>1</t>
        </is>
      </c>
      <c r="B20" s="12" t="inlineStr">
        <is>
          <t>J31102501</t>
        </is>
      </c>
      <c r="C20" s="12" t="inlineStr">
        <is>
          <t>Jokerz 31</t>
        </is>
      </c>
      <c r="D20" s="12" t="inlineStr">
        <is>
          <t>Jokerz 31</t>
        </is>
      </c>
      <c r="E20" s="12">
        <f>IF(C20&lt;&gt;D20,"Да | Yes","Не | No")</f>
        <v/>
      </c>
      <c r="F20" s="12" t="inlineStr">
        <is>
          <t>CAYN</t>
        </is>
      </c>
      <c r="G20" s="12" t="inlineStr">
        <is>
          <t>CAYN JOZ XY/1</t>
        </is>
      </c>
      <c r="H20" s="16" t="n">
        <v>0.1914</v>
      </c>
      <c r="I20" s="12" t="inlineStr">
        <is>
          <t>19–22%</t>
        </is>
      </c>
    </row>
    <row r="21">
      <c r="A21" s="14" t="inlineStr">
        <is>
          <t>1</t>
        </is>
      </c>
      <c r="B21" s="14" t="inlineStr">
        <is>
          <t>JD112501</t>
        </is>
      </c>
      <c r="C21" s="14" t="inlineStr">
        <is>
          <t>Jelly Donuts</t>
        </is>
      </c>
      <c r="D21" s="14" t="inlineStr">
        <is>
          <t>Jelly Donuts</t>
        </is>
      </c>
      <c r="E21" s="14">
        <f>IF(C21&lt;&gt;D21,"Да | Yes","Не | No")</f>
        <v/>
      </c>
      <c r="F21" s="14" t="inlineStr">
        <is>
          <t>CAYN</t>
        </is>
      </c>
      <c r="G21" s="14" t="inlineStr">
        <is>
          <t>CAYN JD XY/1</t>
        </is>
      </c>
      <c r="H21" s="17" t="n">
        <v>0.1964</v>
      </c>
      <c r="I21" s="14" t="inlineStr">
        <is>
          <t>19–22%</t>
        </is>
      </c>
    </row>
    <row r="22">
      <c r="A22" s="12" t="inlineStr">
        <is>
          <t>1</t>
        </is>
      </c>
      <c r="B22" s="12" t="inlineStr">
        <is>
          <t>OPM1024</t>
        </is>
      </c>
      <c r="C22" s="12" t="inlineStr">
        <is>
          <t>Orange Punch Mimosa</t>
        </is>
      </c>
      <c r="D22" s="12" t="inlineStr">
        <is>
          <t>Orange Dream</t>
        </is>
      </c>
      <c r="E22" s="12">
        <f>IF(C22&lt;&gt;D22,"Да | Yes","Не | No")</f>
        <v/>
      </c>
      <c r="F22" s="12" t="inlineStr">
        <is>
          <t>CAYN</t>
        </is>
      </c>
      <c r="G22" s="12" t="inlineStr">
        <is>
          <t>CAYN OD XY/1</t>
        </is>
      </c>
      <c r="H22" s="16" t="n">
        <v>0.1996</v>
      </c>
      <c r="I22" s="12" t="inlineStr">
        <is>
          <t>19–22%</t>
        </is>
      </c>
    </row>
    <row r="23">
      <c r="A23" s="14" t="inlineStr">
        <is>
          <t>1</t>
        </is>
      </c>
      <c r="B23" s="14" t="inlineStr">
        <is>
          <t>OPM1024_02</t>
        </is>
      </c>
      <c r="C23" s="14" t="inlineStr">
        <is>
          <t>Orange Punch Mimosa</t>
        </is>
      </c>
      <c r="D23" s="14" t="inlineStr">
        <is>
          <t>Tangie Queen</t>
        </is>
      </c>
      <c r="E23" s="14">
        <f>IF(C23&lt;&gt;D23,"Да | Yes","Не | No")</f>
        <v/>
      </c>
      <c r="F23" s="14" t="inlineStr">
        <is>
          <t>CAYN</t>
        </is>
      </c>
      <c r="G23" s="14" t="inlineStr">
        <is>
          <t>CAYN TQ XY/1</t>
        </is>
      </c>
      <c r="H23" s="17" t="n">
        <v>0.1827</v>
      </c>
      <c r="I23" s="14" t="inlineStr">
        <is>
          <t>16–19%</t>
        </is>
      </c>
    </row>
    <row r="24">
      <c r="A24" s="12" t="inlineStr">
        <is>
          <t>1</t>
        </is>
      </c>
      <c r="B24" s="12" t="inlineStr">
        <is>
          <t>OPM122501</t>
        </is>
      </c>
      <c r="C24" s="12" t="inlineStr">
        <is>
          <t>Orange Punch Mimosa</t>
        </is>
      </c>
      <c r="D24" s="12" t="inlineStr">
        <is>
          <t>Citrus Bloom</t>
        </is>
      </c>
      <c r="E24" s="12">
        <f>IF(C24&lt;&gt;D24,"Да | Yes","Не | No")</f>
        <v/>
      </c>
      <c r="F24" s="12" t="inlineStr">
        <is>
          <t>STEADY</t>
        </is>
      </c>
      <c r="G24" s="12" t="inlineStr">
        <is>
          <t>STEADY CB XY/1</t>
        </is>
      </c>
      <c r="H24" s="16" t="n">
        <v>0.11</v>
      </c>
      <c r="I24" s="12" t="inlineStr">
        <is>
          <t>10–13%</t>
        </is>
      </c>
    </row>
    <row r="25">
      <c r="A25" s="14" t="inlineStr">
        <is>
          <t>1</t>
        </is>
      </c>
      <c r="B25" s="14" t="inlineStr">
        <is>
          <t>PM092501</t>
        </is>
      </c>
      <c r="C25" s="14" t="inlineStr">
        <is>
          <t>Permanent Marker</t>
        </is>
      </c>
      <c r="D25" s="14" t="inlineStr">
        <is>
          <t>Formula 1</t>
        </is>
      </c>
      <c r="E25" s="14">
        <f>IF(C25&lt;&gt;D25,"Да | Yes","Не | No")</f>
        <v/>
      </c>
      <c r="F25" s="14" t="inlineStr">
        <is>
          <t>STEADY</t>
        </is>
      </c>
      <c r="G25" s="14" t="inlineStr">
        <is>
          <t>STEADY F1 XY/1</t>
        </is>
      </c>
      <c r="H25" s="17" t="n">
        <v>0.1406</v>
      </c>
      <c r="I25" s="14" t="inlineStr">
        <is>
          <t>13–16%</t>
        </is>
      </c>
    </row>
    <row r="26">
      <c r="A26" s="12" t="inlineStr">
        <is>
          <t>1</t>
        </is>
      </c>
      <c r="B26" s="12" t="inlineStr">
        <is>
          <t>SCR012603</t>
        </is>
      </c>
      <c r="C26" s="12" t="inlineStr">
        <is>
          <t>Scrambler</t>
        </is>
      </c>
      <c r="D26" s="12" t="inlineStr">
        <is>
          <t>Scrambler</t>
        </is>
      </c>
      <c r="E26" s="12">
        <f>IF(C26&lt;&gt;D26,"Да | Yes","Не | No")</f>
        <v/>
      </c>
      <c r="F26" s="12" t="inlineStr">
        <is>
          <t>CAYN</t>
        </is>
      </c>
      <c r="G26" s="12" t="inlineStr">
        <is>
          <t>CAYN SCR XY/1</t>
        </is>
      </c>
      <c r="H26" s="16" t="n">
        <v>0.17</v>
      </c>
      <c r="I26" s="12" t="inlineStr">
        <is>
          <t>16–19%</t>
        </is>
      </c>
    </row>
    <row r="27">
      <c r="A27" s="14" t="inlineStr">
        <is>
          <t>2</t>
        </is>
      </c>
      <c r="B27" s="14" t="inlineStr">
        <is>
          <t>ACC102501</t>
        </is>
      </c>
      <c r="C27" s="14" t="inlineStr">
        <is>
          <t>Amnesia Core Cut</t>
        </is>
      </c>
      <c r="D27" s="14" t="inlineStr">
        <is>
          <t>Amnesia Core</t>
        </is>
      </c>
      <c r="E27" s="14">
        <f>IF(C27&lt;&gt;D27,"Да | Yes","Не | No")</f>
        <v/>
      </c>
      <c r="F27" s="14" t="inlineStr">
        <is>
          <t>STEADY</t>
        </is>
      </c>
      <c r="G27" s="14" t="inlineStr">
        <is>
          <t>STEADY Amnesia Core XY/1</t>
        </is>
      </c>
      <c r="H27" s="17" t="n">
        <v>0.1291</v>
      </c>
      <c r="I27" s="14" t="inlineStr">
        <is>
          <t>10–13%</t>
        </is>
      </c>
    </row>
    <row r="28">
      <c r="A28" s="12" t="inlineStr">
        <is>
          <t>2</t>
        </is>
      </c>
      <c r="B28" s="12" t="inlineStr">
        <is>
          <t>BSS052501</t>
        </is>
      </c>
      <c r="C28" s="12" t="inlineStr">
        <is>
          <t>Blue Sunset Sherbet</t>
        </is>
      </c>
      <c r="D28" s="12" t="inlineStr">
        <is>
          <t>Sunset Sherbet</t>
        </is>
      </c>
      <c r="E28" s="12">
        <f>IF(C28&lt;&gt;D28,"Да | Yes","Не | No")</f>
        <v/>
      </c>
      <c r="F28" s="12" t="inlineStr">
        <is>
          <t>STEADY</t>
        </is>
      </c>
      <c r="G28" s="12" t="inlineStr">
        <is>
          <t>STEADY SUN XY/1</t>
        </is>
      </c>
      <c r="H28" s="16" t="n">
        <v>0.2047</v>
      </c>
      <c r="I28" s="12" t="inlineStr">
        <is>
          <t>19–22%</t>
        </is>
      </c>
    </row>
    <row r="29">
      <c r="A29" s="14" t="inlineStr">
        <is>
          <t>2</t>
        </is>
      </c>
      <c r="B29" s="14" t="inlineStr">
        <is>
          <t>CC012603</t>
        </is>
      </c>
      <c r="C29" s="14" t="inlineStr">
        <is>
          <t>CashCow</t>
        </is>
      </c>
      <c r="D29" s="14" t="inlineStr">
        <is>
          <t>Payday</t>
        </is>
      </c>
      <c r="E29" s="14">
        <f>IF(C29&lt;&gt;D29,"Да | Yes","Не | No")</f>
        <v/>
      </c>
      <c r="F29" s="14" t="inlineStr">
        <is>
          <t>STEADY</t>
        </is>
      </c>
      <c r="G29" s="14" t="inlineStr">
        <is>
          <t>STEADY PDY XY/1</t>
        </is>
      </c>
      <c r="H29" s="17" t="n">
        <v>0.1232</v>
      </c>
      <c r="I29" s="14" t="inlineStr">
        <is>
          <t>10–13%</t>
        </is>
      </c>
    </row>
    <row r="30">
      <c r="A30" s="12" t="inlineStr">
        <is>
          <t>2</t>
        </is>
      </c>
      <c r="B30" s="12" t="inlineStr">
        <is>
          <t>CF102501</t>
        </is>
      </c>
      <c r="C30" s="12" t="inlineStr">
        <is>
          <t>Chem Flyer</t>
        </is>
      </c>
      <c r="D30" s="12" t="inlineStr">
        <is>
          <t>Shark Tank</t>
        </is>
      </c>
      <c r="E30" s="12">
        <f>IF(C30&lt;&gt;D30,"Да | Yes","Не | No")</f>
        <v/>
      </c>
      <c r="F30" s="12" t="inlineStr">
        <is>
          <t>STEADY</t>
        </is>
      </c>
      <c r="G30" s="12" t="inlineStr">
        <is>
          <t>STEADY ST XY/1</t>
        </is>
      </c>
      <c r="H30" s="16" t="n">
        <v>0.0983</v>
      </c>
      <c r="I30" s="12" t="inlineStr">
        <is>
          <t>7–10%</t>
        </is>
      </c>
    </row>
    <row r="31">
      <c r="A31" s="14" t="inlineStr">
        <is>
          <t>2</t>
        </is>
      </c>
      <c r="B31" s="14" t="inlineStr">
        <is>
          <t>CJ062501/1</t>
        </is>
      </c>
      <c r="C31" s="14" t="inlineStr">
        <is>
          <t>Cap Junkie</t>
        </is>
      </c>
      <c r="D31" s="14" t="inlineStr">
        <is>
          <t>OG Banana's</t>
        </is>
      </c>
      <c r="E31" s="14">
        <f>IF(C31&lt;&gt;D31,"Да | Yes","Не | No")</f>
        <v/>
      </c>
      <c r="F31" s="14" t="inlineStr">
        <is>
          <t>STEADY</t>
        </is>
      </c>
      <c r="G31" s="14" t="inlineStr">
        <is>
          <t>STEADY OGB XY/1</t>
        </is>
      </c>
      <c r="H31" s="17" t="n">
        <v>0.2151</v>
      </c>
      <c r="I31" s="14" t="inlineStr">
        <is>
          <t>19–22%</t>
        </is>
      </c>
    </row>
    <row r="32">
      <c r="A32" s="12" t="inlineStr">
        <is>
          <t>2</t>
        </is>
      </c>
      <c r="B32" s="12" t="inlineStr">
        <is>
          <t>CJ082501/1</t>
        </is>
      </c>
      <c r="C32" s="12" t="inlineStr">
        <is>
          <t>Cap Junkie</t>
        </is>
      </c>
      <c r="D32" s="12" t="inlineStr">
        <is>
          <t>Cookie Kush</t>
        </is>
      </c>
      <c r="E32" s="12">
        <f>IF(C32&lt;&gt;D32,"Да | Yes","Не | No")</f>
        <v/>
      </c>
      <c r="F32" s="12" t="inlineStr">
        <is>
          <t>CAYN</t>
        </is>
      </c>
      <c r="G32" s="12" t="inlineStr">
        <is>
          <t>CAYN CK XY/1</t>
        </is>
      </c>
      <c r="H32" s="16" t="n">
        <v>0.2496</v>
      </c>
      <c r="I32" s="12" t="inlineStr">
        <is>
          <t>22–25%</t>
        </is>
      </c>
    </row>
    <row r="33">
      <c r="A33" s="14" t="inlineStr">
        <is>
          <t>2</t>
        </is>
      </c>
      <c r="B33" s="14" t="inlineStr">
        <is>
          <t>CJ092501</t>
        </is>
      </c>
      <c r="C33" s="14" t="inlineStr">
        <is>
          <t>Cap Junkie</t>
        </is>
      </c>
      <c r="D33" s="14" t="inlineStr">
        <is>
          <t>Cookie Kush</t>
        </is>
      </c>
      <c r="E33" s="14">
        <f>IF(C33&lt;&gt;D33,"Да | Yes","Не | No")</f>
        <v/>
      </c>
      <c r="F33" s="14" t="inlineStr">
        <is>
          <t>CAYN</t>
        </is>
      </c>
      <c r="G33" s="14" t="inlineStr">
        <is>
          <t>CAYN CK XY/1</t>
        </is>
      </c>
      <c r="H33" s="17" t="n">
        <v>0.223</v>
      </c>
      <c r="I33" s="14" t="inlineStr">
        <is>
          <t>22–25%</t>
        </is>
      </c>
    </row>
    <row r="34">
      <c r="A34" s="12" t="inlineStr">
        <is>
          <t>2</t>
        </is>
      </c>
      <c r="B34" s="12" t="inlineStr">
        <is>
          <t>CLE072501</t>
        </is>
      </c>
      <c r="C34" s="12" t="inlineStr">
        <is>
          <t>Clemosa</t>
        </is>
      </c>
      <c r="D34" s="12" t="inlineStr">
        <is>
          <t>Clemosa</t>
        </is>
      </c>
      <c r="E34" s="12">
        <f>IF(C34&lt;&gt;D34,"Да | Yes","Не | No")</f>
        <v/>
      </c>
      <c r="F34" s="12" t="inlineStr">
        <is>
          <t>STEADY</t>
        </is>
      </c>
      <c r="G34" s="12" t="inlineStr">
        <is>
          <t>STEADY CL XY/1</t>
        </is>
      </c>
      <c r="H34" s="16" t="n">
        <v>0.08019999999999999</v>
      </c>
      <c r="I34" s="12" t="inlineStr">
        <is>
          <t>7–10%</t>
        </is>
      </c>
    </row>
    <row r="35">
      <c r="A35" s="14" t="inlineStr">
        <is>
          <t>2</t>
        </is>
      </c>
      <c r="B35" s="14" t="inlineStr">
        <is>
          <t>FB012601/1</t>
        </is>
      </c>
      <c r="C35" s="14" t="inlineStr">
        <is>
          <t>Fat Bastard</t>
        </is>
      </c>
      <c r="D35" s="14" t="inlineStr">
        <is>
          <t>Daywalker</t>
        </is>
      </c>
      <c r="E35" s="14">
        <f>IF(C35&lt;&gt;D35,"Да | Yes","Не | No")</f>
        <v/>
      </c>
      <c r="F35" s="14" t="inlineStr">
        <is>
          <t>CAYN</t>
        </is>
      </c>
      <c r="G35" s="14" t="inlineStr">
        <is>
          <t>CAYN DW XY/1</t>
        </is>
      </c>
      <c r="H35" s="17" t="n">
        <v>0.1468</v>
      </c>
      <c r="I35" s="14" t="inlineStr">
        <is>
          <t>13–16%</t>
        </is>
      </c>
    </row>
    <row r="36">
      <c r="A36" s="12" t="inlineStr">
        <is>
          <t>2</t>
        </is>
      </c>
      <c r="B36" s="12" t="inlineStr">
        <is>
          <t>GG1024</t>
        </is>
      </c>
      <c r="C36" s="12" t="inlineStr">
        <is>
          <t>Gorilla Glue</t>
        </is>
      </c>
      <c r="D36" s="12" t="inlineStr">
        <is>
          <t>Gorilla Gang</t>
        </is>
      </c>
      <c r="E36" s="12">
        <f>IF(C36&lt;&gt;D36,"Да | Yes","Не | No")</f>
        <v/>
      </c>
      <c r="F36" s="12" t="inlineStr">
        <is>
          <t>STEADY</t>
        </is>
      </c>
      <c r="G36" s="12" t="inlineStr">
        <is>
          <t>STEADY GG XY/1</t>
        </is>
      </c>
      <c r="H36" s="16" t="n">
        <v>0.1334</v>
      </c>
      <c r="I36" s="12" t="inlineStr">
        <is>
          <t>13–16%</t>
        </is>
      </c>
    </row>
    <row r="37">
      <c r="A37" s="14" t="inlineStr">
        <is>
          <t>2</t>
        </is>
      </c>
      <c r="B37" s="14" t="inlineStr">
        <is>
          <t>GP072501/2</t>
        </is>
      </c>
      <c r="C37" s="14" t="inlineStr">
        <is>
          <t>Grape Pie</t>
        </is>
      </c>
      <c r="D37" s="14" t="inlineStr">
        <is>
          <t>Vanilla Grapes</t>
        </is>
      </c>
      <c r="E37" s="14">
        <f>IF(C37&lt;&gt;D37,"Да | Yes","Не | No")</f>
        <v/>
      </c>
      <c r="F37" s="14" t="inlineStr">
        <is>
          <t>CAYN</t>
        </is>
      </c>
      <c r="G37" s="14" t="inlineStr">
        <is>
          <t>CAYN VG XY/1</t>
        </is>
      </c>
      <c r="H37" s="17" t="n">
        <v>0.1981</v>
      </c>
      <c r="I37" s="14" t="inlineStr">
        <is>
          <t>19–22%</t>
        </is>
      </c>
    </row>
    <row r="38">
      <c r="A38" s="12" t="inlineStr">
        <is>
          <t>2</t>
        </is>
      </c>
      <c r="B38" s="12" t="inlineStr">
        <is>
          <t>GP0824_03</t>
        </is>
      </c>
      <c r="C38" s="12" t="inlineStr">
        <is>
          <t>Grape Pie</t>
        </is>
      </c>
      <c r="D38" s="12" t="inlineStr">
        <is>
          <t>Grape Pie</t>
        </is>
      </c>
      <c r="E38" s="12">
        <f>IF(C38&lt;&gt;D38,"Да | Yes","Не | No")</f>
        <v/>
      </c>
      <c r="F38" s="12" t="inlineStr">
        <is>
          <t>STEADY</t>
        </is>
      </c>
      <c r="G38" s="12" t="inlineStr">
        <is>
          <t>STEADY GP XY/1</t>
        </is>
      </c>
      <c r="H38" s="16" t="n">
        <v>0.2545</v>
      </c>
      <c r="I38" s="12" t="inlineStr">
        <is>
          <t>≥ 25%</t>
        </is>
      </c>
    </row>
    <row r="39">
      <c r="A39" s="14" t="inlineStr">
        <is>
          <t>2</t>
        </is>
      </c>
      <c r="B39" s="14" t="inlineStr">
        <is>
          <t>GP082501/1</t>
        </is>
      </c>
      <c r="C39" s="14" t="inlineStr">
        <is>
          <t>Grape Pie</t>
        </is>
      </c>
      <c r="D39" s="14" t="inlineStr">
        <is>
          <t>Vanilla Grapes</t>
        </is>
      </c>
      <c r="E39" s="14">
        <f>IF(C39&lt;&gt;D39,"Да | Yes","Не | No")</f>
        <v/>
      </c>
      <c r="F39" s="14" t="inlineStr">
        <is>
          <t>CAYN</t>
        </is>
      </c>
      <c r="G39" s="14" t="inlineStr">
        <is>
          <t>CAYN VG XY/1</t>
        </is>
      </c>
      <c r="H39" s="17" t="n">
        <v>0.2129</v>
      </c>
      <c r="I39" s="14" t="inlineStr">
        <is>
          <t>19–22%</t>
        </is>
      </c>
    </row>
    <row r="40">
      <c r="A40" s="12" t="inlineStr">
        <is>
          <t>2</t>
        </is>
      </c>
      <c r="B40" s="12" t="inlineStr">
        <is>
          <t>GP092501</t>
        </is>
      </c>
      <c r="C40" s="12" t="inlineStr">
        <is>
          <t>Grape Pie</t>
        </is>
      </c>
      <c r="D40" s="12" t="inlineStr">
        <is>
          <t>Grape Pie</t>
        </is>
      </c>
      <c r="E40" s="12">
        <f>IF(C40&lt;&gt;D40,"Да | Yes","Не | No")</f>
        <v/>
      </c>
      <c r="F40" s="12" t="inlineStr">
        <is>
          <t>STEADY</t>
        </is>
      </c>
      <c r="G40" s="12" t="inlineStr">
        <is>
          <t>STEADY GP XY/1</t>
        </is>
      </c>
      <c r="H40" s="16" t="n">
        <v>0.2573</v>
      </c>
      <c r="I40" s="12" t="inlineStr">
        <is>
          <t>≥ 25%</t>
        </is>
      </c>
    </row>
    <row r="41">
      <c r="A41" s="14" t="inlineStr">
        <is>
          <t>2</t>
        </is>
      </c>
      <c r="B41" s="14" t="inlineStr">
        <is>
          <t>GRC102501/2</t>
        </is>
      </c>
      <c r="C41" s="14" t="inlineStr">
        <is>
          <t>Grapes and Cream</t>
        </is>
      </c>
      <c r="D41" s="14" t="inlineStr">
        <is>
          <t>Plum Tarte</t>
        </is>
      </c>
      <c r="E41" s="14">
        <f>IF(C41&lt;&gt;D41,"Да | Yes","Не | No")</f>
        <v/>
      </c>
      <c r="F41" s="14" t="inlineStr">
        <is>
          <t>STEADY</t>
        </is>
      </c>
      <c r="G41" s="14" t="inlineStr">
        <is>
          <t>STEADY PT XY/1</t>
        </is>
      </c>
      <c r="H41" s="17" t="n">
        <v>0.1153</v>
      </c>
      <c r="I41" s="14" t="inlineStr">
        <is>
          <t>10–13%</t>
        </is>
      </c>
    </row>
    <row r="42">
      <c r="A42" s="12" t="inlineStr">
        <is>
          <t>2</t>
        </is>
      </c>
      <c r="B42" s="12" t="inlineStr">
        <is>
          <t>HPA052501</t>
        </is>
      </c>
      <c r="C42" s="12" t="inlineStr">
        <is>
          <t>High Pro Amnesia</t>
        </is>
      </c>
      <c r="D42" s="12" t="inlineStr">
        <is>
          <t>Hazy Daze</t>
        </is>
      </c>
      <c r="E42" s="12">
        <f>IF(C42&lt;&gt;D42,"Да | Yes","Не | No")</f>
        <v/>
      </c>
      <c r="F42" s="12" t="inlineStr">
        <is>
          <t>CAYN</t>
        </is>
      </c>
      <c r="G42" s="12" t="inlineStr">
        <is>
          <t>CAYN HD XY/1</t>
        </is>
      </c>
      <c r="H42" s="16" t="n">
        <v>0.2039</v>
      </c>
      <c r="I42" s="12" t="inlineStr">
        <is>
          <t>19–22%</t>
        </is>
      </c>
    </row>
    <row r="43">
      <c r="A43" s="14" t="inlineStr">
        <is>
          <t>2</t>
        </is>
      </c>
      <c r="B43" s="14" t="inlineStr">
        <is>
          <t>JD012603/01</t>
        </is>
      </c>
      <c r="C43" s="14" t="inlineStr">
        <is>
          <t>Jelly Donuts</t>
        </is>
      </c>
      <c r="D43" s="14" t="inlineStr">
        <is>
          <t>Strawberry Cupcakes</t>
        </is>
      </c>
      <c r="E43" s="14">
        <f>IF(C43&lt;&gt;D43,"Да | Yes","Не | No")</f>
        <v/>
      </c>
      <c r="F43" s="14" t="inlineStr">
        <is>
          <t>STEADY</t>
        </is>
      </c>
      <c r="G43" s="14" t="inlineStr">
        <is>
          <t>STEADY SC XY/1</t>
        </is>
      </c>
      <c r="H43" s="17" t="n">
        <v>0.1671</v>
      </c>
      <c r="I43" s="14" t="inlineStr">
        <is>
          <t>16–19%</t>
        </is>
      </c>
    </row>
    <row r="44">
      <c r="A44" s="12" t="inlineStr">
        <is>
          <t>2</t>
        </is>
      </c>
      <c r="B44" s="12" t="inlineStr">
        <is>
          <t>JD012603/02</t>
        </is>
      </c>
      <c r="C44" s="12" t="inlineStr">
        <is>
          <t>Jelly Donuts</t>
        </is>
      </c>
      <c r="D44" s="12" t="inlineStr">
        <is>
          <t>Jelly Donuts</t>
        </is>
      </c>
      <c r="E44" s="12">
        <f>IF(C44&lt;&gt;D44,"Да | Yes","Не | No")</f>
        <v/>
      </c>
      <c r="F44" s="12" t="inlineStr">
        <is>
          <t>CAYN</t>
        </is>
      </c>
      <c r="G44" s="12" t="inlineStr">
        <is>
          <t>CAYN JD XY/1</t>
        </is>
      </c>
      <c r="H44" s="16" t="n">
        <v>0.133</v>
      </c>
      <c r="I44" s="12" t="inlineStr">
        <is>
          <t>13–16%</t>
        </is>
      </c>
    </row>
    <row r="45">
      <c r="A45" s="14" t="inlineStr">
        <is>
          <t>2</t>
        </is>
      </c>
      <c r="B45" s="14" t="inlineStr">
        <is>
          <t>JD012603/02V</t>
        </is>
      </c>
      <c r="C45" s="14" t="inlineStr">
        <is>
          <t>Jelly Donuts</t>
        </is>
      </c>
      <c r="D45" s="14" t="inlineStr">
        <is>
          <t>Jelly Donuts</t>
        </is>
      </c>
      <c r="E45" s="14">
        <f>IF(C45&lt;&gt;D45,"Да | Yes","Не | No")</f>
        <v/>
      </c>
      <c r="F45" s="14" t="inlineStr">
        <is>
          <t>CAYN</t>
        </is>
      </c>
      <c r="G45" s="14" t="inlineStr">
        <is>
          <t>CAYN JD XY/1</t>
        </is>
      </c>
      <c r="H45" s="17" t="n">
        <v>0.1497</v>
      </c>
      <c r="I45" s="14" t="inlineStr">
        <is>
          <t>13–16%</t>
        </is>
      </c>
    </row>
    <row r="46">
      <c r="A46" s="12" t="inlineStr">
        <is>
          <t>2</t>
        </is>
      </c>
      <c r="B46" s="12" t="inlineStr">
        <is>
          <t>KC102501</t>
        </is>
      </c>
      <c r="C46" s="12" t="inlineStr">
        <is>
          <t>Kush Crasher</t>
        </is>
      </c>
      <c r="D46" s="12" t="inlineStr">
        <is>
          <t>Kush Crasher</t>
        </is>
      </c>
      <c r="E46" s="12">
        <f>IF(C46&lt;&gt;D46,"Да | Yes","Не | No")</f>
        <v/>
      </c>
      <c r="F46" s="12" t="inlineStr">
        <is>
          <t>CAYN</t>
        </is>
      </c>
      <c r="G46" s="12" t="inlineStr">
        <is>
          <t>CAYN KC XY/1</t>
        </is>
      </c>
      <c r="H46" s="16" t="n">
        <v>0.174</v>
      </c>
      <c r="I46" s="12" t="inlineStr">
        <is>
          <t>16–19%</t>
        </is>
      </c>
    </row>
    <row r="47">
      <c r="A47" s="14" t="inlineStr">
        <is>
          <t>2</t>
        </is>
      </c>
      <c r="B47" s="14" t="inlineStr">
        <is>
          <t>MB0824_05</t>
        </is>
      </c>
      <c r="C47" s="14" t="inlineStr">
        <is>
          <t>Motor Breath</t>
        </is>
      </c>
      <c r="D47" s="14" t="inlineStr">
        <is>
          <t>NY Diesel</t>
        </is>
      </c>
      <c r="E47" s="14">
        <f>IF(C47&lt;&gt;D47,"Да | Yes","Не | No")</f>
        <v/>
      </c>
      <c r="F47" s="14" t="inlineStr">
        <is>
          <t>CAYN</t>
        </is>
      </c>
      <c r="G47" s="14" t="inlineStr">
        <is>
          <t>CAYN NYD XY/1</t>
        </is>
      </c>
      <c r="H47" s="17" t="n">
        <v>0.1682</v>
      </c>
      <c r="I47" s="14" t="inlineStr">
        <is>
          <t>16–19%</t>
        </is>
      </c>
    </row>
    <row r="48">
      <c r="A48" s="12" t="inlineStr">
        <is>
          <t>2</t>
        </is>
      </c>
      <c r="B48" s="12" t="inlineStr">
        <is>
          <t>OMP1024_01</t>
        </is>
      </c>
      <c r="C48" s="12" t="inlineStr">
        <is>
          <t>Orange Punch Mimosa</t>
        </is>
      </c>
      <c r="D48" s="12" t="inlineStr">
        <is>
          <t>Citrus Bloom</t>
        </is>
      </c>
      <c r="E48" s="12">
        <f>IF(C48&lt;&gt;D48,"Да | Yes","Не | No")</f>
        <v/>
      </c>
      <c r="F48" s="12" t="inlineStr">
        <is>
          <t>STEADY</t>
        </is>
      </c>
      <c r="G48" s="12" t="inlineStr">
        <is>
          <t>STEADY CB XY/1</t>
        </is>
      </c>
      <c r="H48" s="16" t="n">
        <v>0.1538</v>
      </c>
      <c r="I48" s="12" t="inlineStr">
        <is>
          <t>13–16%</t>
        </is>
      </c>
    </row>
    <row r="49">
      <c r="A49" s="14" t="inlineStr">
        <is>
          <t>2</t>
        </is>
      </c>
      <c r="B49" s="14" t="inlineStr">
        <is>
          <t>OPM092501</t>
        </is>
      </c>
      <c r="C49" s="14" t="inlineStr">
        <is>
          <t>Orange Punch Mimosa</t>
        </is>
      </c>
      <c r="D49" s="14" t="inlineStr">
        <is>
          <t>Soft Citrus Bloom</t>
        </is>
      </c>
      <c r="E49" s="14">
        <f>IF(C49&lt;&gt;D49,"Да | Yes","Не | No")</f>
        <v/>
      </c>
      <c r="F49" s="14" t="inlineStr">
        <is>
          <t>STEADY</t>
        </is>
      </c>
      <c r="G49" s="14" t="inlineStr">
        <is>
          <t>STEADY SCB XY/1</t>
        </is>
      </c>
      <c r="H49" s="17" t="n">
        <v>0.09429999999999999</v>
      </c>
      <c r="I49" s="14" t="inlineStr">
        <is>
          <t>7–10%</t>
        </is>
      </c>
    </row>
    <row r="50">
      <c r="A50" s="12" t="inlineStr">
        <is>
          <t>2</t>
        </is>
      </c>
      <c r="B50" s="12" t="inlineStr">
        <is>
          <t>OPM1024_03</t>
        </is>
      </c>
      <c r="C50" s="12" t="inlineStr">
        <is>
          <t>Orange Punch Mimosa</t>
        </is>
      </c>
      <c r="D50" s="12" t="inlineStr">
        <is>
          <t>Tangie Queen</t>
        </is>
      </c>
      <c r="E50" s="12">
        <f>IF(C50&lt;&gt;D50,"Да | Yes","Не | No")</f>
        <v/>
      </c>
      <c r="F50" s="12" t="inlineStr">
        <is>
          <t>CAYN</t>
        </is>
      </c>
      <c r="G50" s="12" t="inlineStr">
        <is>
          <t>CAYN TQ XY/1</t>
        </is>
      </c>
      <c r="H50" s="16" t="n">
        <v>0.1655</v>
      </c>
      <c r="I50" s="12" t="inlineStr">
        <is>
          <t>16–19%</t>
        </is>
      </c>
    </row>
    <row r="51">
      <c r="A51" s="14" t="inlineStr">
        <is>
          <t>2</t>
        </is>
      </c>
      <c r="B51" s="14" t="inlineStr">
        <is>
          <t>PM112501</t>
        </is>
      </c>
      <c r="C51" s="14" t="inlineStr">
        <is>
          <t>Permanent Marker</t>
        </is>
      </c>
      <c r="D51" s="14" t="inlineStr">
        <is>
          <t>Formula 1</t>
        </is>
      </c>
      <c r="E51" s="14">
        <f>IF(C51&lt;&gt;D51,"Да | Yes","Не | No")</f>
        <v/>
      </c>
      <c r="F51" s="14" t="inlineStr">
        <is>
          <t>STEADY</t>
        </is>
      </c>
      <c r="G51" s="14" t="inlineStr">
        <is>
          <t>STEADY F1 XY/1</t>
        </is>
      </c>
      <c r="H51" s="17" t="n">
        <v>0.13</v>
      </c>
      <c r="I51" s="14" t="inlineStr">
        <is>
          <t>13–16%</t>
        </is>
      </c>
    </row>
    <row r="52">
      <c r="A52" s="12" t="inlineStr">
        <is>
          <t>2</t>
        </is>
      </c>
      <c r="B52" s="12" t="inlineStr">
        <is>
          <t>PUM102501</t>
        </is>
      </c>
      <c r="C52" s="12" t="inlineStr">
        <is>
          <t>Pure Michigen</t>
        </is>
      </c>
      <c r="D52" s="12" t="inlineStr">
        <is>
          <t>Lifeguard</t>
        </is>
      </c>
      <c r="E52" s="12">
        <f>IF(C52&lt;&gt;D52,"Да | Yes","Не | No")</f>
        <v/>
      </c>
      <c r="F52" s="12" t="inlineStr">
        <is>
          <t>STEADY</t>
        </is>
      </c>
      <c r="G52" s="12" t="inlineStr">
        <is>
          <t>STEADY LG XY/1</t>
        </is>
      </c>
      <c r="H52" s="16" t="n">
        <v>0.1563</v>
      </c>
      <c r="I52" s="12" t="inlineStr">
        <is>
          <t>13–16%</t>
        </is>
      </c>
    </row>
    <row r="53">
      <c r="A53" s="14" t="inlineStr">
        <is>
          <t>2</t>
        </is>
      </c>
      <c r="B53" s="14" t="inlineStr">
        <is>
          <t>SCR112501</t>
        </is>
      </c>
      <c r="C53" s="14" t="inlineStr">
        <is>
          <t>Scrambler</t>
        </is>
      </c>
      <c r="D53" s="14" t="inlineStr">
        <is>
          <t>Scrambler</t>
        </is>
      </c>
      <c r="E53" s="14">
        <f>IF(C53&lt;&gt;D53,"Да | Yes","Не | No")</f>
        <v/>
      </c>
      <c r="F53" s="14" t="inlineStr">
        <is>
          <t>CAYN</t>
        </is>
      </c>
      <c r="G53" s="14" t="inlineStr">
        <is>
          <t>CAYN SCR XY/1</t>
        </is>
      </c>
      <c r="H53" s="17" t="n">
        <v>0.1713</v>
      </c>
      <c r="I53" s="14" t="inlineStr">
        <is>
          <t>16–19%</t>
        </is>
      </c>
    </row>
    <row r="54">
      <c r="A54" s="12" t="inlineStr">
        <is>
          <t>2</t>
        </is>
      </c>
      <c r="B54" s="12" t="inlineStr">
        <is>
          <t>SJ092501</t>
        </is>
      </c>
      <c r="C54" s="12" t="inlineStr">
        <is>
          <t>Sleepy Joe</t>
        </is>
      </c>
      <c r="D54" s="12" t="inlineStr">
        <is>
          <t>Sleepy Joe</t>
        </is>
      </c>
      <c r="E54" s="12">
        <f>IF(C54&lt;&gt;D54,"Да | Yes","Не | No")</f>
        <v/>
      </c>
      <c r="F54" s="12" t="inlineStr">
        <is>
          <t>STEADY</t>
        </is>
      </c>
      <c r="G54" s="12" t="inlineStr">
        <is>
          <t>STEADY SJ XY/1</t>
        </is>
      </c>
      <c r="H54" s="16" t="n">
        <v>0.1096</v>
      </c>
      <c r="I54" s="12" t="inlineStr">
        <is>
          <t>10–13%</t>
        </is>
      </c>
    </row>
    <row r="55">
      <c r="A55" s="14" t="inlineStr">
        <is>
          <t>2</t>
        </is>
      </c>
      <c r="B55" s="14" t="inlineStr">
        <is>
          <t>WC082501</t>
        </is>
      </c>
      <c r="C55" s="14" t="inlineStr">
        <is>
          <t>Wedding Crusher</t>
        </is>
      </c>
      <c r="D55" s="14" t="inlineStr">
        <is>
          <t>Wedding Crusher</t>
        </is>
      </c>
      <c r="E55" s="14">
        <f>IF(C55&lt;&gt;D55,"Да | Yes","Не | No")</f>
        <v/>
      </c>
      <c r="F55" s="14" t="inlineStr">
        <is>
          <t>CAYN</t>
        </is>
      </c>
      <c r="G55" s="14" t="inlineStr">
        <is>
          <t>CAYN WC XY/1</t>
        </is>
      </c>
      <c r="H55" s="17" t="n">
        <v>0.2167</v>
      </c>
      <c r="I55" s="14" t="inlineStr">
        <is>
          <t>19–22%</t>
        </is>
      </c>
    </row>
    <row r="56">
      <c r="A56" s="12" t="inlineStr">
        <is>
          <t>3</t>
        </is>
      </c>
      <c r="B56" s="12" t="inlineStr">
        <is>
          <t>AB092501</t>
        </is>
      </c>
      <c r="C56" s="12" t="inlineStr">
        <is>
          <t>Appels &amp; Bananas</t>
        </is>
      </c>
      <c r="D56" s="12" t="inlineStr">
        <is>
          <t>Appels &amp; Bananas</t>
        </is>
      </c>
      <c r="E56" s="12">
        <f>IF(C56&lt;&gt;D56,"Да | Yes","Не | No")</f>
        <v/>
      </c>
      <c r="F56" s="12" t="inlineStr">
        <is>
          <t>CAYN</t>
        </is>
      </c>
      <c r="G56" s="12" t="inlineStr">
        <is>
          <t>CAYN AB XY/1</t>
        </is>
      </c>
      <c r="H56" s="16" t="n">
        <v>0.1693</v>
      </c>
      <c r="I56" s="12" t="inlineStr">
        <is>
          <t>16–19%</t>
        </is>
      </c>
    </row>
    <row r="57">
      <c r="A57" s="14" t="inlineStr">
        <is>
          <t>3</t>
        </is>
      </c>
      <c r="B57" s="14" t="inlineStr">
        <is>
          <t>BSS1024_01/1</t>
        </is>
      </c>
      <c r="C57" s="14" t="inlineStr">
        <is>
          <t>Blue Sunset Sherbet</t>
        </is>
      </c>
      <c r="D57" s="14" t="inlineStr">
        <is>
          <t>Sunset Sherbet</t>
        </is>
      </c>
      <c r="E57" s="14">
        <f>IF(C57&lt;&gt;D57,"Да | Yes","Не | No")</f>
        <v/>
      </c>
      <c r="F57" s="14" t="inlineStr">
        <is>
          <t>STEADY</t>
        </is>
      </c>
      <c r="G57" s="14" t="inlineStr">
        <is>
          <t>STEADY SUN XY/1</t>
        </is>
      </c>
      <c r="H57" s="17" t="n">
        <v>0.2342</v>
      </c>
      <c r="I57" s="14" t="inlineStr">
        <is>
          <t>22–25%</t>
        </is>
      </c>
    </row>
    <row r="58">
      <c r="A58" s="12" t="inlineStr">
        <is>
          <t>3</t>
        </is>
      </c>
      <c r="B58" s="12" t="inlineStr">
        <is>
          <t>CC112501</t>
        </is>
      </c>
      <c r="C58" s="12" t="inlineStr">
        <is>
          <t>CashCow</t>
        </is>
      </c>
      <c r="D58" s="12" t="inlineStr">
        <is>
          <t>Payday</t>
        </is>
      </c>
      <c r="E58" s="12">
        <f>IF(C58&lt;&gt;D58,"Да | Yes","Не | No")</f>
        <v/>
      </c>
      <c r="F58" s="12" t="inlineStr">
        <is>
          <t>STEADY</t>
        </is>
      </c>
      <c r="G58" s="12" t="inlineStr">
        <is>
          <t>STEADY PDY XY/1</t>
        </is>
      </c>
      <c r="H58" s="16" t="n">
        <v>0.1335</v>
      </c>
      <c r="I58" s="12" t="inlineStr">
        <is>
          <t>13–16%</t>
        </is>
      </c>
    </row>
    <row r="59">
      <c r="A59" s="14" t="inlineStr">
        <is>
          <t>3</t>
        </is>
      </c>
      <c r="B59" s="14" t="inlineStr">
        <is>
          <t>CJ052501/02</t>
        </is>
      </c>
      <c r="C59" s="14" t="inlineStr">
        <is>
          <t>Cap Junkie</t>
        </is>
      </c>
      <c r="D59" s="14" t="inlineStr">
        <is>
          <t>OG Banana's</t>
        </is>
      </c>
      <c r="E59" s="14">
        <f>IF(C59&lt;&gt;D59,"Да | Yes","Не | No")</f>
        <v/>
      </c>
      <c r="F59" s="14" t="inlineStr">
        <is>
          <t>STEADY</t>
        </is>
      </c>
      <c r="G59" s="14" t="inlineStr">
        <is>
          <t>STEADY OGB XY/1</t>
        </is>
      </c>
      <c r="H59" s="17" t="n">
        <v>0.1449</v>
      </c>
      <c r="I59" s="14" t="inlineStr">
        <is>
          <t>13–16%</t>
        </is>
      </c>
    </row>
    <row r="60">
      <c r="A60" s="12" t="inlineStr">
        <is>
          <t>3</t>
        </is>
      </c>
      <c r="B60" s="12" t="inlineStr">
        <is>
          <t>CJ072501</t>
        </is>
      </c>
      <c r="C60" s="12" t="inlineStr">
        <is>
          <t>Cap Junkie</t>
        </is>
      </c>
      <c r="D60" s="12" t="inlineStr">
        <is>
          <t>Cookie Kush</t>
        </is>
      </c>
      <c r="E60" s="12">
        <f>IF(C60&lt;&gt;D60,"Да | Yes","Не | No")</f>
        <v/>
      </c>
      <c r="F60" s="12" t="inlineStr">
        <is>
          <t>CAYN</t>
        </is>
      </c>
      <c r="G60" s="12" t="inlineStr">
        <is>
          <t>CAYN CK XY/1</t>
        </is>
      </c>
      <c r="H60" s="16" t="n">
        <v>0.237</v>
      </c>
      <c r="I60" s="12" t="inlineStr">
        <is>
          <t>22–25%</t>
        </is>
      </c>
    </row>
    <row r="61">
      <c r="A61" s="14" t="inlineStr">
        <is>
          <t>3</t>
        </is>
      </c>
      <c r="B61" s="14" t="inlineStr">
        <is>
          <t>CJ1024</t>
        </is>
      </c>
      <c r="C61" s="14" t="inlineStr">
        <is>
          <t>Cap Junkie</t>
        </is>
      </c>
      <c r="D61" s="14" t="inlineStr">
        <is>
          <t>Cookie Kush</t>
        </is>
      </c>
      <c r="E61" s="14">
        <f>IF(C61&lt;&gt;D61,"Да | Yes","Не | No")</f>
        <v/>
      </c>
      <c r="F61" s="14" t="inlineStr">
        <is>
          <t>CAYN</t>
        </is>
      </c>
      <c r="G61" s="14" t="inlineStr">
        <is>
          <t>CAYN CK XY/1</t>
        </is>
      </c>
      <c r="H61" s="17" t="n">
        <v>0.23</v>
      </c>
      <c r="I61" s="14" t="inlineStr">
        <is>
          <t>22–25%</t>
        </is>
      </c>
    </row>
    <row r="62">
      <c r="A62" s="12" t="inlineStr">
        <is>
          <t>3</t>
        </is>
      </c>
      <c r="B62" s="12" t="inlineStr">
        <is>
          <t>FB012603</t>
        </is>
      </c>
      <c r="C62" s="12" t="inlineStr">
        <is>
          <t>Fat Bastard</t>
        </is>
      </c>
      <c r="D62" s="12" t="inlineStr">
        <is>
          <t>Daywalker</t>
        </is>
      </c>
      <c r="E62" s="12">
        <f>IF(C62&lt;&gt;D62,"Да | Yes","Не | No")</f>
        <v/>
      </c>
      <c r="F62" s="12" t="inlineStr">
        <is>
          <t>CAYN</t>
        </is>
      </c>
      <c r="G62" s="12" t="inlineStr">
        <is>
          <t>CAYN DW XY/1</t>
        </is>
      </c>
      <c r="H62" s="16" t="n">
        <v>0.1465</v>
      </c>
      <c r="I62" s="12" t="inlineStr">
        <is>
          <t>13–16%</t>
        </is>
      </c>
    </row>
    <row r="63">
      <c r="A63" s="14" t="inlineStr">
        <is>
          <t>3</t>
        </is>
      </c>
      <c r="B63" s="14" t="inlineStr">
        <is>
          <t>FB012603V</t>
        </is>
      </c>
      <c r="C63" s="14" t="inlineStr">
        <is>
          <t>Fat Bastard</t>
        </is>
      </c>
      <c r="D63" s="14" t="inlineStr">
        <is>
          <t>Daywalker</t>
        </is>
      </c>
      <c r="E63" s="14">
        <f>IF(C63&lt;&gt;D63,"Да | Yes","Не | No")</f>
        <v/>
      </c>
      <c r="F63" s="14" t="inlineStr">
        <is>
          <t>CAYN</t>
        </is>
      </c>
      <c r="G63" s="14" t="inlineStr">
        <is>
          <t>CAYN DW XY/1</t>
        </is>
      </c>
      <c r="H63" s="17" t="n">
        <v>0.156</v>
      </c>
      <c r="I63" s="14" t="inlineStr">
        <is>
          <t>13–16%</t>
        </is>
      </c>
    </row>
    <row r="64">
      <c r="A64" s="12" t="inlineStr">
        <is>
          <t>3</t>
        </is>
      </c>
      <c r="B64" s="12" t="inlineStr">
        <is>
          <t>FB112501</t>
        </is>
      </c>
      <c r="C64" s="12" t="inlineStr">
        <is>
          <t>Fat Bastard</t>
        </is>
      </c>
      <c r="D64" s="12" t="inlineStr">
        <is>
          <t>Fat Sofa</t>
        </is>
      </c>
      <c r="E64" s="12">
        <f>IF(C64&lt;&gt;D64,"Да | Yes","Не | No")</f>
        <v/>
      </c>
      <c r="F64" s="12" t="inlineStr">
        <is>
          <t>CAYN</t>
        </is>
      </c>
      <c r="G64" s="12" t="inlineStr">
        <is>
          <t>CAYN FS XY/1</t>
        </is>
      </c>
      <c r="H64" s="16" t="n">
        <v>0.1669</v>
      </c>
      <c r="I64" s="12" t="inlineStr">
        <is>
          <t>16–19%</t>
        </is>
      </c>
    </row>
    <row r="65">
      <c r="A65" s="14" t="inlineStr">
        <is>
          <t>3</t>
        </is>
      </c>
      <c r="B65" s="14" t="inlineStr">
        <is>
          <t>GG012601</t>
        </is>
      </c>
      <c r="C65" s="14" t="inlineStr">
        <is>
          <t>GG4</t>
        </is>
      </c>
      <c r="D65" s="14" t="inlineStr">
        <is>
          <t>GG4</t>
        </is>
      </c>
      <c r="E65" s="14">
        <f>IF(C65&lt;&gt;D65,"Да | Yes","Не | No")</f>
        <v/>
      </c>
      <c r="F65" s="14" t="inlineStr">
        <is>
          <t>STEADY</t>
        </is>
      </c>
      <c r="G65" s="14" t="inlineStr">
        <is>
          <t>STEADY GG4 XY/1</t>
        </is>
      </c>
      <c r="H65" s="17" t="n">
        <v>0.1535</v>
      </c>
      <c r="I65" s="14" t="inlineStr">
        <is>
          <t>13–16%</t>
        </is>
      </c>
    </row>
    <row r="66">
      <c r="A66" s="12" t="inlineStr">
        <is>
          <t>3</t>
        </is>
      </c>
      <c r="B66" s="12" t="inlineStr">
        <is>
          <t>GG1024_02</t>
        </is>
      </c>
      <c r="C66" s="12" t="inlineStr">
        <is>
          <t>Gorilla Glue</t>
        </is>
      </c>
      <c r="D66" s="12" t="inlineStr">
        <is>
          <t>Gorilla Gang</t>
        </is>
      </c>
      <c r="E66" s="12">
        <f>IF(C66&lt;&gt;D66,"Да | Yes","Не | No")</f>
        <v/>
      </c>
      <c r="F66" s="12" t="inlineStr">
        <is>
          <t>STEADY</t>
        </is>
      </c>
      <c r="G66" s="12" t="inlineStr">
        <is>
          <t>STEADY GG XY/1</t>
        </is>
      </c>
      <c r="H66" s="16" t="n">
        <v>0.1595</v>
      </c>
      <c r="I66" s="12" t="inlineStr">
        <is>
          <t>13–16%</t>
        </is>
      </c>
    </row>
    <row r="67">
      <c r="A67" s="14" t="inlineStr">
        <is>
          <t>3</t>
        </is>
      </c>
      <c r="B67" s="14" t="inlineStr">
        <is>
          <t>GG112501</t>
        </is>
      </c>
      <c r="C67" s="14" t="inlineStr">
        <is>
          <t>GG4</t>
        </is>
      </c>
      <c r="D67" s="14" t="inlineStr">
        <is>
          <t>Cherry Chocolate</t>
        </is>
      </c>
      <c r="E67" s="14">
        <f>IF(C67&lt;&gt;D67,"Да | Yes","Не | No")</f>
        <v/>
      </c>
      <c r="F67" s="14" t="inlineStr">
        <is>
          <t>CAYN</t>
        </is>
      </c>
      <c r="G67" s="14" t="inlineStr">
        <is>
          <t>CAYN CC XY/1</t>
        </is>
      </c>
      <c r="H67" s="17" t="n">
        <v>0.1794</v>
      </c>
      <c r="I67" s="14" t="inlineStr">
        <is>
          <t>16–19%</t>
        </is>
      </c>
    </row>
    <row r="68">
      <c r="A68" s="12" t="inlineStr">
        <is>
          <t>3</t>
        </is>
      </c>
      <c r="B68" s="12" t="inlineStr">
        <is>
          <t>GP062501</t>
        </is>
      </c>
      <c r="C68" s="12" t="inlineStr">
        <is>
          <t>Grape Pie</t>
        </is>
      </c>
      <c r="D68" s="12" t="inlineStr">
        <is>
          <t>Vanilla Grapes</t>
        </is>
      </c>
      <c r="E68" s="12">
        <f>IF(C68&lt;&gt;D68,"Да | Yes","Не | No")</f>
        <v/>
      </c>
      <c r="F68" s="12" t="inlineStr">
        <is>
          <t>CAYN</t>
        </is>
      </c>
      <c r="G68" s="12" t="inlineStr">
        <is>
          <t>CAYN VG XY/1</t>
        </is>
      </c>
      <c r="H68" s="16" t="n">
        <v>0.2289</v>
      </c>
      <c r="I68" s="12" t="inlineStr">
        <is>
          <t>22–25%</t>
        </is>
      </c>
    </row>
    <row r="69">
      <c r="A69" s="14" t="inlineStr">
        <is>
          <t>3</t>
        </is>
      </c>
      <c r="B69" s="14" t="inlineStr">
        <is>
          <t>GP072501/1</t>
        </is>
      </c>
      <c r="C69" s="14" t="inlineStr">
        <is>
          <t>Grape Pie</t>
        </is>
      </c>
      <c r="D69" s="14" t="inlineStr">
        <is>
          <t>Vanilla Grapes</t>
        </is>
      </c>
      <c r="E69" s="14">
        <f>IF(C69&lt;&gt;D69,"Да | Yes","Не | No")</f>
        <v/>
      </c>
      <c r="F69" s="14" t="inlineStr">
        <is>
          <t>CAYN</t>
        </is>
      </c>
      <c r="G69" s="14" t="inlineStr">
        <is>
          <t>CAYN VG XY/1</t>
        </is>
      </c>
      <c r="H69" s="17" t="n">
        <v>0.2136</v>
      </c>
      <c r="I69" s="14" t="inlineStr">
        <is>
          <t>19–22%</t>
        </is>
      </c>
    </row>
    <row r="70">
      <c r="A70" s="12" t="inlineStr">
        <is>
          <t>3</t>
        </is>
      </c>
      <c r="B70" s="12" t="inlineStr">
        <is>
          <t>GRC102501/1</t>
        </is>
      </c>
      <c r="C70" s="12" t="inlineStr">
        <is>
          <t>Grapes and Cream</t>
        </is>
      </c>
      <c r="D70" s="12" t="inlineStr">
        <is>
          <t>Plum Tarte</t>
        </is>
      </c>
      <c r="E70" s="12">
        <f>IF(C70&lt;&gt;D70,"Да | Yes","Не | No")</f>
        <v/>
      </c>
      <c r="F70" s="12" t="inlineStr">
        <is>
          <t>STEADY</t>
        </is>
      </c>
      <c r="G70" s="12" t="inlineStr">
        <is>
          <t>STEADY PT XY/1</t>
        </is>
      </c>
      <c r="H70" s="16" t="n">
        <v>0.07049999999999999</v>
      </c>
      <c r="I70" s="12" t="inlineStr">
        <is>
          <t>7–10%</t>
        </is>
      </c>
    </row>
    <row r="71">
      <c r="A71" s="14" t="inlineStr">
        <is>
          <t>3</t>
        </is>
      </c>
      <c r="B71" s="14" t="inlineStr">
        <is>
          <t>J31112501</t>
        </is>
      </c>
      <c r="C71" s="14" t="inlineStr">
        <is>
          <t>Jokerz 31</t>
        </is>
      </c>
      <c r="D71" s="14" t="inlineStr">
        <is>
          <t>Jokerz 31</t>
        </is>
      </c>
      <c r="E71" s="14">
        <f>IF(C71&lt;&gt;D71,"Да | Yes","Не | No")</f>
        <v/>
      </c>
      <c r="F71" s="14" t="inlineStr">
        <is>
          <t>STEADY</t>
        </is>
      </c>
      <c r="G71" s="14" t="inlineStr">
        <is>
          <t>STEADY Jokerz 31 25/1</t>
        </is>
      </c>
      <c r="H71" s="17" t="n">
        <v>0.25</v>
      </c>
      <c r="I71" s="14" t="inlineStr">
        <is>
          <t>≥ 25%</t>
        </is>
      </c>
    </row>
    <row r="72">
      <c r="A72" s="12" t="inlineStr">
        <is>
          <t>3</t>
        </is>
      </c>
      <c r="B72" s="12" t="inlineStr">
        <is>
          <t>J31122501</t>
        </is>
      </c>
      <c r="C72" s="12" t="inlineStr">
        <is>
          <t>Jokerz 31</t>
        </is>
      </c>
      <c r="D72" s="12" t="inlineStr">
        <is>
          <t>Jokerz 31</t>
        </is>
      </c>
      <c r="E72" s="12">
        <f>IF(C72&lt;&gt;D72,"Да | Yes","Не | No")</f>
        <v/>
      </c>
      <c r="F72" s="12" t="inlineStr">
        <is>
          <t>CAYN</t>
        </is>
      </c>
      <c r="G72" s="12" t="inlineStr">
        <is>
          <t>CAYN JOZ XY/1</t>
        </is>
      </c>
      <c r="H72" s="16" t="n">
        <v>0.2177</v>
      </c>
      <c r="I72" s="12" t="inlineStr">
        <is>
          <t>19–22%</t>
        </is>
      </c>
    </row>
    <row r="73">
      <c r="A73" s="14" t="inlineStr">
        <is>
          <t>3</t>
        </is>
      </c>
      <c r="B73" s="14" t="inlineStr">
        <is>
          <t>JD012601</t>
        </is>
      </c>
      <c r="C73" s="14" t="inlineStr">
        <is>
          <t>Jelly Donuts</t>
        </is>
      </c>
      <c r="D73" s="14" t="inlineStr">
        <is>
          <t>Jelly Donuts</t>
        </is>
      </c>
      <c r="E73" s="14">
        <f>IF(C73&lt;&gt;D73,"Да | Yes","Не | No")</f>
        <v/>
      </c>
      <c r="F73" s="14" t="inlineStr">
        <is>
          <t>CAYN</t>
        </is>
      </c>
      <c r="G73" s="14" t="inlineStr">
        <is>
          <t>CAYN JD XY/1</t>
        </is>
      </c>
      <c r="H73" s="17" t="n">
        <v>0.1816</v>
      </c>
      <c r="I73" s="14" t="inlineStr">
        <is>
          <t>16–19%</t>
        </is>
      </c>
    </row>
    <row r="74">
      <c r="A74" s="12" t="inlineStr">
        <is>
          <t>3</t>
        </is>
      </c>
      <c r="B74" s="12" t="inlineStr">
        <is>
          <t>MB0824_04</t>
        </is>
      </c>
      <c r="C74" s="12" t="inlineStr">
        <is>
          <t>Motor Breath</t>
        </is>
      </c>
      <c r="D74" s="12" t="inlineStr">
        <is>
          <t>NY Diesel</t>
        </is>
      </c>
      <c r="E74" s="12">
        <f>IF(C74&lt;&gt;D74,"Да | Yes","Не | No")</f>
        <v/>
      </c>
      <c r="F74" s="12" t="inlineStr">
        <is>
          <t>CAYN</t>
        </is>
      </c>
      <c r="G74" s="12" t="inlineStr">
        <is>
          <t>CAYN NYD XY/1</t>
        </is>
      </c>
      <c r="H74" s="16" t="n">
        <v>0.1867</v>
      </c>
      <c r="I74" s="12" t="inlineStr">
        <is>
          <t>16–19%</t>
        </is>
      </c>
    </row>
    <row r="75">
      <c r="A75" s="14" t="inlineStr">
        <is>
          <t>3</t>
        </is>
      </c>
      <c r="B75" s="14" t="inlineStr">
        <is>
          <t>OPM052501</t>
        </is>
      </c>
      <c r="C75" s="14" t="inlineStr">
        <is>
          <t>Orange Punch Mimosa</t>
        </is>
      </c>
      <c r="D75" s="14" t="inlineStr">
        <is>
          <t>Citrus Bloom</t>
        </is>
      </c>
      <c r="E75" s="14">
        <f>IF(C75&lt;&gt;D75,"Да | Yes","Не | No")</f>
        <v/>
      </c>
      <c r="F75" s="14" t="inlineStr">
        <is>
          <t>STEADY</t>
        </is>
      </c>
      <c r="G75" s="14" t="inlineStr">
        <is>
          <t>STEADY CB XY/1</t>
        </is>
      </c>
      <c r="H75" s="17" t="n">
        <v>0.1416</v>
      </c>
      <c r="I75" s="14" t="inlineStr">
        <is>
          <t>13–16%</t>
        </is>
      </c>
    </row>
    <row r="76">
      <c r="A76" s="12" t="inlineStr">
        <is>
          <t>3</t>
        </is>
      </c>
      <c r="B76" s="12" t="inlineStr">
        <is>
          <t>OPM112501</t>
        </is>
      </c>
      <c r="C76" s="12" t="inlineStr">
        <is>
          <t>Orange Punch Mimosa</t>
        </is>
      </c>
      <c r="D76" s="12" t="inlineStr">
        <is>
          <t>Soft Citrus Bloom</t>
        </is>
      </c>
      <c r="E76" s="12">
        <f>IF(C76&lt;&gt;D76,"Да | Yes","Не | No")</f>
        <v/>
      </c>
      <c r="F76" s="12" t="inlineStr">
        <is>
          <t>STEADY</t>
        </is>
      </c>
      <c r="G76" s="12" t="inlineStr">
        <is>
          <t>STEADY SCB XY/1</t>
        </is>
      </c>
      <c r="H76" s="16" t="n">
        <v>0.08</v>
      </c>
      <c r="I76" s="12" t="inlineStr">
        <is>
          <t>7–10%</t>
        </is>
      </c>
    </row>
    <row r="77">
      <c r="A77" s="14" t="inlineStr">
        <is>
          <t>3</t>
        </is>
      </c>
      <c r="B77" s="14" t="inlineStr">
        <is>
          <t>PM072501</t>
        </is>
      </c>
      <c r="C77" s="14" t="inlineStr">
        <is>
          <t>Permanent Marker</t>
        </is>
      </c>
      <c r="D77" s="14" t="inlineStr">
        <is>
          <t>Formula 1</t>
        </is>
      </c>
      <c r="E77" s="14">
        <f>IF(C77&lt;&gt;D77,"Да | Yes","Не | No")</f>
        <v/>
      </c>
      <c r="F77" s="14" t="inlineStr">
        <is>
          <t>STEADY</t>
        </is>
      </c>
      <c r="G77" s="14" t="inlineStr">
        <is>
          <t>STEADY F1 XY/1</t>
        </is>
      </c>
      <c r="H77" s="17" t="n">
        <v>0.1001</v>
      </c>
      <c r="I77" s="14" t="inlineStr">
        <is>
          <t>10–13%</t>
        </is>
      </c>
    </row>
    <row r="78">
      <c r="A78" s="12" t="inlineStr">
        <is>
          <t>3</t>
        </is>
      </c>
      <c r="B78" s="12" t="inlineStr">
        <is>
          <t>SCR012601</t>
        </is>
      </c>
      <c r="C78" s="12" t="inlineStr">
        <is>
          <t>Scrambler</t>
        </is>
      </c>
      <c r="D78" s="12" t="inlineStr">
        <is>
          <t>Scrambler</t>
        </is>
      </c>
      <c r="E78" s="12">
        <f>IF(C78&lt;&gt;D78,"Да | Yes","Не | No")</f>
        <v/>
      </c>
      <c r="F78" s="12" t="inlineStr">
        <is>
          <t>CAYN</t>
        </is>
      </c>
      <c r="G78" s="12" t="inlineStr">
        <is>
          <t>CAYN SCR XY/1</t>
        </is>
      </c>
      <c r="H78" s="16" t="n">
        <v>0.1807</v>
      </c>
      <c r="I78" s="12" t="inlineStr">
        <is>
          <t>16–19%</t>
        </is>
      </c>
    </row>
    <row r="79">
      <c r="A79" s="14" t="inlineStr">
        <is>
          <t>3</t>
        </is>
      </c>
      <c r="B79" s="14" t="inlineStr">
        <is>
          <t>SCR022601</t>
        </is>
      </c>
      <c r="C79" s="14" t="inlineStr">
        <is>
          <t>Scrambler</t>
        </is>
      </c>
      <c r="D79" s="14" t="inlineStr">
        <is>
          <t>Rainbow Sherbet</t>
        </is>
      </c>
      <c r="E79" s="14">
        <f>IF(C79&lt;&gt;D79,"Да | Yes","Не | No")</f>
        <v/>
      </c>
      <c r="F79" s="14" t="inlineStr">
        <is>
          <t>STEADY</t>
        </is>
      </c>
      <c r="G79" s="14" t="inlineStr">
        <is>
          <t>STEADY RS XY/1</t>
        </is>
      </c>
      <c r="H79" s="17" t="n">
        <v>0.16</v>
      </c>
      <c r="I79" s="14" t="inlineStr">
        <is>
          <t>16–19%</t>
        </is>
      </c>
    </row>
    <row r="80">
      <c r="A80" s="12" t="inlineStr">
        <is>
          <t>3</t>
        </is>
      </c>
      <c r="B80" s="12" t="inlineStr">
        <is>
          <t>SJ102501</t>
        </is>
      </c>
      <c r="C80" s="12" t="inlineStr">
        <is>
          <t>Sleepy Joe</t>
        </is>
      </c>
      <c r="D80" s="12" t="inlineStr">
        <is>
          <t>Sleepy Joe</t>
        </is>
      </c>
      <c r="E80" s="12">
        <f>IF(C80&lt;&gt;D80,"Да | Yes","Не | No")</f>
        <v/>
      </c>
      <c r="F80" s="12" t="inlineStr">
        <is>
          <t>STEADY</t>
        </is>
      </c>
      <c r="G80" s="12" t="inlineStr">
        <is>
          <t>STEADY SJ XY/1</t>
        </is>
      </c>
      <c r="H80" s="16" t="n">
        <v>0.112</v>
      </c>
      <c r="I80" s="12" t="inlineStr">
        <is>
          <t>10–13%</t>
        </is>
      </c>
    </row>
    <row r="81">
      <c r="A81" s="14" t="inlineStr">
        <is>
          <t>3</t>
        </is>
      </c>
      <c r="B81" s="14" t="inlineStr">
        <is>
          <t>SJ112501</t>
        </is>
      </c>
      <c r="C81" s="14" t="inlineStr">
        <is>
          <t>Sleepy Joe</t>
        </is>
      </c>
      <c r="D81" s="14" t="inlineStr">
        <is>
          <t>Calmino</t>
        </is>
      </c>
      <c r="E81" s="14">
        <f>IF(C81&lt;&gt;D81,"Да | Yes","Не | No")</f>
        <v/>
      </c>
      <c r="F81" s="14" t="inlineStr">
        <is>
          <t>CAYN</t>
        </is>
      </c>
      <c r="G81" s="14" t="inlineStr">
        <is>
          <t>CAYN CAL XY/1</t>
        </is>
      </c>
      <c r="H81" s="17" t="n">
        <v>0.09</v>
      </c>
      <c r="I81" s="14" t="inlineStr">
        <is>
          <t>7–10%</t>
        </is>
      </c>
    </row>
    <row r="82">
      <c r="A82" s="12" t="inlineStr">
        <is>
          <t>3</t>
        </is>
      </c>
      <c r="B82" s="12" t="inlineStr">
        <is>
          <t>WC072501</t>
        </is>
      </c>
      <c r="C82" s="12" t="inlineStr">
        <is>
          <t>Wedding Crusher</t>
        </is>
      </c>
      <c r="D82" s="12" t="inlineStr">
        <is>
          <t>Wedding Crusher</t>
        </is>
      </c>
      <c r="E82" s="12">
        <f>IF(C82&lt;&gt;D82,"Да | Yes","Не | No")</f>
        <v/>
      </c>
      <c r="F82" s="12" t="inlineStr">
        <is>
          <t>CAYN</t>
        </is>
      </c>
      <c r="G82" s="12" t="inlineStr">
        <is>
          <t>CAYN Wedding Crusher 22/1</t>
        </is>
      </c>
      <c r="H82" s="16" t="n">
        <v>0.2211</v>
      </c>
      <c r="I82" s="12" t="inlineStr">
        <is>
          <t>22–25%</t>
        </is>
      </c>
    </row>
    <row r="83">
      <c r="A83" s="14" t="inlineStr">
        <is>
          <t>3</t>
        </is>
      </c>
      <c r="B83" s="14" t="inlineStr">
        <is>
          <t>WED102501</t>
        </is>
      </c>
      <c r="C83" s="14" t="inlineStr">
        <is>
          <t>Wedding Cake</t>
        </is>
      </c>
      <c r="D83" s="14" t="inlineStr">
        <is>
          <t>Tropic Cake</t>
        </is>
      </c>
      <c r="E83" s="14">
        <f>IF(C83&lt;&gt;D83,"Да | Yes","Не | No")</f>
        <v/>
      </c>
      <c r="F83" s="14" t="inlineStr">
        <is>
          <t>STEADY</t>
        </is>
      </c>
      <c r="G83" s="14" t="inlineStr">
        <is>
          <t>STEADY Tropic Cake XY/1</t>
        </is>
      </c>
      <c r="H83" s="17" t="n">
        <v>0.2205</v>
      </c>
      <c r="I83" s="14" t="inlineStr">
        <is>
          <t>22–25%</t>
        </is>
      </c>
    </row>
  </sheetData>
  <mergeCells count="3">
    <mergeCell ref="A1:I1"/>
    <mergeCell ref="A3:I3"/>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8"/>
  <sheetViews>
    <sheetView showGridLines="0" workbookViewId="0">
      <pane ySplit="5" topLeftCell="A6" activePane="bottomLeft" state="frozen"/>
      <selection pane="bottomLeft" activeCell="A1" sqref="A1"/>
    </sheetView>
  </sheetViews>
  <sheetFormatPr baseColWidth="8" defaultRowHeight="15"/>
  <cols>
    <col width="20" customWidth="1" min="1" max="1"/>
    <col width="8" customWidth="1" min="2" max="2"/>
    <col width="12" customWidth="1" min="3" max="3"/>
    <col width="14" customWidth="1" min="4" max="4"/>
    <col width="13" customWidth="1" min="5" max="5"/>
    <col width="13" customWidth="1" min="6" max="6"/>
    <col width="11" customWidth="1" min="7" max="7"/>
    <col width="40" customWidth="1" min="8" max="8"/>
    <col width="22" customWidth="1" min="9" max="9"/>
    <col width="46" customWidth="1" min="10" max="10"/>
  </cols>
  <sheetData>
    <row r="1" ht="26" customHeight="1">
      <c r="A1" s="8" t="inlineStr">
        <is>
          <t>Атлас — предложени класи по оригинално име</t>
        </is>
      </c>
    </row>
    <row r="2">
      <c r="A2" s="9" t="inlineStr">
        <is>
          <t>Atlas — Proposed Grades by Original Name</t>
        </is>
      </c>
    </row>
    <row r="3" ht="32" customHeight="1">
      <c r="A3" s="10" t="inlineStr">
        <is>
          <t>Класите на Атласот на потенција (номинала ± толеранција), директно од potency_dataset.json. Секоја серија ја носи декларацијата на својата класа. Соседните класи на иста сорта немаат празен простор меѓу себе, освен кога тоа е означено во „Забелешка“.  |  The Potency Atlas's grades (nominal ± tolerance), straight from potency_dataset.json. Every batch carries its tier's declaration. Adjacent tiers of the same strain carry no blind gap between them, except where flagged in "Note".</t>
        </is>
      </c>
    </row>
    <row r="5" ht="30" customHeight="1">
      <c r="A5" s="11" t="inlineStr">
        <is>
          <t>Сорта | Strain</t>
        </is>
      </c>
      <c r="B5" s="11" t="inlineStr">
        <is>
          <t>Класа | Tier</t>
        </is>
      </c>
      <c r="C5" s="11" t="inlineStr">
        <is>
          <t>Номинала % | Nominal %</t>
        </is>
      </c>
      <c r="D5" s="11" t="inlineStr">
        <is>
          <t>Толеранција % | Tolerance %</t>
        </is>
      </c>
      <c r="E5" s="11" t="inlineStr">
        <is>
          <t>Опсег — долно | Range — low</t>
        </is>
      </c>
      <c r="F5" s="11" t="inlineStr">
        <is>
          <t>Опсег — горно | Range — high</t>
        </is>
      </c>
      <c r="G5" s="11" t="inlineStr">
        <is>
          <t>Бр. серии | # Batches</t>
        </is>
      </c>
      <c r="H5" s="11" t="inlineStr">
        <is>
          <t>Серии | Batches</t>
        </is>
      </c>
      <c r="I5" s="11" t="inlineStr">
        <is>
          <t>Основа | Basis</t>
        </is>
      </c>
      <c r="J5" s="11" t="inlineStr">
        <is>
          <t>Забелешка | Note</t>
        </is>
      </c>
    </row>
    <row r="6">
      <c r="A6" s="12" t="inlineStr">
        <is>
          <t>Amnesia Core Cut</t>
        </is>
      </c>
      <c r="B6" s="12" t="inlineStr">
        <is>
          <t>Pot.-1</t>
        </is>
      </c>
      <c r="C6" s="13" t="n">
        <v>13</v>
      </c>
      <c r="D6" s="13" t="n">
        <v>1.3</v>
      </c>
      <c r="E6" s="13" t="n">
        <v>11.7</v>
      </c>
      <c r="F6" s="13" t="n">
        <v>14.3</v>
      </c>
      <c r="G6" s="12" t="n">
        <v>1</v>
      </c>
      <c r="H6" s="12" t="inlineStr">
        <is>
          <t>ACC102501</t>
        </is>
      </c>
      <c r="I6" s="12" t="inlineStr">
        <is>
          <t>ПРОВИЗОРНО | PROVISIONAL</t>
        </is>
      </c>
      <c r="J6" s="12" t="inlineStr"/>
    </row>
    <row r="7">
      <c r="A7" s="14" t="inlineStr">
        <is>
          <t>Apple and Banana</t>
        </is>
      </c>
      <c r="B7" s="14" t="inlineStr">
        <is>
          <t>Pot.-1</t>
        </is>
      </c>
      <c r="C7" s="15" t="n">
        <v>17</v>
      </c>
      <c r="D7" s="15" t="n">
        <v>1.7</v>
      </c>
      <c r="E7" s="15" t="n">
        <v>15.3</v>
      </c>
      <c r="F7" s="15" t="n">
        <v>18.7</v>
      </c>
      <c r="G7" s="14" t="n">
        <v>1</v>
      </c>
      <c r="H7" s="14" t="inlineStr">
        <is>
          <t>AB092501</t>
        </is>
      </c>
      <c r="I7" s="14" t="inlineStr">
        <is>
          <t>ДЕФИНИТИВНО | DEFINITIVE</t>
        </is>
      </c>
      <c r="J7" s="14" t="inlineStr"/>
    </row>
    <row r="8">
      <c r="A8" s="12" t="inlineStr">
        <is>
          <t>Blue Gelato</t>
        </is>
      </c>
      <c r="B8" s="12" t="inlineStr">
        <is>
          <t>Pot.-1</t>
        </is>
      </c>
      <c r="C8" s="13" t="n">
        <v>26</v>
      </c>
      <c r="D8" s="13" t="n">
        <v>2.6</v>
      </c>
      <c r="E8" s="13" t="n">
        <v>23.4</v>
      </c>
      <c r="F8" s="13" t="n">
        <v>28.6</v>
      </c>
      <c r="G8" s="12" t="n">
        <v>1</v>
      </c>
      <c r="H8" s="12" t="inlineStr">
        <is>
          <t>BG1024</t>
        </is>
      </c>
      <c r="I8" s="12" t="inlineStr">
        <is>
          <t>ДЕФИНИТИВНО | DEFINITIVE</t>
        </is>
      </c>
      <c r="J8" s="12" t="inlineStr"/>
    </row>
    <row r="9">
      <c r="A9" s="14" t="inlineStr">
        <is>
          <t>Blue Sunset Sherbet</t>
        </is>
      </c>
      <c r="B9" s="14" t="inlineStr">
        <is>
          <t>Pot.-1</t>
        </is>
      </c>
      <c r="C9" s="15" t="n">
        <v>20.5</v>
      </c>
      <c r="D9" s="15" t="n">
        <v>1.54</v>
      </c>
      <c r="E9" s="15" t="n">
        <v>18.96</v>
      </c>
      <c r="F9" s="15" t="n">
        <v>22.04</v>
      </c>
      <c r="G9" s="14" t="n">
        <v>1</v>
      </c>
      <c r="H9" s="14" t="inlineStr">
        <is>
          <t>BSS052501</t>
        </is>
      </c>
      <c r="I9" s="14" t="inlineStr">
        <is>
          <t>ДЕФИНИТИВНО | DEFINITIVE</t>
        </is>
      </c>
      <c r="J9" s="14" t="inlineStr"/>
    </row>
    <row r="10">
      <c r="A10" s="12" t="inlineStr">
        <is>
          <t>Blue Sunset Sherbet</t>
        </is>
      </c>
      <c r="B10" s="12" t="inlineStr">
        <is>
          <t>Pot.-2</t>
        </is>
      </c>
      <c r="C10" s="13" t="n">
        <v>24.5</v>
      </c>
      <c r="D10" s="13" t="n">
        <v>2.45</v>
      </c>
      <c r="E10" s="13" t="n">
        <v>22.05</v>
      </c>
      <c r="F10" s="13" t="n">
        <v>26.95</v>
      </c>
      <c r="G10" s="12" t="n">
        <v>2</v>
      </c>
      <c r="H10" s="12" t="inlineStr">
        <is>
          <t>BSS1024_01/1, BSS1024</t>
        </is>
      </c>
      <c r="I10" s="12" t="inlineStr">
        <is>
          <t>ДЕФИНИТИВНО | DEFINITIVE</t>
        </is>
      </c>
      <c r="J10" s="12" t="inlineStr"/>
    </row>
    <row r="11">
      <c r="A11" s="14" t="inlineStr">
        <is>
          <t>Cap Junky</t>
        </is>
      </c>
      <c r="B11" s="14" t="inlineStr">
        <is>
          <t>Pot.-1</t>
        </is>
      </c>
      <c r="C11" s="15" t="n">
        <v>16</v>
      </c>
      <c r="D11" s="15" t="n">
        <v>1.3</v>
      </c>
      <c r="E11" s="15" t="n">
        <v>14.7</v>
      </c>
      <c r="F11" s="15" t="n">
        <v>17.3</v>
      </c>
      <c r="G11" s="14" t="n">
        <v>1</v>
      </c>
      <c r="H11" s="14" t="inlineStr">
        <is>
          <t>CJ052501/02</t>
        </is>
      </c>
      <c r="I11" s="14" t="inlineStr">
        <is>
          <t>ДЕФИНИТИВНО | DEFINITIVE</t>
        </is>
      </c>
      <c r="J11" s="14" t="inlineStr"/>
    </row>
    <row r="12">
      <c r="A12" s="12" t="inlineStr">
        <is>
          <t>Cap Junky</t>
        </is>
      </c>
      <c r="B12" s="12" t="inlineStr">
        <is>
          <t>Pot.-2</t>
        </is>
      </c>
      <c r="C12" s="13" t="n">
        <v>19</v>
      </c>
      <c r="D12" s="13" t="n">
        <v>1.69</v>
      </c>
      <c r="E12" s="13" t="n">
        <v>17.31</v>
      </c>
      <c r="F12" s="13" t="n">
        <v>20.69</v>
      </c>
      <c r="G12" s="12" t="n">
        <v>2</v>
      </c>
      <c r="H12" s="12" t="inlineStr">
        <is>
          <t>CJ082501/2, CJ062501/2</t>
        </is>
      </c>
      <c r="I12" s="12" t="inlineStr">
        <is>
          <t>ДЕФИНИТИВНО | DEFINITIVE</t>
        </is>
      </c>
      <c r="J12" s="12" t="inlineStr"/>
    </row>
    <row r="13">
      <c r="A13" s="14" t="inlineStr">
        <is>
          <t>Cap Junky</t>
        </is>
      </c>
      <c r="B13" s="14" t="inlineStr">
        <is>
          <t>Pot.-3</t>
        </is>
      </c>
      <c r="C13" s="15" t="n">
        <v>23</v>
      </c>
      <c r="D13" s="15" t="n">
        <v>2.3</v>
      </c>
      <c r="E13" s="15" t="n">
        <v>20.7</v>
      </c>
      <c r="F13" s="15" t="n">
        <v>25.3</v>
      </c>
      <c r="G13" s="14" t="n">
        <v>6</v>
      </c>
      <c r="H13" s="14" t="inlineStr">
        <is>
          <t>CJ062501/1, CJ092501, CJ1024, CJ072501, CJ052501/01, CJ082501/1</t>
        </is>
      </c>
      <c r="I13" s="14" t="inlineStr">
        <is>
          <t>ДЕФИНИТИВНО | DEFINITIVE</t>
        </is>
      </c>
      <c r="J13" s="14" t="inlineStr"/>
    </row>
    <row r="14">
      <c r="A14" s="12" t="inlineStr">
        <is>
          <t>Cash Cow</t>
        </is>
      </c>
      <c r="B14" s="12" t="inlineStr">
        <is>
          <t>Pot.-1</t>
        </is>
      </c>
      <c r="C14" s="13" t="n">
        <v>13.5</v>
      </c>
      <c r="D14" s="13" t="n">
        <v>1.34</v>
      </c>
      <c r="E14" s="13" t="n">
        <v>12.16</v>
      </c>
      <c r="F14" s="13" t="n">
        <v>14.84</v>
      </c>
      <c r="G14" s="12" t="n">
        <v>2</v>
      </c>
      <c r="H14" s="12" t="inlineStr">
        <is>
          <t>CC012603, CC112501</t>
        </is>
      </c>
      <c r="I14" s="12" t="inlineStr">
        <is>
          <t>ДЕФИНИТИВНО | DEFINITIVE</t>
        </is>
      </c>
      <c r="J14" s="12" t="inlineStr"/>
    </row>
    <row r="15">
      <c r="A15" s="14" t="inlineStr">
        <is>
          <t>Cash Cow</t>
        </is>
      </c>
      <c r="B15" s="14" t="inlineStr">
        <is>
          <t>Pot.-2</t>
        </is>
      </c>
      <c r="C15" s="15" t="n">
        <v>16.5</v>
      </c>
      <c r="D15" s="15" t="n">
        <v>1.65</v>
      </c>
      <c r="E15" s="15" t="n">
        <v>14.85</v>
      </c>
      <c r="F15" s="15" t="n">
        <v>18.15</v>
      </c>
      <c r="G15" s="14" t="n">
        <v>1</v>
      </c>
      <c r="H15" s="14" t="inlineStr">
        <is>
          <t>CC012601/1</t>
        </is>
      </c>
      <c r="I15" s="14" t="inlineStr">
        <is>
          <t>ДЕФИНИТИВНО | DEFINITIVE</t>
        </is>
      </c>
      <c r="J15" s="14" t="inlineStr"/>
    </row>
    <row r="16">
      <c r="A16" s="12" t="inlineStr">
        <is>
          <t>Chem Flyer</t>
        </is>
      </c>
      <c r="B16" s="12" t="inlineStr">
        <is>
          <t>Pot.-1</t>
        </is>
      </c>
      <c r="C16" s="13" t="n">
        <v>10</v>
      </c>
      <c r="D16" s="13" t="n">
        <v>1</v>
      </c>
      <c r="E16" s="13" t="n">
        <v>9</v>
      </c>
      <c r="F16" s="13" t="n">
        <v>11</v>
      </c>
      <c r="G16" s="12" t="n">
        <v>1</v>
      </c>
      <c r="H16" s="12" t="inlineStr">
        <is>
          <t>CF102501</t>
        </is>
      </c>
      <c r="I16" s="12" t="inlineStr">
        <is>
          <t>ПРОВИЗОРНО | PROVISIONAL</t>
        </is>
      </c>
      <c r="J16" s="12" t="inlineStr"/>
    </row>
    <row r="17">
      <c r="A17" s="14" t="inlineStr">
        <is>
          <t>Clemosa a bud</t>
        </is>
      </c>
      <c r="B17" s="14" t="inlineStr">
        <is>
          <t>Pot.-1</t>
        </is>
      </c>
      <c r="C17" s="15" t="n">
        <v>8</v>
      </c>
      <c r="D17" s="15" t="n">
        <v>0.8</v>
      </c>
      <c r="E17" s="15" t="n">
        <v>7.2</v>
      </c>
      <c r="F17" s="15" t="n">
        <v>8.800000000000001</v>
      </c>
      <c r="G17" s="14" t="n">
        <v>1</v>
      </c>
      <c r="H17" s="14" t="inlineStr">
        <is>
          <t>CLE072501</t>
        </is>
      </c>
      <c r="I17" s="14" t="inlineStr">
        <is>
          <t>ДЕФИНИТИВНО | DEFINITIVE</t>
        </is>
      </c>
      <c r="J17" s="14" t="inlineStr"/>
    </row>
    <row r="18">
      <c r="A18" s="12" t="inlineStr">
        <is>
          <t>Fat Bastard</t>
        </is>
      </c>
      <c r="B18" s="12" t="inlineStr">
        <is>
          <t>Pot.-1</t>
        </is>
      </c>
      <c r="C18" s="13" t="n">
        <v>16</v>
      </c>
      <c r="D18" s="13" t="n">
        <v>1.54</v>
      </c>
      <c r="E18" s="13" t="n">
        <v>14.46</v>
      </c>
      <c r="F18" s="13" t="n">
        <v>17.54</v>
      </c>
      <c r="G18" s="12" t="n">
        <v>2</v>
      </c>
      <c r="H18" s="12" t="inlineStr">
        <is>
          <t>FB012601/1, FB112501</t>
        </is>
      </c>
      <c r="I18" s="12" t="inlineStr">
        <is>
          <t>ДЕФИНИТИВНО | DEFINITIVE</t>
        </is>
      </c>
      <c r="J18" s="12" t="inlineStr"/>
    </row>
    <row r="19">
      <c r="A19" s="14" t="inlineStr">
        <is>
          <t>Fat Bastard</t>
        </is>
      </c>
      <c r="B19" s="14" t="inlineStr">
        <is>
          <t>Pot.-2</t>
        </is>
      </c>
      <c r="C19" s="15" t="n">
        <v>19.5</v>
      </c>
      <c r="D19" s="15" t="n">
        <v>1.95</v>
      </c>
      <c r="E19" s="15" t="n">
        <v>17.55</v>
      </c>
      <c r="F19" s="15" t="n">
        <v>21.45</v>
      </c>
      <c r="G19" s="14" t="n">
        <v>3</v>
      </c>
      <c r="H19" s="14" t="inlineStr">
        <is>
          <t>FB012603V, FB012602, FB012603</t>
        </is>
      </c>
      <c r="I19" s="14" t="inlineStr">
        <is>
          <t>ДЕФИНИТИВНО | DEFINITIVE</t>
        </is>
      </c>
      <c r="J19" s="14" t="inlineStr"/>
    </row>
    <row r="20">
      <c r="A20" s="12" t="inlineStr">
        <is>
          <t>Gorilla Glue</t>
        </is>
      </c>
      <c r="B20" s="12" t="inlineStr">
        <is>
          <t>Pot.-1</t>
        </is>
      </c>
      <c r="C20" s="13" t="n">
        <v>14.5</v>
      </c>
      <c r="D20" s="13" t="n">
        <v>1.24</v>
      </c>
      <c r="E20" s="13" t="n">
        <v>13.26</v>
      </c>
      <c r="F20" s="13" t="n">
        <v>15.74</v>
      </c>
      <c r="G20" s="12" t="n">
        <v>2</v>
      </c>
      <c r="H20" s="12" t="inlineStr">
        <is>
          <t>GG1024, GG012601</t>
        </is>
      </c>
      <c r="I20" s="12" t="inlineStr">
        <is>
          <t>ДЕФИНИТИВНО | DEFINITIVE</t>
        </is>
      </c>
      <c r="J20" s="12" t="inlineStr"/>
    </row>
    <row r="21">
      <c r="A21" s="14" t="inlineStr">
        <is>
          <t>Gorilla Glue</t>
        </is>
      </c>
      <c r="B21" s="14" t="inlineStr">
        <is>
          <t>Pot.-2</t>
        </is>
      </c>
      <c r="C21" s="15" t="n">
        <v>17.5</v>
      </c>
      <c r="D21" s="15" t="n">
        <v>1.75</v>
      </c>
      <c r="E21" s="15" t="n">
        <v>15.75</v>
      </c>
      <c r="F21" s="15" t="n">
        <v>19.25</v>
      </c>
      <c r="G21" s="14" t="n">
        <v>4</v>
      </c>
      <c r="H21" s="14" t="inlineStr">
        <is>
          <t>GG1024_02, GG012603, GG112501, GG1024_01</t>
        </is>
      </c>
      <c r="I21" s="14" t="inlineStr">
        <is>
          <t>ДЕФИНИТИВНО | DEFINITIVE</t>
        </is>
      </c>
      <c r="J21" s="14" t="inlineStr"/>
    </row>
    <row r="22">
      <c r="A22" s="12" t="inlineStr">
        <is>
          <t>Grape Pie</t>
        </is>
      </c>
      <c r="B22" s="12" t="inlineStr">
        <is>
          <t>Pot.-1</t>
        </is>
      </c>
      <c r="C22" s="13" t="n">
        <v>17</v>
      </c>
      <c r="D22" s="13" t="n">
        <v>1.5</v>
      </c>
      <c r="E22" s="13" t="n">
        <v>15.5</v>
      </c>
      <c r="F22" s="13" t="n">
        <v>18.5</v>
      </c>
      <c r="G22" s="12" t="n">
        <v>1</v>
      </c>
      <c r="H22" s="12" t="inlineStr">
        <is>
          <t>GP082501/2</t>
        </is>
      </c>
      <c r="I22" s="12" t="inlineStr">
        <is>
          <t>ДЕФИНИТИВНО | DEFINITIVE</t>
        </is>
      </c>
      <c r="J22" s="12" t="inlineStr"/>
    </row>
    <row r="23">
      <c r="A23" s="14" t="inlineStr">
        <is>
          <t>Grape Pie</t>
        </is>
      </c>
      <c r="B23" s="14" t="inlineStr">
        <is>
          <t>Pot.-2</t>
        </is>
      </c>
      <c r="C23" s="15" t="n">
        <v>20.5</v>
      </c>
      <c r="D23" s="15" t="n">
        <v>1.99</v>
      </c>
      <c r="E23" s="15" t="n">
        <v>18.51</v>
      </c>
      <c r="F23" s="15" t="n">
        <v>22.49</v>
      </c>
      <c r="G23" s="14" t="n">
        <v>4</v>
      </c>
      <c r="H23" s="14" t="inlineStr">
        <is>
          <t>GP052501, GP072501/2, GP082501/1, GP072501/1</t>
        </is>
      </c>
      <c r="I23" s="14" t="inlineStr">
        <is>
          <t>ДЕФИНИТИВНО | DEFINITIVE</t>
        </is>
      </c>
      <c r="J23" s="14" t="inlineStr"/>
    </row>
    <row r="24">
      <c r="A24" s="12" t="inlineStr">
        <is>
          <t>Grape Pie</t>
        </is>
      </c>
      <c r="B24" s="12" t="inlineStr">
        <is>
          <t>Pot.-3</t>
        </is>
      </c>
      <c r="C24" s="13" t="n">
        <v>25</v>
      </c>
      <c r="D24" s="13" t="n">
        <v>2.5</v>
      </c>
      <c r="E24" s="13" t="n">
        <v>22.5</v>
      </c>
      <c r="F24" s="13" t="n">
        <v>27.5</v>
      </c>
      <c r="G24" s="12" t="n">
        <v>4</v>
      </c>
      <c r="H24" s="12" t="inlineStr">
        <is>
          <t>GP0824_02, GP062501, GP0824_03, GP092501</t>
        </is>
      </c>
      <c r="I24" s="12" t="inlineStr">
        <is>
          <t>ДЕФИНИТИВНО | DEFINITIVE</t>
        </is>
      </c>
      <c r="J24" s="12" t="inlineStr"/>
    </row>
    <row r="25">
      <c r="A25" s="14" t="inlineStr">
        <is>
          <t>Graps &amp; Creme</t>
        </is>
      </c>
      <c r="B25" s="14" t="inlineStr">
        <is>
          <t>Pot.-1</t>
        </is>
      </c>
      <c r="C25" s="15" t="n">
        <v>7</v>
      </c>
      <c r="D25" s="15" t="n">
        <v>0.7</v>
      </c>
      <c r="E25" s="15" t="n">
        <v>6.3</v>
      </c>
      <c r="F25" s="15" t="n">
        <v>7.7</v>
      </c>
      <c r="G25" s="14" t="n">
        <v>1</v>
      </c>
      <c r="H25" s="14" t="inlineStr">
        <is>
          <t>GRC102501/1</t>
        </is>
      </c>
      <c r="I25" s="14" t="inlineStr">
        <is>
          <t>ПРОВИЗОРНО | PROVISIONAL</t>
        </is>
      </c>
      <c r="J25" s="14" t="inlineStr">
        <is>
          <t>НЕМА КЛАСА 7.70%–10.35% | NO GRADE 7.70%–10.35%</t>
        </is>
      </c>
    </row>
    <row r="26">
      <c r="A26" s="12" t="inlineStr">
        <is>
          <t>Graps &amp; Creme</t>
        </is>
      </c>
      <c r="B26" s="12" t="inlineStr">
        <is>
          <t>Pot.-2</t>
        </is>
      </c>
      <c r="C26" s="13" t="n">
        <v>11.5</v>
      </c>
      <c r="D26" s="13" t="n">
        <v>1.15</v>
      </c>
      <c r="E26" s="13" t="n">
        <v>10.35</v>
      </c>
      <c r="F26" s="13" t="n">
        <v>12.65</v>
      </c>
      <c r="G26" s="12" t="n">
        <v>1</v>
      </c>
      <c r="H26" s="12" t="inlineStr">
        <is>
          <t>GRC102501/2</t>
        </is>
      </c>
      <c r="I26" s="12" t="inlineStr">
        <is>
          <t>ДЕФИНИТИВНО | DEFINITIVE</t>
        </is>
      </c>
      <c r="J26" s="12" t="inlineStr"/>
    </row>
    <row r="27">
      <c r="A27" s="14" t="inlineStr">
        <is>
          <t>High Pro Amnesia</t>
        </is>
      </c>
      <c r="B27" s="14" t="inlineStr">
        <is>
          <t>Pot.-1</t>
        </is>
      </c>
      <c r="C27" s="15" t="n">
        <v>17.5</v>
      </c>
      <c r="D27" s="15" t="n">
        <v>1.39</v>
      </c>
      <c r="E27" s="15" t="n">
        <v>16.11</v>
      </c>
      <c r="F27" s="15" t="n">
        <v>18.89</v>
      </c>
      <c r="G27" s="14" t="n">
        <v>1</v>
      </c>
      <c r="H27" s="14" t="inlineStr">
        <is>
          <t>HPA1024</t>
        </is>
      </c>
      <c r="I27" s="14" t="inlineStr">
        <is>
          <t>ДЕФИНИТИВНО | DEFINITIVE</t>
        </is>
      </c>
      <c r="J27" s="14" t="inlineStr"/>
    </row>
    <row r="28">
      <c r="A28" s="12" t="inlineStr">
        <is>
          <t>High Pro Amnesia</t>
        </is>
      </c>
      <c r="B28" s="12" t="inlineStr">
        <is>
          <t>Pot.-2</t>
        </is>
      </c>
      <c r="C28" s="13" t="n">
        <v>21</v>
      </c>
      <c r="D28" s="13" t="n">
        <v>2.1</v>
      </c>
      <c r="E28" s="13" t="n">
        <v>18.9</v>
      </c>
      <c r="F28" s="13" t="n">
        <v>23.1</v>
      </c>
      <c r="G28" s="12" t="n">
        <v>2</v>
      </c>
      <c r="H28" s="12" t="inlineStr">
        <is>
          <t>HPA052501, HPA1024_01</t>
        </is>
      </c>
      <c r="I28" s="12" t="inlineStr">
        <is>
          <t>ДЕФИНИТИВНО | DEFINITIVE</t>
        </is>
      </c>
      <c r="J28" s="12" t="inlineStr"/>
    </row>
    <row r="29">
      <c r="A29" s="14" t="inlineStr">
        <is>
          <t>Jelly Donutz</t>
        </is>
      </c>
      <c r="B29" s="14" t="inlineStr">
        <is>
          <t>Pot.-1</t>
        </is>
      </c>
      <c r="C29" s="15" t="n">
        <v>16.5</v>
      </c>
      <c r="D29" s="15" t="n">
        <v>1.49</v>
      </c>
      <c r="E29" s="15" t="n">
        <v>15.01</v>
      </c>
      <c r="F29" s="15" t="n">
        <v>17.99</v>
      </c>
      <c r="G29" s="14" t="n">
        <v>2</v>
      </c>
      <c r="H29" s="14" t="inlineStr">
        <is>
          <t>JD012603/02V, JD012603/01</t>
        </is>
      </c>
      <c r="I29" s="14" t="inlineStr">
        <is>
          <t>ДЕФИНИТИВНО | DEFINITIVE</t>
        </is>
      </c>
      <c r="J29" s="14" t="inlineStr"/>
    </row>
    <row r="30">
      <c r="A30" s="12" t="inlineStr">
        <is>
          <t>Jelly Donutz</t>
        </is>
      </c>
      <c r="B30" s="12" t="inlineStr">
        <is>
          <t>Pot.-2</t>
        </is>
      </c>
      <c r="C30" s="13" t="n">
        <v>20</v>
      </c>
      <c r="D30" s="13" t="n">
        <v>2</v>
      </c>
      <c r="E30" s="13" t="n">
        <v>18</v>
      </c>
      <c r="F30" s="13" t="n">
        <v>22</v>
      </c>
      <c r="G30" s="12" t="n">
        <v>3</v>
      </c>
      <c r="H30" s="12" t="inlineStr">
        <is>
          <t>JD012601, JD112501, JD012603/02</t>
        </is>
      </c>
      <c r="I30" s="12" t="inlineStr">
        <is>
          <t>ДЕФИНИТИВНО | DEFINITIVE</t>
        </is>
      </c>
      <c r="J30" s="12" t="inlineStr"/>
    </row>
    <row r="31">
      <c r="A31" s="14" t="inlineStr">
        <is>
          <t>Jokerz 31</t>
        </is>
      </c>
      <c r="B31" s="14" t="inlineStr">
        <is>
          <t>Pot.-1</t>
        </is>
      </c>
      <c r="C31" s="15" t="n">
        <v>17.5</v>
      </c>
      <c r="D31" s="15" t="n">
        <v>1.39</v>
      </c>
      <c r="E31" s="15" t="n">
        <v>16.11</v>
      </c>
      <c r="F31" s="15" t="n">
        <v>18.89</v>
      </c>
      <c r="G31" s="14" t="n">
        <v>1</v>
      </c>
      <c r="H31" s="14" t="inlineStr">
        <is>
          <t>J31102501</t>
        </is>
      </c>
      <c r="I31" s="14" t="inlineStr">
        <is>
          <t>ДЕФИНИТИВНО | DEFINITIVE</t>
        </is>
      </c>
      <c r="J31" s="14" t="inlineStr"/>
    </row>
    <row r="32">
      <c r="A32" s="12" t="inlineStr">
        <is>
          <t>Jokerz 31</t>
        </is>
      </c>
      <c r="B32" s="12" t="inlineStr">
        <is>
          <t>Pot.-2</t>
        </is>
      </c>
      <c r="C32" s="13" t="n">
        <v>21</v>
      </c>
      <c r="D32" s="13" t="n">
        <v>2.1</v>
      </c>
      <c r="E32" s="13" t="n">
        <v>18.9</v>
      </c>
      <c r="F32" s="13" t="n">
        <v>23.1</v>
      </c>
      <c r="G32" s="12" t="n">
        <v>2</v>
      </c>
      <c r="H32" s="12" t="inlineStr">
        <is>
          <t>J31112501, J31122501</t>
        </is>
      </c>
      <c r="I32" s="12" t="inlineStr">
        <is>
          <t>ДЕФИНИТИВНО | DEFINITIVE</t>
        </is>
      </c>
      <c r="J32" s="12" t="inlineStr"/>
    </row>
    <row r="33">
      <c r="A33" s="14" t="inlineStr">
        <is>
          <t>Kush Crasher</t>
        </is>
      </c>
      <c r="B33" s="14" t="inlineStr">
        <is>
          <t>Pot.-1</t>
        </is>
      </c>
      <c r="C33" s="15" t="n">
        <v>17</v>
      </c>
      <c r="D33" s="15" t="n">
        <v>1.7</v>
      </c>
      <c r="E33" s="15" t="n">
        <v>15.3</v>
      </c>
      <c r="F33" s="15" t="n">
        <v>18.7</v>
      </c>
      <c r="G33" s="14" t="n">
        <v>1</v>
      </c>
      <c r="H33" s="14" t="inlineStr">
        <is>
          <t>KC102501</t>
        </is>
      </c>
      <c r="I33" s="14" t="inlineStr">
        <is>
          <t>ДЕФИНИТИВНО | DEFINITIVE</t>
        </is>
      </c>
      <c r="J33" s="14" t="inlineStr"/>
    </row>
    <row r="34">
      <c r="A34" s="12" t="inlineStr">
        <is>
          <t>Motor Breath</t>
        </is>
      </c>
      <c r="B34" s="12" t="inlineStr">
        <is>
          <t>Pot.-1</t>
        </is>
      </c>
      <c r="C34" s="13" t="n">
        <v>17</v>
      </c>
      <c r="D34" s="13" t="n">
        <v>1.7</v>
      </c>
      <c r="E34" s="13" t="n">
        <v>15.3</v>
      </c>
      <c r="F34" s="13" t="n">
        <v>18.7</v>
      </c>
      <c r="G34" s="12" t="n">
        <v>2</v>
      </c>
      <c r="H34" s="12" t="inlineStr">
        <is>
          <t>MB0824_05, MB0824_04</t>
        </is>
      </c>
      <c r="I34" s="12" t="inlineStr">
        <is>
          <t>ДЕФИНИТИВНО | DEFINITIVE</t>
        </is>
      </c>
      <c r="J34" s="12" t="inlineStr"/>
    </row>
    <row r="35">
      <c r="A35" s="14" t="inlineStr">
        <is>
          <t>Orange Punch Mimosa</t>
        </is>
      </c>
      <c r="B35" s="14" t="inlineStr">
        <is>
          <t>Pot.-1</t>
        </is>
      </c>
      <c r="C35" s="15" t="n">
        <v>8</v>
      </c>
      <c r="D35" s="15" t="n">
        <v>0.54</v>
      </c>
      <c r="E35" s="15" t="n">
        <v>7.46</v>
      </c>
      <c r="F35" s="15" t="n">
        <v>8.539999999999999</v>
      </c>
      <c r="G35" s="14" t="n">
        <v>2</v>
      </c>
      <c r="H35" s="14" t="inlineStr">
        <is>
          <t>OPM122501, OPM112501</t>
        </is>
      </c>
      <c r="I35" s="14" t="inlineStr">
        <is>
          <t>ДЕФИНИТИВНО | DEFINITIVE</t>
        </is>
      </c>
      <c r="J35" s="14" t="inlineStr"/>
    </row>
    <row r="36">
      <c r="A36" s="12" t="inlineStr">
        <is>
          <t>Orange Punch Mimosa</t>
        </is>
      </c>
      <c r="B36" s="12" t="inlineStr">
        <is>
          <t>Pot.-2</t>
        </is>
      </c>
      <c r="C36" s="13" t="n">
        <v>9.5</v>
      </c>
      <c r="D36" s="13" t="n">
        <v>0.95</v>
      </c>
      <c r="E36" s="13" t="n">
        <v>8.550000000000001</v>
      </c>
      <c r="F36" s="13" t="n">
        <v>10.45</v>
      </c>
      <c r="G36" s="12" t="n">
        <v>1</v>
      </c>
      <c r="H36" s="12" t="inlineStr">
        <is>
          <t>OPM092501</t>
        </is>
      </c>
      <c r="I36" s="12" t="inlineStr">
        <is>
          <t>ДЕФИНИТИВНО | DEFINITIVE</t>
        </is>
      </c>
      <c r="J36" s="12" t="inlineStr">
        <is>
          <t>НЕМА КЛАСА 10.45%–13.45% | NO GRADE 10.45%–13.45%</t>
        </is>
      </c>
    </row>
    <row r="37">
      <c r="A37" s="14" t="inlineStr">
        <is>
          <t>Orange Punch Mimosa</t>
        </is>
      </c>
      <c r="B37" s="14" t="inlineStr">
        <is>
          <t>Pot.-3</t>
        </is>
      </c>
      <c r="C37" s="15" t="n">
        <v>14.5</v>
      </c>
      <c r="D37" s="15" t="n">
        <v>1.05</v>
      </c>
      <c r="E37" s="15" t="n">
        <v>13.45</v>
      </c>
      <c r="F37" s="15" t="n">
        <v>15.55</v>
      </c>
      <c r="G37" s="14" t="n">
        <v>2</v>
      </c>
      <c r="H37" s="14" t="inlineStr">
        <is>
          <t>OPM052501, OMP1024_01</t>
        </is>
      </c>
      <c r="I37" s="14" t="inlineStr">
        <is>
          <t>ДЕФИНИТИВНО | DEFINITIVE</t>
        </is>
      </c>
      <c r="J37" s="14" t="inlineStr"/>
    </row>
    <row r="38">
      <c r="A38" s="12" t="inlineStr">
        <is>
          <t>Orange Punch Mimosa</t>
        </is>
      </c>
      <c r="B38" s="12" t="inlineStr">
        <is>
          <t>Pot.-4</t>
        </is>
      </c>
      <c r="C38" s="13" t="n">
        <v>17</v>
      </c>
      <c r="D38" s="13" t="n">
        <v>1.44</v>
      </c>
      <c r="E38" s="13" t="n">
        <v>15.56</v>
      </c>
      <c r="F38" s="13" t="n">
        <v>18.44</v>
      </c>
      <c r="G38" s="12" t="n">
        <v>2</v>
      </c>
      <c r="H38" s="12" t="inlineStr">
        <is>
          <t>OPM1024_03, OPM1024_02</t>
        </is>
      </c>
      <c r="I38" s="12" t="inlineStr">
        <is>
          <t>ДЕФИНИТИВНО | DEFINITIVE</t>
        </is>
      </c>
      <c r="J38" s="12" t="inlineStr"/>
    </row>
    <row r="39">
      <c r="A39" s="14" t="inlineStr">
        <is>
          <t>Orange Punch Mimosa</t>
        </is>
      </c>
      <c r="B39" s="14" t="inlineStr">
        <is>
          <t>Pot.-5</t>
        </is>
      </c>
      <c r="C39" s="15" t="n">
        <v>20.5</v>
      </c>
      <c r="D39" s="15" t="n">
        <v>2.05</v>
      </c>
      <c r="E39" s="15" t="n">
        <v>18.45</v>
      </c>
      <c r="F39" s="15" t="n">
        <v>22.55</v>
      </c>
      <c r="G39" s="14" t="n">
        <v>1</v>
      </c>
      <c r="H39" s="14" t="inlineStr">
        <is>
          <t>OPM1024</t>
        </is>
      </c>
      <c r="I39" s="14" t="inlineStr">
        <is>
          <t>ДЕФИНИТИВНО | DEFINITIVE</t>
        </is>
      </c>
      <c r="J39" s="14" t="inlineStr"/>
    </row>
    <row r="40">
      <c r="A40" s="12" t="inlineStr">
        <is>
          <t>Permanent Marker</t>
        </is>
      </c>
      <c r="B40" s="12" t="inlineStr">
        <is>
          <t>Pot.-1</t>
        </is>
      </c>
      <c r="C40" s="13" t="n">
        <v>10.5</v>
      </c>
      <c r="D40" s="13" t="n">
        <v>0.74</v>
      </c>
      <c r="E40" s="13" t="n">
        <v>9.76</v>
      </c>
      <c r="F40" s="13" t="n">
        <v>11.24</v>
      </c>
      <c r="G40" s="12" t="n">
        <v>1</v>
      </c>
      <c r="H40" s="12" t="inlineStr">
        <is>
          <t>PM072501</t>
        </is>
      </c>
      <c r="I40" s="12" t="inlineStr">
        <is>
          <t>ДЕФИНИТИВНО | DEFINITIVE</t>
        </is>
      </c>
      <c r="J40" s="12" t="inlineStr"/>
    </row>
    <row r="41">
      <c r="A41" s="14" t="inlineStr">
        <is>
          <t>Permanent Marker</t>
        </is>
      </c>
      <c r="B41" s="14" t="inlineStr">
        <is>
          <t>Pot.-2</t>
        </is>
      </c>
      <c r="C41" s="15" t="n">
        <v>12.5</v>
      </c>
      <c r="D41" s="15" t="n">
        <v>1.25</v>
      </c>
      <c r="E41" s="15" t="n">
        <v>11.25</v>
      </c>
      <c r="F41" s="15" t="n">
        <v>13.75</v>
      </c>
      <c r="G41" s="14" t="n">
        <v>2</v>
      </c>
      <c r="H41" s="14" t="inlineStr">
        <is>
          <t>PM092501, PM112501</t>
        </is>
      </c>
      <c r="I41" s="14" t="inlineStr">
        <is>
          <t>ДЕФИНИТИВНО | DEFINITIVE</t>
        </is>
      </c>
      <c r="J41" s="14" t="inlineStr"/>
    </row>
    <row r="42">
      <c r="A42" s="12" t="inlineStr">
        <is>
          <t>Pure Michigen</t>
        </is>
      </c>
      <c r="B42" s="12" t="inlineStr">
        <is>
          <t>Pot.-1</t>
        </is>
      </c>
      <c r="C42" s="13" t="n">
        <v>15.5</v>
      </c>
      <c r="D42" s="13" t="n">
        <v>1.55</v>
      </c>
      <c r="E42" s="13" t="n">
        <v>13.95</v>
      </c>
      <c r="F42" s="13" t="n">
        <v>17.05</v>
      </c>
      <c r="G42" s="12" t="n">
        <v>1</v>
      </c>
      <c r="H42" s="12" t="inlineStr">
        <is>
          <t>PUM102501</t>
        </is>
      </c>
      <c r="I42" s="12" t="inlineStr">
        <is>
          <t>ПРОВИЗОРНО | PROVISIONAL</t>
        </is>
      </c>
      <c r="J42" s="12" t="inlineStr"/>
    </row>
    <row r="43">
      <c r="A43" s="14" t="inlineStr">
        <is>
          <t>Scrambler</t>
        </is>
      </c>
      <c r="B43" s="14" t="inlineStr">
        <is>
          <t>Pot.-1</t>
        </is>
      </c>
      <c r="C43" s="15" t="n">
        <v>18</v>
      </c>
      <c r="D43" s="15" t="n">
        <v>1.79</v>
      </c>
      <c r="E43" s="15" t="n">
        <v>16.21</v>
      </c>
      <c r="F43" s="15" t="n">
        <v>19.79</v>
      </c>
      <c r="G43" s="14" t="n">
        <v>3</v>
      </c>
      <c r="H43" s="14" t="inlineStr">
        <is>
          <t>SCR112501, SCR012603, SCR012601</t>
        </is>
      </c>
      <c r="I43" s="14" t="inlineStr">
        <is>
          <t>ДЕФИНИТИВНО | DEFINITIVE</t>
        </is>
      </c>
      <c r="J43" s="14" t="inlineStr"/>
    </row>
    <row r="44">
      <c r="A44" s="12" t="inlineStr">
        <is>
          <t>Scrambler</t>
        </is>
      </c>
      <c r="B44" s="12" t="inlineStr">
        <is>
          <t>Pot.-2</t>
        </is>
      </c>
      <c r="C44" s="13" t="n">
        <v>22</v>
      </c>
      <c r="D44" s="13" t="n">
        <v>2.2</v>
      </c>
      <c r="E44" s="13" t="n">
        <v>19.8</v>
      </c>
      <c r="F44" s="13" t="n">
        <v>24.2</v>
      </c>
      <c r="G44" s="12" t="n">
        <v>1</v>
      </c>
      <c r="H44" s="12" t="inlineStr">
        <is>
          <t>SCR022601</t>
        </is>
      </c>
      <c r="I44" s="12" t="inlineStr">
        <is>
          <t>ДЕФИНИТИВНО | DEFINITIVE</t>
        </is>
      </c>
      <c r="J44" s="12" t="inlineStr"/>
    </row>
    <row r="45">
      <c r="A45" s="14" t="inlineStr">
        <is>
          <t>Sleepy Joy</t>
        </is>
      </c>
      <c r="B45" s="14" t="inlineStr">
        <is>
          <t>Pot.-1</t>
        </is>
      </c>
      <c r="C45" s="15" t="n">
        <v>9</v>
      </c>
      <c r="D45" s="15" t="n">
        <v>0.89</v>
      </c>
      <c r="E45" s="15" t="n">
        <v>8.109999999999999</v>
      </c>
      <c r="F45" s="15" t="n">
        <v>9.890000000000001</v>
      </c>
      <c r="G45" s="14" t="n">
        <v>1</v>
      </c>
      <c r="H45" s="14" t="inlineStr">
        <is>
          <t>SJ112501</t>
        </is>
      </c>
      <c r="I45" s="14" t="inlineStr">
        <is>
          <t>ДЕФИНИТИВНО | DEFINITIVE</t>
        </is>
      </c>
      <c r="J45" s="14" t="inlineStr"/>
    </row>
    <row r="46">
      <c r="A46" s="12" t="inlineStr">
        <is>
          <t>Sleepy Joy</t>
        </is>
      </c>
      <c r="B46" s="12" t="inlineStr">
        <is>
          <t>Pot.-2</t>
        </is>
      </c>
      <c r="C46" s="13" t="n">
        <v>11</v>
      </c>
      <c r="D46" s="13" t="n">
        <v>1.1</v>
      </c>
      <c r="E46" s="13" t="n">
        <v>9.9</v>
      </c>
      <c r="F46" s="13" t="n">
        <v>12.1</v>
      </c>
      <c r="G46" s="12" t="n">
        <v>2</v>
      </c>
      <c r="H46" s="12" t="inlineStr">
        <is>
          <t>SJ092501, SJ102501</t>
        </is>
      </c>
      <c r="I46" s="12" t="inlineStr">
        <is>
          <t>ДЕФИНИТИВНО | DEFINITIVE</t>
        </is>
      </c>
      <c r="J46" s="12" t="inlineStr"/>
    </row>
    <row r="47">
      <c r="A47" s="14" t="inlineStr">
        <is>
          <t>Wedding Cake</t>
        </is>
      </c>
      <c r="B47" s="14" t="inlineStr">
        <is>
          <t>Pot.-1</t>
        </is>
      </c>
      <c r="C47" s="15" t="n">
        <v>22</v>
      </c>
      <c r="D47" s="15" t="n">
        <v>2.2</v>
      </c>
      <c r="E47" s="15" t="n">
        <v>19.8</v>
      </c>
      <c r="F47" s="15" t="n">
        <v>24.2</v>
      </c>
      <c r="G47" s="14" t="n">
        <v>1</v>
      </c>
      <c r="H47" s="14" t="inlineStr">
        <is>
          <t>WED102501</t>
        </is>
      </c>
      <c r="I47" s="14" t="inlineStr">
        <is>
          <t>ПРОВИЗОРНО | PROVISIONAL</t>
        </is>
      </c>
      <c r="J47" s="14" t="inlineStr"/>
    </row>
    <row r="48">
      <c r="A48" s="12" t="inlineStr">
        <is>
          <t>Wedding Crasher</t>
        </is>
      </c>
      <c r="B48" s="12" t="inlineStr">
        <is>
          <t>Pot.-1</t>
        </is>
      </c>
      <c r="C48" s="13" t="n">
        <v>22</v>
      </c>
      <c r="D48" s="13" t="n">
        <v>2.2</v>
      </c>
      <c r="E48" s="13" t="n">
        <v>19.8</v>
      </c>
      <c r="F48" s="13" t="n">
        <v>24.2</v>
      </c>
      <c r="G48" s="12" t="n">
        <v>2</v>
      </c>
      <c r="H48" s="12" t="inlineStr">
        <is>
          <t>WC082501, WC072501</t>
        </is>
      </c>
      <c r="I48" s="12" t="inlineStr">
        <is>
          <t>ДЕФИНИТИВНО | DEFINITIVE</t>
        </is>
      </c>
      <c r="J48" s="12" t="inlineStr"/>
    </row>
  </sheetData>
  <mergeCells count="3">
    <mergeCell ref="A1:J1"/>
    <mergeCell ref="A3:J3"/>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22" customWidth="1" min="1" max="1"/>
    <col width="8" customWidth="1" min="2" max="2"/>
    <col width="12" customWidth="1" min="3" max="3"/>
    <col width="14" customWidth="1" min="4" max="4"/>
    <col width="13" customWidth="1" min="5" max="5"/>
    <col width="13" customWidth="1" min="6" max="6"/>
    <col width="11" customWidth="1" min="7" max="7"/>
    <col width="40" customWidth="1" min="8" max="8"/>
    <col width="22" customWidth="1" min="9" max="9"/>
    <col width="26" customWidth="1" min="10" max="10"/>
    <col width="46" customWidth="1" min="11" max="11"/>
  </cols>
  <sheetData>
    <row r="1" ht="26" customHeight="1">
      <c r="A1" s="8" t="inlineStr">
        <is>
          <t>Атлас — предложени класи по ново име</t>
        </is>
      </c>
    </row>
    <row r="2">
      <c r="A2" s="9" t="inlineStr">
        <is>
          <t>Atlas — Proposed Grades by New Name</t>
        </is>
      </c>
    </row>
    <row r="3" ht="32" customHeight="1">
      <c r="A3" s="10" t="inlineStr">
        <is>
          <t>Истите докажани опсези, преклучирани по НОВОТО спецификациско име (01_Portfolio_Master). Пресметката е идентична со финалната табела на Атласот.  |  The same evidenced ranges, re-keyed to the NEW specification name (01_Portfolio_Master). Computation is identical to the Atlas's final board.</t>
        </is>
      </c>
    </row>
    <row r="5" ht="30" customHeight="1">
      <c r="A5" s="11" t="inlineStr">
        <is>
          <t>Ново име | New Strain Name</t>
        </is>
      </c>
      <c r="B5" s="11" t="inlineStr">
        <is>
          <t>Класа | Tier</t>
        </is>
      </c>
      <c r="C5" s="11" t="inlineStr">
        <is>
          <t>Номинала % | Nominal %</t>
        </is>
      </c>
      <c r="D5" s="11" t="inlineStr">
        <is>
          <t>Толеранција % | Tolerance %</t>
        </is>
      </c>
      <c r="E5" s="11" t="inlineStr">
        <is>
          <t>Опсег — долно | Range — low</t>
        </is>
      </c>
      <c r="F5" s="11" t="inlineStr">
        <is>
          <t>Опсег — горно | Range — high</t>
        </is>
      </c>
      <c r="G5" s="11" t="inlineStr">
        <is>
          <t>Бр. серии | # Batches</t>
        </is>
      </c>
      <c r="H5" s="11" t="inlineStr">
        <is>
          <t>Серии | Batches</t>
        </is>
      </c>
      <c r="I5" s="11" t="inlineStr">
        <is>
          <t>Основа | Basis</t>
        </is>
      </c>
      <c r="J5" s="11" t="inlineStr">
        <is>
          <t>Оригинално(и) име(иња) | Original name(s)</t>
        </is>
      </c>
      <c r="K5" s="11" t="inlineStr">
        <is>
          <t>Забелешка | Note</t>
        </is>
      </c>
    </row>
    <row r="6">
      <c r="A6" s="12" t="inlineStr">
        <is>
          <t>Amnesia Core</t>
        </is>
      </c>
      <c r="B6" s="12" t="inlineStr">
        <is>
          <t>Pot.-1</t>
        </is>
      </c>
      <c r="C6" s="13" t="n">
        <v>13</v>
      </c>
      <c r="D6" s="13" t="n">
        <v>1.3</v>
      </c>
      <c r="E6" s="13" t="n">
        <v>11.7</v>
      </c>
      <c r="F6" s="13" t="n">
        <v>14.3</v>
      </c>
      <c r="G6" s="12" t="n">
        <v>1</v>
      </c>
      <c r="H6" s="12" t="inlineStr">
        <is>
          <t>ACC102501</t>
        </is>
      </c>
      <c r="I6" s="12" t="inlineStr">
        <is>
          <t>ПРОВИЗОРНО | PROVISIONAL</t>
        </is>
      </c>
      <c r="J6" s="12" t="inlineStr">
        <is>
          <t>Amnesia Core Cut</t>
        </is>
      </c>
      <c r="K6" s="12" t="inlineStr"/>
    </row>
    <row r="7">
      <c r="A7" s="14" t="inlineStr">
        <is>
          <t>Appels &amp; Bananas</t>
        </is>
      </c>
      <c r="B7" s="14" t="inlineStr">
        <is>
          <t>Pot.-1</t>
        </is>
      </c>
      <c r="C7" s="15" t="n">
        <v>17</v>
      </c>
      <c r="D7" s="15" t="n">
        <v>1.7</v>
      </c>
      <c r="E7" s="15" t="n">
        <v>15.3</v>
      </c>
      <c r="F7" s="15" t="n">
        <v>18.7</v>
      </c>
      <c r="G7" s="14" t="n">
        <v>1</v>
      </c>
      <c r="H7" s="14" t="inlineStr">
        <is>
          <t>AB092501</t>
        </is>
      </c>
      <c r="I7" s="14" t="inlineStr">
        <is>
          <t>ДЕФИНИТИВНО | DEFINITIVE</t>
        </is>
      </c>
      <c r="J7" s="14" t="inlineStr">
        <is>
          <t>Appels &amp; Bananas</t>
        </is>
      </c>
      <c r="K7" s="14" t="inlineStr"/>
    </row>
    <row r="8">
      <c r="A8" s="12" t="inlineStr">
        <is>
          <t>Blue Gelato</t>
        </is>
      </c>
      <c r="B8" s="12" t="inlineStr">
        <is>
          <t>Pot.-1</t>
        </is>
      </c>
      <c r="C8" s="13" t="n">
        <v>26</v>
      </c>
      <c r="D8" s="13" t="n">
        <v>2.6</v>
      </c>
      <c r="E8" s="13" t="n">
        <v>23.4</v>
      </c>
      <c r="F8" s="13" t="n">
        <v>28.6</v>
      </c>
      <c r="G8" s="12" t="n">
        <v>1</v>
      </c>
      <c r="H8" s="12" t="inlineStr">
        <is>
          <t>BG1024</t>
        </is>
      </c>
      <c r="I8" s="12" t="inlineStr">
        <is>
          <t>ДЕФИНИТИВНО | DEFINITIVE</t>
        </is>
      </c>
      <c r="J8" s="12" t="inlineStr">
        <is>
          <t>Blue Gelato</t>
        </is>
      </c>
      <c r="K8" s="12" t="inlineStr"/>
    </row>
    <row r="9">
      <c r="A9" s="14" t="inlineStr">
        <is>
          <t>Calmino</t>
        </is>
      </c>
      <c r="B9" s="14" t="inlineStr">
        <is>
          <t>Pot.-1</t>
        </is>
      </c>
      <c r="C9" s="15" t="n">
        <v>9</v>
      </c>
      <c r="D9" s="15" t="n">
        <v>0.9</v>
      </c>
      <c r="E9" s="15" t="n">
        <v>8.1</v>
      </c>
      <c r="F9" s="15" t="n">
        <v>9.9</v>
      </c>
      <c r="G9" s="14" t="n">
        <v>1</v>
      </c>
      <c r="H9" s="14" t="inlineStr">
        <is>
          <t>SJ112501</t>
        </is>
      </c>
      <c r="I9" s="14" t="inlineStr">
        <is>
          <t>ДЕФИНИТИВНО | DEFINITIVE</t>
        </is>
      </c>
      <c r="J9" s="14" t="inlineStr">
        <is>
          <t>Sleepy Joe</t>
        </is>
      </c>
      <c r="K9" s="14" t="inlineStr"/>
    </row>
    <row r="10">
      <c r="A10" s="12" t="inlineStr">
        <is>
          <t>Cherry Chocolate</t>
        </is>
      </c>
      <c r="B10" s="12" t="inlineStr">
        <is>
          <t>Pot.-1</t>
        </is>
      </c>
      <c r="C10" s="13" t="n">
        <v>18</v>
      </c>
      <c r="D10" s="13" t="n">
        <v>1.8</v>
      </c>
      <c r="E10" s="13" t="n">
        <v>16.2</v>
      </c>
      <c r="F10" s="13" t="n">
        <v>19.8</v>
      </c>
      <c r="G10" s="12" t="n">
        <v>1</v>
      </c>
      <c r="H10" s="12" t="inlineStr">
        <is>
          <t>GG112501</t>
        </is>
      </c>
      <c r="I10" s="12" t="inlineStr">
        <is>
          <t>ДЕФИНИТИВНО | DEFINITIVE</t>
        </is>
      </c>
      <c r="J10" s="12" t="inlineStr">
        <is>
          <t>GG4</t>
        </is>
      </c>
      <c r="K10" s="12" t="inlineStr"/>
    </row>
    <row r="11">
      <c r="A11" s="14" t="inlineStr">
        <is>
          <t>Citrus Bloom</t>
        </is>
      </c>
      <c r="B11" s="14" t="inlineStr">
        <is>
          <t>Pot.-1</t>
        </is>
      </c>
      <c r="C11" s="15" t="n">
        <v>8</v>
      </c>
      <c r="D11" s="15" t="n">
        <v>0.8</v>
      </c>
      <c r="E11" s="15" t="n">
        <v>7.2</v>
      </c>
      <c r="F11" s="15" t="n">
        <v>8.800000000000001</v>
      </c>
      <c r="G11" s="14" t="n">
        <v>1</v>
      </c>
      <c r="H11" s="14" t="inlineStr">
        <is>
          <t>OPM122501</t>
        </is>
      </c>
      <c r="I11" s="14" t="inlineStr">
        <is>
          <t>ДЕФИНИТИВНО | DEFINITIVE</t>
        </is>
      </c>
      <c r="J11" s="14" t="inlineStr">
        <is>
          <t>Orange Punch Mimosa</t>
        </is>
      </c>
      <c r="K11" s="14" t="inlineStr">
        <is>
          <t>НЕМА КЛАСА 8.80%–13.05% | NO GRADE 8.80%–13.05%</t>
        </is>
      </c>
    </row>
    <row r="12">
      <c r="A12" s="12" t="inlineStr">
        <is>
          <t>Citrus Bloom</t>
        </is>
      </c>
      <c r="B12" s="12" t="inlineStr">
        <is>
          <t>Pot.-2</t>
        </is>
      </c>
      <c r="C12" s="13" t="n">
        <v>14.5</v>
      </c>
      <c r="D12" s="13" t="n">
        <v>1.45</v>
      </c>
      <c r="E12" s="13" t="n">
        <v>13.05</v>
      </c>
      <c r="F12" s="13" t="n">
        <v>15.95</v>
      </c>
      <c r="G12" s="12" t="n">
        <v>2</v>
      </c>
      <c r="H12" s="12" t="inlineStr">
        <is>
          <t>OPM052501, OMP1024_01</t>
        </is>
      </c>
      <c r="I12" s="12" t="inlineStr">
        <is>
          <t>ДЕФИНИТИВНО | DEFINITIVE</t>
        </is>
      </c>
      <c r="J12" s="12" t="inlineStr">
        <is>
          <t>Orange Punch Mimosa</t>
        </is>
      </c>
      <c r="K12" s="12" t="inlineStr"/>
    </row>
    <row r="13">
      <c r="A13" s="14" t="inlineStr">
        <is>
          <t>Clemosa</t>
        </is>
      </c>
      <c r="B13" s="14" t="inlineStr">
        <is>
          <t>Pot.-1</t>
        </is>
      </c>
      <c r="C13" s="15" t="n">
        <v>8</v>
      </c>
      <c r="D13" s="15" t="n">
        <v>0.8</v>
      </c>
      <c r="E13" s="15" t="n">
        <v>7.2</v>
      </c>
      <c r="F13" s="15" t="n">
        <v>8.800000000000001</v>
      </c>
      <c r="G13" s="14" t="n">
        <v>1</v>
      </c>
      <c r="H13" s="14" t="inlineStr">
        <is>
          <t>CLE072501</t>
        </is>
      </c>
      <c r="I13" s="14" t="inlineStr">
        <is>
          <t>ДЕФИНИТИВНО | DEFINITIVE</t>
        </is>
      </c>
      <c r="J13" s="14" t="inlineStr">
        <is>
          <t>Clemosa</t>
        </is>
      </c>
      <c r="K13" s="14" t="inlineStr"/>
    </row>
    <row r="14">
      <c r="A14" s="12" t="inlineStr">
        <is>
          <t>Cookie Kush</t>
        </is>
      </c>
      <c r="B14" s="12" t="inlineStr">
        <is>
          <t>Pot.-1</t>
        </is>
      </c>
      <c r="C14" s="13" t="n">
        <v>19</v>
      </c>
      <c r="D14" s="13" t="n">
        <v>1.69</v>
      </c>
      <c r="E14" s="13" t="n">
        <v>17.31</v>
      </c>
      <c r="F14" s="13" t="n">
        <v>20.69</v>
      </c>
      <c r="G14" s="12" t="n">
        <v>1</v>
      </c>
      <c r="H14" s="12" t="inlineStr">
        <is>
          <t>CJ082501/2</t>
        </is>
      </c>
      <c r="I14" s="12" t="inlineStr">
        <is>
          <t>ДЕФИНИТИВНО | DEFINITIVE</t>
        </is>
      </c>
      <c r="J14" s="12" t="inlineStr">
        <is>
          <t>Cap Junkie</t>
        </is>
      </c>
      <c r="K14" s="12" t="inlineStr"/>
    </row>
    <row r="15">
      <c r="A15" s="14" t="inlineStr">
        <is>
          <t>Cookie Kush</t>
        </is>
      </c>
      <c r="B15" s="14" t="inlineStr">
        <is>
          <t>Pot.-2</t>
        </is>
      </c>
      <c r="C15" s="15" t="n">
        <v>23</v>
      </c>
      <c r="D15" s="15" t="n">
        <v>2.3</v>
      </c>
      <c r="E15" s="15" t="n">
        <v>20.7</v>
      </c>
      <c r="F15" s="15" t="n">
        <v>25.3</v>
      </c>
      <c r="G15" s="14" t="n">
        <v>5</v>
      </c>
      <c r="H15" s="14" t="inlineStr">
        <is>
          <t>CJ092501, CJ1024, CJ072501, CJ052501/01, CJ082501/1</t>
        </is>
      </c>
      <c r="I15" s="14" t="inlineStr">
        <is>
          <t>ДЕФИНИТИВНО | DEFINITIVE</t>
        </is>
      </c>
      <c r="J15" s="14" t="inlineStr">
        <is>
          <t>Cap Junkie</t>
        </is>
      </c>
      <c r="K15" s="14" t="inlineStr"/>
    </row>
    <row r="16">
      <c r="A16" s="12" t="inlineStr">
        <is>
          <t>Daywalker</t>
        </is>
      </c>
      <c r="B16" s="12" t="inlineStr">
        <is>
          <t>Pot.-1</t>
        </is>
      </c>
      <c r="C16" s="13" t="n">
        <v>16</v>
      </c>
      <c r="D16" s="13" t="n">
        <v>1.54</v>
      </c>
      <c r="E16" s="13" t="n">
        <v>14.46</v>
      </c>
      <c r="F16" s="13" t="n">
        <v>17.54</v>
      </c>
      <c r="G16" s="12" t="n">
        <v>1</v>
      </c>
      <c r="H16" s="12" t="inlineStr">
        <is>
          <t>FB012601/1</t>
        </is>
      </c>
      <c r="I16" s="12" t="inlineStr">
        <is>
          <t>ДЕФИНИТИВНО | DEFINITIVE</t>
        </is>
      </c>
      <c r="J16" s="12" t="inlineStr">
        <is>
          <t>Fat Bastard</t>
        </is>
      </c>
      <c r="K16" s="12" t="inlineStr"/>
    </row>
    <row r="17">
      <c r="A17" s="14" t="inlineStr">
        <is>
          <t>Daywalker</t>
        </is>
      </c>
      <c r="B17" s="14" t="inlineStr">
        <is>
          <t>Pot.-2</t>
        </is>
      </c>
      <c r="C17" s="15" t="n">
        <v>19.5</v>
      </c>
      <c r="D17" s="15" t="n">
        <v>1.95</v>
      </c>
      <c r="E17" s="15" t="n">
        <v>17.55</v>
      </c>
      <c r="F17" s="15" t="n">
        <v>21.45</v>
      </c>
      <c r="G17" s="14" t="n">
        <v>2</v>
      </c>
      <c r="H17" s="14" t="inlineStr">
        <is>
          <t>FB012603V, FB012603</t>
        </is>
      </c>
      <c r="I17" s="14" t="inlineStr">
        <is>
          <t>ДЕФИНИТИВНО | DEFINITIVE</t>
        </is>
      </c>
      <c r="J17" s="14" t="inlineStr">
        <is>
          <t>Fat Bastard</t>
        </is>
      </c>
      <c r="K17" s="14" t="inlineStr"/>
    </row>
    <row r="18">
      <c r="A18" s="12" t="inlineStr">
        <is>
          <t>Fat Sofa</t>
        </is>
      </c>
      <c r="B18" s="12" t="inlineStr">
        <is>
          <t>Pot.-1</t>
        </is>
      </c>
      <c r="C18" s="13" t="n">
        <v>17.5</v>
      </c>
      <c r="D18" s="13" t="n">
        <v>1.75</v>
      </c>
      <c r="E18" s="13" t="n">
        <v>15.75</v>
      </c>
      <c r="F18" s="13" t="n">
        <v>19.25</v>
      </c>
      <c r="G18" s="12" t="n">
        <v>2</v>
      </c>
      <c r="H18" s="12" t="inlineStr">
        <is>
          <t>FB112501, FB012602</t>
        </is>
      </c>
      <c r="I18" s="12" t="inlineStr">
        <is>
          <t>ДЕФИНИТИВНО | DEFINITIVE</t>
        </is>
      </c>
      <c r="J18" s="12" t="inlineStr">
        <is>
          <t>Fat Bastard</t>
        </is>
      </c>
      <c r="K18" s="12" t="inlineStr"/>
    </row>
    <row r="19">
      <c r="A19" s="14" t="inlineStr">
        <is>
          <t>Formula 1</t>
        </is>
      </c>
      <c r="B19" s="14" t="inlineStr">
        <is>
          <t>Pot.-1</t>
        </is>
      </c>
      <c r="C19" s="15" t="n">
        <v>10.5</v>
      </c>
      <c r="D19" s="15" t="n">
        <v>0.74</v>
      </c>
      <c r="E19" s="15" t="n">
        <v>9.76</v>
      </c>
      <c r="F19" s="15" t="n">
        <v>11.24</v>
      </c>
      <c r="G19" s="14" t="n">
        <v>1</v>
      </c>
      <c r="H19" s="14" t="inlineStr">
        <is>
          <t>PM072501</t>
        </is>
      </c>
      <c r="I19" s="14" t="inlineStr">
        <is>
          <t>ДЕФИНИТИВНО | DEFINITIVE</t>
        </is>
      </c>
      <c r="J19" s="14" t="inlineStr">
        <is>
          <t>Permanent Marker</t>
        </is>
      </c>
      <c r="K19" s="14" t="inlineStr"/>
    </row>
    <row r="20">
      <c r="A20" s="12" t="inlineStr">
        <is>
          <t>Formula 1</t>
        </is>
      </c>
      <c r="B20" s="12" t="inlineStr">
        <is>
          <t>Pot.-2</t>
        </is>
      </c>
      <c r="C20" s="13" t="n">
        <v>12.5</v>
      </c>
      <c r="D20" s="13" t="n">
        <v>1.25</v>
      </c>
      <c r="E20" s="13" t="n">
        <v>11.25</v>
      </c>
      <c r="F20" s="13" t="n">
        <v>13.75</v>
      </c>
      <c r="G20" s="12" t="n">
        <v>2</v>
      </c>
      <c r="H20" s="12" t="inlineStr">
        <is>
          <t>PM092501, PM112501</t>
        </is>
      </c>
      <c r="I20" s="12" t="inlineStr">
        <is>
          <t>ДЕФИНИТИВНО | DEFINITIVE</t>
        </is>
      </c>
      <c r="J20" s="12" t="inlineStr">
        <is>
          <t>Permanent Marker</t>
        </is>
      </c>
      <c r="K20" s="12" t="inlineStr"/>
    </row>
    <row r="21">
      <c r="A21" s="14" t="inlineStr">
        <is>
          <t>GG4</t>
        </is>
      </c>
      <c r="B21" s="14" t="inlineStr">
        <is>
          <t>Pot.-1</t>
        </is>
      </c>
      <c r="C21" s="15" t="n">
        <v>15.5</v>
      </c>
      <c r="D21" s="15" t="n">
        <v>1.55</v>
      </c>
      <c r="E21" s="15" t="n">
        <v>13.95</v>
      </c>
      <c r="F21" s="15" t="n">
        <v>17.05</v>
      </c>
      <c r="G21" s="14" t="n">
        <v>2</v>
      </c>
      <c r="H21" s="14" t="inlineStr">
        <is>
          <t>GG012601, GG012603</t>
        </is>
      </c>
      <c r="I21" s="14" t="inlineStr">
        <is>
          <t>ДЕФИНИТИВНО | DEFINITIVE</t>
        </is>
      </c>
      <c r="J21" s="14" t="inlineStr">
        <is>
          <t>GG4</t>
        </is>
      </c>
      <c r="K21" s="14" t="inlineStr"/>
    </row>
    <row r="22">
      <c r="A22" s="12" t="inlineStr">
        <is>
          <t>Gorilla Gang</t>
        </is>
      </c>
      <c r="B22" s="12" t="inlineStr">
        <is>
          <t>Pot.-1</t>
        </is>
      </c>
      <c r="C22" s="13" t="n">
        <v>14</v>
      </c>
      <c r="D22" s="13" t="n">
        <v>1.29</v>
      </c>
      <c r="E22" s="13" t="n">
        <v>12.71</v>
      </c>
      <c r="F22" s="13" t="n">
        <v>15.29</v>
      </c>
      <c r="G22" s="12" t="n">
        <v>1</v>
      </c>
      <c r="H22" s="12" t="inlineStr">
        <is>
          <t>GG1024</t>
        </is>
      </c>
      <c r="I22" s="12" t="inlineStr">
        <is>
          <t>ДЕФИНИТИВНО | DEFINITIVE</t>
        </is>
      </c>
      <c r="J22" s="12" t="inlineStr">
        <is>
          <t>Gorilla Glue</t>
        </is>
      </c>
      <c r="K22" s="12" t="inlineStr"/>
    </row>
    <row r="23">
      <c r="A23" s="14" t="inlineStr">
        <is>
          <t>Gorilla Gang</t>
        </is>
      </c>
      <c r="B23" s="14" t="inlineStr">
        <is>
          <t>Pot.-2</t>
        </is>
      </c>
      <c r="C23" s="15" t="n">
        <v>17</v>
      </c>
      <c r="D23" s="15" t="n">
        <v>1.7</v>
      </c>
      <c r="E23" s="15" t="n">
        <v>15.3</v>
      </c>
      <c r="F23" s="15" t="n">
        <v>18.7</v>
      </c>
      <c r="G23" s="14" t="n">
        <v>2</v>
      </c>
      <c r="H23" s="14" t="inlineStr">
        <is>
          <t>GG1024_02, GG1024_01</t>
        </is>
      </c>
      <c r="I23" s="14" t="inlineStr">
        <is>
          <t>ДЕФИНИТИВНО | DEFINITIVE</t>
        </is>
      </c>
      <c r="J23" s="14" t="inlineStr">
        <is>
          <t>Gorilla Glue</t>
        </is>
      </c>
      <c r="K23" s="14" t="inlineStr"/>
    </row>
    <row r="24">
      <c r="A24" s="12" t="inlineStr">
        <is>
          <t>Grape Pie</t>
        </is>
      </c>
      <c r="B24" s="12" t="inlineStr">
        <is>
          <t>Pot.-1</t>
        </is>
      </c>
      <c r="C24" s="13" t="n">
        <v>25</v>
      </c>
      <c r="D24" s="13" t="n">
        <v>2.5</v>
      </c>
      <c r="E24" s="13" t="n">
        <v>22.5</v>
      </c>
      <c r="F24" s="13" t="n">
        <v>27.5</v>
      </c>
      <c r="G24" s="12" t="n">
        <v>3</v>
      </c>
      <c r="H24" s="12" t="inlineStr">
        <is>
          <t>GP0824_02, GP0824_03, GP092501</t>
        </is>
      </c>
      <c r="I24" s="12" t="inlineStr">
        <is>
          <t>ДЕФИНИТИВНО | DEFINITIVE</t>
        </is>
      </c>
      <c r="J24" s="12" t="inlineStr">
        <is>
          <t>Grape Pie</t>
        </is>
      </c>
      <c r="K24" s="12" t="inlineStr"/>
    </row>
    <row r="25">
      <c r="A25" s="14" t="inlineStr">
        <is>
          <t>Hazy Daze</t>
        </is>
      </c>
      <c r="B25" s="14" t="inlineStr">
        <is>
          <t>Pot.-1</t>
        </is>
      </c>
      <c r="C25" s="15" t="n">
        <v>20.5</v>
      </c>
      <c r="D25" s="15" t="n">
        <v>2.05</v>
      </c>
      <c r="E25" s="15" t="n">
        <v>18.45</v>
      </c>
      <c r="F25" s="15" t="n">
        <v>22.55</v>
      </c>
      <c r="G25" s="14" t="n">
        <v>2</v>
      </c>
      <c r="H25" s="14" t="inlineStr">
        <is>
          <t>HPA052501, HPA1024_01</t>
        </is>
      </c>
      <c r="I25" s="14" t="inlineStr">
        <is>
          <t>ДЕФИНИТИВНО | DEFINITIVE</t>
        </is>
      </c>
      <c r="J25" s="14" t="inlineStr">
        <is>
          <t>High Pro Amnesia</t>
        </is>
      </c>
      <c r="K25" s="14" t="inlineStr"/>
    </row>
    <row r="26">
      <c r="A26" s="12" t="inlineStr">
        <is>
          <t>High Pro Amnesia</t>
        </is>
      </c>
      <c r="B26" s="12" t="inlineStr">
        <is>
          <t>Pot.-1</t>
        </is>
      </c>
      <c r="C26" s="13" t="n">
        <v>17.5</v>
      </c>
      <c r="D26" s="13" t="n">
        <v>1.75</v>
      </c>
      <c r="E26" s="13" t="n">
        <v>15.75</v>
      </c>
      <c r="F26" s="13" t="n">
        <v>19.25</v>
      </c>
      <c r="G26" s="12" t="n">
        <v>1</v>
      </c>
      <c r="H26" s="12" t="inlineStr">
        <is>
          <t>HPA1024</t>
        </is>
      </c>
      <c r="I26" s="12" t="inlineStr">
        <is>
          <t>ДЕФИНИТИВНО | DEFINITIVE</t>
        </is>
      </c>
      <c r="J26" s="12" t="inlineStr">
        <is>
          <t>High Pro Amnesia</t>
        </is>
      </c>
      <c r="K26" s="12" t="inlineStr"/>
    </row>
    <row r="27">
      <c r="A27" s="14" t="inlineStr">
        <is>
          <t>Jelly Donuts</t>
        </is>
      </c>
      <c r="B27" s="14" t="inlineStr">
        <is>
          <t>Pot.-1</t>
        </is>
      </c>
      <c r="C27" s="15" t="n">
        <v>16</v>
      </c>
      <c r="D27" s="15" t="n">
        <v>1.54</v>
      </c>
      <c r="E27" s="15" t="n">
        <v>14.46</v>
      </c>
      <c r="F27" s="15" t="n">
        <v>17.54</v>
      </c>
      <c r="G27" s="14" t="n">
        <v>1</v>
      </c>
      <c r="H27" s="14" t="inlineStr">
        <is>
          <t>JD012603/02V</t>
        </is>
      </c>
      <c r="I27" s="14" t="inlineStr">
        <is>
          <t>ДЕФИНИТИВНО | DEFINITIVE</t>
        </is>
      </c>
      <c r="J27" s="14" t="inlineStr">
        <is>
          <t>Jelly Donuts</t>
        </is>
      </c>
      <c r="K27" s="14" t="inlineStr"/>
    </row>
    <row r="28">
      <c r="A28" s="12" t="inlineStr">
        <is>
          <t>Jelly Donuts</t>
        </is>
      </c>
      <c r="B28" s="12" t="inlineStr">
        <is>
          <t>Pot.-2</t>
        </is>
      </c>
      <c r="C28" s="13" t="n">
        <v>19.5</v>
      </c>
      <c r="D28" s="13" t="n">
        <v>1.95</v>
      </c>
      <c r="E28" s="13" t="n">
        <v>17.55</v>
      </c>
      <c r="F28" s="13" t="n">
        <v>21.45</v>
      </c>
      <c r="G28" s="12" t="n">
        <v>3</v>
      </c>
      <c r="H28" s="12" t="inlineStr">
        <is>
          <t>JD012601, JD112501, JD012603/02</t>
        </is>
      </c>
      <c r="I28" s="12" t="inlineStr">
        <is>
          <t>ДЕФИНИТИВНО | DEFINITIVE</t>
        </is>
      </c>
      <c r="J28" s="12" t="inlineStr">
        <is>
          <t>Jelly Donuts</t>
        </is>
      </c>
      <c r="K28" s="12" t="inlineStr"/>
    </row>
    <row r="29">
      <c r="A29" s="14" t="inlineStr">
        <is>
          <t>Jokerz 31</t>
        </is>
      </c>
      <c r="B29" s="14" t="inlineStr">
        <is>
          <t>Pot.-1</t>
        </is>
      </c>
      <c r="C29" s="15" t="n">
        <v>17.5</v>
      </c>
      <c r="D29" s="15" t="n">
        <v>1.39</v>
      </c>
      <c r="E29" s="15" t="n">
        <v>16.11</v>
      </c>
      <c r="F29" s="15" t="n">
        <v>18.89</v>
      </c>
      <c r="G29" s="14" t="n">
        <v>1</v>
      </c>
      <c r="H29" s="14" t="inlineStr">
        <is>
          <t>J31102501</t>
        </is>
      </c>
      <c r="I29" s="14" t="inlineStr">
        <is>
          <t>ДЕФИНИТИВНО | DEFINITIVE</t>
        </is>
      </c>
      <c r="J29" s="14" t="inlineStr">
        <is>
          <t>Jokerz 31</t>
        </is>
      </c>
      <c r="K29" s="14" t="inlineStr"/>
    </row>
    <row r="30">
      <c r="A30" s="12" t="inlineStr">
        <is>
          <t>Jokerz 31</t>
        </is>
      </c>
      <c r="B30" s="12" t="inlineStr">
        <is>
          <t>Pot.-2</t>
        </is>
      </c>
      <c r="C30" s="13" t="n">
        <v>21</v>
      </c>
      <c r="D30" s="13" t="n">
        <v>2.1</v>
      </c>
      <c r="E30" s="13" t="n">
        <v>18.9</v>
      </c>
      <c r="F30" s="13" t="n">
        <v>23.1</v>
      </c>
      <c r="G30" s="12" t="n">
        <v>2</v>
      </c>
      <c r="H30" s="12" t="inlineStr">
        <is>
          <t>J31112501, J31122501</t>
        </is>
      </c>
      <c r="I30" s="12" t="inlineStr">
        <is>
          <t>ДЕФИНИТИВНО | DEFINITIVE</t>
        </is>
      </c>
      <c r="J30" s="12" t="inlineStr">
        <is>
          <t>Jokerz 31</t>
        </is>
      </c>
      <c r="K30" s="12" t="inlineStr"/>
    </row>
    <row r="31">
      <c r="A31" s="14" t="inlineStr">
        <is>
          <t>Kush Crasher</t>
        </is>
      </c>
      <c r="B31" s="14" t="inlineStr">
        <is>
          <t>Pot.-1</t>
        </is>
      </c>
      <c r="C31" s="15" t="n">
        <v>17</v>
      </c>
      <c r="D31" s="15" t="n">
        <v>1.7</v>
      </c>
      <c r="E31" s="15" t="n">
        <v>15.3</v>
      </c>
      <c r="F31" s="15" t="n">
        <v>18.7</v>
      </c>
      <c r="G31" s="14" t="n">
        <v>1</v>
      </c>
      <c r="H31" s="14" t="inlineStr">
        <is>
          <t>KC102501</t>
        </is>
      </c>
      <c r="I31" s="14" t="inlineStr">
        <is>
          <t>ДЕФИНИТИВНО | DEFINITIVE</t>
        </is>
      </c>
      <c r="J31" s="14" t="inlineStr">
        <is>
          <t>Kush Crasher</t>
        </is>
      </c>
      <c r="K31" s="14" t="inlineStr"/>
    </row>
    <row r="32">
      <c r="A32" s="12" t="inlineStr">
        <is>
          <t>Lifeguard</t>
        </is>
      </c>
      <c r="B32" s="12" t="inlineStr">
        <is>
          <t>Pot.-1</t>
        </is>
      </c>
      <c r="C32" s="13" t="n">
        <v>15.5</v>
      </c>
      <c r="D32" s="13" t="n">
        <v>1.55</v>
      </c>
      <c r="E32" s="13" t="n">
        <v>13.95</v>
      </c>
      <c r="F32" s="13" t="n">
        <v>17.05</v>
      </c>
      <c r="G32" s="12" t="n">
        <v>1</v>
      </c>
      <c r="H32" s="12" t="inlineStr">
        <is>
          <t>PUM102501</t>
        </is>
      </c>
      <c r="I32" s="12" t="inlineStr">
        <is>
          <t>ПРОВИЗОРНО | PROVISIONAL</t>
        </is>
      </c>
      <c r="J32" s="12" t="inlineStr">
        <is>
          <t>Pure Michigen</t>
        </is>
      </c>
      <c r="K32" s="12" t="inlineStr"/>
    </row>
    <row r="33">
      <c r="A33" s="14" t="inlineStr">
        <is>
          <t>NY Diesel</t>
        </is>
      </c>
      <c r="B33" s="14" t="inlineStr">
        <is>
          <t>Pot.-1</t>
        </is>
      </c>
      <c r="C33" s="15" t="n">
        <v>17</v>
      </c>
      <c r="D33" s="15" t="n">
        <v>1.7</v>
      </c>
      <c r="E33" s="15" t="n">
        <v>15.3</v>
      </c>
      <c r="F33" s="15" t="n">
        <v>18.7</v>
      </c>
      <c r="G33" s="14" t="n">
        <v>2</v>
      </c>
      <c r="H33" s="14" t="inlineStr">
        <is>
          <t>MB0824_05, MB0824_04</t>
        </is>
      </c>
      <c r="I33" s="14" t="inlineStr">
        <is>
          <t>ДЕФИНИТИВНО | DEFINITIVE</t>
        </is>
      </c>
      <c r="J33" s="14" t="inlineStr">
        <is>
          <t>Motor Breath</t>
        </is>
      </c>
      <c r="K33" s="14" t="inlineStr"/>
    </row>
    <row r="34">
      <c r="A34" s="12" t="inlineStr">
        <is>
          <t>OG Banana's</t>
        </is>
      </c>
      <c r="B34" s="12" t="inlineStr">
        <is>
          <t>Pot.-1</t>
        </is>
      </c>
      <c r="C34" s="13" t="n">
        <v>15</v>
      </c>
      <c r="D34" s="13" t="n">
        <v>1.2</v>
      </c>
      <c r="E34" s="13" t="n">
        <v>13.8</v>
      </c>
      <c r="F34" s="13" t="n">
        <v>16.2</v>
      </c>
      <c r="G34" s="12" t="n">
        <v>1</v>
      </c>
      <c r="H34" s="12" t="inlineStr">
        <is>
          <t>CJ052501/02</t>
        </is>
      </c>
      <c r="I34" s="12" t="inlineStr">
        <is>
          <t>ДЕФИНИТИВНО | DEFINITIVE</t>
        </is>
      </c>
      <c r="J34" s="12" t="inlineStr">
        <is>
          <t>Cap Junkie</t>
        </is>
      </c>
      <c r="K34" s="12" t="inlineStr"/>
    </row>
    <row r="35">
      <c r="A35" s="14" t="inlineStr">
        <is>
          <t>OG Banana's</t>
        </is>
      </c>
      <c r="B35" s="14" t="inlineStr">
        <is>
          <t>Pot.-2</t>
        </is>
      </c>
      <c r="C35" s="15" t="n">
        <v>18</v>
      </c>
      <c r="D35" s="15" t="n">
        <v>1.79</v>
      </c>
      <c r="E35" s="15" t="n">
        <v>16.21</v>
      </c>
      <c r="F35" s="15" t="n">
        <v>19.79</v>
      </c>
      <c r="G35" s="14" t="n">
        <v>1</v>
      </c>
      <c r="H35" s="14" t="inlineStr">
        <is>
          <t>CJ062501/2</t>
        </is>
      </c>
      <c r="I35" s="14" t="inlineStr">
        <is>
          <t>ДЕФИНИТИВНО | DEFINITIVE</t>
        </is>
      </c>
      <c r="J35" s="14" t="inlineStr">
        <is>
          <t>Cap Junkie</t>
        </is>
      </c>
      <c r="K35" s="14" t="inlineStr"/>
    </row>
    <row r="36">
      <c r="A36" s="12" t="inlineStr">
        <is>
          <t>OG Banana's</t>
        </is>
      </c>
      <c r="B36" s="12" t="inlineStr">
        <is>
          <t>Pot.-3</t>
        </is>
      </c>
      <c r="C36" s="13" t="n">
        <v>22</v>
      </c>
      <c r="D36" s="13" t="n">
        <v>2.2</v>
      </c>
      <c r="E36" s="13" t="n">
        <v>19.8</v>
      </c>
      <c r="F36" s="13" t="n">
        <v>24.2</v>
      </c>
      <c r="G36" s="12" t="n">
        <v>1</v>
      </c>
      <c r="H36" s="12" t="inlineStr">
        <is>
          <t>CJ062501/1</t>
        </is>
      </c>
      <c r="I36" s="12" t="inlineStr">
        <is>
          <t>ДЕФИНИТИВНО | DEFINITIVE</t>
        </is>
      </c>
      <c r="J36" s="12" t="inlineStr">
        <is>
          <t>Cap Junkie</t>
        </is>
      </c>
      <c r="K36" s="12" t="inlineStr"/>
    </row>
    <row r="37">
      <c r="A37" s="14" t="inlineStr">
        <is>
          <t>Orange Dream</t>
        </is>
      </c>
      <c r="B37" s="14" t="inlineStr">
        <is>
          <t>Pot.-1</t>
        </is>
      </c>
      <c r="C37" s="15" t="n">
        <v>20</v>
      </c>
      <c r="D37" s="15" t="n">
        <v>2</v>
      </c>
      <c r="E37" s="15" t="n">
        <v>18</v>
      </c>
      <c r="F37" s="15" t="n">
        <v>22</v>
      </c>
      <c r="G37" s="14" t="n">
        <v>1</v>
      </c>
      <c r="H37" s="14" t="inlineStr">
        <is>
          <t>OPM1024</t>
        </is>
      </c>
      <c r="I37" s="14" t="inlineStr">
        <is>
          <t>ДЕФИНИТИВНО | DEFINITIVE</t>
        </is>
      </c>
      <c r="J37" s="14" t="inlineStr">
        <is>
          <t>Orange Punch Mimosa</t>
        </is>
      </c>
      <c r="K37" s="14" t="inlineStr"/>
    </row>
    <row r="38">
      <c r="A38" s="12" t="inlineStr">
        <is>
          <t>Payday</t>
        </is>
      </c>
      <c r="B38" s="12" t="inlineStr">
        <is>
          <t>Pot.-1</t>
        </is>
      </c>
      <c r="C38" s="13" t="n">
        <v>13.5</v>
      </c>
      <c r="D38" s="13" t="n">
        <v>1.34</v>
      </c>
      <c r="E38" s="13" t="n">
        <v>12.16</v>
      </c>
      <c r="F38" s="13" t="n">
        <v>14.84</v>
      </c>
      <c r="G38" s="12" t="n">
        <v>2</v>
      </c>
      <c r="H38" s="12" t="inlineStr">
        <is>
          <t>CC012603, CC112501</t>
        </is>
      </c>
      <c r="I38" s="12" t="inlineStr">
        <is>
          <t>ДЕФИНИТИВНО | DEFINITIVE</t>
        </is>
      </c>
      <c r="J38" s="12" t="inlineStr">
        <is>
          <t>CashCow</t>
        </is>
      </c>
      <c r="K38" s="12" t="inlineStr"/>
    </row>
    <row r="39">
      <c r="A39" s="14" t="inlineStr">
        <is>
          <t>Payday</t>
        </is>
      </c>
      <c r="B39" s="14" t="inlineStr">
        <is>
          <t>Pot.-2</t>
        </is>
      </c>
      <c r="C39" s="15" t="n">
        <v>16.5</v>
      </c>
      <c r="D39" s="15" t="n">
        <v>1.65</v>
      </c>
      <c r="E39" s="15" t="n">
        <v>14.85</v>
      </c>
      <c r="F39" s="15" t="n">
        <v>18.15</v>
      </c>
      <c r="G39" s="14" t="n">
        <v>1</v>
      </c>
      <c r="H39" s="14" t="inlineStr">
        <is>
          <t>CC012601/1</t>
        </is>
      </c>
      <c r="I39" s="14" t="inlineStr">
        <is>
          <t>ДЕФИНИТИВНО | DEFINITIVE</t>
        </is>
      </c>
      <c r="J39" s="14" t="inlineStr">
        <is>
          <t>CashCow</t>
        </is>
      </c>
      <c r="K39" s="14" t="inlineStr"/>
    </row>
    <row r="40">
      <c r="A40" s="12" t="inlineStr">
        <is>
          <t>Plum Tarte</t>
        </is>
      </c>
      <c r="B40" s="12" t="inlineStr">
        <is>
          <t>Pot.-1</t>
        </is>
      </c>
      <c r="C40" s="13" t="n">
        <v>7</v>
      </c>
      <c r="D40" s="13" t="n">
        <v>0.7</v>
      </c>
      <c r="E40" s="13" t="n">
        <v>6.3</v>
      </c>
      <c r="F40" s="13" t="n">
        <v>7.7</v>
      </c>
      <c r="G40" s="12" t="n">
        <v>1</v>
      </c>
      <c r="H40" s="12" t="inlineStr">
        <is>
          <t>GRC102501/1</t>
        </is>
      </c>
      <c r="I40" s="12" t="inlineStr">
        <is>
          <t>ПРОВИЗОРНО | PROVISIONAL</t>
        </is>
      </c>
      <c r="J40" s="12" t="inlineStr">
        <is>
          <t>Grapes and Cream</t>
        </is>
      </c>
      <c r="K40" s="12" t="inlineStr">
        <is>
          <t>НЕМА КЛАСА 7.70%–10.35% | NO GRADE 7.70%–10.35%</t>
        </is>
      </c>
    </row>
    <row r="41">
      <c r="A41" s="14" t="inlineStr">
        <is>
          <t>Plum Tarte</t>
        </is>
      </c>
      <c r="B41" s="14" t="inlineStr">
        <is>
          <t>Pot.-2</t>
        </is>
      </c>
      <c r="C41" s="15" t="n">
        <v>11.5</v>
      </c>
      <c r="D41" s="15" t="n">
        <v>1.15</v>
      </c>
      <c r="E41" s="15" t="n">
        <v>10.35</v>
      </c>
      <c r="F41" s="15" t="n">
        <v>12.65</v>
      </c>
      <c r="G41" s="14" t="n">
        <v>1</v>
      </c>
      <c r="H41" s="14" t="inlineStr">
        <is>
          <t>GRC102501/2</t>
        </is>
      </c>
      <c r="I41" s="14" t="inlineStr">
        <is>
          <t>ДЕФИНИТИВНО | DEFINITIVE</t>
        </is>
      </c>
      <c r="J41" s="14" t="inlineStr">
        <is>
          <t>Grapes and Cream</t>
        </is>
      </c>
      <c r="K41" s="14" t="inlineStr"/>
    </row>
    <row r="42">
      <c r="A42" s="12" t="inlineStr">
        <is>
          <t>Rainbow Sherbet</t>
        </is>
      </c>
      <c r="B42" s="12" t="inlineStr">
        <is>
          <t>Pot.-1</t>
        </is>
      </c>
      <c r="C42" s="13" t="n">
        <v>22</v>
      </c>
      <c r="D42" s="13" t="n">
        <v>2.2</v>
      </c>
      <c r="E42" s="13" t="n">
        <v>19.8</v>
      </c>
      <c r="F42" s="13" t="n">
        <v>24.2</v>
      </c>
      <c r="G42" s="12" t="n">
        <v>1</v>
      </c>
      <c r="H42" s="12" t="inlineStr">
        <is>
          <t>SCR022601</t>
        </is>
      </c>
      <c r="I42" s="12" t="inlineStr">
        <is>
          <t>ДЕФИНИТИВНО | DEFINITIVE</t>
        </is>
      </c>
      <c r="J42" s="12" t="inlineStr">
        <is>
          <t>Scrambler</t>
        </is>
      </c>
      <c r="K42" s="12" t="inlineStr"/>
    </row>
    <row r="43">
      <c r="A43" s="14" t="inlineStr">
        <is>
          <t>Scrambler</t>
        </is>
      </c>
      <c r="B43" s="14" t="inlineStr">
        <is>
          <t>Pot.-1</t>
        </is>
      </c>
      <c r="C43" s="15" t="n">
        <v>18</v>
      </c>
      <c r="D43" s="15" t="n">
        <v>1.8</v>
      </c>
      <c r="E43" s="15" t="n">
        <v>16.2</v>
      </c>
      <c r="F43" s="15" t="n">
        <v>19.8</v>
      </c>
      <c r="G43" s="14" t="n">
        <v>3</v>
      </c>
      <c r="H43" s="14" t="inlineStr">
        <is>
          <t>SCR112501, SCR012603, SCR012601</t>
        </is>
      </c>
      <c r="I43" s="14" t="inlineStr">
        <is>
          <t>ДЕФИНИТИВНО | DEFINITIVE</t>
        </is>
      </c>
      <c r="J43" s="14" t="inlineStr">
        <is>
          <t>Scrambler</t>
        </is>
      </c>
      <c r="K43" s="14" t="inlineStr"/>
    </row>
    <row r="44">
      <c r="A44" s="12" t="inlineStr">
        <is>
          <t>Shark Tank</t>
        </is>
      </c>
      <c r="B44" s="12" t="inlineStr">
        <is>
          <t>Pot.-1</t>
        </is>
      </c>
      <c r="C44" s="13" t="n">
        <v>10</v>
      </c>
      <c r="D44" s="13" t="n">
        <v>1</v>
      </c>
      <c r="E44" s="13" t="n">
        <v>9</v>
      </c>
      <c r="F44" s="13" t="n">
        <v>11</v>
      </c>
      <c r="G44" s="12" t="n">
        <v>1</v>
      </c>
      <c r="H44" s="12" t="inlineStr">
        <is>
          <t>CF102501</t>
        </is>
      </c>
      <c r="I44" s="12" t="inlineStr">
        <is>
          <t>ПРОВИЗОРНО | PROVISIONAL</t>
        </is>
      </c>
      <c r="J44" s="12" t="inlineStr">
        <is>
          <t>Chem Flyer</t>
        </is>
      </c>
      <c r="K44" s="12" t="inlineStr"/>
    </row>
    <row r="45">
      <c r="A45" s="14" t="inlineStr">
        <is>
          <t>Sleepy Joe</t>
        </is>
      </c>
      <c r="B45" s="14" t="inlineStr">
        <is>
          <t>Pot.-1</t>
        </is>
      </c>
      <c r="C45" s="15" t="n">
        <v>11</v>
      </c>
      <c r="D45" s="15" t="n">
        <v>1.1</v>
      </c>
      <c r="E45" s="15" t="n">
        <v>9.9</v>
      </c>
      <c r="F45" s="15" t="n">
        <v>12.1</v>
      </c>
      <c r="G45" s="14" t="n">
        <v>2</v>
      </c>
      <c r="H45" s="14" t="inlineStr">
        <is>
          <t>SJ092501, SJ102501</t>
        </is>
      </c>
      <c r="I45" s="14" t="inlineStr">
        <is>
          <t>ДЕФИНИТИВНО | DEFINITIVE</t>
        </is>
      </c>
      <c r="J45" s="14" t="inlineStr">
        <is>
          <t>Sleepy Joe</t>
        </is>
      </c>
      <c r="K45" s="14" t="inlineStr"/>
    </row>
    <row r="46">
      <c r="A46" s="12" t="inlineStr">
        <is>
          <t>Soft Citrus Bloom</t>
        </is>
      </c>
      <c r="B46" s="12" t="inlineStr">
        <is>
          <t>Pot.-1</t>
        </is>
      </c>
      <c r="C46" s="13" t="n">
        <v>8</v>
      </c>
      <c r="D46" s="13" t="n">
        <v>0.54</v>
      </c>
      <c r="E46" s="13" t="n">
        <v>7.46</v>
      </c>
      <c r="F46" s="13" t="n">
        <v>8.539999999999999</v>
      </c>
      <c r="G46" s="12" t="n">
        <v>1</v>
      </c>
      <c r="H46" s="12" t="inlineStr">
        <is>
          <t>OPM112501</t>
        </is>
      </c>
      <c r="I46" s="12" t="inlineStr">
        <is>
          <t>ДЕФИНИТИВНО | DEFINITIVE</t>
        </is>
      </c>
      <c r="J46" s="12" t="inlineStr">
        <is>
          <t>Orange Punch Mimosa</t>
        </is>
      </c>
      <c r="K46" s="12" t="inlineStr"/>
    </row>
    <row r="47">
      <c r="A47" s="14" t="inlineStr">
        <is>
          <t>Soft Citrus Bloom</t>
        </is>
      </c>
      <c r="B47" s="14" t="inlineStr">
        <is>
          <t>Pot.-2</t>
        </is>
      </c>
      <c r="C47" s="15" t="n">
        <v>9.5</v>
      </c>
      <c r="D47" s="15" t="n">
        <v>0.95</v>
      </c>
      <c r="E47" s="15" t="n">
        <v>8.550000000000001</v>
      </c>
      <c r="F47" s="15" t="n">
        <v>10.45</v>
      </c>
      <c r="G47" s="14" t="n">
        <v>1</v>
      </c>
      <c r="H47" s="14" t="inlineStr">
        <is>
          <t>OPM092501</t>
        </is>
      </c>
      <c r="I47" s="14" t="inlineStr">
        <is>
          <t>ДЕФИНИТИВНО | DEFINITIVE</t>
        </is>
      </c>
      <c r="J47" s="14" t="inlineStr">
        <is>
          <t>Orange Punch Mimosa</t>
        </is>
      </c>
      <c r="K47" s="14" t="inlineStr"/>
    </row>
    <row r="48">
      <c r="A48" s="12" t="inlineStr">
        <is>
          <t>Strawberry Cupcakes</t>
        </is>
      </c>
      <c r="B48" s="12" t="inlineStr">
        <is>
          <t>Pot.-1</t>
        </is>
      </c>
      <c r="C48" s="13" t="n">
        <v>16.5</v>
      </c>
      <c r="D48" s="13" t="n">
        <v>1.65</v>
      </c>
      <c r="E48" s="13" t="n">
        <v>14.85</v>
      </c>
      <c r="F48" s="13" t="n">
        <v>18.15</v>
      </c>
      <c r="G48" s="12" t="n">
        <v>1</v>
      </c>
      <c r="H48" s="12" t="inlineStr">
        <is>
          <t>JD012603/01</t>
        </is>
      </c>
      <c r="I48" s="12" t="inlineStr">
        <is>
          <t>ПРОВИЗОРНО | PROVISIONAL</t>
        </is>
      </c>
      <c r="J48" s="12" t="inlineStr">
        <is>
          <t>Jelly Donuts</t>
        </is>
      </c>
      <c r="K48" s="12" t="inlineStr"/>
    </row>
    <row r="49">
      <c r="A49" s="14" t="inlineStr">
        <is>
          <t>Sunset Sherbet</t>
        </is>
      </c>
      <c r="B49" s="14" t="inlineStr">
        <is>
          <t>Pot.-1</t>
        </is>
      </c>
      <c r="C49" s="15" t="n">
        <v>20.5</v>
      </c>
      <c r="D49" s="15" t="n">
        <v>1.54</v>
      </c>
      <c r="E49" s="15" t="n">
        <v>18.96</v>
      </c>
      <c r="F49" s="15" t="n">
        <v>22.04</v>
      </c>
      <c r="G49" s="14" t="n">
        <v>1</v>
      </c>
      <c r="H49" s="14" t="inlineStr">
        <is>
          <t>BSS052501</t>
        </is>
      </c>
      <c r="I49" s="14" t="inlineStr">
        <is>
          <t>ДЕФИНИТИВНО | DEFINITIVE</t>
        </is>
      </c>
      <c r="J49" s="14" t="inlineStr">
        <is>
          <t>Blue Sunset Sherbet</t>
        </is>
      </c>
      <c r="K49" s="14" t="inlineStr"/>
    </row>
    <row r="50">
      <c r="A50" s="12" t="inlineStr">
        <is>
          <t>Sunset Sherbet</t>
        </is>
      </c>
      <c r="B50" s="12" t="inlineStr">
        <is>
          <t>Pot.-2</t>
        </is>
      </c>
      <c r="C50" s="13" t="n">
        <v>24.5</v>
      </c>
      <c r="D50" s="13" t="n">
        <v>2.45</v>
      </c>
      <c r="E50" s="13" t="n">
        <v>22.05</v>
      </c>
      <c r="F50" s="13" t="n">
        <v>26.95</v>
      </c>
      <c r="G50" s="12" t="n">
        <v>2</v>
      </c>
      <c r="H50" s="12" t="inlineStr">
        <is>
          <t>BSS1024_01/1, BSS1024</t>
        </is>
      </c>
      <c r="I50" s="12" t="inlineStr">
        <is>
          <t>ДЕФИНИТИВНО | DEFINITIVE</t>
        </is>
      </c>
      <c r="J50" s="12" t="inlineStr">
        <is>
          <t>Blue Sunset Sherbet</t>
        </is>
      </c>
      <c r="K50" s="12" t="inlineStr"/>
    </row>
    <row r="51">
      <c r="A51" s="14" t="inlineStr">
        <is>
          <t>Tangie Queen</t>
        </is>
      </c>
      <c r="B51" s="14" t="inlineStr">
        <is>
          <t>Pot.-1</t>
        </is>
      </c>
      <c r="C51" s="15" t="n">
        <v>17</v>
      </c>
      <c r="D51" s="15" t="n">
        <v>1.7</v>
      </c>
      <c r="E51" s="15" t="n">
        <v>15.3</v>
      </c>
      <c r="F51" s="15" t="n">
        <v>18.7</v>
      </c>
      <c r="G51" s="14" t="n">
        <v>2</v>
      </c>
      <c r="H51" s="14" t="inlineStr">
        <is>
          <t>OPM1024_03, OPM1024_02</t>
        </is>
      </c>
      <c r="I51" s="14" t="inlineStr">
        <is>
          <t>ДЕФИНИТИВНО | DEFINITIVE</t>
        </is>
      </c>
      <c r="J51" s="14" t="inlineStr">
        <is>
          <t>Orange Punch Mimosa</t>
        </is>
      </c>
      <c r="K51" s="14" t="inlineStr"/>
    </row>
    <row r="52">
      <c r="A52" s="12" t="inlineStr">
        <is>
          <t>Tropic Cake</t>
        </is>
      </c>
      <c r="B52" s="12" t="inlineStr">
        <is>
          <t>Pot.-1</t>
        </is>
      </c>
      <c r="C52" s="13" t="n">
        <v>22</v>
      </c>
      <c r="D52" s="13" t="n">
        <v>2.2</v>
      </c>
      <c r="E52" s="13" t="n">
        <v>19.8</v>
      </c>
      <c r="F52" s="13" t="n">
        <v>24.2</v>
      </c>
      <c r="G52" s="12" t="n">
        <v>1</v>
      </c>
      <c r="H52" s="12" t="inlineStr">
        <is>
          <t>WED102501</t>
        </is>
      </c>
      <c r="I52" s="12" t="inlineStr">
        <is>
          <t>ПРОВИЗОРНО | PROVISIONAL</t>
        </is>
      </c>
      <c r="J52" s="12" t="inlineStr">
        <is>
          <t>Wedding Cake</t>
        </is>
      </c>
      <c r="K52" s="12" t="inlineStr"/>
    </row>
    <row r="53">
      <c r="A53" s="14" t="inlineStr">
        <is>
          <t>Vanilla Grapes</t>
        </is>
      </c>
      <c r="B53" s="14" t="inlineStr">
        <is>
          <t>Pot.-1</t>
        </is>
      </c>
      <c r="C53" s="15" t="n">
        <v>17</v>
      </c>
      <c r="D53" s="15" t="n">
        <v>1.5</v>
      </c>
      <c r="E53" s="15" t="n">
        <v>15.5</v>
      </c>
      <c r="F53" s="15" t="n">
        <v>18.5</v>
      </c>
      <c r="G53" s="14" t="n">
        <v>1</v>
      </c>
      <c r="H53" s="14" t="inlineStr">
        <is>
          <t>GP082501/2</t>
        </is>
      </c>
      <c r="I53" s="14" t="inlineStr">
        <is>
          <t>ДЕФИНИТИВНО | DEFINITIVE</t>
        </is>
      </c>
      <c r="J53" s="14" t="inlineStr">
        <is>
          <t>Grape Pie</t>
        </is>
      </c>
      <c r="K53" s="14" t="inlineStr"/>
    </row>
    <row r="54">
      <c r="A54" s="12" t="inlineStr">
        <is>
          <t>Vanilla Grapes</t>
        </is>
      </c>
      <c r="B54" s="12" t="inlineStr">
        <is>
          <t>Pot.-2</t>
        </is>
      </c>
      <c r="C54" s="13" t="n">
        <v>20.5</v>
      </c>
      <c r="D54" s="13" t="n">
        <v>1.99</v>
      </c>
      <c r="E54" s="13" t="n">
        <v>18.51</v>
      </c>
      <c r="F54" s="13" t="n">
        <v>22.49</v>
      </c>
      <c r="G54" s="12" t="n">
        <v>4</v>
      </c>
      <c r="H54" s="12" t="inlineStr">
        <is>
          <t>GP052501, GP072501/2, GP082501/1, GP072501/1</t>
        </is>
      </c>
      <c r="I54" s="12" t="inlineStr">
        <is>
          <t>ДЕФИНИТИВНО | DEFINITIVE</t>
        </is>
      </c>
      <c r="J54" s="12" t="inlineStr">
        <is>
          <t>Grape Pie</t>
        </is>
      </c>
      <c r="K54" s="12" t="inlineStr"/>
    </row>
    <row r="55">
      <c r="A55" s="14" t="inlineStr">
        <is>
          <t>Vanilla Grapes</t>
        </is>
      </c>
      <c r="B55" s="14" t="inlineStr">
        <is>
          <t>Pot.-3</t>
        </is>
      </c>
      <c r="C55" s="15" t="n">
        <v>25</v>
      </c>
      <c r="D55" s="15" t="n">
        <v>2.5</v>
      </c>
      <c r="E55" s="15" t="n">
        <v>22.5</v>
      </c>
      <c r="F55" s="15" t="n">
        <v>27.5</v>
      </c>
      <c r="G55" s="14" t="n">
        <v>1</v>
      </c>
      <c r="H55" s="14" t="inlineStr">
        <is>
          <t>GP062501</t>
        </is>
      </c>
      <c r="I55" s="14" t="inlineStr">
        <is>
          <t>ДЕФИНИТИВНО | DEFINITIVE</t>
        </is>
      </c>
      <c r="J55" s="14" t="inlineStr">
        <is>
          <t>Grape Pie</t>
        </is>
      </c>
      <c r="K55" s="14" t="inlineStr"/>
    </row>
    <row r="56">
      <c r="A56" s="12" t="inlineStr">
        <is>
          <t>Wedding Crusher</t>
        </is>
      </c>
      <c r="B56" s="12" t="inlineStr">
        <is>
          <t>Pot.-1</t>
        </is>
      </c>
      <c r="C56" s="13" t="n">
        <v>22</v>
      </c>
      <c r="D56" s="13" t="n">
        <v>2.2</v>
      </c>
      <c r="E56" s="13" t="n">
        <v>19.8</v>
      </c>
      <c r="F56" s="13" t="n">
        <v>24.2</v>
      </c>
      <c r="G56" s="12" t="n">
        <v>2</v>
      </c>
      <c r="H56" s="12" t="inlineStr">
        <is>
          <t>WC082501, WC072501</t>
        </is>
      </c>
      <c r="I56" s="12" t="inlineStr">
        <is>
          <t>ДЕФИНИТИВНО | DEFINITIVE</t>
        </is>
      </c>
      <c r="J56" s="12" t="inlineStr">
        <is>
          <t>Wedding Crusher</t>
        </is>
      </c>
      <c r="K56" s="12" t="inlineStr"/>
    </row>
  </sheetData>
  <mergeCells count="3">
    <mergeCell ref="A2:K2"/>
    <mergeCell ref="A1:K1"/>
    <mergeCell ref="A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0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10" customWidth="1" min="3" max="3"/>
    <col width="11" customWidth="1" min="4" max="4"/>
    <col width="12" customWidth="1" min="5" max="5"/>
    <col width="20" customWidth="1" min="6" max="6"/>
    <col width="12" customWidth="1" min="7" max="7"/>
    <col width="15" customWidth="1" min="8" max="8"/>
    <col width="11" customWidth="1" min="9" max="9"/>
    <col width="11" customWidth="1" min="10" max="10"/>
    <col width="10" customWidth="1" min="11" max="11"/>
    <col width="10" customWidth="1" min="12" max="12"/>
    <col width="12" customWidth="1" min="13" max="13"/>
    <col width="22" customWidth="1" min="14" max="14"/>
    <col width="10" customWidth="1" min="15" max="15"/>
    <col width="10" customWidth="1" min="16" max="16"/>
    <col width="12" customWidth="1" min="17" max="17"/>
    <col width="16" customWidth="1" min="18" max="18"/>
    <col width="13" customWidth="1" min="19" max="19"/>
    <col width="11" customWidth="1" min="20" max="20"/>
    <col width="10" customWidth="1" min="21" max="21"/>
    <col width="10" customWidth="1" min="22" max="22"/>
  </cols>
  <sheetData>
    <row r="1" ht="26" customHeight="1">
      <c r="A1" s="8" t="inlineStr">
        <is>
          <t>Сите тестирани резултати — Вкупен Δ⁹-THC</t>
        </is>
      </c>
    </row>
    <row r="2">
      <c r="A2" s="9" t="inlineStr">
        <is>
          <t>All Tested Results — Total Δ⁹-THC</t>
        </is>
      </c>
    </row>
    <row r="3" ht="32" customHeight="1">
      <c r="A3" s="10" t="inlineStr">
        <is>
          <t>Сите 99 некогаш тестирани резултати од регистарот, со класата на Атласот (по оригинално и, каде применливо, по ново име) и издадениот спецификациски опсег што го покрива резултатот. „Внатре?“ колоните се живи формули над бројките на овој ред.  |  All 99 register results ever tested, with the Atlas tier (by original and, where applicable, new name) and the issued specification range that covers the result. The "In range?" columns are live formulas over this row's own numbers.</t>
        </is>
      </c>
    </row>
    <row r="5" ht="30" customHeight="1">
      <c r="A5" s="11" t="inlineStr">
        <is>
          <t>Серија | Batch</t>
        </is>
      </c>
      <c r="B5" s="11" t="inlineStr">
        <is>
          <t>Сорта (регистар) | Strain (register)</t>
        </is>
      </c>
      <c r="C5" s="11" t="inlineStr">
        <is>
          <t>Резултат % | Value %</t>
        </is>
      </c>
      <c r="D5" s="11" t="inlineStr">
        <is>
          <t>Датум | Date</t>
        </is>
      </c>
      <c r="E5" s="11" t="inlineStr">
        <is>
          <t>Лабораторија | Lab</t>
        </is>
      </c>
      <c r="F5" s="11" t="inlineStr">
        <is>
          <t>Сертификат | Certificate</t>
        </is>
      </c>
      <c r="G5" s="11" t="inlineStr">
        <is>
          <t>Во залиха Т1/Т2/Т3? | In T1/T2/T3 stock?</t>
        </is>
      </c>
      <c r="H5" s="11" t="inlineStr">
        <is>
          <t>Класа на Атласот (ориг.) | Atlas tier (orig.)</t>
        </is>
      </c>
      <c r="I5" s="11" t="inlineStr">
        <is>
          <t>Номинала % (ориг.) | Nominal % (orig.)</t>
        </is>
      </c>
      <c r="J5" s="11" t="inlineStr">
        <is>
          <t>Толеранција % (ориг.) | Tolerance % (orig.)</t>
        </is>
      </c>
      <c r="K5" s="11" t="inlineStr">
        <is>
          <t>Опсег дол. (ориг.) | Range lo (orig.)</t>
        </is>
      </c>
      <c r="L5" s="11" t="inlineStr">
        <is>
          <t>Опсег гор. (ориг.) | Range hi (orig.)</t>
        </is>
      </c>
      <c r="M5" s="11" t="inlineStr">
        <is>
          <t>Внатре во опсег на Атласот? | In Atlas range?</t>
        </is>
      </c>
      <c r="N5" s="11" t="inlineStr">
        <is>
          <t>Издадена класа (ориг. спец.) | Issued grade (orig. spec)</t>
        </is>
      </c>
      <c r="O5" s="11" t="inlineStr">
        <is>
          <t>Изд. опсег дол. | Issued range lo</t>
        </is>
      </c>
      <c r="P5" s="11" t="inlineStr">
        <is>
          <t>Изд. опсег гор. | Issued range hi</t>
        </is>
      </c>
      <c r="Q5" s="11" t="inlineStr">
        <is>
          <t>Внатре во издаден опсег? | In issued range?</t>
        </is>
      </c>
      <c r="R5" s="11" t="inlineStr">
        <is>
          <t>Ново име | New strain name</t>
        </is>
      </c>
      <c r="S5" s="11" t="inlineStr">
        <is>
          <t>Класа на Атласот (ново) | Atlas tier (new)</t>
        </is>
      </c>
      <c r="T5" s="11" t="inlineStr">
        <is>
          <t>Номинала % (ново) | Nominal % (new)</t>
        </is>
      </c>
      <c r="U5" s="11" t="inlineStr">
        <is>
          <t>Опсег дол. (ново) | Range lo (new)</t>
        </is>
      </c>
      <c r="V5" s="11" t="inlineStr">
        <is>
          <t>Опсег гор. (ново) | Range hi (new)</t>
        </is>
      </c>
    </row>
    <row r="6">
      <c r="A6" s="12" t="inlineStr">
        <is>
          <t>AB092501</t>
        </is>
      </c>
      <c r="B6" s="12" t="inlineStr">
        <is>
          <t>Apple and Banana</t>
        </is>
      </c>
      <c r="C6" s="13" t="n">
        <v>16.93</v>
      </c>
      <c r="D6" s="12" t="inlineStr">
        <is>
          <t>21.01.2026</t>
        </is>
      </c>
      <c r="E6" s="12" t="inlineStr">
        <is>
          <t>UKIM</t>
        </is>
      </c>
      <c r="F6" s="12" t="inlineStr">
        <is>
          <t>PP CoA #037 / ППК26005</t>
        </is>
      </c>
      <c r="G6" s="12" t="inlineStr">
        <is>
          <t>Да | Yes</t>
        </is>
      </c>
      <c r="H6" s="12" t="inlineStr">
        <is>
          <t>Pot.-1</t>
        </is>
      </c>
      <c r="I6" s="13" t="n">
        <v>17</v>
      </c>
      <c r="J6" s="13" t="n">
        <v>1.7</v>
      </c>
      <c r="K6" s="13" t="n">
        <v>15.3</v>
      </c>
      <c r="L6" s="13" t="n">
        <v>18.7</v>
      </c>
      <c r="M6" s="12">
        <f>IF(AND(C6&gt;=K6,C6&lt;=L6),"Да | Yes","НЕ | NO")</f>
        <v/>
      </c>
      <c r="N6" s="12" t="inlineStr">
        <is>
          <t>Grade III</t>
        </is>
      </c>
      <c r="O6" s="13" t="n">
        <v>15</v>
      </c>
      <c r="P6" s="13" t="n">
        <v>20</v>
      </c>
      <c r="Q6" s="12">
        <f>IF(AND(C6&gt;=O6,C6&lt;=P6),"Да | Yes","НЕ | NO")</f>
        <v/>
      </c>
      <c r="R6" s="12" t="inlineStr">
        <is>
          <t>(без преименување | not renamed)</t>
        </is>
      </c>
      <c r="S6" s="12" t="n"/>
      <c r="T6" s="12" t="n"/>
      <c r="U6" s="12" t="n"/>
      <c r="V6" s="12" t="n"/>
    </row>
    <row r="7">
      <c r="A7" s="14" t="inlineStr">
        <is>
          <t>BG1024</t>
        </is>
      </c>
      <c r="B7" s="14" t="inlineStr">
        <is>
          <t>Blue Gelato</t>
        </is>
      </c>
      <c r="C7" s="15" t="n">
        <v>26.14</v>
      </c>
      <c r="D7" s="14" t="inlineStr">
        <is>
          <t>07.08.2026</t>
        </is>
      </c>
      <c r="E7" s="14" t="inlineStr">
        <is>
          <t>FARM</t>
        </is>
      </c>
      <c r="F7" s="14" t="inlineStr">
        <is>
          <t>197-1-К/26</t>
        </is>
      </c>
      <c r="G7" s="14" t="inlineStr">
        <is>
          <t>Да | Yes</t>
        </is>
      </c>
      <c r="H7" s="14" t="inlineStr">
        <is>
          <t>Pot.-1</t>
        </is>
      </c>
      <c r="I7" s="15" t="n">
        <v>26</v>
      </c>
      <c r="J7" s="15" t="n">
        <v>2.6</v>
      </c>
      <c r="K7" s="15" t="n">
        <v>23.4</v>
      </c>
      <c r="L7" s="15" t="n">
        <v>28.6</v>
      </c>
      <c r="M7" s="14">
        <f>IF(AND(C7&gt;=K7,C7&lt;=L7),"Да | Yes","НЕ | NO")</f>
        <v/>
      </c>
      <c r="N7" s="14" t="inlineStr">
        <is>
          <t>Grade I</t>
        </is>
      </c>
      <c r="O7" s="15" t="n">
        <v>25.25</v>
      </c>
      <c r="P7" s="15" t="n">
        <v>30</v>
      </c>
      <c r="Q7" s="14">
        <f>IF(AND(C7&gt;=O7,C7&lt;=P7),"Да | Yes","НЕ | NO")</f>
        <v/>
      </c>
      <c r="R7" s="14" t="inlineStr">
        <is>
          <t>(без преименување | not renamed)</t>
        </is>
      </c>
      <c r="S7" s="14" t="n"/>
      <c r="T7" s="14" t="n"/>
      <c r="U7" s="14" t="n"/>
      <c r="V7" s="14" t="n"/>
    </row>
    <row r="8">
      <c r="A8" s="12" t="inlineStr">
        <is>
          <t>BG1024</t>
        </is>
      </c>
      <c r="B8" s="12" t="inlineStr">
        <is>
          <t>Blue Gelato</t>
        </is>
      </c>
      <c r="C8" s="13" t="n">
        <v>21.8</v>
      </c>
      <c r="D8" s="12" t="inlineStr">
        <is>
          <t>26.02.2025</t>
        </is>
      </c>
      <c r="E8" s="12" t="inlineStr">
        <is>
          <t>UKIM</t>
        </is>
      </c>
      <c r="F8" s="12" t="inlineStr">
        <is>
          <t>ППК25050</t>
        </is>
      </c>
      <c r="G8" s="12" t="inlineStr">
        <is>
          <t>Да | Yes</t>
        </is>
      </c>
      <c r="H8" s="12" t="inlineStr">
        <is>
          <t>Pot.-1</t>
        </is>
      </c>
      <c r="I8" s="13" t="n">
        <v>26</v>
      </c>
      <c r="J8" s="13" t="n">
        <v>2.6</v>
      </c>
      <c r="K8" s="13" t="n">
        <v>23.4</v>
      </c>
      <c r="L8" s="13" t="n">
        <v>28.6</v>
      </c>
      <c r="M8" s="12">
        <f>IF(AND(C8&gt;=K8,C8&lt;=L8),"Да | Yes","НЕ | NO")</f>
        <v/>
      </c>
      <c r="N8" s="12" t="inlineStr">
        <is>
          <t>Grade II</t>
        </is>
      </c>
      <c r="O8" s="13" t="n">
        <v>20.8</v>
      </c>
      <c r="P8" s="13" t="n">
        <v>25.25</v>
      </c>
      <c r="Q8" s="12">
        <f>IF(AND(C8&gt;=O8,C8&lt;=P8),"Да | Yes","НЕ | NO")</f>
        <v/>
      </c>
      <c r="R8" s="12" t="inlineStr">
        <is>
          <t>(без преименување | not renamed)</t>
        </is>
      </c>
      <c r="S8" s="12" t="n"/>
      <c r="T8" s="12" t="n"/>
      <c r="U8" s="12" t="n"/>
      <c r="V8" s="12" t="n"/>
    </row>
    <row r="9">
      <c r="A9" s="14" t="inlineStr">
        <is>
          <t>BSS1024</t>
        </is>
      </c>
      <c r="B9" s="14" t="inlineStr">
        <is>
          <t>Blue Sunset Sherbet</t>
        </is>
      </c>
      <c r="C9" s="15" t="n">
        <v>25.01</v>
      </c>
      <c r="D9" s="14" t="inlineStr">
        <is>
          <t>07.08.2026</t>
        </is>
      </c>
      <c r="E9" s="14" t="inlineStr">
        <is>
          <t>FARM</t>
        </is>
      </c>
      <c r="F9" s="14" t="inlineStr">
        <is>
          <t>197-2-К/26</t>
        </is>
      </c>
      <c r="G9" s="14" t="inlineStr">
        <is>
          <t>Да | Yes</t>
        </is>
      </c>
      <c r="H9" s="14" t="inlineStr">
        <is>
          <t>Pot.-2</t>
        </is>
      </c>
      <c r="I9" s="15" t="n">
        <v>24.5</v>
      </c>
      <c r="J9" s="15" t="n">
        <v>2.45</v>
      </c>
      <c r="K9" s="15" t="n">
        <v>22.05</v>
      </c>
      <c r="L9" s="15" t="n">
        <v>26.95</v>
      </c>
      <c r="M9" s="14">
        <f>IF(AND(C9&gt;=K9,C9&lt;=L9),"Да | Yes","НЕ | NO")</f>
        <v/>
      </c>
      <c r="N9" s="14" t="inlineStr">
        <is>
          <t>Grade I</t>
        </is>
      </c>
      <c r="O9" s="15" t="n">
        <v>24.75</v>
      </c>
      <c r="P9" s="15" t="n">
        <v>30</v>
      </c>
      <c r="Q9" s="14">
        <f>IF(AND(C9&gt;=O9,C9&lt;=P9),"Да | Yes","НЕ | NO")</f>
        <v/>
      </c>
      <c r="R9" s="14" t="inlineStr">
        <is>
          <t>Sunset Sherbet</t>
        </is>
      </c>
      <c r="S9" s="14" t="inlineStr">
        <is>
          <t>Pot.-2</t>
        </is>
      </c>
      <c r="T9" s="15" t="n">
        <v>24.5</v>
      </c>
      <c r="U9" s="15" t="n">
        <v>22.05</v>
      </c>
      <c r="V9" s="15" t="n">
        <v>26.95</v>
      </c>
    </row>
    <row r="10">
      <c r="A10" s="12" t="inlineStr">
        <is>
          <t>BSS1024_01</t>
        </is>
      </c>
      <c r="B10" s="12" t="inlineStr">
        <is>
          <t>Blue Sunset Sherbet</t>
        </is>
      </c>
      <c r="C10" s="13" t="n">
        <v>23.42</v>
      </c>
      <c r="D10" s="12" t="inlineStr">
        <is>
          <t>10.07.2025</t>
        </is>
      </c>
      <c r="E10" s="12" t="inlineStr">
        <is>
          <t>UKIM</t>
        </is>
      </c>
      <c r="F10" s="12" t="inlineStr">
        <is>
          <t>ППК25176</t>
        </is>
      </c>
      <c r="G10" s="12" t="inlineStr">
        <is>
          <t>Не | No</t>
        </is>
      </c>
      <c r="H10" s="12" t="inlineStr">
        <is>
          <t>n/a — не е тековна залиха | not currently stock</t>
        </is>
      </c>
      <c r="I10" s="12" t="n"/>
      <c r="J10" s="12" t="n"/>
      <c r="K10" s="12" t="n"/>
      <c r="L10" s="12" t="n"/>
      <c r="M10" s="12" t="inlineStr">
        <is>
          <t>—</t>
        </is>
      </c>
      <c r="N10" s="12" t="inlineStr">
        <is>
          <t>Grade II</t>
        </is>
      </c>
      <c r="O10" s="13" t="n">
        <v>19.39</v>
      </c>
      <c r="P10" s="13" t="n">
        <v>24.75</v>
      </c>
      <c r="Q10" s="12">
        <f>IF(AND(C10&gt;=O10,C10&lt;=P10),"Да | Yes","НЕ | NO")</f>
        <v/>
      </c>
      <c r="R10" s="12" t="inlineStr">
        <is>
          <t>—</t>
        </is>
      </c>
      <c r="S10" s="12" t="n"/>
      <c r="T10" s="12" t="n"/>
      <c r="U10" s="12" t="n"/>
      <c r="V10" s="12" t="n"/>
    </row>
    <row r="11">
      <c r="A11" s="14" t="inlineStr">
        <is>
          <t>BSS1024</t>
        </is>
      </c>
      <c r="B11" s="14" t="inlineStr">
        <is>
          <t>Blue Sunset Sherbet</t>
        </is>
      </c>
      <c r="C11" s="15" t="n">
        <v>21.03</v>
      </c>
      <c r="D11" s="14" t="inlineStr">
        <is>
          <t>26.02.2025</t>
        </is>
      </c>
      <c r="E11" s="14" t="inlineStr">
        <is>
          <t>UKIM</t>
        </is>
      </c>
      <c r="F11" s="14" t="inlineStr">
        <is>
          <t>ППК25051</t>
        </is>
      </c>
      <c r="G11" s="14" t="inlineStr">
        <is>
          <t>Да | Yes</t>
        </is>
      </c>
      <c r="H11" s="14" t="inlineStr">
        <is>
          <t>Pot.-2</t>
        </is>
      </c>
      <c r="I11" s="15" t="n">
        <v>24.5</v>
      </c>
      <c r="J11" s="15" t="n">
        <v>2.45</v>
      </c>
      <c r="K11" s="15" t="n">
        <v>22.05</v>
      </c>
      <c r="L11" s="15" t="n">
        <v>26.95</v>
      </c>
      <c r="M11" s="14">
        <f>IF(AND(C11&gt;=K11,C11&lt;=L11),"Да | Yes","НЕ | NO")</f>
        <v/>
      </c>
      <c r="N11" s="14" t="inlineStr">
        <is>
          <t>Grade II</t>
        </is>
      </c>
      <c r="O11" s="15" t="n">
        <v>19.39</v>
      </c>
      <c r="P11" s="15" t="n">
        <v>24.75</v>
      </c>
      <c r="Q11" s="14">
        <f>IF(AND(C11&gt;=O11,C11&lt;=P11),"Да | Yes","НЕ | NO")</f>
        <v/>
      </c>
      <c r="R11" s="14" t="inlineStr">
        <is>
          <t>Sunset Sherbet</t>
        </is>
      </c>
      <c r="S11" s="14" t="inlineStr">
        <is>
          <t>Pot.-2</t>
        </is>
      </c>
      <c r="T11" s="15" t="n">
        <v>24.5</v>
      </c>
      <c r="U11" s="15" t="n">
        <v>22.05</v>
      </c>
      <c r="V11" s="15" t="n">
        <v>26.95</v>
      </c>
    </row>
    <row r="12">
      <c r="A12" s="12" t="inlineStr">
        <is>
          <t>BSS052501</t>
        </is>
      </c>
      <c r="B12" s="12" t="inlineStr">
        <is>
          <t>Blue Sunset Sherbet</t>
        </is>
      </c>
      <c r="C12" s="13" t="n">
        <v>20.39</v>
      </c>
      <c r="D12" s="12" t="inlineStr">
        <is>
          <t>28.11.2025</t>
        </is>
      </c>
      <c r="E12" s="12" t="inlineStr">
        <is>
          <t>PP</t>
        </is>
      </c>
      <c r="F12" s="12" t="inlineStr">
        <is>
          <t>In-house GC cross-check NGP/QCG/SOP-024</t>
        </is>
      </c>
      <c r="G12" s="12" t="inlineStr">
        <is>
          <t>Да | Yes</t>
        </is>
      </c>
      <c r="H12" s="12" t="inlineStr">
        <is>
          <t>Pot.-1</t>
        </is>
      </c>
      <c r="I12" s="13" t="n">
        <v>20.5</v>
      </c>
      <c r="J12" s="13" t="n">
        <v>1.54</v>
      </c>
      <c r="K12" s="13" t="n">
        <v>18.96</v>
      </c>
      <c r="L12" s="13" t="n">
        <v>22.04</v>
      </c>
      <c r="M12" s="12">
        <f>IF(AND(C12&gt;=K12,C12&lt;=L12),"Да | Yes","НЕ | NO")</f>
        <v/>
      </c>
      <c r="N12" s="12" t="inlineStr">
        <is>
          <t>Grade II</t>
        </is>
      </c>
      <c r="O12" s="13" t="n">
        <v>19.39</v>
      </c>
      <c r="P12" s="13" t="n">
        <v>24.75</v>
      </c>
      <c r="Q12" s="12">
        <f>IF(AND(C12&gt;=O12,C12&lt;=P12),"Да | Yes","НЕ | NO")</f>
        <v/>
      </c>
      <c r="R12" s="12" t="inlineStr">
        <is>
          <t>Sunset Sherbet</t>
        </is>
      </c>
      <c r="S12" s="12" t="inlineStr">
        <is>
          <t>Pot.-1</t>
        </is>
      </c>
      <c r="T12" s="13" t="n">
        <v>20.5</v>
      </c>
      <c r="U12" s="13" t="n">
        <v>18.96</v>
      </c>
      <c r="V12" s="13" t="n">
        <v>22.04</v>
      </c>
    </row>
    <row r="13">
      <c r="A13" s="14" t="inlineStr">
        <is>
          <t>CJ052501/1</t>
        </is>
      </c>
      <c r="B13" s="14" t="inlineStr">
        <is>
          <t>Cap Junky</t>
        </is>
      </c>
      <c r="C13" s="15" t="n">
        <v>24.05</v>
      </c>
      <c r="D13" s="14" t="inlineStr">
        <is>
          <t>07.08.2026</t>
        </is>
      </c>
      <c r="E13" s="14" t="inlineStr">
        <is>
          <t>FARM</t>
        </is>
      </c>
      <c r="F13" s="14" t="inlineStr">
        <is>
          <t>197-3-К/26</t>
        </is>
      </c>
      <c r="G13" s="14" t="inlineStr">
        <is>
          <t>Да | Yes</t>
        </is>
      </c>
      <c r="H13" s="14" t="inlineStr">
        <is>
          <t>Pot.-3</t>
        </is>
      </c>
      <c r="I13" s="15" t="n">
        <v>23</v>
      </c>
      <c r="J13" s="15" t="n">
        <v>2.3</v>
      </c>
      <c r="K13" s="15" t="n">
        <v>20.7</v>
      </c>
      <c r="L13" s="15" t="n">
        <v>25.3</v>
      </c>
      <c r="M13" s="14">
        <f>IF(AND(C13&gt;=K13,C13&lt;=L13),"Да | Yes","НЕ | NO")</f>
        <v/>
      </c>
      <c r="N13" s="14" t="inlineStr">
        <is>
          <t>Grade II</t>
        </is>
      </c>
      <c r="O13" s="15" t="n">
        <v>19.75</v>
      </c>
      <c r="P13" s="15" t="n">
        <v>25.25</v>
      </c>
      <c r="Q13" s="14">
        <f>IF(AND(C13&gt;=O13,C13&lt;=P13),"Да | Yes","НЕ | NO")</f>
        <v/>
      </c>
      <c r="R13" s="14" t="inlineStr">
        <is>
          <t>Cookie Kush</t>
        </is>
      </c>
      <c r="S13" s="14" t="inlineStr">
        <is>
          <t>Pot.-2</t>
        </is>
      </c>
      <c r="T13" s="15" t="n">
        <v>23</v>
      </c>
      <c r="U13" s="15" t="n">
        <v>20.7</v>
      </c>
      <c r="V13" s="15" t="n">
        <v>25.3</v>
      </c>
    </row>
    <row r="14">
      <c r="A14" s="12" t="inlineStr">
        <is>
          <t>CJ062501/2</t>
        </is>
      </c>
      <c r="B14" s="12" t="inlineStr">
        <is>
          <t>Cap Junky</t>
        </is>
      </c>
      <c r="C14" s="13" t="n">
        <v>18.91</v>
      </c>
      <c r="D14" s="12" t="inlineStr">
        <is>
          <t>07.08.2026</t>
        </is>
      </c>
      <c r="E14" s="12" t="inlineStr">
        <is>
          <t>FARM</t>
        </is>
      </c>
      <c r="F14" s="12" t="inlineStr">
        <is>
          <t>197-4-К/26</t>
        </is>
      </c>
      <c r="G14" s="12" t="inlineStr">
        <is>
          <t>Да | Yes</t>
        </is>
      </c>
      <c r="H14" s="12" t="inlineStr">
        <is>
          <t>Pot.-2</t>
        </is>
      </c>
      <c r="I14" s="13" t="n">
        <v>19</v>
      </c>
      <c r="J14" s="13" t="n">
        <v>1.69</v>
      </c>
      <c r="K14" s="13" t="n">
        <v>17.31</v>
      </c>
      <c r="L14" s="13" t="n">
        <v>20.69</v>
      </c>
      <c r="M14" s="12">
        <f>IF(AND(C14&gt;=K14,C14&lt;=L14),"Да | Yes","НЕ | NO")</f>
        <v/>
      </c>
      <c r="N14" s="12" t="inlineStr">
        <is>
          <t>Grade III</t>
        </is>
      </c>
      <c r="O14" s="13" t="n">
        <v>13.93</v>
      </c>
      <c r="P14" s="13" t="n">
        <v>19.75</v>
      </c>
      <c r="Q14" s="12">
        <f>IF(AND(C14&gt;=O14,C14&lt;=P14),"Да | Yes","НЕ | NO")</f>
        <v/>
      </c>
      <c r="R14" s="12" t="inlineStr">
        <is>
          <t>OG Banana's</t>
        </is>
      </c>
      <c r="S14" s="12" t="inlineStr">
        <is>
          <t>Pot.-2</t>
        </is>
      </c>
      <c r="T14" s="13" t="n">
        <v>18</v>
      </c>
      <c r="U14" s="13" t="n">
        <v>16.21</v>
      </c>
      <c r="V14" s="13" t="n">
        <v>19.79</v>
      </c>
    </row>
    <row r="15">
      <c r="A15" s="14" t="inlineStr">
        <is>
          <t>CJ082501/2</t>
        </is>
      </c>
      <c r="B15" s="14" t="inlineStr">
        <is>
          <t>Cap Junky</t>
        </is>
      </c>
      <c r="C15" s="15" t="n">
        <v>18.29</v>
      </c>
      <c r="D15" s="14" t="inlineStr">
        <is>
          <t>07.08.2026</t>
        </is>
      </c>
      <c r="E15" s="14" t="inlineStr">
        <is>
          <t>FARM</t>
        </is>
      </c>
      <c r="F15" s="14" t="inlineStr">
        <is>
          <t>197-5-К/26</t>
        </is>
      </c>
      <c r="G15" s="14" t="inlineStr">
        <is>
          <t>Да | Yes</t>
        </is>
      </c>
      <c r="H15" s="14" t="inlineStr">
        <is>
          <t>Pot.-2</t>
        </is>
      </c>
      <c r="I15" s="15" t="n">
        <v>19</v>
      </c>
      <c r="J15" s="15" t="n">
        <v>1.69</v>
      </c>
      <c r="K15" s="15" t="n">
        <v>17.31</v>
      </c>
      <c r="L15" s="15" t="n">
        <v>20.69</v>
      </c>
      <c r="M15" s="14">
        <f>IF(AND(C15&gt;=K15,C15&lt;=L15),"Да | Yes","НЕ | NO")</f>
        <v/>
      </c>
      <c r="N15" s="14" t="inlineStr">
        <is>
          <t>Grade III</t>
        </is>
      </c>
      <c r="O15" s="15" t="n">
        <v>13.93</v>
      </c>
      <c r="P15" s="15" t="n">
        <v>19.75</v>
      </c>
      <c r="Q15" s="14">
        <f>IF(AND(C15&gt;=O15,C15&lt;=P15),"Да | Yes","НЕ | NO")</f>
        <v/>
      </c>
      <c r="R15" s="14" t="inlineStr">
        <is>
          <t>Cookie Kush</t>
        </is>
      </c>
      <c r="S15" s="14" t="inlineStr">
        <is>
          <t>Pot.-1</t>
        </is>
      </c>
      <c r="T15" s="15" t="n">
        <v>19</v>
      </c>
      <c r="U15" s="15" t="n">
        <v>17.31</v>
      </c>
      <c r="V15" s="15" t="n">
        <v>20.69</v>
      </c>
    </row>
    <row r="16">
      <c r="A16" s="12" t="inlineStr">
        <is>
          <t>CJ052501/1</t>
        </is>
      </c>
      <c r="B16" s="12" t="inlineStr">
        <is>
          <t>Cap Junky</t>
        </is>
      </c>
      <c r="C16" s="13" t="n">
        <v>20.29</v>
      </c>
      <c r="D16" s="12" t="inlineStr">
        <is>
          <t>17.09.2025</t>
        </is>
      </c>
      <c r="E16" s="12" t="inlineStr">
        <is>
          <t>UKIM</t>
        </is>
      </c>
      <c r="F16" s="12" t="inlineStr">
        <is>
          <t>ППК25280</t>
        </is>
      </c>
      <c r="G16" s="12" t="inlineStr">
        <is>
          <t>Да | Yes</t>
        </is>
      </c>
      <c r="H16" s="12" t="inlineStr">
        <is>
          <t>Pot.-3</t>
        </is>
      </c>
      <c r="I16" s="13" t="n">
        <v>23</v>
      </c>
      <c r="J16" s="13" t="n">
        <v>2.3</v>
      </c>
      <c r="K16" s="13" t="n">
        <v>20.7</v>
      </c>
      <c r="L16" s="13" t="n">
        <v>25.3</v>
      </c>
      <c r="M16" s="12">
        <f>IF(AND(C16&gt;=K16,C16&lt;=L16),"Да | Yes","НЕ | NO")</f>
        <v/>
      </c>
      <c r="N16" s="12" t="inlineStr">
        <is>
          <t>Grade II</t>
        </is>
      </c>
      <c r="O16" s="13" t="n">
        <v>19.75</v>
      </c>
      <c r="P16" s="13" t="n">
        <v>25.25</v>
      </c>
      <c r="Q16" s="12">
        <f>IF(AND(C16&gt;=O16,C16&lt;=P16),"Да | Yes","НЕ | NO")</f>
        <v/>
      </c>
      <c r="R16" s="12" t="inlineStr">
        <is>
          <t>Cookie Kush</t>
        </is>
      </c>
      <c r="S16" s="12" t="inlineStr">
        <is>
          <t>Pot.-2</t>
        </is>
      </c>
      <c r="T16" s="13" t="n">
        <v>23</v>
      </c>
      <c r="U16" s="13" t="n">
        <v>20.7</v>
      </c>
      <c r="V16" s="13" t="n">
        <v>25.3</v>
      </c>
    </row>
    <row r="17">
      <c r="A17" s="14" t="inlineStr">
        <is>
          <t>CJ052501/2</t>
        </is>
      </c>
      <c r="B17" s="14" t="inlineStr">
        <is>
          <t>Cap Junky</t>
        </is>
      </c>
      <c r="C17" s="15" t="n">
        <v>14.93</v>
      </c>
      <c r="D17" s="14" t="inlineStr">
        <is>
          <t>17.09.2025</t>
        </is>
      </c>
      <c r="E17" s="14" t="inlineStr">
        <is>
          <t>UKIM</t>
        </is>
      </c>
      <c r="F17" s="14" t="inlineStr">
        <is>
          <t>ППК25281</t>
        </is>
      </c>
      <c r="G17" s="14" t="inlineStr">
        <is>
          <t>Да | Yes</t>
        </is>
      </c>
      <c r="H17" s="14" t="inlineStr">
        <is>
          <t>Pot.-1</t>
        </is>
      </c>
      <c r="I17" s="15" t="n">
        <v>16</v>
      </c>
      <c r="J17" s="15" t="n">
        <v>1.3</v>
      </c>
      <c r="K17" s="15" t="n">
        <v>14.7</v>
      </c>
      <c r="L17" s="15" t="n">
        <v>17.3</v>
      </c>
      <c r="M17" s="14">
        <f>IF(AND(C17&gt;=K17,C17&lt;=L17),"Да | Yes","НЕ | NO")</f>
        <v/>
      </c>
      <c r="N17" s="14" t="inlineStr">
        <is>
          <t>Grade III</t>
        </is>
      </c>
      <c r="O17" s="15" t="n">
        <v>13.93</v>
      </c>
      <c r="P17" s="15" t="n">
        <v>19.75</v>
      </c>
      <c r="Q17" s="14">
        <f>IF(AND(C17&gt;=O17,C17&lt;=P17),"Да | Yes","НЕ | NO")</f>
        <v/>
      </c>
      <c r="R17" s="14" t="inlineStr">
        <is>
          <t>OG Banana's</t>
        </is>
      </c>
      <c r="S17" s="14" t="inlineStr">
        <is>
          <t>Pot.-1</t>
        </is>
      </c>
      <c r="T17" s="15" t="n">
        <v>15</v>
      </c>
      <c r="U17" s="15" t="n">
        <v>13.8</v>
      </c>
      <c r="V17" s="15" t="n">
        <v>16.2</v>
      </c>
    </row>
    <row r="18">
      <c r="A18" s="12" t="inlineStr">
        <is>
          <t>CJ082501/1</t>
        </is>
      </c>
      <c r="B18" s="12" t="inlineStr">
        <is>
          <t>Cap Junky</t>
        </is>
      </c>
      <c r="C18" s="13" t="n">
        <v>24.96</v>
      </c>
      <c r="D18" s="12" t="inlineStr">
        <is>
          <t>21.01.2026</t>
        </is>
      </c>
      <c r="E18" s="12" t="inlineStr">
        <is>
          <t>UKIM</t>
        </is>
      </c>
      <c r="F18" s="12" t="inlineStr">
        <is>
          <t>ППК26002</t>
        </is>
      </c>
      <c r="G18" s="12" t="inlineStr">
        <is>
          <t>Да | Yes</t>
        </is>
      </c>
      <c r="H18" s="12" t="inlineStr">
        <is>
          <t>Pot.-3</t>
        </is>
      </c>
      <c r="I18" s="13" t="n">
        <v>23</v>
      </c>
      <c r="J18" s="13" t="n">
        <v>2.3</v>
      </c>
      <c r="K18" s="13" t="n">
        <v>20.7</v>
      </c>
      <c r="L18" s="13" t="n">
        <v>25.3</v>
      </c>
      <c r="M18" s="12">
        <f>IF(AND(C18&gt;=K18,C18&lt;=L18),"Да | Yes","НЕ | NO")</f>
        <v/>
      </c>
      <c r="N18" s="12" t="inlineStr">
        <is>
          <t>Grade II</t>
        </is>
      </c>
      <c r="O18" s="13" t="n">
        <v>19.75</v>
      </c>
      <c r="P18" s="13" t="n">
        <v>25.25</v>
      </c>
      <c r="Q18" s="12">
        <f>IF(AND(C18&gt;=O18,C18&lt;=P18),"Да | Yes","НЕ | NO")</f>
        <v/>
      </c>
      <c r="R18" s="12" t="inlineStr">
        <is>
          <t>Cookie Kush</t>
        </is>
      </c>
      <c r="S18" s="12" t="inlineStr">
        <is>
          <t>Pot.-2</t>
        </is>
      </c>
      <c r="T18" s="13" t="n">
        <v>23</v>
      </c>
      <c r="U18" s="13" t="n">
        <v>20.7</v>
      </c>
      <c r="V18" s="13" t="n">
        <v>25.3</v>
      </c>
    </row>
    <row r="19">
      <c r="A19" s="14" t="inlineStr">
        <is>
          <t>CJ082501/2</t>
        </is>
      </c>
      <c r="B19" s="14" t="inlineStr">
        <is>
          <t>Cap Junky</t>
        </is>
      </c>
      <c r="C19" s="15" t="n">
        <v>20.84</v>
      </c>
      <c r="D19" s="14" t="inlineStr">
        <is>
          <t>21.01.2026</t>
        </is>
      </c>
      <c r="E19" s="14" t="inlineStr">
        <is>
          <t>UKIM</t>
        </is>
      </c>
      <c r="F19" s="14" t="inlineStr">
        <is>
          <t>ППК26003</t>
        </is>
      </c>
      <c r="G19" s="14" t="inlineStr">
        <is>
          <t>Да | Yes</t>
        </is>
      </c>
      <c r="H19" s="14" t="inlineStr">
        <is>
          <t>Pot.-2</t>
        </is>
      </c>
      <c r="I19" s="15" t="n">
        <v>19</v>
      </c>
      <c r="J19" s="15" t="n">
        <v>1.69</v>
      </c>
      <c r="K19" s="15" t="n">
        <v>17.31</v>
      </c>
      <c r="L19" s="15" t="n">
        <v>20.69</v>
      </c>
      <c r="M19" s="14">
        <f>IF(AND(C19&gt;=K19,C19&lt;=L19),"Да | Yes","НЕ | NO")</f>
        <v/>
      </c>
      <c r="N19" s="14" t="inlineStr">
        <is>
          <t>Grade II</t>
        </is>
      </c>
      <c r="O19" s="15" t="n">
        <v>19.75</v>
      </c>
      <c r="P19" s="15" t="n">
        <v>25.25</v>
      </c>
      <c r="Q19" s="14">
        <f>IF(AND(C19&gt;=O19,C19&lt;=P19),"Да | Yes","НЕ | NO")</f>
        <v/>
      </c>
      <c r="R19" s="14" t="inlineStr">
        <is>
          <t>Cookie Kush</t>
        </is>
      </c>
      <c r="S19" s="14" t="inlineStr">
        <is>
          <t>Pot.-1</t>
        </is>
      </c>
      <c r="T19" s="15" t="n">
        <v>19</v>
      </c>
      <c r="U19" s="15" t="n">
        <v>17.31</v>
      </c>
      <c r="V19" s="15" t="n">
        <v>20.69</v>
      </c>
    </row>
    <row r="20">
      <c r="A20" s="12" t="inlineStr">
        <is>
          <t>CJ092501</t>
        </is>
      </c>
      <c r="B20" s="12" t="inlineStr">
        <is>
          <t>Cap Junky</t>
        </is>
      </c>
      <c r="C20" s="13" t="n">
        <v>22.3</v>
      </c>
      <c r="D20" s="12" t="inlineStr">
        <is>
          <t>21.01.2026</t>
        </is>
      </c>
      <c r="E20" s="12" t="inlineStr">
        <is>
          <t>UKIM</t>
        </is>
      </c>
      <c r="F20" s="12" t="inlineStr">
        <is>
          <t>ППК26007</t>
        </is>
      </c>
      <c r="G20" s="12" t="inlineStr">
        <is>
          <t>Да | Yes</t>
        </is>
      </c>
      <c r="H20" s="12" t="inlineStr">
        <is>
          <t>Pot.-3</t>
        </is>
      </c>
      <c r="I20" s="13" t="n">
        <v>23</v>
      </c>
      <c r="J20" s="13" t="n">
        <v>2.3</v>
      </c>
      <c r="K20" s="13" t="n">
        <v>20.7</v>
      </c>
      <c r="L20" s="13" t="n">
        <v>25.3</v>
      </c>
      <c r="M20" s="12">
        <f>IF(AND(C20&gt;=K20,C20&lt;=L20),"Да | Yes","НЕ | NO")</f>
        <v/>
      </c>
      <c r="N20" s="12" t="inlineStr">
        <is>
          <t>Grade II</t>
        </is>
      </c>
      <c r="O20" s="13" t="n">
        <v>19.75</v>
      </c>
      <c r="P20" s="13" t="n">
        <v>25.25</v>
      </c>
      <c r="Q20" s="12">
        <f>IF(AND(C20&gt;=O20,C20&lt;=P20),"Да | Yes","НЕ | NO")</f>
        <v/>
      </c>
      <c r="R20" s="12" t="inlineStr">
        <is>
          <t>Cookie Kush</t>
        </is>
      </c>
      <c r="S20" s="12" t="inlineStr">
        <is>
          <t>Pot.-2</t>
        </is>
      </c>
      <c r="T20" s="13" t="n">
        <v>23</v>
      </c>
      <c r="U20" s="13" t="n">
        <v>20.7</v>
      </c>
      <c r="V20" s="13" t="n">
        <v>25.3</v>
      </c>
    </row>
    <row r="21">
      <c r="A21" s="14" t="inlineStr">
        <is>
          <t>CJ062501/1</t>
        </is>
      </c>
      <c r="B21" s="14" t="inlineStr">
        <is>
          <t>Cap Junky</t>
        </is>
      </c>
      <c r="C21" s="15" t="n">
        <v>21.51</v>
      </c>
      <c r="D21" s="14" t="inlineStr">
        <is>
          <t>23.10.2025</t>
        </is>
      </c>
      <c r="E21" s="14" t="inlineStr">
        <is>
          <t>UKIM</t>
        </is>
      </c>
      <c r="F21" s="14" t="inlineStr">
        <is>
          <t>ППК25321</t>
        </is>
      </c>
      <c r="G21" s="14" t="inlineStr">
        <is>
          <t>Да | Yes</t>
        </is>
      </c>
      <c r="H21" s="14" t="inlineStr">
        <is>
          <t>Pot.-3</t>
        </is>
      </c>
      <c r="I21" s="15" t="n">
        <v>23</v>
      </c>
      <c r="J21" s="15" t="n">
        <v>2.3</v>
      </c>
      <c r="K21" s="15" t="n">
        <v>20.7</v>
      </c>
      <c r="L21" s="15" t="n">
        <v>25.3</v>
      </c>
      <c r="M21" s="14">
        <f>IF(AND(C21&gt;=K21,C21&lt;=L21),"Да | Yes","НЕ | NO")</f>
        <v/>
      </c>
      <c r="N21" s="14" t="inlineStr">
        <is>
          <t>Grade II</t>
        </is>
      </c>
      <c r="O21" s="15" t="n">
        <v>19.75</v>
      </c>
      <c r="P21" s="15" t="n">
        <v>25.25</v>
      </c>
      <c r="Q21" s="14">
        <f>IF(AND(C21&gt;=O21,C21&lt;=P21),"Да | Yes","НЕ | NO")</f>
        <v/>
      </c>
      <c r="R21" s="14" t="inlineStr">
        <is>
          <t>OG Banana's</t>
        </is>
      </c>
      <c r="S21" s="14" t="inlineStr">
        <is>
          <t>Pot.-3</t>
        </is>
      </c>
      <c r="T21" s="15" t="n">
        <v>22</v>
      </c>
      <c r="U21" s="15" t="n">
        <v>19.8</v>
      </c>
      <c r="V21" s="15" t="n">
        <v>24.2</v>
      </c>
    </row>
    <row r="22">
      <c r="A22" s="12" t="inlineStr">
        <is>
          <t>CJ062501/2</t>
        </is>
      </c>
      <c r="B22" s="12" t="inlineStr">
        <is>
          <t>Cap Junky</t>
        </is>
      </c>
      <c r="C22" s="13" t="n">
        <v>16.56</v>
      </c>
      <c r="D22" s="12" t="inlineStr">
        <is>
          <t>23.10.2025</t>
        </is>
      </c>
      <c r="E22" s="12" t="inlineStr">
        <is>
          <t>UKIM</t>
        </is>
      </c>
      <c r="F22" s="12" t="inlineStr">
        <is>
          <t>ППК25322</t>
        </is>
      </c>
      <c r="G22" s="12" t="inlineStr">
        <is>
          <t>Да | Yes</t>
        </is>
      </c>
      <c r="H22" s="12" t="inlineStr">
        <is>
          <t>Pot.-2</t>
        </is>
      </c>
      <c r="I22" s="13" t="n">
        <v>19</v>
      </c>
      <c r="J22" s="13" t="n">
        <v>1.69</v>
      </c>
      <c r="K22" s="13" t="n">
        <v>17.31</v>
      </c>
      <c r="L22" s="13" t="n">
        <v>20.69</v>
      </c>
      <c r="M22" s="12">
        <f>IF(AND(C22&gt;=K22,C22&lt;=L22),"Да | Yes","НЕ | NO")</f>
        <v/>
      </c>
      <c r="N22" s="12" t="inlineStr">
        <is>
          <t>Grade III</t>
        </is>
      </c>
      <c r="O22" s="13" t="n">
        <v>13.93</v>
      </c>
      <c r="P22" s="13" t="n">
        <v>19.75</v>
      </c>
      <c r="Q22" s="12">
        <f>IF(AND(C22&gt;=O22,C22&lt;=P22),"Да | Yes","НЕ | NO")</f>
        <v/>
      </c>
      <c r="R22" s="12" t="inlineStr">
        <is>
          <t>OG Banana's</t>
        </is>
      </c>
      <c r="S22" s="12" t="inlineStr">
        <is>
          <t>Pot.-2</t>
        </is>
      </c>
      <c r="T22" s="13" t="n">
        <v>18</v>
      </c>
      <c r="U22" s="13" t="n">
        <v>16.21</v>
      </c>
      <c r="V22" s="13" t="n">
        <v>19.79</v>
      </c>
    </row>
    <row r="23">
      <c r="A23" s="14" t="inlineStr">
        <is>
          <t>CJ1024</t>
        </is>
      </c>
      <c r="B23" s="14" t="inlineStr">
        <is>
          <t>Cap Junky</t>
        </is>
      </c>
      <c r="C23" s="15" t="n">
        <v>23</v>
      </c>
      <c r="D23" s="14" t="inlineStr">
        <is>
          <t>26.02.2025</t>
        </is>
      </c>
      <c r="E23" s="14" t="inlineStr">
        <is>
          <t>UKIM</t>
        </is>
      </c>
      <c r="F23" s="14" t="inlineStr">
        <is>
          <t>ППК25052</t>
        </is>
      </c>
      <c r="G23" s="14" t="inlineStr">
        <is>
          <t>Да | Yes</t>
        </is>
      </c>
      <c r="H23" s="14" t="inlineStr">
        <is>
          <t>Pot.-3</t>
        </is>
      </c>
      <c r="I23" s="15" t="n">
        <v>23</v>
      </c>
      <c r="J23" s="15" t="n">
        <v>2.3</v>
      </c>
      <c r="K23" s="15" t="n">
        <v>20.7</v>
      </c>
      <c r="L23" s="15" t="n">
        <v>25.3</v>
      </c>
      <c r="M23" s="14">
        <f>IF(AND(C23&gt;=K23,C23&lt;=L23),"Да | Yes","НЕ | NO")</f>
        <v/>
      </c>
      <c r="N23" s="14" t="inlineStr">
        <is>
          <t>Grade II</t>
        </is>
      </c>
      <c r="O23" s="15" t="n">
        <v>19.75</v>
      </c>
      <c r="P23" s="15" t="n">
        <v>25.25</v>
      </c>
      <c r="Q23" s="14">
        <f>IF(AND(C23&gt;=O23,C23&lt;=P23),"Да | Yes","НЕ | NO")</f>
        <v/>
      </c>
      <c r="R23" s="14" t="inlineStr">
        <is>
          <t>Cookie Kush</t>
        </is>
      </c>
      <c r="S23" s="14" t="inlineStr">
        <is>
          <t>Pot.-2</t>
        </is>
      </c>
      <c r="T23" s="15" t="n">
        <v>23</v>
      </c>
      <c r="U23" s="15" t="n">
        <v>20.7</v>
      </c>
      <c r="V23" s="15" t="n">
        <v>25.3</v>
      </c>
    </row>
    <row r="24">
      <c r="A24" s="12" t="inlineStr">
        <is>
          <t>CJ072501</t>
        </is>
      </c>
      <c r="B24" s="12" t="inlineStr">
        <is>
          <t>Cap Junky</t>
        </is>
      </c>
      <c r="C24" s="13" t="n">
        <v>23.7</v>
      </c>
      <c r="D24" s="12" t="inlineStr">
        <is>
          <t>28.11.2025</t>
        </is>
      </c>
      <c r="E24" s="12" t="inlineStr">
        <is>
          <t>UKIM</t>
        </is>
      </c>
      <c r="F24" s="12" t="inlineStr">
        <is>
          <t>ППК25367</t>
        </is>
      </c>
      <c r="G24" s="12" t="inlineStr">
        <is>
          <t>Да | Yes</t>
        </is>
      </c>
      <c r="H24" s="12" t="inlineStr">
        <is>
          <t>Pot.-3</t>
        </is>
      </c>
      <c r="I24" s="13" t="n">
        <v>23</v>
      </c>
      <c r="J24" s="13" t="n">
        <v>2.3</v>
      </c>
      <c r="K24" s="13" t="n">
        <v>20.7</v>
      </c>
      <c r="L24" s="13" t="n">
        <v>25.3</v>
      </c>
      <c r="M24" s="12">
        <f>IF(AND(C24&gt;=K24,C24&lt;=L24),"Да | Yes","НЕ | NO")</f>
        <v/>
      </c>
      <c r="N24" s="12" t="inlineStr">
        <is>
          <t>Grade II</t>
        </is>
      </c>
      <c r="O24" s="13" t="n">
        <v>19.75</v>
      </c>
      <c r="P24" s="13" t="n">
        <v>25.25</v>
      </c>
      <c r="Q24" s="12">
        <f>IF(AND(C24&gt;=O24,C24&lt;=P24),"Да | Yes","НЕ | NO")</f>
        <v/>
      </c>
      <c r="R24" s="12" t="inlineStr">
        <is>
          <t>Cookie Kush</t>
        </is>
      </c>
      <c r="S24" s="12" t="inlineStr">
        <is>
          <t>Pot.-2</t>
        </is>
      </c>
      <c r="T24" s="13" t="n">
        <v>23</v>
      </c>
      <c r="U24" s="13" t="n">
        <v>20.7</v>
      </c>
      <c r="V24" s="13" t="n">
        <v>25.3</v>
      </c>
    </row>
    <row r="25">
      <c r="A25" s="14" t="inlineStr">
        <is>
          <t>CC012601/1</t>
        </is>
      </c>
      <c r="B25" s="14" t="inlineStr">
        <is>
          <t>Cash Cow</t>
        </is>
      </c>
      <c r="C25" s="15" t="n">
        <v>17.67</v>
      </c>
      <c r="D25" s="14" t="inlineStr">
        <is>
          <t>07.08.2026</t>
        </is>
      </c>
      <c r="E25" s="14" t="inlineStr">
        <is>
          <t>FARM</t>
        </is>
      </c>
      <c r="F25" s="14" t="inlineStr">
        <is>
          <t>197-6-К/26</t>
        </is>
      </c>
      <c r="G25" s="14" t="inlineStr">
        <is>
          <t>Да | Yes</t>
        </is>
      </c>
      <c r="H25" s="14" t="inlineStr">
        <is>
          <t>Pot.-2</t>
        </is>
      </c>
      <c r="I25" s="15" t="n">
        <v>16.5</v>
      </c>
      <c r="J25" s="15" t="n">
        <v>1.65</v>
      </c>
      <c r="K25" s="15" t="n">
        <v>14.85</v>
      </c>
      <c r="L25" s="15" t="n">
        <v>18.15</v>
      </c>
      <c r="M25" s="14">
        <f>IF(AND(C25&gt;=K25,C25&lt;=L25),"Да | Yes","НЕ | NO")</f>
        <v/>
      </c>
      <c r="N25" s="14" t="inlineStr">
        <is>
          <t>Grade III</t>
        </is>
      </c>
      <c r="O25" s="15" t="n">
        <v>15.5</v>
      </c>
      <c r="P25" s="15" t="n">
        <v>20.5</v>
      </c>
      <c r="Q25" s="14">
        <f>IF(AND(C25&gt;=O25,C25&lt;=P25),"Да | Yes","НЕ | NO")</f>
        <v/>
      </c>
      <c r="R25" s="14" t="inlineStr">
        <is>
          <t>Payday</t>
        </is>
      </c>
      <c r="S25" s="14" t="inlineStr">
        <is>
          <t>Pot.-2</t>
        </is>
      </c>
      <c r="T25" s="15" t="n">
        <v>16.5</v>
      </c>
      <c r="U25" s="15" t="n">
        <v>14.85</v>
      </c>
      <c r="V25" s="15" t="n">
        <v>18.15</v>
      </c>
    </row>
    <row r="26">
      <c r="A26" s="12" t="inlineStr">
        <is>
          <t>CC112501</t>
        </is>
      </c>
      <c r="B26" s="12" t="inlineStr">
        <is>
          <t>Cash Cow</t>
        </is>
      </c>
      <c r="C26" s="13" t="n">
        <v>13.35</v>
      </c>
      <c r="D26" s="12" t="inlineStr">
        <is>
          <t>11.05.2026</t>
        </is>
      </c>
      <c r="E26" s="12" t="inlineStr">
        <is>
          <t>UKIM</t>
        </is>
      </c>
      <c r="F26" s="12" t="inlineStr">
        <is>
          <t>ППК26068</t>
        </is>
      </c>
      <c r="G26" s="12" t="inlineStr">
        <is>
          <t>Да | Yes</t>
        </is>
      </c>
      <c r="H26" s="12" t="inlineStr">
        <is>
          <t>Pot.-1</t>
        </is>
      </c>
      <c r="I26" s="13" t="n">
        <v>13.5</v>
      </c>
      <c r="J26" s="13" t="n">
        <v>1.34</v>
      </c>
      <c r="K26" s="13" t="n">
        <v>12.16</v>
      </c>
      <c r="L26" s="13" t="n">
        <v>14.84</v>
      </c>
      <c r="M26" s="12">
        <f>IF(AND(C26&gt;=K26,C26&lt;=L26),"Да | Yes","НЕ | NO")</f>
        <v/>
      </c>
      <c r="N26" s="12" t="inlineStr">
        <is>
          <t>нема класа што го покрива | no grade covers this value</t>
        </is>
      </c>
      <c r="O26" s="12" t="n"/>
      <c r="P26" s="12" t="n"/>
      <c r="Q26" s="12" t="inlineStr">
        <is>
          <t>—</t>
        </is>
      </c>
      <c r="R26" s="12" t="inlineStr">
        <is>
          <t>Payday</t>
        </is>
      </c>
      <c r="S26" s="12" t="inlineStr">
        <is>
          <t>Pot.-1</t>
        </is>
      </c>
      <c r="T26" s="13" t="n">
        <v>13.5</v>
      </c>
      <c r="U26" s="13" t="n">
        <v>12.16</v>
      </c>
      <c r="V26" s="13" t="n">
        <v>14.84</v>
      </c>
    </row>
    <row r="27">
      <c r="A27" s="14" t="inlineStr">
        <is>
          <t>CLE072501</t>
        </is>
      </c>
      <c r="B27" s="14" t="inlineStr">
        <is>
          <t>Clemosa a bud</t>
        </is>
      </c>
      <c r="C27" s="15" t="n">
        <v>8.02</v>
      </c>
      <c r="D27" s="14" t="inlineStr">
        <is>
          <t>21.01.2026</t>
        </is>
      </c>
      <c r="E27" s="14" t="inlineStr">
        <is>
          <t>UKIM</t>
        </is>
      </c>
      <c r="F27" s="14" t="inlineStr">
        <is>
          <t>PP CoA #027 / ППК25370</t>
        </is>
      </c>
      <c r="G27" s="14" t="inlineStr">
        <is>
          <t>Да | Yes</t>
        </is>
      </c>
      <c r="H27" s="14" t="inlineStr">
        <is>
          <t>Pot.-1</t>
        </is>
      </c>
      <c r="I27" s="15" t="n">
        <v>8</v>
      </c>
      <c r="J27" s="15" t="n">
        <v>0.8</v>
      </c>
      <c r="K27" s="15" t="n">
        <v>7.2</v>
      </c>
      <c r="L27" s="15" t="n">
        <v>8.800000000000001</v>
      </c>
      <c r="M27" s="14">
        <f>IF(AND(C27&gt;=K27,C27&lt;=L27),"Да | Yes","НЕ | NO")</f>
        <v/>
      </c>
      <c r="N27" s="14" t="inlineStr">
        <is>
          <t>Grade V</t>
        </is>
      </c>
      <c r="O27" s="15" t="n">
        <v>5</v>
      </c>
      <c r="P27" s="15" t="n">
        <v>10</v>
      </c>
      <c r="Q27" s="14">
        <f>IF(AND(C27&gt;=O27,C27&lt;=P27),"Да | Yes","НЕ | NO")</f>
        <v/>
      </c>
      <c r="R27" s="14" t="inlineStr">
        <is>
          <t>(без преименување | not renamed)</t>
        </is>
      </c>
      <c r="S27" s="14" t="n"/>
      <c r="T27" s="14" t="n"/>
      <c r="U27" s="14" t="n"/>
      <c r="V27" s="14" t="n"/>
    </row>
    <row r="28">
      <c r="A28" s="12" t="inlineStr">
        <is>
          <t>FB012602</t>
        </is>
      </c>
      <c r="B28" s="12" t="inlineStr">
        <is>
          <t>Fat Bastard</t>
        </is>
      </c>
      <c r="C28" s="13" t="n">
        <v>18.86</v>
      </c>
      <c r="D28" s="12" t="inlineStr">
        <is>
          <t>07.08.2026</t>
        </is>
      </c>
      <c r="E28" s="12" t="inlineStr">
        <is>
          <t>FARM</t>
        </is>
      </c>
      <c r="F28" s="12" t="inlineStr">
        <is>
          <t>197-7-К/26</t>
        </is>
      </c>
      <c r="G28" s="12" t="inlineStr">
        <is>
          <t>Да | Yes</t>
        </is>
      </c>
      <c r="H28" s="12" t="inlineStr">
        <is>
          <t>Pot.-2</t>
        </is>
      </c>
      <c r="I28" s="13" t="n">
        <v>19.5</v>
      </c>
      <c r="J28" s="13" t="n">
        <v>1.95</v>
      </c>
      <c r="K28" s="13" t="n">
        <v>17.55</v>
      </c>
      <c r="L28" s="13" t="n">
        <v>21.45</v>
      </c>
      <c r="M28" s="12">
        <f>IF(AND(C28&gt;=K28,C28&lt;=L28),"Да | Yes","НЕ | NO")</f>
        <v/>
      </c>
      <c r="N28" s="12" t="inlineStr">
        <is>
          <t>Grade III</t>
        </is>
      </c>
      <c r="O28" s="13" t="n">
        <v>13.68</v>
      </c>
      <c r="P28" s="13" t="n">
        <v>19.25</v>
      </c>
      <c r="Q28" s="12">
        <f>IF(AND(C28&gt;=O28,C28&lt;=P28),"Да | Yes","НЕ | NO")</f>
        <v/>
      </c>
      <c r="R28" s="12" t="inlineStr">
        <is>
          <t>Fat Sofa</t>
        </is>
      </c>
      <c r="S28" s="12" t="inlineStr">
        <is>
          <t>Pot.-1</t>
        </is>
      </c>
      <c r="T28" s="13" t="n">
        <v>17.5</v>
      </c>
      <c r="U28" s="13" t="n">
        <v>15.75</v>
      </c>
      <c r="V28" s="13" t="n">
        <v>19.25</v>
      </c>
    </row>
    <row r="29">
      <c r="A29" s="14" t="inlineStr">
        <is>
          <t>FB112501</t>
        </is>
      </c>
      <c r="B29" s="14" t="inlineStr">
        <is>
          <t>Fat Bastard</t>
        </is>
      </c>
      <c r="C29" s="15" t="n">
        <v>16.69</v>
      </c>
      <c r="D29" s="14" t="inlineStr">
        <is>
          <t>11.05.2026</t>
        </is>
      </c>
      <c r="E29" s="14" t="inlineStr">
        <is>
          <t>UKIM</t>
        </is>
      </c>
      <c r="F29" s="14" t="inlineStr">
        <is>
          <t>ППК26066</t>
        </is>
      </c>
      <c r="G29" s="14" t="inlineStr">
        <is>
          <t>Да | Yes</t>
        </is>
      </c>
      <c r="H29" s="14" t="inlineStr">
        <is>
          <t>Pot.-1</t>
        </is>
      </c>
      <c r="I29" s="15" t="n">
        <v>16</v>
      </c>
      <c r="J29" s="15" t="n">
        <v>1.54</v>
      </c>
      <c r="K29" s="15" t="n">
        <v>14.46</v>
      </c>
      <c r="L29" s="15" t="n">
        <v>17.54</v>
      </c>
      <c r="M29" s="14">
        <f>IF(AND(C29&gt;=K29,C29&lt;=L29),"Да | Yes","НЕ | NO")</f>
        <v/>
      </c>
      <c r="N29" s="14" t="inlineStr">
        <is>
          <t>Grade III</t>
        </is>
      </c>
      <c r="O29" s="15" t="n">
        <v>13.68</v>
      </c>
      <c r="P29" s="15" t="n">
        <v>19.25</v>
      </c>
      <c r="Q29" s="14">
        <f>IF(AND(C29&gt;=O29,C29&lt;=P29),"Да | Yes","НЕ | NO")</f>
        <v/>
      </c>
      <c r="R29" s="14" t="inlineStr">
        <is>
          <t>Fat Sofa</t>
        </is>
      </c>
      <c r="S29" s="14" t="inlineStr">
        <is>
          <t>Pot.-1</t>
        </is>
      </c>
      <c r="T29" s="15" t="n">
        <v>17.5</v>
      </c>
      <c r="U29" s="15" t="n">
        <v>15.75</v>
      </c>
      <c r="V29" s="15" t="n">
        <v>19.25</v>
      </c>
    </row>
    <row r="30">
      <c r="A30" s="12" t="inlineStr">
        <is>
          <t>FB012601/1</t>
        </is>
      </c>
      <c r="B30" s="12" t="inlineStr">
        <is>
          <t>Fat Bastard</t>
        </is>
      </c>
      <c r="C30" s="13" t="n">
        <v>14.68</v>
      </c>
      <c r="D30" s="12" t="inlineStr">
        <is>
          <t>11.05.2026</t>
        </is>
      </c>
      <c r="E30" s="12" t="inlineStr">
        <is>
          <t>UKIM</t>
        </is>
      </c>
      <c r="F30" s="12" t="inlineStr">
        <is>
          <t>ППК26067</t>
        </is>
      </c>
      <c r="G30" s="12" t="inlineStr">
        <is>
          <t>Да | Yes</t>
        </is>
      </c>
      <c r="H30" s="12" t="inlineStr">
        <is>
          <t>Pot.-1</t>
        </is>
      </c>
      <c r="I30" s="13" t="n">
        <v>16</v>
      </c>
      <c r="J30" s="13" t="n">
        <v>1.54</v>
      </c>
      <c r="K30" s="13" t="n">
        <v>14.46</v>
      </c>
      <c r="L30" s="13" t="n">
        <v>17.54</v>
      </c>
      <c r="M30" s="12">
        <f>IF(AND(C30&gt;=K30,C30&lt;=L30),"Да | Yes","НЕ | NO")</f>
        <v/>
      </c>
      <c r="N30" s="12" t="inlineStr">
        <is>
          <t>Grade III</t>
        </is>
      </c>
      <c r="O30" s="13" t="n">
        <v>13.68</v>
      </c>
      <c r="P30" s="13" t="n">
        <v>19.25</v>
      </c>
      <c r="Q30" s="12">
        <f>IF(AND(C30&gt;=O30,C30&lt;=P30),"Да | Yes","НЕ | NO")</f>
        <v/>
      </c>
      <c r="R30" s="12" t="inlineStr">
        <is>
          <t>Daywalker</t>
        </is>
      </c>
      <c r="S30" s="12" t="inlineStr">
        <is>
          <t>Pot.-1</t>
        </is>
      </c>
      <c r="T30" s="13" t="n">
        <v>16</v>
      </c>
      <c r="U30" s="13" t="n">
        <v>14.46</v>
      </c>
      <c r="V30" s="13" t="n">
        <v>17.54</v>
      </c>
    </row>
    <row r="31">
      <c r="A31" s="14" t="inlineStr">
        <is>
          <t>FB032601</t>
        </is>
      </c>
      <c r="B31" s="14" t="inlineStr">
        <is>
          <t>Fat Bastard</t>
        </is>
      </c>
      <c r="C31" s="15" t="n">
        <v>12.39</v>
      </c>
      <c r="D31" s="14" t="inlineStr">
        <is>
          <t>21.07.2026</t>
        </is>
      </c>
      <c r="E31" s="14" t="inlineStr">
        <is>
          <t>UKIM</t>
        </is>
      </c>
      <c r="F31" s="14" t="inlineStr">
        <is>
          <t>ППК26127</t>
        </is>
      </c>
      <c r="G31" s="14" t="inlineStr">
        <is>
          <t>Не | No</t>
        </is>
      </c>
      <c r="H31" s="14" t="inlineStr">
        <is>
          <t>n/a — не е тековна залиха | not currently stock</t>
        </is>
      </c>
      <c r="I31" s="14" t="n"/>
      <c r="J31" s="14" t="n"/>
      <c r="K31" s="14" t="n"/>
      <c r="L31" s="14" t="n"/>
      <c r="M31" s="14" t="inlineStr">
        <is>
          <t>—</t>
        </is>
      </c>
      <c r="N31" s="14" t="inlineStr">
        <is>
          <t>нема класа што го покрива | no grade covers this value</t>
        </is>
      </c>
      <c r="O31" s="14" t="n"/>
      <c r="P31" s="14" t="n"/>
      <c r="Q31" s="14" t="inlineStr">
        <is>
          <t>—</t>
        </is>
      </c>
      <c r="R31" s="14" t="inlineStr">
        <is>
          <t>—</t>
        </is>
      </c>
      <c r="S31" s="14" t="n"/>
      <c r="T31" s="14" t="n"/>
      <c r="U31" s="14" t="n"/>
      <c r="V31" s="14" t="n"/>
    </row>
    <row r="32">
      <c r="A32" s="12" t="inlineStr">
        <is>
          <t>FB012603</t>
        </is>
      </c>
      <c r="B32" s="12" t="inlineStr">
        <is>
          <t>Fat Bastard</t>
        </is>
      </c>
      <c r="C32" s="13" t="n">
        <v>20.83</v>
      </c>
      <c r="D32" s="12" t="inlineStr">
        <is>
          <t>30.06.2026</t>
        </is>
      </c>
      <c r="E32" s="12" t="inlineStr">
        <is>
          <t>UKIM</t>
        </is>
      </c>
      <c r="F32" s="12" t="inlineStr">
        <is>
          <t>ППК26112</t>
        </is>
      </c>
      <c r="G32" s="12" t="inlineStr">
        <is>
          <t>Да | Yes</t>
        </is>
      </c>
      <c r="H32" s="12" t="inlineStr">
        <is>
          <t>Pot.-2</t>
        </is>
      </c>
      <c r="I32" s="13" t="n">
        <v>19.5</v>
      </c>
      <c r="J32" s="13" t="n">
        <v>1.95</v>
      </c>
      <c r="K32" s="13" t="n">
        <v>17.55</v>
      </c>
      <c r="L32" s="13" t="n">
        <v>21.45</v>
      </c>
      <c r="M32" s="12">
        <f>IF(AND(C32&gt;=K32,C32&lt;=L32),"Да | Yes","НЕ | NO")</f>
        <v/>
      </c>
      <c r="N32" s="12" t="inlineStr">
        <is>
          <t>Grade II</t>
        </is>
      </c>
      <c r="O32" s="13" t="n">
        <v>19.25</v>
      </c>
      <c r="P32" s="13" t="n">
        <v>24.75</v>
      </c>
      <c r="Q32" s="12">
        <f>IF(AND(C32&gt;=O32,C32&lt;=P32),"Да | Yes","НЕ | NO")</f>
        <v/>
      </c>
      <c r="R32" s="12" t="inlineStr">
        <is>
          <t>Daywalker</t>
        </is>
      </c>
      <c r="S32" s="12" t="inlineStr">
        <is>
          <t>Pot.-2</t>
        </is>
      </c>
      <c r="T32" s="13" t="n">
        <v>19.5</v>
      </c>
      <c r="U32" s="13" t="n">
        <v>17.55</v>
      </c>
      <c r="V32" s="13" t="n">
        <v>21.45</v>
      </c>
    </row>
    <row r="33">
      <c r="A33" s="14" t="inlineStr">
        <is>
          <t>FB012603V</t>
        </is>
      </c>
      <c r="B33" s="14" t="inlineStr">
        <is>
          <t>Fat Bastard</t>
        </is>
      </c>
      <c r="C33" s="15" t="n">
        <v>18.29</v>
      </c>
      <c r="D33" s="14" t="inlineStr">
        <is>
          <t>30.06.2026</t>
        </is>
      </c>
      <c r="E33" s="14" t="inlineStr">
        <is>
          <t>UKIM</t>
        </is>
      </c>
      <c r="F33" s="14" t="inlineStr">
        <is>
          <t>ППК26110</t>
        </is>
      </c>
      <c r="G33" s="14" t="inlineStr">
        <is>
          <t>Да | Yes</t>
        </is>
      </c>
      <c r="H33" s="14" t="inlineStr">
        <is>
          <t>Pot.-2</t>
        </is>
      </c>
      <c r="I33" s="15" t="n">
        <v>19.5</v>
      </c>
      <c r="J33" s="15" t="n">
        <v>1.95</v>
      </c>
      <c r="K33" s="15" t="n">
        <v>17.55</v>
      </c>
      <c r="L33" s="15" t="n">
        <v>21.45</v>
      </c>
      <c r="M33" s="14">
        <f>IF(AND(C33&gt;=K33,C33&lt;=L33),"Да | Yes","НЕ | NO")</f>
        <v/>
      </c>
      <c r="N33" s="14" t="inlineStr">
        <is>
          <t>Grade III</t>
        </is>
      </c>
      <c r="O33" s="15" t="n">
        <v>13.68</v>
      </c>
      <c r="P33" s="15" t="n">
        <v>19.25</v>
      </c>
      <c r="Q33" s="14">
        <f>IF(AND(C33&gt;=O33,C33&lt;=P33),"Да | Yes","НЕ | NO")</f>
        <v/>
      </c>
      <c r="R33" s="14" t="inlineStr">
        <is>
          <t>Daywalker</t>
        </is>
      </c>
      <c r="S33" s="14" t="inlineStr">
        <is>
          <t>Pot.-2</t>
        </is>
      </c>
      <c r="T33" s="15" t="n">
        <v>19.5</v>
      </c>
      <c r="U33" s="15" t="n">
        <v>17.55</v>
      </c>
      <c r="V33" s="15" t="n">
        <v>21.45</v>
      </c>
    </row>
    <row r="34">
      <c r="A34" s="12" t="inlineStr">
        <is>
          <t>GG1024_01</t>
        </is>
      </c>
      <c r="B34" s="12" t="inlineStr">
        <is>
          <t>Gorilla Glue</t>
        </is>
      </c>
      <c r="C34" s="13" t="n">
        <v>18.67</v>
      </c>
      <c r="D34" s="12" t="inlineStr">
        <is>
          <t>07.08.2026</t>
        </is>
      </c>
      <c r="E34" s="12" t="inlineStr">
        <is>
          <t>FARM</t>
        </is>
      </c>
      <c r="F34" s="12" t="inlineStr">
        <is>
          <t>197-9-К/26</t>
        </is>
      </c>
      <c r="G34" s="12" t="inlineStr">
        <is>
          <t>Да | Yes</t>
        </is>
      </c>
      <c r="H34" s="12" t="inlineStr">
        <is>
          <t>Pot.-2</t>
        </is>
      </c>
      <c r="I34" s="13" t="n">
        <v>17.5</v>
      </c>
      <c r="J34" s="13" t="n">
        <v>1.75</v>
      </c>
      <c r="K34" s="13" t="n">
        <v>15.75</v>
      </c>
      <c r="L34" s="13" t="n">
        <v>19.25</v>
      </c>
      <c r="M34" s="12">
        <f>IF(AND(C34&gt;=K34,C34&lt;=L34),"Да | Yes","НЕ | NO")</f>
        <v/>
      </c>
      <c r="N34" s="12" t="inlineStr">
        <is>
          <t>Grade II</t>
        </is>
      </c>
      <c r="O34" s="13" t="n">
        <v>18</v>
      </c>
      <c r="P34" s="13" t="n">
        <v>24</v>
      </c>
      <c r="Q34" s="12">
        <f>IF(AND(C34&gt;=O34,C34&lt;=P34),"Да | Yes","НЕ | NO")</f>
        <v/>
      </c>
      <c r="R34" s="12" t="inlineStr">
        <is>
          <t>Gorilla Gang</t>
        </is>
      </c>
      <c r="S34" s="12" t="inlineStr">
        <is>
          <t>Pot.-2</t>
        </is>
      </c>
      <c r="T34" s="13" t="n">
        <v>17</v>
      </c>
      <c r="U34" s="13" t="n">
        <v>15.3</v>
      </c>
      <c r="V34" s="13" t="n">
        <v>18.7</v>
      </c>
    </row>
    <row r="35">
      <c r="A35" s="14" t="inlineStr">
        <is>
          <t>GG012603</t>
        </is>
      </c>
      <c r="B35" s="14" t="inlineStr">
        <is>
          <t>Gorilla Glue</t>
        </is>
      </c>
      <c r="C35" s="15" t="n">
        <v>16.7</v>
      </c>
      <c r="D35" s="14" t="inlineStr">
        <is>
          <t>07.08.2026</t>
        </is>
      </c>
      <c r="E35" s="14" t="inlineStr">
        <is>
          <t>FARM</t>
        </is>
      </c>
      <c r="F35" s="14" t="inlineStr">
        <is>
          <t>197-8-К/26</t>
        </is>
      </c>
      <c r="G35" s="14" t="inlineStr">
        <is>
          <t>Да | Yes</t>
        </is>
      </c>
      <c r="H35" s="14" t="inlineStr">
        <is>
          <t>Pot.-2</t>
        </is>
      </c>
      <c r="I35" s="15" t="n">
        <v>17.5</v>
      </c>
      <c r="J35" s="15" t="n">
        <v>1.75</v>
      </c>
      <c r="K35" s="15" t="n">
        <v>15.75</v>
      </c>
      <c r="L35" s="15" t="n">
        <v>19.25</v>
      </c>
      <c r="M35" s="14">
        <f>IF(AND(C35&gt;=K35,C35&lt;=L35),"Да | Yes","НЕ | NO")</f>
        <v/>
      </c>
      <c r="N35" s="14" t="inlineStr">
        <is>
          <t>Grade III</t>
        </is>
      </c>
      <c r="O35" s="15" t="n">
        <v>12.34</v>
      </c>
      <c r="P35" s="15" t="n">
        <v>18</v>
      </c>
      <c r="Q35" s="14">
        <f>IF(AND(C35&gt;=O35,C35&lt;=P35),"Да | Yes","НЕ | NO")</f>
        <v/>
      </c>
      <c r="R35" s="14" t="inlineStr">
        <is>
          <t>(без преименување | not renamed)</t>
        </is>
      </c>
      <c r="S35" s="14" t="n"/>
      <c r="T35" s="14" t="n"/>
      <c r="U35" s="14" t="n"/>
      <c r="V35" s="14" t="n"/>
    </row>
    <row r="36">
      <c r="A36" s="12" t="inlineStr">
        <is>
          <t>GG112501</t>
        </is>
      </c>
      <c r="B36" s="12" t="inlineStr">
        <is>
          <t>Gorilla Glue</t>
        </is>
      </c>
      <c r="C36" s="13" t="n">
        <v>17.94</v>
      </c>
      <c r="D36" s="12" t="inlineStr">
        <is>
          <t>11.05.2026</t>
        </is>
      </c>
      <c r="E36" s="12" t="inlineStr">
        <is>
          <t>UKIM</t>
        </is>
      </c>
      <c r="F36" s="12" t="inlineStr">
        <is>
          <t>ППК26061</t>
        </is>
      </c>
      <c r="G36" s="12" t="inlineStr">
        <is>
          <t>Да | Yes</t>
        </is>
      </c>
      <c r="H36" s="12" t="inlineStr">
        <is>
          <t>Pot.-2</t>
        </is>
      </c>
      <c r="I36" s="13" t="n">
        <v>17.5</v>
      </c>
      <c r="J36" s="13" t="n">
        <v>1.75</v>
      </c>
      <c r="K36" s="13" t="n">
        <v>15.75</v>
      </c>
      <c r="L36" s="13" t="n">
        <v>19.25</v>
      </c>
      <c r="M36" s="12">
        <f>IF(AND(C36&gt;=K36,C36&lt;=L36),"Да | Yes","НЕ | NO")</f>
        <v/>
      </c>
      <c r="N36" s="12" t="inlineStr">
        <is>
          <t>Grade III</t>
        </is>
      </c>
      <c r="O36" s="13" t="n">
        <v>12.34</v>
      </c>
      <c r="P36" s="13" t="n">
        <v>18</v>
      </c>
      <c r="Q36" s="12">
        <f>IF(AND(C36&gt;=O36,C36&lt;=P36),"Да | Yes","НЕ | NO")</f>
        <v/>
      </c>
      <c r="R36" s="12" t="inlineStr">
        <is>
          <t>Cherry Chocolate</t>
        </is>
      </c>
      <c r="S36" s="12" t="inlineStr">
        <is>
          <t>Pot.-1</t>
        </is>
      </c>
      <c r="T36" s="13" t="n">
        <v>18</v>
      </c>
      <c r="U36" s="13" t="n">
        <v>16.2</v>
      </c>
      <c r="V36" s="13" t="n">
        <v>19.8</v>
      </c>
    </row>
    <row r="37">
      <c r="A37" s="14" t="inlineStr">
        <is>
          <t>GG012601</t>
        </is>
      </c>
      <c r="B37" s="14" t="inlineStr">
        <is>
          <t>Gorilla Glue</t>
        </is>
      </c>
      <c r="C37" s="15" t="n">
        <v>15.35</v>
      </c>
      <c r="D37" s="14" t="inlineStr">
        <is>
          <t>11.05.2026</t>
        </is>
      </c>
      <c r="E37" s="14" t="inlineStr">
        <is>
          <t>UKIM</t>
        </is>
      </c>
      <c r="F37" s="14" t="inlineStr">
        <is>
          <t>ППК26062</t>
        </is>
      </c>
      <c r="G37" s="14" t="inlineStr">
        <is>
          <t>Да | Yes</t>
        </is>
      </c>
      <c r="H37" s="14" t="inlineStr">
        <is>
          <t>Pot.-1</t>
        </is>
      </c>
      <c r="I37" s="15" t="n">
        <v>14.5</v>
      </c>
      <c r="J37" s="15" t="n">
        <v>1.24</v>
      </c>
      <c r="K37" s="15" t="n">
        <v>13.26</v>
      </c>
      <c r="L37" s="15" t="n">
        <v>15.74</v>
      </c>
      <c r="M37" s="14">
        <f>IF(AND(C37&gt;=K37,C37&lt;=L37),"Да | Yes","НЕ | NO")</f>
        <v/>
      </c>
      <c r="N37" s="14" t="inlineStr">
        <is>
          <t>Grade III</t>
        </is>
      </c>
      <c r="O37" s="15" t="n">
        <v>12.34</v>
      </c>
      <c r="P37" s="15" t="n">
        <v>18</v>
      </c>
      <c r="Q37" s="14">
        <f>IF(AND(C37&gt;=O37,C37&lt;=P37),"Да | Yes","НЕ | NO")</f>
        <v/>
      </c>
      <c r="R37" s="14" t="inlineStr">
        <is>
          <t>(без преименување | not renamed)</t>
        </is>
      </c>
      <c r="S37" s="14" t="n"/>
      <c r="T37" s="14" t="n"/>
      <c r="U37" s="14" t="n"/>
      <c r="V37" s="14" t="n"/>
    </row>
    <row r="38">
      <c r="A38" s="12" t="inlineStr">
        <is>
          <t>GG1024_01</t>
        </is>
      </c>
      <c r="B38" s="12" t="inlineStr">
        <is>
          <t>Gorilla Glue</t>
        </is>
      </c>
      <c r="C38" s="13" t="n">
        <v>17.22</v>
      </c>
      <c r="D38" s="12" t="inlineStr">
        <is>
          <t>17.04.2025</t>
        </is>
      </c>
      <c r="E38" s="12" t="inlineStr">
        <is>
          <t>UKIM</t>
        </is>
      </c>
      <c r="F38" s="12" t="inlineStr">
        <is>
          <t>ППК25104</t>
        </is>
      </c>
      <c r="G38" s="12" t="inlineStr">
        <is>
          <t>Да | Yes</t>
        </is>
      </c>
      <c r="H38" s="12" t="inlineStr">
        <is>
          <t>Pot.-2</t>
        </is>
      </c>
      <c r="I38" s="13" t="n">
        <v>17.5</v>
      </c>
      <c r="J38" s="13" t="n">
        <v>1.75</v>
      </c>
      <c r="K38" s="13" t="n">
        <v>15.75</v>
      </c>
      <c r="L38" s="13" t="n">
        <v>19.25</v>
      </c>
      <c r="M38" s="12">
        <f>IF(AND(C38&gt;=K38,C38&lt;=L38),"Да | Yes","НЕ | NO")</f>
        <v/>
      </c>
      <c r="N38" s="12" t="inlineStr">
        <is>
          <t>Grade III</t>
        </is>
      </c>
      <c r="O38" s="13" t="n">
        <v>12.34</v>
      </c>
      <c r="P38" s="13" t="n">
        <v>18</v>
      </c>
      <c r="Q38" s="12">
        <f>IF(AND(C38&gt;=O38,C38&lt;=P38),"Да | Yes","НЕ | NO")</f>
        <v/>
      </c>
      <c r="R38" s="12" t="inlineStr">
        <is>
          <t>Gorilla Gang</t>
        </is>
      </c>
      <c r="S38" s="12" t="inlineStr">
        <is>
          <t>Pot.-2</t>
        </is>
      </c>
      <c r="T38" s="13" t="n">
        <v>17</v>
      </c>
      <c r="U38" s="13" t="n">
        <v>15.3</v>
      </c>
      <c r="V38" s="13" t="n">
        <v>18.7</v>
      </c>
    </row>
    <row r="39">
      <c r="A39" s="14" t="inlineStr">
        <is>
          <t>GG032601</t>
        </is>
      </c>
      <c r="B39" s="14" t="inlineStr">
        <is>
          <t>Gorilla Glue</t>
        </is>
      </c>
      <c r="C39" s="15" t="n">
        <v>18.98</v>
      </c>
      <c r="D39" s="14" t="inlineStr">
        <is>
          <t>21.07.2026</t>
        </is>
      </c>
      <c r="E39" s="14" t="inlineStr">
        <is>
          <t>UKIM</t>
        </is>
      </c>
      <c r="F39" s="14" t="inlineStr">
        <is>
          <t>ППК26128</t>
        </is>
      </c>
      <c r="G39" s="14" t="inlineStr">
        <is>
          <t>Не | No</t>
        </is>
      </c>
      <c r="H39" s="14" t="inlineStr">
        <is>
          <t>n/a — не е тековна залиха | not currently stock</t>
        </is>
      </c>
      <c r="I39" s="14" t="n"/>
      <c r="J39" s="14" t="n"/>
      <c r="K39" s="14" t="n"/>
      <c r="L39" s="14" t="n"/>
      <c r="M39" s="14" t="inlineStr">
        <is>
          <t>—</t>
        </is>
      </c>
      <c r="N39" s="14" t="inlineStr">
        <is>
          <t>Grade II</t>
        </is>
      </c>
      <c r="O39" s="15" t="n">
        <v>18</v>
      </c>
      <c r="P39" s="15" t="n">
        <v>24</v>
      </c>
      <c r="Q39" s="14">
        <f>IF(AND(C39&gt;=O39,C39&lt;=P39),"Да | Yes","НЕ | NO")</f>
        <v/>
      </c>
      <c r="R39" s="14" t="inlineStr">
        <is>
          <t>—</t>
        </is>
      </c>
      <c r="S39" s="14" t="n"/>
      <c r="T39" s="14" t="n"/>
      <c r="U39" s="14" t="n"/>
      <c r="V39" s="14" t="n"/>
    </row>
    <row r="40">
      <c r="A40" s="12" t="inlineStr">
        <is>
          <t>GG1024_02</t>
        </is>
      </c>
      <c r="B40" s="12" t="inlineStr">
        <is>
          <t>Gorilla Glue</t>
        </is>
      </c>
      <c r="C40" s="13" t="n">
        <v>15.95</v>
      </c>
      <c r="D40" s="12" t="inlineStr">
        <is>
          <t>22.05.2025</t>
        </is>
      </c>
      <c r="E40" s="12" t="inlineStr">
        <is>
          <t>UKIM</t>
        </is>
      </c>
      <c r="F40" s="12" t="inlineStr">
        <is>
          <t>ППК25140</t>
        </is>
      </c>
      <c r="G40" s="12" t="inlineStr">
        <is>
          <t>Да | Yes</t>
        </is>
      </c>
      <c r="H40" s="12" t="inlineStr">
        <is>
          <t>Pot.-2</t>
        </is>
      </c>
      <c r="I40" s="13" t="n">
        <v>17.5</v>
      </c>
      <c r="J40" s="13" t="n">
        <v>1.75</v>
      </c>
      <c r="K40" s="13" t="n">
        <v>15.75</v>
      </c>
      <c r="L40" s="13" t="n">
        <v>19.25</v>
      </c>
      <c r="M40" s="12">
        <f>IF(AND(C40&gt;=K40,C40&lt;=L40),"Да | Yes","НЕ | NO")</f>
        <v/>
      </c>
      <c r="N40" s="12" t="inlineStr">
        <is>
          <t>Grade III</t>
        </is>
      </c>
      <c r="O40" s="13" t="n">
        <v>12.34</v>
      </c>
      <c r="P40" s="13" t="n">
        <v>18</v>
      </c>
      <c r="Q40" s="12">
        <f>IF(AND(C40&gt;=O40,C40&lt;=P40),"Да | Yes","НЕ | NO")</f>
        <v/>
      </c>
      <c r="R40" s="12" t="inlineStr">
        <is>
          <t>Gorilla Gang</t>
        </is>
      </c>
      <c r="S40" s="12" t="inlineStr">
        <is>
          <t>Pot.-2</t>
        </is>
      </c>
      <c r="T40" s="13" t="n">
        <v>17</v>
      </c>
      <c r="U40" s="13" t="n">
        <v>15.3</v>
      </c>
      <c r="V40" s="13" t="n">
        <v>18.7</v>
      </c>
    </row>
    <row r="41">
      <c r="A41" s="14" t="inlineStr">
        <is>
          <t>GG1024</t>
        </is>
      </c>
      <c r="B41" s="14" t="inlineStr">
        <is>
          <t>Gorilla Glue</t>
        </is>
      </c>
      <c r="C41" s="15" t="n">
        <v>13.34</v>
      </c>
      <c r="D41" s="14" t="inlineStr">
        <is>
          <t>23.04.2025</t>
        </is>
      </c>
      <c r="E41" s="14" t="inlineStr">
        <is>
          <t>UKIM</t>
        </is>
      </c>
      <c r="F41" s="14" t="inlineStr">
        <is>
          <t>n/a — Purely Plant in-house CoA (Batch GG1024, no certificate/report number printed)</t>
        </is>
      </c>
      <c r="G41" s="14" t="inlineStr">
        <is>
          <t>Да | Yes</t>
        </is>
      </c>
      <c r="H41" s="14" t="inlineStr">
        <is>
          <t>Pot.-1</t>
        </is>
      </c>
      <c r="I41" s="15" t="n">
        <v>14.5</v>
      </c>
      <c r="J41" s="15" t="n">
        <v>1.24</v>
      </c>
      <c r="K41" s="15" t="n">
        <v>13.26</v>
      </c>
      <c r="L41" s="15" t="n">
        <v>15.74</v>
      </c>
      <c r="M41" s="14">
        <f>IF(AND(C41&gt;=K41,C41&lt;=L41),"Да | Yes","НЕ | NO")</f>
        <v/>
      </c>
      <c r="N41" s="14" t="inlineStr">
        <is>
          <t>Grade III</t>
        </is>
      </c>
      <c r="O41" s="15" t="n">
        <v>12.34</v>
      </c>
      <c r="P41" s="15" t="n">
        <v>18</v>
      </c>
      <c r="Q41" s="14">
        <f>IF(AND(C41&gt;=O41,C41&lt;=P41),"Да | Yes","НЕ | NO")</f>
        <v/>
      </c>
      <c r="R41" s="14" t="inlineStr">
        <is>
          <t>Gorilla Gang</t>
        </is>
      </c>
      <c r="S41" s="14" t="inlineStr">
        <is>
          <t>Pot.-1</t>
        </is>
      </c>
      <c r="T41" s="15" t="n">
        <v>14</v>
      </c>
      <c r="U41" s="15" t="n">
        <v>12.71</v>
      </c>
      <c r="V41" s="15" t="n">
        <v>15.29</v>
      </c>
    </row>
    <row r="42">
      <c r="A42" s="12" t="inlineStr">
        <is>
          <t>GG012603</t>
        </is>
      </c>
      <c r="B42" s="12" t="inlineStr">
        <is>
          <t>Gorilla Glue</t>
        </is>
      </c>
      <c r="C42" s="13" t="n">
        <v>17.59</v>
      </c>
      <c r="D42" s="12" t="inlineStr">
        <is>
          <t>30.06.2026</t>
        </is>
      </c>
      <c r="E42" s="12" t="inlineStr">
        <is>
          <t>UKIM</t>
        </is>
      </c>
      <c r="F42" s="12" t="inlineStr">
        <is>
          <t>ППК26114</t>
        </is>
      </c>
      <c r="G42" s="12" t="inlineStr">
        <is>
          <t>Да | Yes</t>
        </is>
      </c>
      <c r="H42" s="12" t="inlineStr">
        <is>
          <t>Pot.-2</t>
        </is>
      </c>
      <c r="I42" s="13" t="n">
        <v>17.5</v>
      </c>
      <c r="J42" s="13" t="n">
        <v>1.75</v>
      </c>
      <c r="K42" s="13" t="n">
        <v>15.75</v>
      </c>
      <c r="L42" s="13" t="n">
        <v>19.25</v>
      </c>
      <c r="M42" s="12">
        <f>IF(AND(C42&gt;=K42,C42&lt;=L42),"Да | Yes","НЕ | NO")</f>
        <v/>
      </c>
      <c r="N42" s="12" t="inlineStr">
        <is>
          <t>Grade III</t>
        </is>
      </c>
      <c r="O42" s="13" t="n">
        <v>12.34</v>
      </c>
      <c r="P42" s="13" t="n">
        <v>18</v>
      </c>
      <c r="Q42" s="12">
        <f>IF(AND(C42&gt;=O42,C42&lt;=P42),"Да | Yes","НЕ | NO")</f>
        <v/>
      </c>
      <c r="R42" s="12" t="inlineStr">
        <is>
          <t>(без преименување | not renamed)</t>
        </is>
      </c>
      <c r="S42" s="12" t="n"/>
      <c r="T42" s="12" t="n"/>
      <c r="U42" s="12" t="n"/>
      <c r="V42" s="12" t="n"/>
    </row>
    <row r="43">
      <c r="A43" s="14" t="inlineStr">
        <is>
          <t>P160012</t>
        </is>
      </c>
      <c r="B43" s="14" t="inlineStr">
        <is>
          <t>Grape Pie</t>
        </is>
      </c>
      <c r="C43" s="15" t="n">
        <v>26.32</v>
      </c>
      <c r="D43" s="14" t="inlineStr">
        <is>
          <t>06.07.2026</t>
        </is>
      </c>
      <c r="E43" s="14" t="inlineStr">
        <is>
          <t>UKIM</t>
        </is>
      </c>
      <c r="F43" s="14" t="inlineStr">
        <is>
          <t>ППК26117</t>
        </is>
      </c>
      <c r="G43" s="14" t="inlineStr">
        <is>
          <t>Не | No</t>
        </is>
      </c>
      <c r="H43" s="14" t="inlineStr">
        <is>
          <t>n/a — не е тековна залиха | not currently stock</t>
        </is>
      </c>
      <c r="I43" s="14" t="n"/>
      <c r="J43" s="14" t="n"/>
      <c r="K43" s="14" t="n"/>
      <c r="L43" s="14" t="n"/>
      <c r="M43" s="14" t="inlineStr">
        <is>
          <t>—</t>
        </is>
      </c>
      <c r="N43" s="14" t="inlineStr">
        <is>
          <t>Grade I</t>
        </is>
      </c>
      <c r="O43" s="15" t="n">
        <v>26</v>
      </c>
      <c r="P43" s="15" t="n">
        <v>30</v>
      </c>
      <c r="Q43" s="14">
        <f>IF(AND(C43&gt;=O43,C43&lt;=P43),"Да | Yes","НЕ | NO")</f>
        <v/>
      </c>
      <c r="R43" s="14" t="inlineStr">
        <is>
          <t>—</t>
        </is>
      </c>
      <c r="S43" s="14" t="n"/>
      <c r="T43" s="14" t="n"/>
      <c r="U43" s="14" t="n"/>
      <c r="V43" s="14" t="n"/>
    </row>
    <row r="44">
      <c r="A44" s="12" t="inlineStr">
        <is>
          <t>P160022</t>
        </is>
      </c>
      <c r="B44" s="12" t="inlineStr">
        <is>
          <t>Grape Pie</t>
        </is>
      </c>
      <c r="C44" s="13" t="n">
        <v>25.72</v>
      </c>
      <c r="D44" s="12" t="inlineStr">
        <is>
          <t>06.07.2026</t>
        </is>
      </c>
      <c r="E44" s="12" t="inlineStr">
        <is>
          <t>UKIM</t>
        </is>
      </c>
      <c r="F44" s="12" t="inlineStr">
        <is>
          <t>ППК26118</t>
        </is>
      </c>
      <c r="G44" s="12" t="inlineStr">
        <is>
          <t>Не | No</t>
        </is>
      </c>
      <c r="H44" s="12" t="inlineStr">
        <is>
          <t>n/a — не е тековна залиха | not currently stock</t>
        </is>
      </c>
      <c r="I44" s="12" t="n"/>
      <c r="J44" s="12" t="n"/>
      <c r="K44" s="12" t="n"/>
      <c r="L44" s="12" t="n"/>
      <c r="M44" s="12" t="inlineStr">
        <is>
          <t>—</t>
        </is>
      </c>
      <c r="N44" s="12" t="inlineStr">
        <is>
          <t>Grade II</t>
        </is>
      </c>
      <c r="O44" s="13" t="n">
        <v>22</v>
      </c>
      <c r="P44" s="13" t="n">
        <v>26</v>
      </c>
      <c r="Q44" s="12">
        <f>IF(AND(C44&gt;=O44,C44&lt;=P44),"Да | Yes","НЕ | NO")</f>
        <v/>
      </c>
      <c r="R44" s="12" t="inlineStr">
        <is>
          <t>—</t>
        </is>
      </c>
      <c r="S44" s="12" t="n"/>
      <c r="T44" s="12" t="n"/>
      <c r="U44" s="12" t="n"/>
      <c r="V44" s="12" t="n"/>
    </row>
    <row r="45">
      <c r="A45" s="14" t="inlineStr">
        <is>
          <t>P160032</t>
        </is>
      </c>
      <c r="B45" s="14" t="inlineStr">
        <is>
          <t>Grape Pie</t>
        </is>
      </c>
      <c r="C45" s="15" t="n">
        <v>24.78</v>
      </c>
      <c r="D45" s="14" t="inlineStr">
        <is>
          <t>06.07.2026</t>
        </is>
      </c>
      <c r="E45" s="14" t="inlineStr">
        <is>
          <t>UKIM</t>
        </is>
      </c>
      <c r="F45" s="14" t="inlineStr">
        <is>
          <t>ППК26119</t>
        </is>
      </c>
      <c r="G45" s="14" t="inlineStr">
        <is>
          <t>Не | No</t>
        </is>
      </c>
      <c r="H45" s="14" t="inlineStr">
        <is>
          <t>n/a — не е тековна залиха | not currently stock</t>
        </is>
      </c>
      <c r="I45" s="14" t="n"/>
      <c r="J45" s="14" t="n"/>
      <c r="K45" s="14" t="n"/>
      <c r="L45" s="14" t="n"/>
      <c r="M45" s="14" t="inlineStr">
        <is>
          <t>—</t>
        </is>
      </c>
      <c r="N45" s="14" t="inlineStr">
        <is>
          <t>Grade II</t>
        </is>
      </c>
      <c r="O45" s="15" t="n">
        <v>22</v>
      </c>
      <c r="P45" s="15" t="n">
        <v>26</v>
      </c>
      <c r="Q45" s="14">
        <f>IF(AND(C45&gt;=O45,C45&lt;=P45),"Да | Yes","НЕ | NO")</f>
        <v/>
      </c>
      <c r="R45" s="14" t="inlineStr">
        <is>
          <t>—</t>
        </is>
      </c>
      <c r="S45" s="14" t="n"/>
      <c r="T45" s="14" t="n"/>
      <c r="U45" s="14" t="n"/>
      <c r="V45" s="14" t="n"/>
    </row>
    <row r="46">
      <c r="A46" s="12" t="inlineStr">
        <is>
          <t>GP0824_02</t>
        </is>
      </c>
      <c r="B46" s="12" t="inlineStr">
        <is>
          <t>Grape Pie</t>
        </is>
      </c>
      <c r="C46" s="13" t="n">
        <v>22.61</v>
      </c>
      <c r="D46" s="12" t="inlineStr">
        <is>
          <t>07.08.2026</t>
        </is>
      </c>
      <c r="E46" s="12" t="inlineStr">
        <is>
          <t>FARM</t>
        </is>
      </c>
      <c r="F46" s="12" t="inlineStr">
        <is>
          <t>197-11-К/26</t>
        </is>
      </c>
      <c r="G46" s="12" t="inlineStr">
        <is>
          <t>Да | Yes</t>
        </is>
      </c>
      <c r="H46" s="12" t="inlineStr">
        <is>
          <t>Pot.-3</t>
        </is>
      </c>
      <c r="I46" s="13" t="n">
        <v>25</v>
      </c>
      <c r="J46" s="13" t="n">
        <v>2.5</v>
      </c>
      <c r="K46" s="13" t="n">
        <v>22.5</v>
      </c>
      <c r="L46" s="13" t="n">
        <v>27.5</v>
      </c>
      <c r="M46" s="12">
        <f>IF(AND(C46&gt;=K46,C46&lt;=L46),"Да | Yes","НЕ | NO")</f>
        <v/>
      </c>
      <c r="N46" s="12" t="inlineStr">
        <is>
          <t>Grade II</t>
        </is>
      </c>
      <c r="O46" s="13" t="n">
        <v>22</v>
      </c>
      <c r="P46" s="13" t="n">
        <v>26</v>
      </c>
      <c r="Q46" s="12">
        <f>IF(AND(C46&gt;=O46,C46&lt;=P46),"Да | Yes","НЕ | NO")</f>
        <v/>
      </c>
      <c r="R46" s="12" t="inlineStr">
        <is>
          <t>(без преименување | not renamed)</t>
        </is>
      </c>
      <c r="S46" s="12" t="n"/>
      <c r="T46" s="12" t="n"/>
      <c r="U46" s="12" t="n"/>
      <c r="V46" s="12" t="n"/>
    </row>
    <row r="47">
      <c r="A47" s="14" t="inlineStr">
        <is>
          <t>GP052501</t>
        </is>
      </c>
      <c r="B47" s="14" t="inlineStr">
        <is>
          <t>Grape Pie</t>
        </is>
      </c>
      <c r="C47" s="15" t="n">
        <v>18.52</v>
      </c>
      <c r="D47" s="14" t="inlineStr">
        <is>
          <t>07.08.2026</t>
        </is>
      </c>
      <c r="E47" s="14" t="inlineStr">
        <is>
          <t>FARM</t>
        </is>
      </c>
      <c r="F47" s="14" t="inlineStr">
        <is>
          <t>197-10-К/26</t>
        </is>
      </c>
      <c r="G47" s="14" t="inlineStr">
        <is>
          <t>Да | Yes</t>
        </is>
      </c>
      <c r="H47" s="14" t="inlineStr">
        <is>
          <t>Pot.-2</t>
        </is>
      </c>
      <c r="I47" s="15" t="n">
        <v>20.5</v>
      </c>
      <c r="J47" s="15" t="n">
        <v>1.99</v>
      </c>
      <c r="K47" s="15" t="n">
        <v>18.51</v>
      </c>
      <c r="L47" s="15" t="n">
        <v>22.49</v>
      </c>
      <c r="M47" s="14">
        <f>IF(AND(C47&gt;=K47,C47&lt;=L47),"Да | Yes","НЕ | NO")</f>
        <v/>
      </c>
      <c r="N47" s="14" t="inlineStr">
        <is>
          <t>Grade III</t>
        </is>
      </c>
      <c r="O47" s="15" t="n">
        <v>18</v>
      </c>
      <c r="P47" s="15" t="n">
        <v>22</v>
      </c>
      <c r="Q47" s="14">
        <f>IF(AND(C47&gt;=O47,C47&lt;=P47),"Да | Yes","НЕ | NO")</f>
        <v/>
      </c>
      <c r="R47" s="14" t="inlineStr">
        <is>
          <t>Vanilla Grapes</t>
        </is>
      </c>
      <c r="S47" s="14" t="inlineStr">
        <is>
          <t>Pot.-2</t>
        </is>
      </c>
      <c r="T47" s="15" t="n">
        <v>20.5</v>
      </c>
      <c r="U47" s="15" t="n">
        <v>18.51</v>
      </c>
      <c r="V47" s="15" t="n">
        <v>22.49</v>
      </c>
    </row>
    <row r="48">
      <c r="A48" s="12" t="inlineStr">
        <is>
          <t>GP082501/2</t>
        </is>
      </c>
      <c r="B48" s="12" t="inlineStr">
        <is>
          <t>Grape Pie</t>
        </is>
      </c>
      <c r="C48" s="13" t="n">
        <v>15.7</v>
      </c>
      <c r="D48" s="12" t="inlineStr">
        <is>
          <t>07.08.2026</t>
        </is>
      </c>
      <c r="E48" s="12" t="inlineStr">
        <is>
          <t>FARM</t>
        </is>
      </c>
      <c r="F48" s="12" t="inlineStr">
        <is>
          <t>197-12-К/26</t>
        </is>
      </c>
      <c r="G48" s="12" t="inlineStr">
        <is>
          <t>Да | Yes</t>
        </is>
      </c>
      <c r="H48" s="12" t="inlineStr">
        <is>
          <t>Pot.-1</t>
        </is>
      </c>
      <c r="I48" s="13" t="n">
        <v>17</v>
      </c>
      <c r="J48" s="13" t="n">
        <v>1.5</v>
      </c>
      <c r="K48" s="13" t="n">
        <v>15.5</v>
      </c>
      <c r="L48" s="13" t="n">
        <v>18.5</v>
      </c>
      <c r="M48" s="12">
        <f>IF(AND(C48&gt;=K48,C48&lt;=L48),"Да | Yes","НЕ | NO")</f>
        <v/>
      </c>
      <c r="N48" s="12" t="inlineStr">
        <is>
          <t>Grade IV</t>
        </is>
      </c>
      <c r="O48" s="13" t="n">
        <v>13.83</v>
      </c>
      <c r="P48" s="13" t="n">
        <v>18</v>
      </c>
      <c r="Q48" s="12">
        <f>IF(AND(C48&gt;=O48,C48&lt;=P48),"Да | Yes","НЕ | NO")</f>
        <v/>
      </c>
      <c r="R48" s="12" t="inlineStr">
        <is>
          <t>Vanilla Grapes</t>
        </is>
      </c>
      <c r="S48" s="12" t="inlineStr">
        <is>
          <t>Pot.-1</t>
        </is>
      </c>
      <c r="T48" s="13" t="n">
        <v>17</v>
      </c>
      <c r="U48" s="13" t="n">
        <v>15.5</v>
      </c>
      <c r="V48" s="13" t="n">
        <v>18.5</v>
      </c>
    </row>
    <row r="49">
      <c r="A49" s="14" t="inlineStr">
        <is>
          <t>GP0824_02</t>
        </is>
      </c>
      <c r="B49" s="14" t="inlineStr">
        <is>
          <t>Grape Pie</t>
        </is>
      </c>
      <c r="C49" s="15" t="n">
        <v>23.19</v>
      </c>
      <c r="D49" s="14" t="inlineStr">
        <is>
          <t>10.07.2025</t>
        </is>
      </c>
      <c r="E49" s="14" t="inlineStr">
        <is>
          <t>UKIM</t>
        </is>
      </c>
      <c r="F49" s="14" t="inlineStr">
        <is>
          <t>ППК25174</t>
        </is>
      </c>
      <c r="G49" s="14" t="inlineStr">
        <is>
          <t>Да | Yes</t>
        </is>
      </c>
      <c r="H49" s="14" t="inlineStr">
        <is>
          <t>Pot.-3</t>
        </is>
      </c>
      <c r="I49" s="15" t="n">
        <v>25</v>
      </c>
      <c r="J49" s="15" t="n">
        <v>2.5</v>
      </c>
      <c r="K49" s="15" t="n">
        <v>22.5</v>
      </c>
      <c r="L49" s="15" t="n">
        <v>27.5</v>
      </c>
      <c r="M49" s="14">
        <f>IF(AND(C49&gt;=K49,C49&lt;=L49),"Да | Yes","НЕ | NO")</f>
        <v/>
      </c>
      <c r="N49" s="14" t="inlineStr">
        <is>
          <t>Grade II</t>
        </is>
      </c>
      <c r="O49" s="15" t="n">
        <v>22</v>
      </c>
      <c r="P49" s="15" t="n">
        <v>26</v>
      </c>
      <c r="Q49" s="14">
        <f>IF(AND(C49&gt;=O49,C49&lt;=P49),"Да | Yes","НЕ | NO")</f>
        <v/>
      </c>
      <c r="R49" s="14" t="inlineStr">
        <is>
          <t>(без преименување | not renamed)</t>
        </is>
      </c>
      <c r="S49" s="14" t="n"/>
      <c r="T49" s="14" t="n"/>
      <c r="U49" s="14" t="n"/>
      <c r="V49" s="14" t="n"/>
    </row>
    <row r="50">
      <c r="A50" s="12" t="inlineStr">
        <is>
          <t>GP0824_03</t>
        </is>
      </c>
      <c r="B50" s="12" t="inlineStr">
        <is>
          <t>Grape Pie</t>
        </is>
      </c>
      <c r="C50" s="13" t="n">
        <v>25.45</v>
      </c>
      <c r="D50" s="12" t="inlineStr">
        <is>
          <t>10.07.2025</t>
        </is>
      </c>
      <c r="E50" s="12" t="inlineStr">
        <is>
          <t>UKIM</t>
        </is>
      </c>
      <c r="F50" s="12" t="inlineStr">
        <is>
          <t>ППК25175</t>
        </is>
      </c>
      <c r="G50" s="12" t="inlineStr">
        <is>
          <t>Да | Yes</t>
        </is>
      </c>
      <c r="H50" s="12" t="inlineStr">
        <is>
          <t>Pot.-3</t>
        </is>
      </c>
      <c r="I50" s="13" t="n">
        <v>25</v>
      </c>
      <c r="J50" s="13" t="n">
        <v>2.5</v>
      </c>
      <c r="K50" s="13" t="n">
        <v>22.5</v>
      </c>
      <c r="L50" s="13" t="n">
        <v>27.5</v>
      </c>
      <c r="M50" s="12">
        <f>IF(AND(C50&gt;=K50,C50&lt;=L50),"Да | Yes","НЕ | NO")</f>
        <v/>
      </c>
      <c r="N50" s="12" t="inlineStr">
        <is>
          <t>Grade II</t>
        </is>
      </c>
      <c r="O50" s="13" t="n">
        <v>22</v>
      </c>
      <c r="P50" s="13" t="n">
        <v>26</v>
      </c>
      <c r="Q50" s="12">
        <f>IF(AND(C50&gt;=O50,C50&lt;=P50),"Да | Yes","НЕ | NO")</f>
        <v/>
      </c>
      <c r="R50" s="12" t="inlineStr">
        <is>
          <t>(без преименување | not renamed)</t>
        </is>
      </c>
      <c r="S50" s="12" t="n"/>
      <c r="T50" s="12" t="n"/>
      <c r="U50" s="12" t="n"/>
      <c r="V50" s="12" t="n"/>
    </row>
    <row r="51">
      <c r="A51" s="14" t="inlineStr">
        <is>
          <t>GP0824_01</t>
        </is>
      </c>
      <c r="B51" s="14" t="inlineStr">
        <is>
          <t>Grape Pie</t>
        </is>
      </c>
      <c r="C51" s="15" t="n">
        <v>20.79</v>
      </c>
      <c r="D51" s="14" t="inlineStr">
        <is>
          <t>17.04.2025</t>
        </is>
      </c>
      <c r="E51" s="14" t="inlineStr">
        <is>
          <t>UKIM</t>
        </is>
      </c>
      <c r="F51" s="14" t="inlineStr">
        <is>
          <t>ППК25105</t>
        </is>
      </c>
      <c r="G51" s="14" t="inlineStr">
        <is>
          <t>Не | No</t>
        </is>
      </c>
      <c r="H51" s="14" t="inlineStr">
        <is>
          <t>n/a — не е тековна залиха | not currently stock</t>
        </is>
      </c>
      <c r="I51" s="14" t="n"/>
      <c r="J51" s="14" t="n"/>
      <c r="K51" s="14" t="n"/>
      <c r="L51" s="14" t="n"/>
      <c r="M51" s="14" t="inlineStr">
        <is>
          <t>—</t>
        </is>
      </c>
      <c r="N51" s="14" t="inlineStr">
        <is>
          <t>Grade III</t>
        </is>
      </c>
      <c r="O51" s="15" t="n">
        <v>18</v>
      </c>
      <c r="P51" s="15" t="n">
        <v>22</v>
      </c>
      <c r="Q51" s="14">
        <f>IF(AND(C51&gt;=O51,C51&lt;=P51),"Да | Yes","НЕ | NO")</f>
        <v/>
      </c>
      <c r="R51" s="14" t="inlineStr">
        <is>
          <t>—</t>
        </is>
      </c>
      <c r="S51" s="14" t="n"/>
      <c r="T51" s="14" t="n"/>
      <c r="U51" s="14" t="n"/>
      <c r="V51" s="14" t="n"/>
    </row>
    <row r="52">
      <c r="A52" s="12" t="inlineStr">
        <is>
          <t>GP052501</t>
        </is>
      </c>
      <c r="B52" s="12" t="inlineStr">
        <is>
          <t>Grape Pie</t>
        </is>
      </c>
      <c r="C52" s="13" t="n">
        <v>18.98</v>
      </c>
      <c r="D52" s="12" t="inlineStr">
        <is>
          <t>19.09.2025</t>
        </is>
      </c>
      <c r="E52" s="12" t="inlineStr">
        <is>
          <t>UKIM</t>
        </is>
      </c>
      <c r="F52" s="12" t="inlineStr">
        <is>
          <t>ППК25279</t>
        </is>
      </c>
      <c r="G52" s="12" t="inlineStr">
        <is>
          <t>Да | Yes</t>
        </is>
      </c>
      <c r="H52" s="12" t="inlineStr">
        <is>
          <t>Pot.-2</t>
        </is>
      </c>
      <c r="I52" s="13" t="n">
        <v>20.5</v>
      </c>
      <c r="J52" s="13" t="n">
        <v>1.99</v>
      </c>
      <c r="K52" s="13" t="n">
        <v>18.51</v>
      </c>
      <c r="L52" s="13" t="n">
        <v>22.49</v>
      </c>
      <c r="M52" s="12">
        <f>IF(AND(C52&gt;=K52,C52&lt;=L52),"Да | Yes","НЕ | NO")</f>
        <v/>
      </c>
      <c r="N52" s="12" t="inlineStr">
        <is>
          <t>Grade III</t>
        </is>
      </c>
      <c r="O52" s="13" t="n">
        <v>18</v>
      </c>
      <c r="P52" s="13" t="n">
        <v>22</v>
      </c>
      <c r="Q52" s="12">
        <f>IF(AND(C52&gt;=O52,C52&lt;=P52),"Да | Yes","НЕ | NO")</f>
        <v/>
      </c>
      <c r="R52" s="12" t="inlineStr">
        <is>
          <t>Vanilla Grapes</t>
        </is>
      </c>
      <c r="S52" s="12" t="inlineStr">
        <is>
          <t>Pot.-2</t>
        </is>
      </c>
      <c r="T52" s="13" t="n">
        <v>20.5</v>
      </c>
      <c r="U52" s="13" t="n">
        <v>18.51</v>
      </c>
      <c r="V52" s="13" t="n">
        <v>22.49</v>
      </c>
    </row>
    <row r="53">
      <c r="A53" s="14" t="inlineStr">
        <is>
          <t>GP072501/1</t>
        </is>
      </c>
      <c r="B53" s="14" t="inlineStr">
        <is>
          <t>Grape Pie</t>
        </is>
      </c>
      <c r="C53" s="15" t="n">
        <v>21.36</v>
      </c>
      <c r="D53" s="14" t="inlineStr">
        <is>
          <t>21.01.2026</t>
        </is>
      </c>
      <c r="E53" s="14" t="inlineStr">
        <is>
          <t>UKIM</t>
        </is>
      </c>
      <c r="F53" s="14" t="inlineStr">
        <is>
          <t>PP CoA #018 / ППК25378</t>
        </is>
      </c>
      <c r="G53" s="14" t="inlineStr">
        <is>
          <t>Да | Yes</t>
        </is>
      </c>
      <c r="H53" s="14" t="inlineStr">
        <is>
          <t>Pot.-2</t>
        </is>
      </c>
      <c r="I53" s="15" t="n">
        <v>20.5</v>
      </c>
      <c r="J53" s="15" t="n">
        <v>1.99</v>
      </c>
      <c r="K53" s="15" t="n">
        <v>18.51</v>
      </c>
      <c r="L53" s="15" t="n">
        <v>22.49</v>
      </c>
      <c r="M53" s="14">
        <f>IF(AND(C53&gt;=K53,C53&lt;=L53),"Да | Yes","НЕ | NO")</f>
        <v/>
      </c>
      <c r="N53" s="14" t="inlineStr">
        <is>
          <t>Grade III</t>
        </is>
      </c>
      <c r="O53" s="15" t="n">
        <v>18</v>
      </c>
      <c r="P53" s="15" t="n">
        <v>22</v>
      </c>
      <c r="Q53" s="14">
        <f>IF(AND(C53&gt;=O53,C53&lt;=P53),"Да | Yes","НЕ | NO")</f>
        <v/>
      </c>
      <c r="R53" s="14" t="inlineStr">
        <is>
          <t>Vanilla Grapes</t>
        </is>
      </c>
      <c r="S53" s="14" t="inlineStr">
        <is>
          <t>Pot.-2</t>
        </is>
      </c>
      <c r="T53" s="15" t="n">
        <v>20.5</v>
      </c>
      <c r="U53" s="15" t="n">
        <v>18.51</v>
      </c>
      <c r="V53" s="15" t="n">
        <v>22.49</v>
      </c>
    </row>
    <row r="54">
      <c r="A54" s="12" t="inlineStr">
        <is>
          <t>GP072501/2</t>
        </is>
      </c>
      <c r="B54" s="12" t="inlineStr">
        <is>
          <t>Grape Pie</t>
        </is>
      </c>
      <c r="C54" s="13" t="n">
        <v>19.81</v>
      </c>
      <c r="D54" s="12" t="inlineStr">
        <is>
          <t>21.01.2026</t>
        </is>
      </c>
      <c r="E54" s="12" t="inlineStr">
        <is>
          <t>UKIM</t>
        </is>
      </c>
      <c r="F54" s="12" t="inlineStr">
        <is>
          <t>PP CoA #019 / ППК25379</t>
        </is>
      </c>
      <c r="G54" s="12" t="inlineStr">
        <is>
          <t>Да | Yes</t>
        </is>
      </c>
      <c r="H54" s="12" t="inlineStr">
        <is>
          <t>Pot.-2</t>
        </is>
      </c>
      <c r="I54" s="13" t="n">
        <v>20.5</v>
      </c>
      <c r="J54" s="13" t="n">
        <v>1.99</v>
      </c>
      <c r="K54" s="13" t="n">
        <v>18.51</v>
      </c>
      <c r="L54" s="13" t="n">
        <v>22.49</v>
      </c>
      <c r="M54" s="12">
        <f>IF(AND(C54&gt;=K54,C54&lt;=L54),"Да | Yes","НЕ | NO")</f>
        <v/>
      </c>
      <c r="N54" s="12" t="inlineStr">
        <is>
          <t>Grade III</t>
        </is>
      </c>
      <c r="O54" s="13" t="n">
        <v>18</v>
      </c>
      <c r="P54" s="13" t="n">
        <v>22</v>
      </c>
      <c r="Q54" s="12">
        <f>IF(AND(C54&gt;=O54,C54&lt;=P54),"Да | Yes","НЕ | NO")</f>
        <v/>
      </c>
      <c r="R54" s="12" t="inlineStr">
        <is>
          <t>Vanilla Grapes</t>
        </is>
      </c>
      <c r="S54" s="12" t="inlineStr">
        <is>
          <t>Pot.-2</t>
        </is>
      </c>
      <c r="T54" s="13" t="n">
        <v>20.5</v>
      </c>
      <c r="U54" s="13" t="n">
        <v>18.51</v>
      </c>
      <c r="V54" s="13" t="n">
        <v>22.49</v>
      </c>
    </row>
    <row r="55">
      <c r="A55" s="14" t="inlineStr">
        <is>
          <t>GP082501/1</t>
        </is>
      </c>
      <c r="B55" s="14" t="inlineStr">
        <is>
          <t>Grape Pie</t>
        </is>
      </c>
      <c r="C55" s="15" t="n">
        <v>21.29</v>
      </c>
      <c r="D55" s="14" t="inlineStr">
        <is>
          <t>21.01.2026</t>
        </is>
      </c>
      <c r="E55" s="14" t="inlineStr">
        <is>
          <t>UKIM</t>
        </is>
      </c>
      <c r="F55" s="14" t="inlineStr">
        <is>
          <t>PP CoA #020 / ППК25380</t>
        </is>
      </c>
      <c r="G55" s="14" t="inlineStr">
        <is>
          <t>Да | Yes</t>
        </is>
      </c>
      <c r="H55" s="14" t="inlineStr">
        <is>
          <t>Pot.-2</t>
        </is>
      </c>
      <c r="I55" s="15" t="n">
        <v>20.5</v>
      </c>
      <c r="J55" s="15" t="n">
        <v>1.99</v>
      </c>
      <c r="K55" s="15" t="n">
        <v>18.51</v>
      </c>
      <c r="L55" s="15" t="n">
        <v>22.49</v>
      </c>
      <c r="M55" s="14">
        <f>IF(AND(C55&gt;=K55,C55&lt;=L55),"Да | Yes","НЕ | NO")</f>
        <v/>
      </c>
      <c r="N55" s="14" t="inlineStr">
        <is>
          <t>Grade III</t>
        </is>
      </c>
      <c r="O55" s="15" t="n">
        <v>18</v>
      </c>
      <c r="P55" s="15" t="n">
        <v>22</v>
      </c>
      <c r="Q55" s="14">
        <f>IF(AND(C55&gt;=O55,C55&lt;=P55),"Да | Yes","НЕ | NO")</f>
        <v/>
      </c>
      <c r="R55" s="14" t="inlineStr">
        <is>
          <t>Vanilla Grapes</t>
        </is>
      </c>
      <c r="S55" s="14" t="inlineStr">
        <is>
          <t>Pot.-2</t>
        </is>
      </c>
      <c r="T55" s="15" t="n">
        <v>20.5</v>
      </c>
      <c r="U55" s="15" t="n">
        <v>18.51</v>
      </c>
      <c r="V55" s="15" t="n">
        <v>22.49</v>
      </c>
    </row>
    <row r="56">
      <c r="A56" s="12" t="inlineStr">
        <is>
          <t>GP082501/2</t>
        </is>
      </c>
      <c r="B56" s="12" t="inlineStr">
        <is>
          <t>Grape Pie</t>
        </is>
      </c>
      <c r="C56" s="13" t="n">
        <v>14.83</v>
      </c>
      <c r="D56" s="12" t="inlineStr">
        <is>
          <t>21.01.2026</t>
        </is>
      </c>
      <c r="E56" s="12" t="inlineStr">
        <is>
          <t>UKIM</t>
        </is>
      </c>
      <c r="F56" s="12" t="inlineStr">
        <is>
          <t>PP CoA #021 / ППК25381</t>
        </is>
      </c>
      <c r="G56" s="12" t="inlineStr">
        <is>
          <t>Да | Yes</t>
        </is>
      </c>
      <c r="H56" s="12" t="inlineStr">
        <is>
          <t>Pot.-1</t>
        </is>
      </c>
      <c r="I56" s="13" t="n">
        <v>17</v>
      </c>
      <c r="J56" s="13" t="n">
        <v>1.5</v>
      </c>
      <c r="K56" s="13" t="n">
        <v>15.5</v>
      </c>
      <c r="L56" s="13" t="n">
        <v>18.5</v>
      </c>
      <c r="M56" s="12">
        <f>IF(AND(C56&gt;=K56,C56&lt;=L56),"Да | Yes","НЕ | NO")</f>
        <v/>
      </c>
      <c r="N56" s="12" t="inlineStr">
        <is>
          <t>Grade IV</t>
        </is>
      </c>
      <c r="O56" s="13" t="n">
        <v>13.83</v>
      </c>
      <c r="P56" s="13" t="n">
        <v>18</v>
      </c>
      <c r="Q56" s="12">
        <f>IF(AND(C56&gt;=O56,C56&lt;=P56),"Да | Yes","НЕ | NO")</f>
        <v/>
      </c>
      <c r="R56" s="12" t="inlineStr">
        <is>
          <t>Vanilla Grapes</t>
        </is>
      </c>
      <c r="S56" s="12" t="inlineStr">
        <is>
          <t>Pot.-1</t>
        </is>
      </c>
      <c r="T56" s="13" t="n">
        <v>17</v>
      </c>
      <c r="U56" s="13" t="n">
        <v>15.5</v>
      </c>
      <c r="V56" s="13" t="n">
        <v>18.5</v>
      </c>
    </row>
    <row r="57">
      <c r="A57" s="14" t="inlineStr">
        <is>
          <t>GP092501</t>
        </is>
      </c>
      <c r="B57" s="14" t="inlineStr">
        <is>
          <t>Grape Pie</t>
        </is>
      </c>
      <c r="C57" s="15" t="n">
        <v>25.73</v>
      </c>
      <c r="D57" s="14" t="inlineStr">
        <is>
          <t>21.01.2026</t>
        </is>
      </c>
      <c r="E57" s="14" t="inlineStr">
        <is>
          <t>UKIM</t>
        </is>
      </c>
      <c r="F57" s="14" t="inlineStr">
        <is>
          <t>ППК26009</t>
        </is>
      </c>
      <c r="G57" s="14" t="inlineStr">
        <is>
          <t>Да | Yes</t>
        </is>
      </c>
      <c r="H57" s="14" t="inlineStr">
        <is>
          <t>Pot.-3</t>
        </is>
      </c>
      <c r="I57" s="15" t="n">
        <v>25</v>
      </c>
      <c r="J57" s="15" t="n">
        <v>2.5</v>
      </c>
      <c r="K57" s="15" t="n">
        <v>22.5</v>
      </c>
      <c r="L57" s="15" t="n">
        <v>27.5</v>
      </c>
      <c r="M57" s="14">
        <f>IF(AND(C57&gt;=K57,C57&lt;=L57),"Да | Yes","НЕ | NO")</f>
        <v/>
      </c>
      <c r="N57" s="14" t="inlineStr">
        <is>
          <t>Grade II</t>
        </is>
      </c>
      <c r="O57" s="15" t="n">
        <v>22</v>
      </c>
      <c r="P57" s="15" t="n">
        <v>26</v>
      </c>
      <c r="Q57" s="14">
        <f>IF(AND(C57&gt;=O57,C57&lt;=P57),"Да | Yes","НЕ | NO")</f>
        <v/>
      </c>
      <c r="R57" s="14" t="inlineStr">
        <is>
          <t>(без преименување | not renamed)</t>
        </is>
      </c>
      <c r="S57" s="14" t="n"/>
      <c r="T57" s="14" t="n"/>
      <c r="U57" s="14" t="n"/>
      <c r="V57" s="14" t="n"/>
    </row>
    <row r="58">
      <c r="A58" s="12" t="inlineStr">
        <is>
          <t>GP0824_02</t>
        </is>
      </c>
      <c r="B58" s="12" t="inlineStr">
        <is>
          <t>Grape Pie</t>
        </is>
      </c>
      <c r="C58" s="13" t="n">
        <v>23.79</v>
      </c>
      <c r="D58" s="12" t="inlineStr">
        <is>
          <t>22.05.2025</t>
        </is>
      </c>
      <c r="E58" s="12" t="inlineStr">
        <is>
          <t>UKIM</t>
        </is>
      </c>
      <c r="F58" s="12" t="inlineStr">
        <is>
          <t>ППК25139</t>
        </is>
      </c>
      <c r="G58" s="12" t="inlineStr">
        <is>
          <t>Да | Yes</t>
        </is>
      </c>
      <c r="H58" s="12" t="inlineStr">
        <is>
          <t>Pot.-3</t>
        </is>
      </c>
      <c r="I58" s="13" t="n">
        <v>25</v>
      </c>
      <c r="J58" s="13" t="n">
        <v>2.5</v>
      </c>
      <c r="K58" s="13" t="n">
        <v>22.5</v>
      </c>
      <c r="L58" s="13" t="n">
        <v>27.5</v>
      </c>
      <c r="M58" s="12">
        <f>IF(AND(C58&gt;=K58,C58&lt;=L58),"Да | Yes","НЕ | NO")</f>
        <v/>
      </c>
      <c r="N58" s="12" t="inlineStr">
        <is>
          <t>Grade II</t>
        </is>
      </c>
      <c r="O58" s="13" t="n">
        <v>22</v>
      </c>
      <c r="P58" s="13" t="n">
        <v>26</v>
      </c>
      <c r="Q58" s="12">
        <f>IF(AND(C58&gt;=O58,C58&lt;=P58),"Да | Yes","НЕ | NO")</f>
        <v/>
      </c>
      <c r="R58" s="12" t="inlineStr">
        <is>
          <t>(без преименување | not renamed)</t>
        </is>
      </c>
      <c r="S58" s="12" t="n"/>
      <c r="T58" s="12" t="n"/>
      <c r="U58" s="12" t="n"/>
      <c r="V58" s="12" t="n"/>
    </row>
    <row r="59">
      <c r="A59" s="14" t="inlineStr">
        <is>
          <t>GP062501</t>
        </is>
      </c>
      <c r="B59" s="14" t="inlineStr">
        <is>
          <t>Grape Pie</t>
        </is>
      </c>
      <c r="C59" s="15" t="n">
        <v>24.89</v>
      </c>
      <c r="D59" s="14" t="inlineStr">
        <is>
          <t>28.11.2025</t>
        </is>
      </c>
      <c r="E59" s="14" t="inlineStr">
        <is>
          <t>PP</t>
        </is>
      </c>
      <c r="F59" s="14" t="inlineStr">
        <is>
          <t>In-house HPLC cross-check NPCCC/SCP-02, NGP/QCG/SOP-024</t>
        </is>
      </c>
      <c r="G59" s="14" t="inlineStr">
        <is>
          <t>Да | Yes</t>
        </is>
      </c>
      <c r="H59" s="14" t="inlineStr">
        <is>
          <t>Pot.-3</t>
        </is>
      </c>
      <c r="I59" s="15" t="n">
        <v>25</v>
      </c>
      <c r="J59" s="15" t="n">
        <v>2.5</v>
      </c>
      <c r="K59" s="15" t="n">
        <v>22.5</v>
      </c>
      <c r="L59" s="15" t="n">
        <v>27.5</v>
      </c>
      <c r="M59" s="14">
        <f>IF(AND(C59&gt;=K59,C59&lt;=L59),"Да | Yes","НЕ | NO")</f>
        <v/>
      </c>
      <c r="N59" s="14" t="inlineStr">
        <is>
          <t>Grade II</t>
        </is>
      </c>
      <c r="O59" s="15" t="n">
        <v>22</v>
      </c>
      <c r="P59" s="15" t="n">
        <v>26</v>
      </c>
      <c r="Q59" s="14">
        <f>IF(AND(C59&gt;=O59,C59&lt;=P59),"Да | Yes","НЕ | NO")</f>
        <v/>
      </c>
      <c r="R59" s="14" t="inlineStr">
        <is>
          <t>Vanilla Grapes</t>
        </is>
      </c>
      <c r="S59" s="14" t="inlineStr">
        <is>
          <t>Pot.-3</t>
        </is>
      </c>
      <c r="T59" s="15" t="n">
        <v>25</v>
      </c>
      <c r="U59" s="15" t="n">
        <v>22.5</v>
      </c>
      <c r="V59" s="15" t="n">
        <v>27.5</v>
      </c>
    </row>
    <row r="60">
      <c r="A60" s="12" t="inlineStr">
        <is>
          <t>GRC102501/2</t>
        </is>
      </c>
      <c r="B60" s="12" t="inlineStr">
        <is>
          <t>Graps &amp; Creme</t>
        </is>
      </c>
      <c r="C60" s="13" t="n">
        <v>11.53</v>
      </c>
      <c r="D60" s="12" t="inlineStr">
        <is>
          <t>04.03.2026</t>
        </is>
      </c>
      <c r="E60" s="12" t="inlineStr">
        <is>
          <t>FARM</t>
        </is>
      </c>
      <c r="F60" s="12" t="inlineStr">
        <is>
          <t>051-6-K/26</t>
        </is>
      </c>
      <c r="G60" s="12" t="inlineStr">
        <is>
          <t>Да | Yes</t>
        </is>
      </c>
      <c r="H60" s="12" t="inlineStr">
        <is>
          <t>Pot.-2</t>
        </is>
      </c>
      <c r="I60" s="13" t="n">
        <v>11.5</v>
      </c>
      <c r="J60" s="13" t="n">
        <v>1.15</v>
      </c>
      <c r="K60" s="13" t="n">
        <v>10.35</v>
      </c>
      <c r="L60" s="13" t="n">
        <v>12.65</v>
      </c>
      <c r="M60" s="12">
        <f>IF(AND(C60&gt;=K60,C60&lt;=L60),"Да | Yes","НЕ | NO")</f>
        <v/>
      </c>
      <c r="N60" s="12" t="inlineStr">
        <is>
          <t>Grade IV</t>
        </is>
      </c>
      <c r="O60" s="13" t="n">
        <v>10</v>
      </c>
      <c r="P60" s="13" t="n">
        <v>15</v>
      </c>
      <c r="Q60" s="12">
        <f>IF(AND(C60&gt;=O60,C60&lt;=P60),"Да | Yes","НЕ | NO")</f>
        <v/>
      </c>
      <c r="R60" s="12" t="inlineStr">
        <is>
          <t>Plum Tarte</t>
        </is>
      </c>
      <c r="S60" s="12" t="inlineStr">
        <is>
          <t>Pot.-2</t>
        </is>
      </c>
      <c r="T60" s="13" t="n">
        <v>11.5</v>
      </c>
      <c r="U60" s="13" t="n">
        <v>10.35</v>
      </c>
      <c r="V60" s="13" t="n">
        <v>12.65</v>
      </c>
    </row>
    <row r="61">
      <c r="A61" s="14" t="inlineStr">
        <is>
          <t>HPA1024</t>
        </is>
      </c>
      <c r="B61" s="14" t="inlineStr">
        <is>
          <t>High Pro Amnesia</t>
        </is>
      </c>
      <c r="C61" s="15" t="n">
        <v>17.31</v>
      </c>
      <c r="D61" s="14" t="inlineStr">
        <is>
          <t>07.08.2026</t>
        </is>
      </c>
      <c r="E61" s="14" t="inlineStr">
        <is>
          <t>FARM</t>
        </is>
      </c>
      <c r="F61" s="14" t="inlineStr">
        <is>
          <t>197-13-К/26</t>
        </is>
      </c>
      <c r="G61" s="14" t="inlineStr">
        <is>
          <t>Да | Yes</t>
        </is>
      </c>
      <c r="H61" s="14" t="inlineStr">
        <is>
          <t>Pot.-1</t>
        </is>
      </c>
      <c r="I61" s="15" t="n">
        <v>17.5</v>
      </c>
      <c r="J61" s="15" t="n">
        <v>1.39</v>
      </c>
      <c r="K61" s="15" t="n">
        <v>16.11</v>
      </c>
      <c r="L61" s="15" t="n">
        <v>18.89</v>
      </c>
      <c r="M61" s="14">
        <f>IF(AND(C61&gt;=K61,C61&lt;=L61),"Да | Yes","НЕ | NO")</f>
        <v/>
      </c>
      <c r="N61" s="14" t="inlineStr">
        <is>
          <t>Grade III</t>
        </is>
      </c>
      <c r="O61" s="15" t="n">
        <v>13.5</v>
      </c>
      <c r="P61" s="15" t="n">
        <v>19.39</v>
      </c>
      <c r="Q61" s="14">
        <f>IF(AND(C61&gt;=O61,C61&lt;=P61),"Да | Yes","НЕ | NO")</f>
        <v/>
      </c>
      <c r="R61" s="14" t="inlineStr">
        <is>
          <t>(без преименување | not renamed)</t>
        </is>
      </c>
      <c r="S61" s="14" t="n"/>
      <c r="T61" s="14" t="n"/>
      <c r="U61" s="14" t="n"/>
      <c r="V61" s="14" t="n"/>
    </row>
    <row r="62">
      <c r="A62" s="12" t="inlineStr">
        <is>
          <t>HPA1024_01</t>
        </is>
      </c>
      <c r="B62" s="12" t="inlineStr">
        <is>
          <t>High Pro Amnesia</t>
        </is>
      </c>
      <c r="C62" s="13" t="n">
        <v>21.61</v>
      </c>
      <c r="D62" s="12" t="inlineStr">
        <is>
          <t>07.08.2026</t>
        </is>
      </c>
      <c r="E62" s="12" t="inlineStr">
        <is>
          <t>FARM</t>
        </is>
      </c>
      <c r="F62" s="12" t="inlineStr">
        <is>
          <t>197-14-К/26</t>
        </is>
      </c>
      <c r="G62" s="12" t="inlineStr">
        <is>
          <t>Да | Yes</t>
        </is>
      </c>
      <c r="H62" s="12" t="inlineStr">
        <is>
          <t>Pot.-2</t>
        </is>
      </c>
      <c r="I62" s="13" t="n">
        <v>21</v>
      </c>
      <c r="J62" s="13" t="n">
        <v>2.1</v>
      </c>
      <c r="K62" s="13" t="n">
        <v>18.9</v>
      </c>
      <c r="L62" s="13" t="n">
        <v>23.1</v>
      </c>
      <c r="M62" s="12">
        <f>IF(AND(C62&gt;=K62,C62&lt;=L62),"Да | Yes","НЕ | NO")</f>
        <v/>
      </c>
      <c r="N62" s="12" t="inlineStr">
        <is>
          <t>Grade II</t>
        </is>
      </c>
      <c r="O62" s="13" t="n">
        <v>19.39</v>
      </c>
      <c r="P62" s="13" t="n">
        <v>24.75</v>
      </c>
      <c r="Q62" s="12">
        <f>IF(AND(C62&gt;=O62,C62&lt;=P62),"Да | Yes","НЕ | NO")</f>
        <v/>
      </c>
      <c r="R62" s="12" t="inlineStr">
        <is>
          <t>Hazy Daze</t>
        </is>
      </c>
      <c r="S62" s="12" t="inlineStr">
        <is>
          <t>Pot.-1</t>
        </is>
      </c>
      <c r="T62" s="13" t="n">
        <v>20.5</v>
      </c>
      <c r="U62" s="13" t="n">
        <v>18.45</v>
      </c>
      <c r="V62" s="13" t="n">
        <v>22.55</v>
      </c>
    </row>
    <row r="63">
      <c r="A63" s="14" t="inlineStr">
        <is>
          <t>HPA052501</t>
        </is>
      </c>
      <c r="B63" s="14" t="inlineStr">
        <is>
          <t>High Pro Amnesia</t>
        </is>
      </c>
      <c r="C63" s="15" t="n">
        <v>20.39</v>
      </c>
      <c r="D63" s="14" t="inlineStr">
        <is>
          <t>19.09.2025</t>
        </is>
      </c>
      <c r="E63" s="14" t="inlineStr">
        <is>
          <t>UKIM</t>
        </is>
      </c>
      <c r="F63" s="14" t="inlineStr">
        <is>
          <t>ППК25278</t>
        </is>
      </c>
      <c r="G63" s="14" t="inlineStr">
        <is>
          <t>Да | Yes</t>
        </is>
      </c>
      <c r="H63" s="14" t="inlineStr">
        <is>
          <t>Pot.-2</t>
        </is>
      </c>
      <c r="I63" s="15" t="n">
        <v>21</v>
      </c>
      <c r="J63" s="15" t="n">
        <v>2.1</v>
      </c>
      <c r="K63" s="15" t="n">
        <v>18.9</v>
      </c>
      <c r="L63" s="15" t="n">
        <v>23.1</v>
      </c>
      <c r="M63" s="14">
        <f>IF(AND(C63&gt;=K63,C63&lt;=L63),"Да | Yes","НЕ | NO")</f>
        <v/>
      </c>
      <c r="N63" s="14" t="inlineStr">
        <is>
          <t>Grade II</t>
        </is>
      </c>
      <c r="O63" s="15" t="n">
        <v>19.39</v>
      </c>
      <c r="P63" s="15" t="n">
        <v>24.75</v>
      </c>
      <c r="Q63" s="14">
        <f>IF(AND(C63&gt;=O63,C63&lt;=P63),"Да | Yes","НЕ | NO")</f>
        <v/>
      </c>
      <c r="R63" s="14" t="inlineStr">
        <is>
          <t>Hazy Daze</t>
        </is>
      </c>
      <c r="S63" s="14" t="inlineStr">
        <is>
          <t>Pot.-1</t>
        </is>
      </c>
      <c r="T63" s="15" t="n">
        <v>20.5</v>
      </c>
      <c r="U63" s="15" t="n">
        <v>18.45</v>
      </c>
      <c r="V63" s="15" t="n">
        <v>22.55</v>
      </c>
    </row>
    <row r="64">
      <c r="A64" s="12" t="inlineStr">
        <is>
          <t>HPA1024</t>
        </is>
      </c>
      <c r="B64" s="12" t="inlineStr">
        <is>
          <t>High Pro Amnesia</t>
        </is>
      </c>
      <c r="C64" s="13" t="n">
        <v>14.97</v>
      </c>
      <c r="D64" s="12" t="inlineStr">
        <is>
          <t>23.01.2025</t>
        </is>
      </c>
      <c r="E64" s="12" t="inlineStr">
        <is>
          <t>UKIM</t>
        </is>
      </c>
      <c r="F64" s="12" t="inlineStr">
        <is>
          <t>n/a — Purely Plant in-house CoA (Batch HPA1024, no certificate/report number printed)</t>
        </is>
      </c>
      <c r="G64" s="12" t="inlineStr">
        <is>
          <t>Да | Yes</t>
        </is>
      </c>
      <c r="H64" s="12" t="inlineStr">
        <is>
          <t>Pot.-1</t>
        </is>
      </c>
      <c r="I64" s="13" t="n">
        <v>17.5</v>
      </c>
      <c r="J64" s="13" t="n">
        <v>1.39</v>
      </c>
      <c r="K64" s="13" t="n">
        <v>16.11</v>
      </c>
      <c r="L64" s="13" t="n">
        <v>18.89</v>
      </c>
      <c r="M64" s="12">
        <f>IF(AND(C64&gt;=K64,C64&lt;=L64),"Да | Yes","НЕ | NO")</f>
        <v/>
      </c>
      <c r="N64" s="12" t="inlineStr">
        <is>
          <t>Grade III</t>
        </is>
      </c>
      <c r="O64" s="13" t="n">
        <v>13.5</v>
      </c>
      <c r="P64" s="13" t="n">
        <v>19.39</v>
      </c>
      <c r="Q64" s="12">
        <f>IF(AND(C64&gt;=O64,C64&lt;=P64),"Да | Yes","НЕ | NO")</f>
        <v/>
      </c>
      <c r="R64" s="12" t="inlineStr">
        <is>
          <t>(без преименување | not renamed)</t>
        </is>
      </c>
      <c r="S64" s="12" t="n"/>
      <c r="T64" s="12" t="n"/>
      <c r="U64" s="12" t="n"/>
      <c r="V64" s="12" t="n"/>
    </row>
    <row r="65">
      <c r="A65" s="14" t="inlineStr">
        <is>
          <t>HPA1024_01</t>
        </is>
      </c>
      <c r="B65" s="14" t="inlineStr">
        <is>
          <t>High Pro Amnesia</t>
        </is>
      </c>
      <c r="C65" s="15" t="n">
        <v>22.43</v>
      </c>
      <c r="D65" s="14" t="inlineStr">
        <is>
          <t>24.06.2025</t>
        </is>
      </c>
      <c r="E65" s="14" t="inlineStr">
        <is>
          <t>UKIM</t>
        </is>
      </c>
      <c r="F65" s="14" t="inlineStr">
        <is>
          <t>НИК22155</t>
        </is>
      </c>
      <c r="G65" s="14" t="inlineStr">
        <is>
          <t>Да | Yes</t>
        </is>
      </c>
      <c r="H65" s="14" t="inlineStr">
        <is>
          <t>Pot.-2</t>
        </is>
      </c>
      <c r="I65" s="15" t="n">
        <v>21</v>
      </c>
      <c r="J65" s="15" t="n">
        <v>2.1</v>
      </c>
      <c r="K65" s="15" t="n">
        <v>18.9</v>
      </c>
      <c r="L65" s="15" t="n">
        <v>23.1</v>
      </c>
      <c r="M65" s="14">
        <f>IF(AND(C65&gt;=K65,C65&lt;=L65),"Да | Yes","НЕ | NO")</f>
        <v/>
      </c>
      <c r="N65" s="14" t="inlineStr">
        <is>
          <t>Grade II</t>
        </is>
      </c>
      <c r="O65" s="15" t="n">
        <v>19.39</v>
      </c>
      <c r="P65" s="15" t="n">
        <v>24.75</v>
      </c>
      <c r="Q65" s="14">
        <f>IF(AND(C65&gt;=O65,C65&lt;=P65),"Да | Yes","НЕ | NO")</f>
        <v/>
      </c>
      <c r="R65" s="14" t="inlineStr">
        <is>
          <t>Hazy Daze</t>
        </is>
      </c>
      <c r="S65" s="14" t="inlineStr">
        <is>
          <t>Pot.-1</t>
        </is>
      </c>
      <c r="T65" s="15" t="n">
        <v>20.5</v>
      </c>
      <c r="U65" s="15" t="n">
        <v>18.45</v>
      </c>
      <c r="V65" s="15" t="n">
        <v>22.55</v>
      </c>
    </row>
    <row r="66">
      <c r="A66" s="12" t="inlineStr">
        <is>
          <t>JD112501</t>
        </is>
      </c>
      <c r="B66" s="12" t="inlineStr">
        <is>
          <t>Jelly Donutz</t>
        </is>
      </c>
      <c r="C66" s="13" t="n">
        <v>20.32</v>
      </c>
      <c r="D66" s="12" t="inlineStr">
        <is>
          <t>07.08.2026</t>
        </is>
      </c>
      <c r="E66" s="12" t="inlineStr">
        <is>
          <t>FARM</t>
        </is>
      </c>
      <c r="F66" s="12" t="inlineStr">
        <is>
          <t>197-15-К/26</t>
        </is>
      </c>
      <c r="G66" s="12" t="inlineStr">
        <is>
          <t>Да | Yes</t>
        </is>
      </c>
      <c r="H66" s="12" t="inlineStr">
        <is>
          <t>Pot.-2</t>
        </is>
      </c>
      <c r="I66" s="13" t="n">
        <v>20</v>
      </c>
      <c r="J66" s="13" t="n">
        <v>2</v>
      </c>
      <c r="K66" s="13" t="n">
        <v>18</v>
      </c>
      <c r="L66" s="13" t="n">
        <v>22</v>
      </c>
      <c r="M66" s="12">
        <f>IF(AND(C66&gt;=K66,C66&lt;=L66),"Да | Yes","НЕ | NO")</f>
        <v/>
      </c>
      <c r="N66" s="12" t="inlineStr">
        <is>
          <t>Grade III</t>
        </is>
      </c>
      <c r="O66" s="13" t="n">
        <v>18</v>
      </c>
      <c r="P66" s="13" t="n">
        <v>22</v>
      </c>
      <c r="Q66" s="12">
        <f>IF(AND(C66&gt;=O66,C66&lt;=P66),"Да | Yes","НЕ | NO")</f>
        <v/>
      </c>
      <c r="R66" s="12" t="inlineStr">
        <is>
          <t>(без преименување | not renamed)</t>
        </is>
      </c>
      <c r="S66" s="12" t="n"/>
      <c r="T66" s="12" t="n"/>
      <c r="U66" s="12" t="n"/>
      <c r="V66" s="12" t="n"/>
    </row>
    <row r="67">
      <c r="A67" s="14" t="inlineStr">
        <is>
          <t>JD112501</t>
        </is>
      </c>
      <c r="B67" s="14" t="inlineStr">
        <is>
          <t>Jelly Donutz</t>
        </is>
      </c>
      <c r="C67" s="15" t="n">
        <v>19.64</v>
      </c>
      <c r="D67" s="14" t="inlineStr">
        <is>
          <t>11.05.2026</t>
        </is>
      </c>
      <c r="E67" s="14" t="inlineStr">
        <is>
          <t>UKIM</t>
        </is>
      </c>
      <c r="F67" s="14" t="inlineStr">
        <is>
          <t>ППК26063</t>
        </is>
      </c>
      <c r="G67" s="14" t="inlineStr">
        <is>
          <t>Да | Yes</t>
        </is>
      </c>
      <c r="H67" s="14" t="inlineStr">
        <is>
          <t>Pot.-2</t>
        </is>
      </c>
      <c r="I67" s="15" t="n">
        <v>20</v>
      </c>
      <c r="J67" s="15" t="n">
        <v>2</v>
      </c>
      <c r="K67" s="15" t="n">
        <v>18</v>
      </c>
      <c r="L67" s="15" t="n">
        <v>22</v>
      </c>
      <c r="M67" s="14">
        <f>IF(AND(C67&gt;=K67,C67&lt;=L67),"Да | Yes","НЕ | NO")</f>
        <v/>
      </c>
      <c r="N67" s="14" t="inlineStr">
        <is>
          <t>Grade III</t>
        </is>
      </c>
      <c r="O67" s="15" t="n">
        <v>18</v>
      </c>
      <c r="P67" s="15" t="n">
        <v>22</v>
      </c>
      <c r="Q67" s="14">
        <f>IF(AND(C67&gt;=O67,C67&lt;=P67),"Да | Yes","НЕ | NO")</f>
        <v/>
      </c>
      <c r="R67" s="14" t="inlineStr">
        <is>
          <t>(без преименување | not renamed)</t>
        </is>
      </c>
      <c r="S67" s="14" t="n"/>
      <c r="T67" s="14" t="n"/>
      <c r="U67" s="14" t="n"/>
      <c r="V67" s="14" t="n"/>
    </row>
    <row r="68">
      <c r="A68" s="12" t="inlineStr">
        <is>
          <t>JD112501</t>
        </is>
      </c>
      <c r="B68" s="12" t="inlineStr">
        <is>
          <t>Jelly Donutz</t>
        </is>
      </c>
      <c r="C68" s="13" t="n">
        <v>13.93</v>
      </c>
      <c r="D68" s="12" t="inlineStr">
        <is>
          <t>11.05.2026</t>
        </is>
      </c>
      <c r="E68" s="12" t="inlineStr">
        <is>
          <t>UKIM</t>
        </is>
      </c>
      <c r="F68" s="12" t="inlineStr">
        <is>
          <t>ППК26065</t>
        </is>
      </c>
      <c r="G68" s="12" t="inlineStr">
        <is>
          <t>Да | Yes</t>
        </is>
      </c>
      <c r="H68" s="12" t="inlineStr">
        <is>
          <t>Pot.-2</t>
        </is>
      </c>
      <c r="I68" s="13" t="n">
        <v>20</v>
      </c>
      <c r="J68" s="13" t="n">
        <v>2</v>
      </c>
      <c r="K68" s="13" t="n">
        <v>18</v>
      </c>
      <c r="L68" s="13" t="n">
        <v>22</v>
      </c>
      <c r="M68" s="12">
        <f>IF(AND(C68&gt;=K68,C68&lt;=L68),"Да | Yes","НЕ | NO")</f>
        <v/>
      </c>
      <c r="N68" s="12" t="inlineStr">
        <is>
          <t>Grade IV</t>
        </is>
      </c>
      <c r="O68" s="13" t="n">
        <v>12.5</v>
      </c>
      <c r="P68" s="13" t="n">
        <v>18</v>
      </c>
      <c r="Q68" s="12">
        <f>IF(AND(C68&gt;=O68,C68&lt;=P68),"Да | Yes","НЕ | NO")</f>
        <v/>
      </c>
      <c r="R68" s="12" t="inlineStr">
        <is>
          <t>(без преименување | not renamed)</t>
        </is>
      </c>
      <c r="S68" s="12" t="n"/>
      <c r="T68" s="12" t="n"/>
      <c r="U68" s="12" t="n"/>
      <c r="V68" s="12" t="n"/>
    </row>
    <row r="69">
      <c r="A69" s="14" t="inlineStr">
        <is>
          <t>JD012601</t>
        </is>
      </c>
      <c r="B69" s="14" t="inlineStr">
        <is>
          <t>Jelly Donutz</t>
        </is>
      </c>
      <c r="C69" s="15" t="n">
        <v>18.16</v>
      </c>
      <c r="D69" s="14" t="inlineStr">
        <is>
          <t>11.05.2026</t>
        </is>
      </c>
      <c r="E69" s="14" t="inlineStr">
        <is>
          <t>UKIM</t>
        </is>
      </c>
      <c r="F69" s="14" t="inlineStr">
        <is>
          <t>ППК26064</t>
        </is>
      </c>
      <c r="G69" s="14" t="inlineStr">
        <is>
          <t>Да | Yes</t>
        </is>
      </c>
      <c r="H69" s="14" t="inlineStr">
        <is>
          <t>Pot.-2</t>
        </is>
      </c>
      <c r="I69" s="15" t="n">
        <v>20</v>
      </c>
      <c r="J69" s="15" t="n">
        <v>2</v>
      </c>
      <c r="K69" s="15" t="n">
        <v>18</v>
      </c>
      <c r="L69" s="15" t="n">
        <v>22</v>
      </c>
      <c r="M69" s="14">
        <f>IF(AND(C69&gt;=K69,C69&lt;=L69),"Да | Yes","НЕ | NO")</f>
        <v/>
      </c>
      <c r="N69" s="14" t="inlineStr">
        <is>
          <t>Grade III</t>
        </is>
      </c>
      <c r="O69" s="15" t="n">
        <v>18</v>
      </c>
      <c r="P69" s="15" t="n">
        <v>22</v>
      </c>
      <c r="Q69" s="14">
        <f>IF(AND(C69&gt;=O69,C69&lt;=P69),"Да | Yes","НЕ | NO")</f>
        <v/>
      </c>
      <c r="R69" s="14" t="inlineStr">
        <is>
          <t>(без преименување | not renamed)</t>
        </is>
      </c>
      <c r="S69" s="14" t="n"/>
      <c r="T69" s="14" t="n"/>
      <c r="U69" s="14" t="n"/>
      <c r="V69" s="14" t="n"/>
    </row>
    <row r="70">
      <c r="A70" s="12" t="inlineStr">
        <is>
          <t>JD012603/2</t>
        </is>
      </c>
      <c r="B70" s="12" t="inlineStr">
        <is>
          <t>Jelly Donutz</t>
        </is>
      </c>
      <c r="C70" s="13" t="n">
        <v>20.54</v>
      </c>
      <c r="D70" s="12" t="inlineStr">
        <is>
          <t>30.06.2026</t>
        </is>
      </c>
      <c r="E70" s="12" t="inlineStr">
        <is>
          <t>UKIM</t>
        </is>
      </c>
      <c r="F70" s="12" t="inlineStr">
        <is>
          <t>ППК26113</t>
        </is>
      </c>
      <c r="G70" s="12" t="inlineStr">
        <is>
          <t>Да | Yes</t>
        </is>
      </c>
      <c r="H70" s="12" t="inlineStr">
        <is>
          <t>Pot.-2</t>
        </is>
      </c>
      <c r="I70" s="13" t="n">
        <v>20</v>
      </c>
      <c r="J70" s="13" t="n">
        <v>2</v>
      </c>
      <c r="K70" s="13" t="n">
        <v>18</v>
      </c>
      <c r="L70" s="13" t="n">
        <v>22</v>
      </c>
      <c r="M70" s="12">
        <f>IF(AND(C70&gt;=K70,C70&lt;=L70),"Да | Yes","НЕ | NO")</f>
        <v/>
      </c>
      <c r="N70" s="12" t="inlineStr">
        <is>
          <t>Grade III</t>
        </is>
      </c>
      <c r="O70" s="13" t="n">
        <v>18</v>
      </c>
      <c r="P70" s="13" t="n">
        <v>22</v>
      </c>
      <c r="Q70" s="12">
        <f>IF(AND(C70&gt;=O70,C70&lt;=P70),"Да | Yes","НЕ | NO")</f>
        <v/>
      </c>
      <c r="R70" s="12" t="inlineStr">
        <is>
          <t>(без преименување | not renamed)</t>
        </is>
      </c>
      <c r="S70" s="12" t="n"/>
      <c r="T70" s="12" t="n"/>
      <c r="U70" s="12" t="n"/>
      <c r="V70" s="12" t="n"/>
    </row>
    <row r="71">
      <c r="A71" s="14" t="inlineStr">
        <is>
          <t>JD012603/2V</t>
        </is>
      </c>
      <c r="B71" s="14" t="inlineStr">
        <is>
          <t>Jelly Donutz</t>
        </is>
      </c>
      <c r="C71" s="15" t="n">
        <v>15.16</v>
      </c>
      <c r="D71" s="14" t="inlineStr">
        <is>
          <t>30.06.2026</t>
        </is>
      </c>
      <c r="E71" s="14" t="inlineStr">
        <is>
          <t>UKIM</t>
        </is>
      </c>
      <c r="F71" s="14" t="inlineStr">
        <is>
          <t>ППК26111</t>
        </is>
      </c>
      <c r="G71" s="14" t="inlineStr">
        <is>
          <t>Да | Yes</t>
        </is>
      </c>
      <c r="H71" s="14" t="inlineStr">
        <is>
          <t>Pot.-1</t>
        </is>
      </c>
      <c r="I71" s="15" t="n">
        <v>16.5</v>
      </c>
      <c r="J71" s="15" t="n">
        <v>1.49</v>
      </c>
      <c r="K71" s="15" t="n">
        <v>15.01</v>
      </c>
      <c r="L71" s="15" t="n">
        <v>17.99</v>
      </c>
      <c r="M71" s="14">
        <f>IF(AND(C71&gt;=K71,C71&lt;=L71),"Да | Yes","НЕ | NO")</f>
        <v/>
      </c>
      <c r="N71" s="14" t="inlineStr">
        <is>
          <t>Grade IV</t>
        </is>
      </c>
      <c r="O71" s="15" t="n">
        <v>12.5</v>
      </c>
      <c r="P71" s="15" t="n">
        <v>18</v>
      </c>
      <c r="Q71" s="14">
        <f>IF(AND(C71&gt;=O71,C71&lt;=P71),"Да | Yes","НЕ | NO")</f>
        <v/>
      </c>
      <c r="R71" s="14" t="inlineStr">
        <is>
          <t>(без преименување | not renamed)</t>
        </is>
      </c>
      <c r="S71" s="14" t="n"/>
      <c r="T71" s="14" t="n"/>
      <c r="U71" s="14" t="n"/>
      <c r="V71" s="14" t="n"/>
    </row>
    <row r="72">
      <c r="A72" s="12" t="inlineStr">
        <is>
          <t>JD022601</t>
        </is>
      </c>
      <c r="B72" s="12" t="inlineStr">
        <is>
          <t>Jelly Donutz</t>
        </is>
      </c>
      <c r="C72" s="13" t="n">
        <v>18.58</v>
      </c>
      <c r="D72" s="12" t="inlineStr">
        <is>
          <t>30.06.2026</t>
        </is>
      </c>
      <c r="E72" s="12" t="inlineStr">
        <is>
          <t>UKIM</t>
        </is>
      </c>
      <c r="F72" s="12" t="inlineStr">
        <is>
          <t>ППК26115</t>
        </is>
      </c>
      <c r="G72" s="12" t="inlineStr">
        <is>
          <t>Не | No</t>
        </is>
      </c>
      <c r="H72" s="12" t="inlineStr">
        <is>
          <t>n/a — не е тековна залиха | not currently stock</t>
        </is>
      </c>
      <c r="I72" s="12" t="n"/>
      <c r="J72" s="12" t="n"/>
      <c r="K72" s="12" t="n"/>
      <c r="L72" s="12" t="n"/>
      <c r="M72" s="12" t="inlineStr">
        <is>
          <t>—</t>
        </is>
      </c>
      <c r="N72" s="12" t="inlineStr">
        <is>
          <t>Grade III</t>
        </is>
      </c>
      <c r="O72" s="13" t="n">
        <v>18</v>
      </c>
      <c r="P72" s="13" t="n">
        <v>22</v>
      </c>
      <c r="Q72" s="12">
        <f>IF(AND(C72&gt;=O72,C72&lt;=P72),"Да | Yes","НЕ | NO")</f>
        <v/>
      </c>
      <c r="R72" s="12" t="inlineStr">
        <is>
          <t>—</t>
        </is>
      </c>
      <c r="S72" s="12" t="n"/>
      <c r="T72" s="12" t="n"/>
      <c r="U72" s="12" t="n"/>
      <c r="V72" s="12" t="n"/>
    </row>
    <row r="73">
      <c r="A73" s="14" t="inlineStr">
        <is>
          <t>J31102501</t>
        </is>
      </c>
      <c r="B73" s="14" t="inlineStr">
        <is>
          <t>Jokerz 31</t>
        </is>
      </c>
      <c r="C73" s="15" t="n">
        <v>19.14</v>
      </c>
      <c r="D73" s="14" t="inlineStr">
        <is>
          <t>04.03.2026</t>
        </is>
      </c>
      <c r="E73" s="14" t="inlineStr">
        <is>
          <t>FARM</t>
        </is>
      </c>
      <c r="F73" s="14" t="inlineStr">
        <is>
          <t>051-1-K/26</t>
        </is>
      </c>
      <c r="G73" s="14" t="inlineStr">
        <is>
          <t>Да | Yes</t>
        </is>
      </c>
      <c r="H73" s="14" t="inlineStr">
        <is>
          <t>Pot.-1</t>
        </is>
      </c>
      <c r="I73" s="15" t="n">
        <v>17.5</v>
      </c>
      <c r="J73" s="15" t="n">
        <v>1.39</v>
      </c>
      <c r="K73" s="15" t="n">
        <v>16.11</v>
      </c>
      <c r="L73" s="15" t="n">
        <v>18.89</v>
      </c>
      <c r="M73" s="14">
        <f>IF(AND(C73&gt;=K73,C73&lt;=L73),"Да | Yes","НЕ | NO")</f>
        <v/>
      </c>
      <c r="N73" s="14" t="inlineStr">
        <is>
          <t>Grade II</t>
        </is>
      </c>
      <c r="O73" s="15" t="n">
        <v>16.5</v>
      </c>
      <c r="P73" s="15" t="n">
        <v>23.5</v>
      </c>
      <c r="Q73" s="14">
        <f>IF(AND(C73&gt;=O73,C73&lt;=P73),"Да | Yes","НЕ | NO")</f>
        <v/>
      </c>
      <c r="R73" s="14" t="inlineStr">
        <is>
          <t>(без преименување | not renamed)</t>
        </is>
      </c>
      <c r="S73" s="14" t="n"/>
      <c r="T73" s="14" t="n"/>
      <c r="U73" s="14" t="n"/>
      <c r="V73" s="14" t="n"/>
    </row>
    <row r="74">
      <c r="A74" s="12" t="inlineStr">
        <is>
          <t>J31112501</t>
        </is>
      </c>
      <c r="B74" s="12" t="inlineStr">
        <is>
          <t>Jokerz 31</t>
        </is>
      </c>
      <c r="C74" s="13" t="n">
        <v>25.27</v>
      </c>
      <c r="D74" s="12" t="inlineStr">
        <is>
          <t>04.03.2026</t>
        </is>
      </c>
      <c r="E74" s="12" t="inlineStr">
        <is>
          <t>FARM</t>
        </is>
      </c>
      <c r="F74" s="12" t="inlineStr">
        <is>
          <t>051-5-K/26</t>
        </is>
      </c>
      <c r="G74" s="12" t="inlineStr">
        <is>
          <t>Да | Yes</t>
        </is>
      </c>
      <c r="H74" s="12" t="inlineStr">
        <is>
          <t>Pot.-2</t>
        </is>
      </c>
      <c r="I74" s="13" t="n">
        <v>21</v>
      </c>
      <c r="J74" s="13" t="n">
        <v>2.1</v>
      </c>
      <c r="K74" s="13" t="n">
        <v>18.9</v>
      </c>
      <c r="L74" s="13" t="n">
        <v>23.1</v>
      </c>
      <c r="M74" s="12">
        <f>IF(AND(C74&gt;=K74,C74&lt;=L74),"Да | Yes","НЕ | NO")</f>
        <v/>
      </c>
      <c r="N74" s="12" t="inlineStr">
        <is>
          <t>Grade I</t>
        </is>
      </c>
      <c r="O74" s="13" t="n">
        <v>23.5</v>
      </c>
      <c r="P74" s="13" t="n">
        <v>30</v>
      </c>
      <c r="Q74" s="12">
        <f>IF(AND(C74&gt;=O74,C74&lt;=P74),"Да | Yes","НЕ | NO")</f>
        <v/>
      </c>
      <c r="R74" s="12" t="inlineStr">
        <is>
          <t>(без преименување | not renamed)</t>
        </is>
      </c>
      <c r="S74" s="12" t="n"/>
      <c r="T74" s="12" t="n"/>
      <c r="U74" s="12" t="n"/>
      <c r="V74" s="12" t="n"/>
    </row>
    <row r="75">
      <c r="A75" s="14" t="inlineStr">
        <is>
          <t>J31102501</t>
        </is>
      </c>
      <c r="B75" s="14" t="inlineStr">
        <is>
          <t>Jokerz 31</t>
        </is>
      </c>
      <c r="C75" s="15" t="n">
        <v>17.32</v>
      </c>
      <c r="D75" s="14" t="inlineStr">
        <is>
          <t>07.08.2026</t>
        </is>
      </c>
      <c r="E75" s="14" t="inlineStr">
        <is>
          <t>FARM</t>
        </is>
      </c>
      <c r="F75" s="14" t="inlineStr">
        <is>
          <t>197-16-К/26</t>
        </is>
      </c>
      <c r="G75" s="14" t="inlineStr">
        <is>
          <t>Да | Yes</t>
        </is>
      </c>
      <c r="H75" s="14" t="inlineStr">
        <is>
          <t>Pot.-1</t>
        </is>
      </c>
      <c r="I75" s="15" t="n">
        <v>17.5</v>
      </c>
      <c r="J75" s="15" t="n">
        <v>1.39</v>
      </c>
      <c r="K75" s="15" t="n">
        <v>16.11</v>
      </c>
      <c r="L75" s="15" t="n">
        <v>18.89</v>
      </c>
      <c r="M75" s="14">
        <f>IF(AND(C75&gt;=K75,C75&lt;=L75),"Да | Yes","НЕ | NO")</f>
        <v/>
      </c>
      <c r="N75" s="14" t="inlineStr">
        <is>
          <t>Grade II</t>
        </is>
      </c>
      <c r="O75" s="15" t="n">
        <v>16.5</v>
      </c>
      <c r="P75" s="15" t="n">
        <v>23.5</v>
      </c>
      <c r="Q75" s="14">
        <f>IF(AND(C75&gt;=O75,C75&lt;=P75),"Да | Yes","НЕ | NO")</f>
        <v/>
      </c>
      <c r="R75" s="14" t="inlineStr">
        <is>
          <t>(без преименување | not renamed)</t>
        </is>
      </c>
      <c r="S75" s="14" t="n"/>
      <c r="T75" s="14" t="n"/>
      <c r="U75" s="14" t="n"/>
      <c r="V75" s="14" t="n"/>
    </row>
    <row r="76">
      <c r="A76" s="12" t="inlineStr">
        <is>
          <t>J31112501</t>
        </is>
      </c>
      <c r="B76" s="12" t="inlineStr">
        <is>
          <t>Jokerz 31</t>
        </is>
      </c>
      <c r="C76" s="13" t="n">
        <v>20.21</v>
      </c>
      <c r="D76" s="12" t="inlineStr">
        <is>
          <t>09.04.2026</t>
        </is>
      </c>
      <c r="E76" s="12" t="inlineStr">
        <is>
          <t>FARM</t>
        </is>
      </c>
      <c r="F76" s="12" t="inlineStr">
        <is>
          <t>100-1-K/26</t>
        </is>
      </c>
      <c r="G76" s="12" t="inlineStr">
        <is>
          <t>Да | Yes</t>
        </is>
      </c>
      <c r="H76" s="12" t="inlineStr">
        <is>
          <t>Pot.-2</t>
        </is>
      </c>
      <c r="I76" s="13" t="n">
        <v>21</v>
      </c>
      <c r="J76" s="13" t="n">
        <v>2.1</v>
      </c>
      <c r="K76" s="13" t="n">
        <v>18.9</v>
      </c>
      <c r="L76" s="13" t="n">
        <v>23.1</v>
      </c>
      <c r="M76" s="12">
        <f>IF(AND(C76&gt;=K76,C76&lt;=L76),"Да | Yes","НЕ | NO")</f>
        <v/>
      </c>
      <c r="N76" s="12" t="inlineStr">
        <is>
          <t>Grade II</t>
        </is>
      </c>
      <c r="O76" s="13" t="n">
        <v>16.5</v>
      </c>
      <c r="P76" s="13" t="n">
        <v>23.5</v>
      </c>
      <c r="Q76" s="12">
        <f>IF(AND(C76&gt;=O76,C76&lt;=P76),"Да | Yes","НЕ | NO")</f>
        <v/>
      </c>
      <c r="R76" s="12" t="inlineStr">
        <is>
          <t>(без преименување | not renamed)</t>
        </is>
      </c>
      <c r="S76" s="12" t="n"/>
      <c r="T76" s="12" t="n"/>
      <c r="U76" s="12" t="n"/>
      <c r="V76" s="12" t="n"/>
    </row>
    <row r="77">
      <c r="A77" s="14" t="inlineStr">
        <is>
          <t>J31122501</t>
        </is>
      </c>
      <c r="B77" s="14" t="inlineStr">
        <is>
          <t>Jokerz 31</t>
        </is>
      </c>
      <c r="C77" s="15" t="n">
        <v>19.84</v>
      </c>
      <c r="D77" s="14" t="inlineStr">
        <is>
          <t>09.04.2026</t>
        </is>
      </c>
      <c r="E77" s="14" t="inlineStr">
        <is>
          <t>FARM</t>
        </is>
      </c>
      <c r="F77" s="14" t="inlineStr">
        <is>
          <t>100-2-К/26</t>
        </is>
      </c>
      <c r="G77" s="14" t="inlineStr">
        <is>
          <t>Да | Yes</t>
        </is>
      </c>
      <c r="H77" s="14" t="inlineStr">
        <is>
          <t>Pot.-2</t>
        </is>
      </c>
      <c r="I77" s="15" t="n">
        <v>21</v>
      </c>
      <c r="J77" s="15" t="n">
        <v>2.1</v>
      </c>
      <c r="K77" s="15" t="n">
        <v>18.9</v>
      </c>
      <c r="L77" s="15" t="n">
        <v>23.1</v>
      </c>
      <c r="M77" s="14">
        <f>IF(AND(C77&gt;=K77,C77&lt;=L77),"Да | Yes","НЕ | NO")</f>
        <v/>
      </c>
      <c r="N77" s="14" t="inlineStr">
        <is>
          <t>Grade II</t>
        </is>
      </c>
      <c r="O77" s="15" t="n">
        <v>16.5</v>
      </c>
      <c r="P77" s="15" t="n">
        <v>23.5</v>
      </c>
      <c r="Q77" s="14">
        <f>IF(AND(C77&gt;=O77,C77&lt;=P77),"Да | Yes","НЕ | NO")</f>
        <v/>
      </c>
      <c r="R77" s="14" t="inlineStr">
        <is>
          <t>(без преименување | not renamed)</t>
        </is>
      </c>
      <c r="S77" s="14" t="n"/>
      <c r="T77" s="14" t="n"/>
      <c r="U77" s="14" t="n"/>
      <c r="V77" s="14" t="n"/>
    </row>
    <row r="78">
      <c r="A78" s="12" t="inlineStr">
        <is>
          <t>J31122501</t>
        </is>
      </c>
      <c r="B78" s="12" t="inlineStr">
        <is>
          <t>Jokerz 31</t>
        </is>
      </c>
      <c r="C78" s="13" t="n">
        <v>21.84</v>
      </c>
      <c r="D78" s="12" t="inlineStr">
        <is>
          <t>09.04.2026</t>
        </is>
      </c>
      <c r="E78" s="12" t="inlineStr">
        <is>
          <t>FARM</t>
        </is>
      </c>
      <c r="F78" s="12" t="inlineStr">
        <is>
          <t>100-3-К/26</t>
        </is>
      </c>
      <c r="G78" s="12" t="inlineStr">
        <is>
          <t>Да | Yes</t>
        </is>
      </c>
      <c r="H78" s="12" t="inlineStr">
        <is>
          <t>Pot.-2</t>
        </is>
      </c>
      <c r="I78" s="13" t="n">
        <v>21</v>
      </c>
      <c r="J78" s="13" t="n">
        <v>2.1</v>
      </c>
      <c r="K78" s="13" t="n">
        <v>18.9</v>
      </c>
      <c r="L78" s="13" t="n">
        <v>23.1</v>
      </c>
      <c r="M78" s="12">
        <f>IF(AND(C78&gt;=K78,C78&lt;=L78),"Да | Yes","НЕ | NO")</f>
        <v/>
      </c>
      <c r="N78" s="12" t="inlineStr">
        <is>
          <t>Grade II</t>
        </is>
      </c>
      <c r="O78" s="13" t="n">
        <v>16.5</v>
      </c>
      <c r="P78" s="13" t="n">
        <v>23.5</v>
      </c>
      <c r="Q78" s="12">
        <f>IF(AND(C78&gt;=O78,C78&lt;=P78),"Да | Yes","НЕ | NO")</f>
        <v/>
      </c>
      <c r="R78" s="12" t="inlineStr">
        <is>
          <t>(без преименување | not renamed)</t>
        </is>
      </c>
      <c r="S78" s="12" t="n"/>
      <c r="T78" s="12" t="n"/>
      <c r="U78" s="12" t="n"/>
      <c r="V78" s="12" t="n"/>
    </row>
    <row r="79">
      <c r="A79" s="14" t="inlineStr">
        <is>
          <t>KC102501</t>
        </is>
      </c>
      <c r="B79" s="14" t="inlineStr">
        <is>
          <t>Kush Crasher</t>
        </is>
      </c>
      <c r="C79" s="15" t="n">
        <v>17.04</v>
      </c>
      <c r="D79" s="14" t="inlineStr">
        <is>
          <t>04.03.2026</t>
        </is>
      </c>
      <c r="E79" s="14" t="inlineStr">
        <is>
          <t>FARM</t>
        </is>
      </c>
      <c r="F79" s="14" t="inlineStr">
        <is>
          <t>051-4-K/26</t>
        </is>
      </c>
      <c r="G79" s="14" t="inlineStr">
        <is>
          <t>Да | Yes</t>
        </is>
      </c>
      <c r="H79" s="14" t="inlineStr">
        <is>
          <t>Pot.-1</t>
        </is>
      </c>
      <c r="I79" s="15" t="n">
        <v>17</v>
      </c>
      <c r="J79" s="15" t="n">
        <v>1.7</v>
      </c>
      <c r="K79" s="15" t="n">
        <v>15.3</v>
      </c>
      <c r="L79" s="15" t="n">
        <v>18.7</v>
      </c>
      <c r="M79" s="14">
        <f>IF(AND(C79&gt;=K79,C79&lt;=L79),"Да | Yes","НЕ | NO")</f>
        <v/>
      </c>
      <c r="N79" s="14" t="inlineStr">
        <is>
          <t>Grade III</t>
        </is>
      </c>
      <c r="O79" s="15" t="n">
        <v>15</v>
      </c>
      <c r="P79" s="15" t="n">
        <v>20</v>
      </c>
      <c r="Q79" s="14">
        <f>IF(AND(C79&gt;=O79,C79&lt;=P79),"Да | Yes","НЕ | NO")</f>
        <v/>
      </c>
      <c r="R79" s="14" t="inlineStr">
        <is>
          <t>(без преименување | not renamed)</t>
        </is>
      </c>
      <c r="S79" s="14" t="n"/>
      <c r="T79" s="14" t="n"/>
      <c r="U79" s="14" t="n"/>
      <c r="V79" s="14" t="n"/>
    </row>
    <row r="80">
      <c r="A80" s="12" t="inlineStr">
        <is>
          <t>MB0824_04</t>
        </is>
      </c>
      <c r="B80" s="12" t="inlineStr">
        <is>
          <t>Motor Breath</t>
        </is>
      </c>
      <c r="C80" s="13" t="n">
        <v>18.67</v>
      </c>
      <c r="D80" s="12" t="inlineStr">
        <is>
          <t>06.05.2025</t>
        </is>
      </c>
      <c r="E80" s="12" t="inlineStr">
        <is>
          <t>UKIM</t>
        </is>
      </c>
      <c r="F80" s="12" t="inlineStr">
        <is>
          <t>ППК25118</t>
        </is>
      </c>
      <c r="G80" s="12" t="inlineStr">
        <is>
          <t>Да | Yes</t>
        </is>
      </c>
      <c r="H80" s="12" t="inlineStr">
        <is>
          <t>Pot.-1</t>
        </is>
      </c>
      <c r="I80" s="13" t="n">
        <v>17</v>
      </c>
      <c r="J80" s="13" t="n">
        <v>1.7</v>
      </c>
      <c r="K80" s="13" t="n">
        <v>15.3</v>
      </c>
      <c r="L80" s="13" t="n">
        <v>18.7</v>
      </c>
      <c r="M80" s="12">
        <f>IF(AND(C80&gt;=K80,C80&lt;=L80),"Да | Yes","НЕ | NO")</f>
        <v/>
      </c>
      <c r="N80" s="12" t="inlineStr">
        <is>
          <t>Grade III</t>
        </is>
      </c>
      <c r="O80" s="13" t="n">
        <v>15</v>
      </c>
      <c r="P80" s="13" t="n">
        <v>20</v>
      </c>
      <c r="Q80" s="12">
        <f>IF(AND(C80&gt;=O80,C80&lt;=P80),"Да | Yes","НЕ | NO")</f>
        <v/>
      </c>
      <c r="R80" s="12" t="inlineStr">
        <is>
          <t>NY Diesel</t>
        </is>
      </c>
      <c r="S80" s="12" t="inlineStr">
        <is>
          <t>Pot.-1</t>
        </is>
      </c>
      <c r="T80" s="13" t="n">
        <v>17</v>
      </c>
      <c r="U80" s="13" t="n">
        <v>15.3</v>
      </c>
      <c r="V80" s="13" t="n">
        <v>18.7</v>
      </c>
    </row>
    <row r="81">
      <c r="A81" s="14" t="inlineStr">
        <is>
          <t>MB0824_05</t>
        </is>
      </c>
      <c r="B81" s="14" t="inlineStr">
        <is>
          <t>Motor Breath</t>
        </is>
      </c>
      <c r="C81" s="15" t="n">
        <v>16.82</v>
      </c>
      <c r="D81" s="14" t="inlineStr">
        <is>
          <t>28.07.2025</t>
        </is>
      </c>
      <c r="E81" s="14" t="inlineStr">
        <is>
          <t>UKIM</t>
        </is>
      </c>
      <c r="F81" s="14" t="inlineStr">
        <is>
          <t>ППК52211</t>
        </is>
      </c>
      <c r="G81" s="14" t="inlineStr">
        <is>
          <t>Да | Yes</t>
        </is>
      </c>
      <c r="H81" s="14" t="inlineStr">
        <is>
          <t>Pot.-1</t>
        </is>
      </c>
      <c r="I81" s="15" t="n">
        <v>17</v>
      </c>
      <c r="J81" s="15" t="n">
        <v>1.7</v>
      </c>
      <c r="K81" s="15" t="n">
        <v>15.3</v>
      </c>
      <c r="L81" s="15" t="n">
        <v>18.7</v>
      </c>
      <c r="M81" s="14">
        <f>IF(AND(C81&gt;=K81,C81&lt;=L81),"Да | Yes","НЕ | NO")</f>
        <v/>
      </c>
      <c r="N81" s="14" t="inlineStr">
        <is>
          <t>Grade III</t>
        </is>
      </c>
      <c r="O81" s="15" t="n">
        <v>15</v>
      </c>
      <c r="P81" s="15" t="n">
        <v>20</v>
      </c>
      <c r="Q81" s="14">
        <f>IF(AND(C81&gt;=O81,C81&lt;=P81),"Да | Yes","НЕ | NO")</f>
        <v/>
      </c>
      <c r="R81" s="14" t="inlineStr">
        <is>
          <t>NY Diesel</t>
        </is>
      </c>
      <c r="S81" s="14" t="inlineStr">
        <is>
          <t>Pot.-1</t>
        </is>
      </c>
      <c r="T81" s="15" t="n">
        <v>17</v>
      </c>
      <c r="U81" s="15" t="n">
        <v>15.3</v>
      </c>
      <c r="V81" s="15" t="n">
        <v>18.7</v>
      </c>
    </row>
    <row r="82">
      <c r="A82" s="12" t="inlineStr">
        <is>
          <t>OPM112501</t>
        </is>
      </c>
      <c r="B82" s="12" t="inlineStr">
        <is>
          <t>Orange Punch Mimosa</t>
        </is>
      </c>
      <c r="C82" s="13" t="n">
        <v>8</v>
      </c>
      <c r="D82" s="12" t="inlineStr">
        <is>
          <t>05.03.2026</t>
        </is>
      </c>
      <c r="E82" s="12" t="inlineStr">
        <is>
          <t>UKIM</t>
        </is>
      </c>
      <c r="F82" s="12" t="inlineStr">
        <is>
          <t>ППК26031</t>
        </is>
      </c>
      <c r="G82" s="12" t="inlineStr">
        <is>
          <t>Да | Yes</t>
        </is>
      </c>
      <c r="H82" s="12" t="inlineStr">
        <is>
          <t>Pot.-1</t>
        </is>
      </c>
      <c r="I82" s="13" t="n">
        <v>8</v>
      </c>
      <c r="J82" s="13" t="n">
        <v>0.54</v>
      </c>
      <c r="K82" s="13" t="n">
        <v>7.46</v>
      </c>
      <c r="L82" s="13" t="n">
        <v>8.539999999999999</v>
      </c>
      <c r="M82" s="12">
        <f>IF(AND(C82&gt;=K82,C82&lt;=L82),"Да | Yes","НЕ | NO")</f>
        <v/>
      </c>
      <c r="N82" s="12" t="inlineStr">
        <is>
          <t>Grade IV</t>
        </is>
      </c>
      <c r="O82" s="13" t="n">
        <v>7.09</v>
      </c>
      <c r="P82" s="13" t="n">
        <v>13</v>
      </c>
      <c r="Q82" s="12">
        <f>IF(AND(C82&gt;=O82,C82&lt;=P82),"Да | Yes","НЕ | NO")</f>
        <v/>
      </c>
      <c r="R82" s="12" t="inlineStr">
        <is>
          <t>Soft Citrus Bloom</t>
        </is>
      </c>
      <c r="S82" s="12" t="inlineStr">
        <is>
          <t>Pot.-1</t>
        </is>
      </c>
      <c r="T82" s="13" t="n">
        <v>8</v>
      </c>
      <c r="U82" s="13" t="n">
        <v>7.46</v>
      </c>
      <c r="V82" s="13" t="n">
        <v>8.539999999999999</v>
      </c>
    </row>
    <row r="83">
      <c r="A83" s="14" t="inlineStr">
        <is>
          <t>OPM052501</t>
        </is>
      </c>
      <c r="B83" s="14" t="inlineStr">
        <is>
          <t>Orange Punch Mimosa</t>
        </is>
      </c>
      <c r="C83" s="15" t="n">
        <v>14.16</v>
      </c>
      <c r="D83" s="14" t="inlineStr">
        <is>
          <t>05.09.2025</t>
        </is>
      </c>
      <c r="E83" s="14" t="inlineStr">
        <is>
          <t>UKIM</t>
        </is>
      </c>
      <c r="F83" s="14" t="inlineStr">
        <is>
          <t>ППК52557</t>
        </is>
      </c>
      <c r="G83" s="14" t="inlineStr">
        <is>
          <t>Да | Yes</t>
        </is>
      </c>
      <c r="H83" s="14" t="inlineStr">
        <is>
          <t>Pot.-3</t>
        </is>
      </c>
      <c r="I83" s="15" t="n">
        <v>14.5</v>
      </c>
      <c r="J83" s="15" t="n">
        <v>1.05</v>
      </c>
      <c r="K83" s="15" t="n">
        <v>13.45</v>
      </c>
      <c r="L83" s="15" t="n">
        <v>15.55</v>
      </c>
      <c r="M83" s="14">
        <f>IF(AND(C83&gt;=K83,C83&lt;=L83),"Да | Yes","НЕ | NO")</f>
        <v/>
      </c>
      <c r="N83" s="14" t="inlineStr">
        <is>
          <t>Grade III</t>
        </is>
      </c>
      <c r="O83" s="15" t="n">
        <v>13</v>
      </c>
      <c r="P83" s="15" t="n">
        <v>19</v>
      </c>
      <c r="Q83" s="14">
        <f>IF(AND(C83&gt;=O83,C83&lt;=P83),"Да | Yes","НЕ | NO")</f>
        <v/>
      </c>
      <c r="R83" s="14" t="inlineStr">
        <is>
          <t>Citrus Bloom</t>
        </is>
      </c>
      <c r="S83" s="14" t="inlineStr">
        <is>
          <t>Pot.-2</t>
        </is>
      </c>
      <c r="T83" s="15" t="n">
        <v>14.5</v>
      </c>
      <c r="U83" s="15" t="n">
        <v>13.05</v>
      </c>
      <c r="V83" s="15" t="n">
        <v>15.95</v>
      </c>
    </row>
    <row r="84">
      <c r="A84" s="12" t="inlineStr">
        <is>
          <t>OPM1024_01</t>
        </is>
      </c>
      <c r="B84" s="12" t="inlineStr">
        <is>
          <t>Orange Punch Mimosa</t>
        </is>
      </c>
      <c r="C84" s="13" t="n">
        <v>15.38</v>
      </c>
      <c r="D84" s="12" t="inlineStr">
        <is>
          <t>06.05.2025</t>
        </is>
      </c>
      <c r="E84" s="12" t="inlineStr">
        <is>
          <t>UKIM</t>
        </is>
      </c>
      <c r="F84" s="12" t="inlineStr">
        <is>
          <t>ППК25117</t>
        </is>
      </c>
      <c r="G84" s="12" t="inlineStr">
        <is>
          <t>Да | Yes</t>
        </is>
      </c>
      <c r="H84" s="12" t="inlineStr">
        <is>
          <t>Pot.-3</t>
        </is>
      </c>
      <c r="I84" s="13" t="n">
        <v>14.5</v>
      </c>
      <c r="J84" s="13" t="n">
        <v>1.05</v>
      </c>
      <c r="K84" s="13" t="n">
        <v>13.45</v>
      </c>
      <c r="L84" s="13" t="n">
        <v>15.55</v>
      </c>
      <c r="M84" s="12">
        <f>IF(AND(C84&gt;=K84,C84&lt;=L84),"Да | Yes","НЕ | NO")</f>
        <v/>
      </c>
      <c r="N84" s="12" t="inlineStr">
        <is>
          <t>Grade III</t>
        </is>
      </c>
      <c r="O84" s="13" t="n">
        <v>13</v>
      </c>
      <c r="P84" s="13" t="n">
        <v>19</v>
      </c>
      <c r="Q84" s="12">
        <f>IF(AND(C84&gt;=O84,C84&lt;=P84),"Да | Yes","НЕ | NO")</f>
        <v/>
      </c>
      <c r="R84" s="12" t="inlineStr">
        <is>
          <t>Citrus Bloom</t>
        </is>
      </c>
      <c r="S84" s="12" t="inlineStr">
        <is>
          <t>Pot.-2</t>
        </is>
      </c>
      <c r="T84" s="13" t="n">
        <v>14.5</v>
      </c>
      <c r="U84" s="13" t="n">
        <v>13.05</v>
      </c>
      <c r="V84" s="13" t="n">
        <v>15.95</v>
      </c>
    </row>
    <row r="85">
      <c r="A85" s="14" t="inlineStr">
        <is>
          <t>OPM1024</t>
        </is>
      </c>
      <c r="B85" s="14" t="inlineStr">
        <is>
          <t>Orange Punch Mimosa</t>
        </is>
      </c>
      <c r="C85" s="15" t="n">
        <v>20.03</v>
      </c>
      <c r="D85" s="14" t="inlineStr">
        <is>
          <t>07.08.2026</t>
        </is>
      </c>
      <c r="E85" s="14" t="inlineStr">
        <is>
          <t>FARM</t>
        </is>
      </c>
      <c r="F85" s="14" t="inlineStr">
        <is>
          <t>197-17-К/26</t>
        </is>
      </c>
      <c r="G85" s="14" t="inlineStr">
        <is>
          <t>Да | Yes</t>
        </is>
      </c>
      <c r="H85" s="14" t="inlineStr">
        <is>
          <t>Pot.-5</t>
        </is>
      </c>
      <c r="I85" s="15" t="n">
        <v>20.5</v>
      </c>
      <c r="J85" s="15" t="n">
        <v>2.05</v>
      </c>
      <c r="K85" s="15" t="n">
        <v>18.45</v>
      </c>
      <c r="L85" s="15" t="n">
        <v>22.55</v>
      </c>
      <c r="M85" s="14">
        <f>IF(AND(C85&gt;=K85,C85&lt;=L85),"Да | Yes","НЕ | NO")</f>
        <v/>
      </c>
      <c r="N85" s="14" t="inlineStr">
        <is>
          <t>Grade II</t>
        </is>
      </c>
      <c r="O85" s="15" t="n">
        <v>19</v>
      </c>
      <c r="P85" s="15" t="n">
        <v>25</v>
      </c>
      <c r="Q85" s="14">
        <f>IF(AND(C85&gt;=O85,C85&lt;=P85),"Да | Yes","НЕ | NO")</f>
        <v/>
      </c>
      <c r="R85" s="14" t="inlineStr">
        <is>
          <t>Orange Dream</t>
        </is>
      </c>
      <c r="S85" s="14" t="inlineStr">
        <is>
          <t>Pot.-1</t>
        </is>
      </c>
      <c r="T85" s="15" t="n">
        <v>20</v>
      </c>
      <c r="U85" s="15" t="n">
        <v>18</v>
      </c>
      <c r="V85" s="15" t="n">
        <v>22</v>
      </c>
    </row>
    <row r="86">
      <c r="A86" s="12" t="inlineStr">
        <is>
          <t>OPM1024_02</t>
        </is>
      </c>
      <c r="B86" s="12" t="inlineStr">
        <is>
          <t>Orange Punch Mimosa</t>
        </is>
      </c>
      <c r="C86" s="13" t="n">
        <v>18.04</v>
      </c>
      <c r="D86" s="12" t="inlineStr">
        <is>
          <t>07.08.2026</t>
        </is>
      </c>
      <c r="E86" s="12" t="inlineStr">
        <is>
          <t>FARM</t>
        </is>
      </c>
      <c r="F86" s="12" t="inlineStr">
        <is>
          <t>197-18-К/26</t>
        </is>
      </c>
      <c r="G86" s="12" t="inlineStr">
        <is>
          <t>Да | Yes</t>
        </is>
      </c>
      <c r="H86" s="12" t="inlineStr">
        <is>
          <t>Pot.-4</t>
        </is>
      </c>
      <c r="I86" s="13" t="n">
        <v>17</v>
      </c>
      <c r="J86" s="13" t="n">
        <v>1.44</v>
      </c>
      <c r="K86" s="13" t="n">
        <v>15.56</v>
      </c>
      <c r="L86" s="13" t="n">
        <v>18.44</v>
      </c>
      <c r="M86" s="12">
        <f>IF(AND(C86&gt;=K86,C86&lt;=L86),"Да | Yes","НЕ | NO")</f>
        <v/>
      </c>
      <c r="N86" s="12" t="inlineStr">
        <is>
          <t>Grade III</t>
        </is>
      </c>
      <c r="O86" s="13" t="n">
        <v>13</v>
      </c>
      <c r="P86" s="13" t="n">
        <v>19</v>
      </c>
      <c r="Q86" s="12">
        <f>IF(AND(C86&gt;=O86,C86&lt;=P86),"Да | Yes","НЕ | NO")</f>
        <v/>
      </c>
      <c r="R86" s="12" t="inlineStr">
        <is>
          <t>Tangie Queen</t>
        </is>
      </c>
      <c r="S86" s="12" t="inlineStr">
        <is>
          <t>Pot.-1</t>
        </is>
      </c>
      <c r="T86" s="13" t="n">
        <v>17</v>
      </c>
      <c r="U86" s="13" t="n">
        <v>15.3</v>
      </c>
      <c r="V86" s="13" t="n">
        <v>18.7</v>
      </c>
    </row>
    <row r="87">
      <c r="A87" s="14" t="inlineStr">
        <is>
          <t>OPM122501</t>
        </is>
      </c>
      <c r="B87" s="14" t="inlineStr">
        <is>
          <t>Orange Punch Mimosa</t>
        </is>
      </c>
      <c r="C87" s="15" t="n">
        <v>7.91</v>
      </c>
      <c r="D87" s="14" t="inlineStr">
        <is>
          <t>07.08.2026</t>
        </is>
      </c>
      <c r="E87" s="14" t="inlineStr">
        <is>
          <t>FARM</t>
        </is>
      </c>
      <c r="F87" s="14" t="inlineStr">
        <is>
          <t>197-19-К/26</t>
        </is>
      </c>
      <c r="G87" s="14" t="inlineStr">
        <is>
          <t>Да | Yes</t>
        </is>
      </c>
      <c r="H87" s="14" t="inlineStr">
        <is>
          <t>Pot.-1</t>
        </is>
      </c>
      <c r="I87" s="15" t="n">
        <v>8</v>
      </c>
      <c r="J87" s="15" t="n">
        <v>0.54</v>
      </c>
      <c r="K87" s="15" t="n">
        <v>7.46</v>
      </c>
      <c r="L87" s="15" t="n">
        <v>8.539999999999999</v>
      </c>
      <c r="M87" s="14">
        <f>IF(AND(C87&gt;=K87,C87&lt;=L87),"Да | Yes","НЕ | NO")</f>
        <v/>
      </c>
      <c r="N87" s="14" t="inlineStr">
        <is>
          <t>Grade IV</t>
        </is>
      </c>
      <c r="O87" s="15" t="n">
        <v>7.09</v>
      </c>
      <c r="P87" s="15" t="n">
        <v>13</v>
      </c>
      <c r="Q87" s="14">
        <f>IF(AND(C87&gt;=O87,C87&lt;=P87),"Да | Yes","НЕ | NO")</f>
        <v/>
      </c>
      <c r="R87" s="14" t="inlineStr">
        <is>
          <t>Citrus Bloom</t>
        </is>
      </c>
      <c r="S87" s="14" t="inlineStr">
        <is>
          <t>Pot.-1</t>
        </is>
      </c>
      <c r="T87" s="15" t="n">
        <v>8</v>
      </c>
      <c r="U87" s="15" t="n">
        <v>7.2</v>
      </c>
      <c r="V87" s="15" t="n">
        <v>8.800000000000001</v>
      </c>
    </row>
    <row r="88">
      <c r="A88" s="12" t="inlineStr">
        <is>
          <t>OPM122501</t>
        </is>
      </c>
      <c r="B88" s="12" t="inlineStr">
        <is>
          <t>Orange Punch Mimosa</t>
        </is>
      </c>
      <c r="C88" s="13" t="n">
        <v>8.09</v>
      </c>
      <c r="D88" s="12" t="inlineStr">
        <is>
          <t>09.04.2026</t>
        </is>
      </c>
      <c r="E88" s="12" t="inlineStr">
        <is>
          <t>FARM</t>
        </is>
      </c>
      <c r="F88" s="12" t="inlineStr">
        <is>
          <t>100-4-К/26</t>
        </is>
      </c>
      <c r="G88" s="12" t="inlineStr">
        <is>
          <t>Да | Yes</t>
        </is>
      </c>
      <c r="H88" s="12" t="inlineStr">
        <is>
          <t>Pot.-1</t>
        </is>
      </c>
      <c r="I88" s="13" t="n">
        <v>8</v>
      </c>
      <c r="J88" s="13" t="n">
        <v>0.54</v>
      </c>
      <c r="K88" s="13" t="n">
        <v>7.46</v>
      </c>
      <c r="L88" s="13" t="n">
        <v>8.539999999999999</v>
      </c>
      <c r="M88" s="12">
        <f>IF(AND(C88&gt;=K88,C88&lt;=L88),"Да | Yes","НЕ | NO")</f>
        <v/>
      </c>
      <c r="N88" s="12" t="inlineStr">
        <is>
          <t>Grade IV</t>
        </is>
      </c>
      <c r="O88" s="13" t="n">
        <v>7.09</v>
      </c>
      <c r="P88" s="13" t="n">
        <v>13</v>
      </c>
      <c r="Q88" s="12">
        <f>IF(AND(C88&gt;=O88,C88&lt;=P88),"Да | Yes","НЕ | NO")</f>
        <v/>
      </c>
      <c r="R88" s="12" t="inlineStr">
        <is>
          <t>Citrus Bloom</t>
        </is>
      </c>
      <c r="S88" s="12" t="inlineStr">
        <is>
          <t>Pot.-1</t>
        </is>
      </c>
      <c r="T88" s="13" t="n">
        <v>8</v>
      </c>
      <c r="U88" s="13" t="n">
        <v>7.2</v>
      </c>
      <c r="V88" s="13" t="n">
        <v>8.800000000000001</v>
      </c>
    </row>
    <row r="89">
      <c r="A89" s="14" t="inlineStr">
        <is>
          <t>OPM092501</t>
        </is>
      </c>
      <c r="B89" s="14" t="inlineStr">
        <is>
          <t>Orange Punch Mimosa</t>
        </is>
      </c>
      <c r="C89" s="15" t="n">
        <v>9.43</v>
      </c>
      <c r="D89" s="14" t="inlineStr">
        <is>
          <t>21.01.2026</t>
        </is>
      </c>
      <c r="E89" s="14" t="inlineStr">
        <is>
          <t>UKIM</t>
        </is>
      </c>
      <c r="F89" s="14" t="inlineStr">
        <is>
          <t>ППК26008</t>
        </is>
      </c>
      <c r="G89" s="14" t="inlineStr">
        <is>
          <t>Да | Yes</t>
        </is>
      </c>
      <c r="H89" s="14" t="inlineStr">
        <is>
          <t>Pot.-2</t>
        </is>
      </c>
      <c r="I89" s="15" t="n">
        <v>9.5</v>
      </c>
      <c r="J89" s="15" t="n">
        <v>0.95</v>
      </c>
      <c r="K89" s="15" t="n">
        <v>8.550000000000001</v>
      </c>
      <c r="L89" s="15" t="n">
        <v>10.45</v>
      </c>
      <c r="M89" s="14">
        <f>IF(AND(C89&gt;=K89,C89&lt;=L89),"Да | Yes","НЕ | NO")</f>
        <v/>
      </c>
      <c r="N89" s="14" t="inlineStr">
        <is>
          <t>Grade IV</t>
        </is>
      </c>
      <c r="O89" s="15" t="n">
        <v>7.09</v>
      </c>
      <c r="P89" s="15" t="n">
        <v>13</v>
      </c>
      <c r="Q89" s="14">
        <f>IF(AND(C89&gt;=O89,C89&lt;=P89),"Да | Yes","НЕ | NO")</f>
        <v/>
      </c>
      <c r="R89" s="14" t="inlineStr">
        <is>
          <t>Soft Citrus Bloom</t>
        </is>
      </c>
      <c r="S89" s="14" t="inlineStr">
        <is>
          <t>Pot.-2</t>
        </is>
      </c>
      <c r="T89" s="15" t="n">
        <v>9.5</v>
      </c>
      <c r="U89" s="15" t="n">
        <v>8.550000000000001</v>
      </c>
      <c r="V89" s="15" t="n">
        <v>10.45</v>
      </c>
    </row>
    <row r="90">
      <c r="A90" s="12" t="inlineStr">
        <is>
          <t>OPM1024</t>
        </is>
      </c>
      <c r="B90" s="12" t="inlineStr">
        <is>
          <t>Orange Punch Mimosa</t>
        </is>
      </c>
      <c r="C90" s="13" t="n">
        <v>19.96</v>
      </c>
      <c r="D90" s="12" t="inlineStr">
        <is>
          <t>23.04.2025</t>
        </is>
      </c>
      <c r="E90" s="12" t="inlineStr">
        <is>
          <t>UKIM</t>
        </is>
      </c>
      <c r="F90" s="12" t="inlineStr">
        <is>
          <t>n/a — Purely Plant in-house CoA (Batch OPM1024, no certificate/report number printed)</t>
        </is>
      </c>
      <c r="G90" s="12" t="inlineStr">
        <is>
          <t>Да | Yes</t>
        </is>
      </c>
      <c r="H90" s="12" t="inlineStr">
        <is>
          <t>Pot.-5</t>
        </is>
      </c>
      <c r="I90" s="13" t="n">
        <v>20.5</v>
      </c>
      <c r="J90" s="13" t="n">
        <v>2.05</v>
      </c>
      <c r="K90" s="13" t="n">
        <v>18.45</v>
      </c>
      <c r="L90" s="13" t="n">
        <v>22.55</v>
      </c>
      <c r="M90" s="12">
        <f>IF(AND(C90&gt;=K90,C90&lt;=L90),"Да | Yes","НЕ | NO")</f>
        <v/>
      </c>
      <c r="N90" s="12" t="inlineStr">
        <is>
          <t>Grade II</t>
        </is>
      </c>
      <c r="O90" s="13" t="n">
        <v>19</v>
      </c>
      <c r="P90" s="13" t="n">
        <v>25</v>
      </c>
      <c r="Q90" s="12">
        <f>IF(AND(C90&gt;=O90,C90&lt;=P90),"Да | Yes","НЕ | NO")</f>
        <v/>
      </c>
      <c r="R90" s="12" t="inlineStr">
        <is>
          <t>Orange Dream</t>
        </is>
      </c>
      <c r="S90" s="12" t="inlineStr">
        <is>
          <t>Pot.-1</t>
        </is>
      </c>
      <c r="T90" s="13" t="n">
        <v>20</v>
      </c>
      <c r="U90" s="13" t="n">
        <v>18</v>
      </c>
      <c r="V90" s="13" t="n">
        <v>22</v>
      </c>
    </row>
    <row r="91">
      <c r="A91" s="14" t="inlineStr">
        <is>
          <t>OPM1024_02</t>
        </is>
      </c>
      <c r="B91" s="14" t="inlineStr">
        <is>
          <t>Orange Punch Mimosa</t>
        </is>
      </c>
      <c r="C91" s="15" t="n">
        <v>18.27</v>
      </c>
      <c r="D91" s="14" t="inlineStr">
        <is>
          <t>24.06.2025</t>
        </is>
      </c>
      <c r="E91" s="14" t="inlineStr">
        <is>
          <t>UKIM</t>
        </is>
      </c>
      <c r="F91" s="14" t="inlineStr">
        <is>
          <t>ППК21554</t>
        </is>
      </c>
      <c r="G91" s="14" t="inlineStr">
        <is>
          <t>Да | Yes</t>
        </is>
      </c>
      <c r="H91" s="14" t="inlineStr">
        <is>
          <t>Pot.-4</t>
        </is>
      </c>
      <c r="I91" s="15" t="n">
        <v>17</v>
      </c>
      <c r="J91" s="15" t="n">
        <v>1.44</v>
      </c>
      <c r="K91" s="15" t="n">
        <v>15.56</v>
      </c>
      <c r="L91" s="15" t="n">
        <v>18.44</v>
      </c>
      <c r="M91" s="14">
        <f>IF(AND(C91&gt;=K91,C91&lt;=L91),"Да | Yes","НЕ | NO")</f>
        <v/>
      </c>
      <c r="N91" s="14" t="inlineStr">
        <is>
          <t>Grade III</t>
        </is>
      </c>
      <c r="O91" s="15" t="n">
        <v>13</v>
      </c>
      <c r="P91" s="15" t="n">
        <v>19</v>
      </c>
      <c r="Q91" s="14">
        <f>IF(AND(C91&gt;=O91,C91&lt;=P91),"Да | Yes","НЕ | NO")</f>
        <v/>
      </c>
      <c r="R91" s="14" t="inlineStr">
        <is>
          <t>Tangie Queen</t>
        </is>
      </c>
      <c r="S91" s="14" t="inlineStr">
        <is>
          <t>Pot.-1</t>
        </is>
      </c>
      <c r="T91" s="15" t="n">
        <v>17</v>
      </c>
      <c r="U91" s="15" t="n">
        <v>15.3</v>
      </c>
      <c r="V91" s="15" t="n">
        <v>18.7</v>
      </c>
    </row>
    <row r="92">
      <c r="A92" s="12" t="inlineStr">
        <is>
          <t>OPM1024_03</t>
        </is>
      </c>
      <c r="B92" s="12" t="inlineStr">
        <is>
          <t>Orange Punch Mimosa</t>
        </is>
      </c>
      <c r="C92" s="13" t="n">
        <v>16.55</v>
      </c>
      <c r="D92" s="12" t="inlineStr">
        <is>
          <t>28.07.2025</t>
        </is>
      </c>
      <c r="E92" s="12" t="inlineStr">
        <is>
          <t>UKIM</t>
        </is>
      </c>
      <c r="F92" s="12" t="inlineStr">
        <is>
          <t>ППК25210</t>
        </is>
      </c>
      <c r="G92" s="12" t="inlineStr">
        <is>
          <t>Да | Yes</t>
        </is>
      </c>
      <c r="H92" s="12" t="inlineStr">
        <is>
          <t>Pot.-4</t>
        </is>
      </c>
      <c r="I92" s="13" t="n">
        <v>17</v>
      </c>
      <c r="J92" s="13" t="n">
        <v>1.44</v>
      </c>
      <c r="K92" s="13" t="n">
        <v>15.56</v>
      </c>
      <c r="L92" s="13" t="n">
        <v>18.44</v>
      </c>
      <c r="M92" s="12">
        <f>IF(AND(C92&gt;=K92,C92&lt;=L92),"Да | Yes","НЕ | NO")</f>
        <v/>
      </c>
      <c r="N92" s="12" t="inlineStr">
        <is>
          <t>Grade III</t>
        </is>
      </c>
      <c r="O92" s="13" t="n">
        <v>13</v>
      </c>
      <c r="P92" s="13" t="n">
        <v>19</v>
      </c>
      <c r="Q92" s="12">
        <f>IF(AND(C92&gt;=O92,C92&lt;=P92),"Да | Yes","НЕ | NO")</f>
        <v/>
      </c>
      <c r="R92" s="12" t="inlineStr">
        <is>
          <t>Tangie Queen</t>
        </is>
      </c>
      <c r="S92" s="12" t="inlineStr">
        <is>
          <t>Pot.-1</t>
        </is>
      </c>
      <c r="T92" s="13" t="n">
        <v>17</v>
      </c>
      <c r="U92" s="13" t="n">
        <v>15.3</v>
      </c>
      <c r="V92" s="13" t="n">
        <v>18.7</v>
      </c>
    </row>
    <row r="93">
      <c r="A93" s="14" t="inlineStr">
        <is>
          <t>PM112501</t>
        </is>
      </c>
      <c r="B93" s="14" t="inlineStr">
        <is>
          <t>Permanent Marker</t>
        </is>
      </c>
      <c r="C93" s="15" t="n">
        <v>13.33</v>
      </c>
      <c r="D93" s="14" t="inlineStr">
        <is>
          <t>05.03.2026</t>
        </is>
      </c>
      <c r="E93" s="14" t="inlineStr">
        <is>
          <t>UKIM</t>
        </is>
      </c>
      <c r="F93" s="14" t="inlineStr">
        <is>
          <t>ППК26030</t>
        </is>
      </c>
      <c r="G93" s="14" t="inlineStr">
        <is>
          <t>Да | Yes</t>
        </is>
      </c>
      <c r="H93" s="14" t="inlineStr">
        <is>
          <t>Pot.-2</t>
        </is>
      </c>
      <c r="I93" s="15" t="n">
        <v>12.5</v>
      </c>
      <c r="J93" s="15" t="n">
        <v>1.25</v>
      </c>
      <c r="K93" s="15" t="n">
        <v>11.25</v>
      </c>
      <c r="L93" s="15" t="n">
        <v>13.75</v>
      </c>
      <c r="M93" s="14">
        <f>IF(AND(C93&gt;=K93,C93&lt;=L93),"Да | Yes","НЕ | NO")</f>
        <v/>
      </c>
      <c r="N93" s="14" t="inlineStr">
        <is>
          <t>Grade IV</t>
        </is>
      </c>
      <c r="O93" s="15" t="n">
        <v>9.01</v>
      </c>
      <c r="P93" s="15" t="n">
        <v>14</v>
      </c>
      <c r="Q93" s="14">
        <f>IF(AND(C93&gt;=O93,C93&lt;=P93),"Да | Yes","НЕ | NO")</f>
        <v/>
      </c>
      <c r="R93" s="14" t="inlineStr">
        <is>
          <t>Formula 1</t>
        </is>
      </c>
      <c r="S93" s="14" t="inlineStr">
        <is>
          <t>Pot.-2</t>
        </is>
      </c>
      <c r="T93" s="15" t="n">
        <v>12.5</v>
      </c>
      <c r="U93" s="15" t="n">
        <v>11.25</v>
      </c>
      <c r="V93" s="15" t="n">
        <v>13.75</v>
      </c>
    </row>
    <row r="94">
      <c r="A94" s="12" t="inlineStr">
        <is>
          <t>PM092501</t>
        </is>
      </c>
      <c r="B94" s="12" t="inlineStr">
        <is>
          <t>Permanent Marker</t>
        </is>
      </c>
      <c r="C94" s="13" t="n">
        <v>12.25</v>
      </c>
      <c r="D94" s="12" t="inlineStr">
        <is>
          <t>07.08.2026</t>
        </is>
      </c>
      <c r="E94" s="12" t="inlineStr">
        <is>
          <t>FARM</t>
        </is>
      </c>
      <c r="F94" s="12" t="inlineStr">
        <is>
          <t>197-20-К/26</t>
        </is>
      </c>
      <c r="G94" s="12" t="inlineStr">
        <is>
          <t>Да | Yes</t>
        </is>
      </c>
      <c r="H94" s="12" t="inlineStr">
        <is>
          <t>Pot.-2</t>
        </is>
      </c>
      <c r="I94" s="13" t="n">
        <v>12.5</v>
      </c>
      <c r="J94" s="13" t="n">
        <v>1.25</v>
      </c>
      <c r="K94" s="13" t="n">
        <v>11.25</v>
      </c>
      <c r="L94" s="13" t="n">
        <v>13.75</v>
      </c>
      <c r="M94" s="12">
        <f>IF(AND(C94&gt;=K94,C94&lt;=L94),"Да | Yes","НЕ | NO")</f>
        <v/>
      </c>
      <c r="N94" s="12" t="inlineStr">
        <is>
          <t>Grade IV</t>
        </is>
      </c>
      <c r="O94" s="13" t="n">
        <v>9.01</v>
      </c>
      <c r="P94" s="13" t="n">
        <v>14</v>
      </c>
      <c r="Q94" s="12">
        <f>IF(AND(C94&gt;=O94,C94&lt;=P94),"Да | Yes","НЕ | NO")</f>
        <v/>
      </c>
      <c r="R94" s="12" t="inlineStr">
        <is>
          <t>Formula 1</t>
        </is>
      </c>
      <c r="S94" s="12" t="inlineStr">
        <is>
          <t>Pot.-2</t>
        </is>
      </c>
      <c r="T94" s="13" t="n">
        <v>12.5</v>
      </c>
      <c r="U94" s="13" t="n">
        <v>11.25</v>
      </c>
      <c r="V94" s="13" t="n">
        <v>13.75</v>
      </c>
    </row>
    <row r="95">
      <c r="A95" s="14" t="inlineStr">
        <is>
          <t>PM092501</t>
        </is>
      </c>
      <c r="B95" s="14" t="inlineStr">
        <is>
          <t>Permanent Marker</t>
        </is>
      </c>
      <c r="C95" s="15" t="n">
        <v>14.06</v>
      </c>
      <c r="D95" s="14" t="inlineStr">
        <is>
          <t>21.01.2026</t>
        </is>
      </c>
      <c r="E95" s="14" t="inlineStr">
        <is>
          <t>UKIM</t>
        </is>
      </c>
      <c r="F95" s="14" t="inlineStr">
        <is>
          <t>ППК26004</t>
        </is>
      </c>
      <c r="G95" s="14" t="inlineStr">
        <is>
          <t>Да | Yes</t>
        </is>
      </c>
      <c r="H95" s="14" t="inlineStr">
        <is>
          <t>Pot.-2</t>
        </is>
      </c>
      <c r="I95" s="15" t="n">
        <v>12.5</v>
      </c>
      <c r="J95" s="15" t="n">
        <v>1.25</v>
      </c>
      <c r="K95" s="15" t="n">
        <v>11.25</v>
      </c>
      <c r="L95" s="15" t="n">
        <v>13.75</v>
      </c>
      <c r="M95" s="14">
        <f>IF(AND(C95&gt;=K95,C95&lt;=L95),"Да | Yes","НЕ | NO")</f>
        <v/>
      </c>
      <c r="N95" s="14" t="inlineStr">
        <is>
          <t>Grade III</t>
        </is>
      </c>
      <c r="O95" s="15" t="n">
        <v>14</v>
      </c>
      <c r="P95" s="15" t="n">
        <v>19</v>
      </c>
      <c r="Q95" s="14">
        <f>IF(AND(C95&gt;=O95,C95&lt;=P95),"Да | Yes","НЕ | NO")</f>
        <v/>
      </c>
      <c r="R95" s="14" t="inlineStr">
        <is>
          <t>Formula 1</t>
        </is>
      </c>
      <c r="S95" s="14" t="inlineStr">
        <is>
          <t>Pot.-2</t>
        </is>
      </c>
      <c r="T95" s="15" t="n">
        <v>12.5</v>
      </c>
      <c r="U95" s="15" t="n">
        <v>11.25</v>
      </c>
      <c r="V95" s="15" t="n">
        <v>13.75</v>
      </c>
    </row>
    <row r="96">
      <c r="A96" s="12" t="inlineStr">
        <is>
          <t>PM072501</t>
        </is>
      </c>
      <c r="B96" s="12" t="inlineStr">
        <is>
          <t>Permanent Marker</t>
        </is>
      </c>
      <c r="C96" s="13" t="n">
        <v>10.01</v>
      </c>
      <c r="D96" s="12" t="inlineStr">
        <is>
          <t>28.11.2025</t>
        </is>
      </c>
      <c r="E96" s="12" t="inlineStr">
        <is>
          <t>UKIM</t>
        </is>
      </c>
      <c r="F96" s="12" t="inlineStr">
        <is>
          <t>ППК25368</t>
        </is>
      </c>
      <c r="G96" s="12" t="inlineStr">
        <is>
          <t>Да | Yes</t>
        </is>
      </c>
      <c r="H96" s="12" t="inlineStr">
        <is>
          <t>Pot.-1</t>
        </is>
      </c>
      <c r="I96" s="13" t="n">
        <v>10.5</v>
      </c>
      <c r="J96" s="13" t="n">
        <v>0.74</v>
      </c>
      <c r="K96" s="13" t="n">
        <v>9.76</v>
      </c>
      <c r="L96" s="13" t="n">
        <v>11.24</v>
      </c>
      <c r="M96" s="12">
        <f>IF(AND(C96&gt;=K96,C96&lt;=L96),"Да | Yes","НЕ | NO")</f>
        <v/>
      </c>
      <c r="N96" s="12" t="inlineStr">
        <is>
          <t>Grade IV</t>
        </is>
      </c>
      <c r="O96" s="13" t="n">
        <v>9.01</v>
      </c>
      <c r="P96" s="13" t="n">
        <v>14</v>
      </c>
      <c r="Q96" s="12">
        <f>IF(AND(C96&gt;=O96,C96&lt;=P96),"Да | Yes","НЕ | NO")</f>
        <v/>
      </c>
      <c r="R96" s="12" t="inlineStr">
        <is>
          <t>Formula 1</t>
        </is>
      </c>
      <c r="S96" s="12" t="inlineStr">
        <is>
          <t>Pot.-1</t>
        </is>
      </c>
      <c r="T96" s="13" t="n">
        <v>10.5</v>
      </c>
      <c r="U96" s="13" t="n">
        <v>9.76</v>
      </c>
      <c r="V96" s="13" t="n">
        <v>11.24</v>
      </c>
    </row>
    <row r="97">
      <c r="A97" s="14" t="inlineStr">
        <is>
          <t>SCR022601</t>
        </is>
      </c>
      <c r="B97" s="14" t="inlineStr">
        <is>
          <t>Scrambler</t>
        </is>
      </c>
      <c r="C97" s="15" t="n">
        <v>21.92</v>
      </c>
      <c r="D97" s="14" t="inlineStr">
        <is>
          <t>06.07.2026</t>
        </is>
      </c>
      <c r="E97" s="14" t="inlineStr">
        <is>
          <t>UKIM</t>
        </is>
      </c>
      <c r="F97" s="14" t="inlineStr">
        <is>
          <t>ППК26116</t>
        </is>
      </c>
      <c r="G97" s="14" t="inlineStr">
        <is>
          <t>Да | Yes</t>
        </is>
      </c>
      <c r="H97" s="14" t="inlineStr">
        <is>
          <t>Pot.-2</t>
        </is>
      </c>
      <c r="I97" s="15" t="n">
        <v>22</v>
      </c>
      <c r="J97" s="15" t="n">
        <v>2.2</v>
      </c>
      <c r="K97" s="15" t="n">
        <v>19.8</v>
      </c>
      <c r="L97" s="15" t="n">
        <v>24.2</v>
      </c>
      <c r="M97" s="14">
        <f>IF(AND(C97&gt;=K97,C97&lt;=L97),"Да | Yes","НЕ | NO")</f>
        <v/>
      </c>
      <c r="N97" s="14" t="inlineStr">
        <is>
          <t>Grade II</t>
        </is>
      </c>
      <c r="O97" s="15" t="n">
        <v>20.75</v>
      </c>
      <c r="P97" s="15" t="n">
        <v>25.25</v>
      </c>
      <c r="Q97" s="14">
        <f>IF(AND(C97&gt;=O97,C97&lt;=P97),"Да | Yes","НЕ | NO")</f>
        <v/>
      </c>
      <c r="R97" s="14" t="inlineStr">
        <is>
          <t>Rainbow Sherbet</t>
        </is>
      </c>
      <c r="S97" s="14" t="inlineStr">
        <is>
          <t>Pot.-1</t>
        </is>
      </c>
      <c r="T97" s="15" t="n">
        <v>22</v>
      </c>
      <c r="U97" s="15" t="n">
        <v>19.8</v>
      </c>
      <c r="V97" s="15" t="n">
        <v>24.2</v>
      </c>
    </row>
    <row r="98">
      <c r="A98" s="12" t="inlineStr">
        <is>
          <t>SCR012603</t>
        </is>
      </c>
      <c r="B98" s="12" t="inlineStr">
        <is>
          <t>Scrambler</t>
        </is>
      </c>
      <c r="C98" s="13" t="n">
        <v>17.84</v>
      </c>
      <c r="D98" s="12" t="inlineStr">
        <is>
          <t>07.08.2026</t>
        </is>
      </c>
      <c r="E98" s="12" t="inlineStr">
        <is>
          <t>FARM</t>
        </is>
      </c>
      <c r="F98" s="12" t="inlineStr">
        <is>
          <t>197-21-К/26</t>
        </is>
      </c>
      <c r="G98" s="12" t="inlineStr">
        <is>
          <t>Да | Yes</t>
        </is>
      </c>
      <c r="H98" s="12" t="inlineStr">
        <is>
          <t>Pot.-1</t>
        </is>
      </c>
      <c r="I98" s="13" t="n">
        <v>18</v>
      </c>
      <c r="J98" s="13" t="n">
        <v>1.79</v>
      </c>
      <c r="K98" s="13" t="n">
        <v>16.21</v>
      </c>
      <c r="L98" s="13" t="n">
        <v>19.79</v>
      </c>
      <c r="M98" s="12">
        <f>IF(AND(C98&gt;=K98,C98&lt;=L98),"Да | Yes","НЕ | NO")</f>
        <v/>
      </c>
      <c r="N98" s="12" t="inlineStr">
        <is>
          <t>Grade III</t>
        </is>
      </c>
      <c r="O98" s="13" t="n">
        <v>16.13</v>
      </c>
      <c r="P98" s="13" t="n">
        <v>20.75</v>
      </c>
      <c r="Q98" s="12">
        <f>IF(AND(C98&gt;=O98,C98&lt;=P98),"Да | Yes","НЕ | NO")</f>
        <v/>
      </c>
      <c r="R98" s="12" t="inlineStr">
        <is>
          <t>(без преименување | not renamed)</t>
        </is>
      </c>
      <c r="S98" s="12" t="n"/>
      <c r="T98" s="12" t="n"/>
      <c r="U98" s="12" t="n"/>
      <c r="V98" s="12" t="n"/>
    </row>
    <row r="99">
      <c r="A99" s="14" t="inlineStr">
        <is>
          <t>SCR112501</t>
        </is>
      </c>
      <c r="B99" s="14" t="inlineStr">
        <is>
          <t>Scrambler</t>
        </is>
      </c>
      <c r="C99" s="15" t="n">
        <v>17.13</v>
      </c>
      <c r="D99" s="14" t="inlineStr">
        <is>
          <t>11.05.2026</t>
        </is>
      </c>
      <c r="E99" s="14" t="inlineStr">
        <is>
          <t>UKIM</t>
        </is>
      </c>
      <c r="F99" s="14" t="inlineStr">
        <is>
          <t>ППК26069</t>
        </is>
      </c>
      <c r="G99" s="14" t="inlineStr">
        <is>
          <t>Да | Yes</t>
        </is>
      </c>
      <c r="H99" s="14" t="inlineStr">
        <is>
          <t>Pot.-1</t>
        </is>
      </c>
      <c r="I99" s="15" t="n">
        <v>18</v>
      </c>
      <c r="J99" s="15" t="n">
        <v>1.79</v>
      </c>
      <c r="K99" s="15" t="n">
        <v>16.21</v>
      </c>
      <c r="L99" s="15" t="n">
        <v>19.79</v>
      </c>
      <c r="M99" s="14">
        <f>IF(AND(C99&gt;=K99,C99&lt;=L99),"Да | Yes","НЕ | NO")</f>
        <v/>
      </c>
      <c r="N99" s="14" t="inlineStr">
        <is>
          <t>Grade III</t>
        </is>
      </c>
      <c r="O99" s="15" t="n">
        <v>16.13</v>
      </c>
      <c r="P99" s="15" t="n">
        <v>20.75</v>
      </c>
      <c r="Q99" s="14">
        <f>IF(AND(C99&gt;=O99,C99&lt;=P99),"Да | Yes","НЕ | NO")</f>
        <v/>
      </c>
      <c r="R99" s="14" t="inlineStr">
        <is>
          <t>(без преименување | not renamed)</t>
        </is>
      </c>
      <c r="S99" s="14" t="n"/>
      <c r="T99" s="14" t="n"/>
      <c r="U99" s="14" t="n"/>
      <c r="V99" s="14" t="n"/>
    </row>
    <row r="100">
      <c r="A100" s="12" t="inlineStr">
        <is>
          <t>SJ102501</t>
        </is>
      </c>
      <c r="B100" s="12" t="inlineStr">
        <is>
          <t>Sleepy Joy</t>
        </is>
      </c>
      <c r="C100" s="13" t="n">
        <v>11.2</v>
      </c>
      <c r="D100" s="12" t="inlineStr">
        <is>
          <t>04.03.2026</t>
        </is>
      </c>
      <c r="E100" s="12" t="inlineStr">
        <is>
          <t>FARM</t>
        </is>
      </c>
      <c r="F100" s="12" t="inlineStr">
        <is>
          <t>051-3-K/26</t>
        </is>
      </c>
      <c r="G100" s="12" t="inlineStr">
        <is>
          <t>Да | Yes</t>
        </is>
      </c>
      <c r="H100" s="12" t="inlineStr">
        <is>
          <t>Pot.-2</t>
        </is>
      </c>
      <c r="I100" s="13" t="n">
        <v>11</v>
      </c>
      <c r="J100" s="13" t="n">
        <v>1.1</v>
      </c>
      <c r="K100" s="13" t="n">
        <v>9.9</v>
      </c>
      <c r="L100" s="13" t="n">
        <v>12.1</v>
      </c>
      <c r="M100" s="12">
        <f>IF(AND(C100&gt;=K100,C100&lt;=L100),"Да | Yes","НЕ | NO")</f>
        <v/>
      </c>
      <c r="N100" s="12" t="inlineStr">
        <is>
          <t>Grade IV</t>
        </is>
      </c>
      <c r="O100" s="13" t="n">
        <v>7.75</v>
      </c>
      <c r="P100" s="13" t="n">
        <v>13</v>
      </c>
      <c r="Q100" s="12">
        <f>IF(AND(C100&gt;=O100,C100&lt;=P100),"Да | Yes","НЕ | NO")</f>
        <v/>
      </c>
      <c r="R100" s="12" t="inlineStr">
        <is>
          <t>(без преименување | not renamed)</t>
        </is>
      </c>
      <c r="S100" s="12" t="n"/>
      <c r="T100" s="12" t="n"/>
      <c r="U100" s="12" t="n"/>
      <c r="V100" s="12" t="n"/>
    </row>
    <row r="101">
      <c r="A101" s="14" t="inlineStr">
        <is>
          <t>SJ112501</t>
        </is>
      </c>
      <c r="B101" s="14" t="inlineStr">
        <is>
          <t>Sleepy Joy</t>
        </is>
      </c>
      <c r="C101" s="15" t="n">
        <v>9.199999999999999</v>
      </c>
      <c r="D101" s="14" t="inlineStr">
        <is>
          <t>04.03.2026</t>
        </is>
      </c>
      <c r="E101" s="14" t="inlineStr">
        <is>
          <t>FARM</t>
        </is>
      </c>
      <c r="F101" s="14" t="inlineStr">
        <is>
          <t>051-2-K/26</t>
        </is>
      </c>
      <c r="G101" s="14" t="inlineStr">
        <is>
          <t>Да | Yes</t>
        </is>
      </c>
      <c r="H101" s="14" t="inlineStr">
        <is>
          <t>Pot.-1</t>
        </is>
      </c>
      <c r="I101" s="15" t="n">
        <v>9</v>
      </c>
      <c r="J101" s="15" t="n">
        <v>0.89</v>
      </c>
      <c r="K101" s="15" t="n">
        <v>8.109999999999999</v>
      </c>
      <c r="L101" s="15" t="n">
        <v>9.890000000000001</v>
      </c>
      <c r="M101" s="14">
        <f>IF(AND(C101&gt;=K101,C101&lt;=L101),"Да | Yes","НЕ | NO")</f>
        <v/>
      </c>
      <c r="N101" s="14" t="inlineStr">
        <is>
          <t>Grade IV</t>
        </is>
      </c>
      <c r="O101" s="15" t="n">
        <v>7.75</v>
      </c>
      <c r="P101" s="15" t="n">
        <v>13</v>
      </c>
      <c r="Q101" s="14">
        <f>IF(AND(C101&gt;=O101,C101&lt;=P101),"Да | Yes","НЕ | NO")</f>
        <v/>
      </c>
      <c r="R101" s="14" t="inlineStr">
        <is>
          <t>Calmino</t>
        </is>
      </c>
      <c r="S101" s="14" t="inlineStr">
        <is>
          <t>Pot.-1</t>
        </is>
      </c>
      <c r="T101" s="15" t="n">
        <v>9</v>
      </c>
      <c r="U101" s="15" t="n">
        <v>8.1</v>
      </c>
      <c r="V101" s="15" t="n">
        <v>9.9</v>
      </c>
    </row>
    <row r="102">
      <c r="A102" s="12" t="inlineStr">
        <is>
          <t>SJ092501</t>
        </is>
      </c>
      <c r="B102" s="12" t="inlineStr">
        <is>
          <t>Sleepy Joy</t>
        </is>
      </c>
      <c r="C102" s="13" t="n">
        <v>10.96</v>
      </c>
      <c r="D102" s="12" t="inlineStr">
        <is>
          <t>21.01.2026</t>
        </is>
      </c>
      <c r="E102" s="12" t="inlineStr">
        <is>
          <t>UKIM</t>
        </is>
      </c>
      <c r="F102" s="12" t="inlineStr">
        <is>
          <t>ППК26006</t>
        </is>
      </c>
      <c r="G102" s="12" t="inlineStr">
        <is>
          <t>Да | Yes</t>
        </is>
      </c>
      <c r="H102" s="12" t="inlineStr">
        <is>
          <t>Pot.-2</t>
        </is>
      </c>
      <c r="I102" s="13" t="n">
        <v>11</v>
      </c>
      <c r="J102" s="13" t="n">
        <v>1.1</v>
      </c>
      <c r="K102" s="13" t="n">
        <v>9.9</v>
      </c>
      <c r="L102" s="13" t="n">
        <v>12.1</v>
      </c>
      <c r="M102" s="12">
        <f>IF(AND(C102&gt;=K102,C102&lt;=L102),"Да | Yes","НЕ | NO")</f>
        <v/>
      </c>
      <c r="N102" s="12" t="inlineStr">
        <is>
          <t>Grade IV</t>
        </is>
      </c>
      <c r="O102" s="13" t="n">
        <v>7.75</v>
      </c>
      <c r="P102" s="13" t="n">
        <v>13</v>
      </c>
      <c r="Q102" s="12">
        <f>IF(AND(C102&gt;=O102,C102&lt;=P102),"Да | Yes","НЕ | NO")</f>
        <v/>
      </c>
      <c r="R102" s="12" t="inlineStr">
        <is>
          <t>(без преименување | not renamed)</t>
        </is>
      </c>
      <c r="S102" s="12" t="n"/>
      <c r="T102" s="12" t="n"/>
      <c r="U102" s="12" t="n"/>
      <c r="V102" s="12" t="n"/>
    </row>
    <row r="103">
      <c r="A103" s="14" t="inlineStr">
        <is>
          <t>WC082501</t>
        </is>
      </c>
      <c r="B103" s="14" t="inlineStr">
        <is>
          <t>Wedding Crasher</t>
        </is>
      </c>
      <c r="C103" s="15" t="n">
        <v>21.67</v>
      </c>
      <c r="D103" s="14" t="inlineStr">
        <is>
          <t>21.01.2026</t>
        </is>
      </c>
      <c r="E103" s="14" t="inlineStr">
        <is>
          <t>UKIM</t>
        </is>
      </c>
      <c r="F103" s="14" t="inlineStr">
        <is>
          <t>ППК26001</t>
        </is>
      </c>
      <c r="G103" s="14" t="inlineStr">
        <is>
          <t>Да | Yes</t>
        </is>
      </c>
      <c r="H103" s="14" t="inlineStr">
        <is>
          <t>Pot.-1</t>
        </is>
      </c>
      <c r="I103" s="15" t="n">
        <v>22</v>
      </c>
      <c r="J103" s="15" t="n">
        <v>2.2</v>
      </c>
      <c r="K103" s="15" t="n">
        <v>19.8</v>
      </c>
      <c r="L103" s="15" t="n">
        <v>24.2</v>
      </c>
      <c r="M103" s="14">
        <f>IF(AND(C103&gt;=K103,C103&lt;=L103),"Да | Yes","НЕ | NO")</f>
        <v/>
      </c>
      <c r="N103" s="14" t="inlineStr">
        <is>
          <t>Grade II</t>
        </is>
      </c>
      <c r="O103" s="15" t="n">
        <v>20</v>
      </c>
      <c r="P103" s="15" t="n">
        <v>25</v>
      </c>
      <c r="Q103" s="14">
        <f>IF(AND(C103&gt;=O103,C103&lt;=P103),"Да | Yes","НЕ | NO")</f>
        <v/>
      </c>
      <c r="R103" s="14" t="inlineStr">
        <is>
          <t>(без преименување | not renamed)</t>
        </is>
      </c>
      <c r="S103" s="14" t="n"/>
      <c r="T103" s="14" t="n"/>
      <c r="U103" s="14" t="n"/>
      <c r="V103" s="14" t="n"/>
    </row>
    <row r="104">
      <c r="A104" s="12" t="inlineStr">
        <is>
          <t>WC072501</t>
        </is>
      </c>
      <c r="B104" s="12" t="inlineStr">
        <is>
          <t>Wedding Crasher</t>
        </is>
      </c>
      <c r="C104" s="13" t="n">
        <v>22.11</v>
      </c>
      <c r="D104" s="12" t="inlineStr">
        <is>
          <t>28.11.2025</t>
        </is>
      </c>
      <c r="E104" s="12" t="inlineStr">
        <is>
          <t>UKIM</t>
        </is>
      </c>
      <c r="F104" s="12" t="inlineStr">
        <is>
          <t>ППК25369</t>
        </is>
      </c>
      <c r="G104" s="12" t="inlineStr">
        <is>
          <t>Да | Yes</t>
        </is>
      </c>
      <c r="H104" s="12" t="inlineStr">
        <is>
          <t>Pot.-1</t>
        </is>
      </c>
      <c r="I104" s="13" t="n">
        <v>22</v>
      </c>
      <c r="J104" s="13" t="n">
        <v>2.2</v>
      </c>
      <c r="K104" s="13" t="n">
        <v>19.8</v>
      </c>
      <c r="L104" s="13" t="n">
        <v>24.2</v>
      </c>
      <c r="M104" s="12">
        <f>IF(AND(C104&gt;=K104,C104&lt;=L104),"Да | Yes","НЕ | NO")</f>
        <v/>
      </c>
      <c r="N104" s="12" t="inlineStr">
        <is>
          <t>Grade II</t>
        </is>
      </c>
      <c r="O104" s="13" t="n">
        <v>20</v>
      </c>
      <c r="P104" s="13" t="n">
        <v>25</v>
      </c>
      <c r="Q104" s="12">
        <f>IF(AND(C104&gt;=O104,C104&lt;=P104),"Да | Yes","НЕ | NO")</f>
        <v/>
      </c>
      <c r="R104" s="12" t="inlineStr">
        <is>
          <t>(без преименување | not renamed)</t>
        </is>
      </c>
      <c r="S104" s="12" t="n"/>
      <c r="T104" s="12" t="n"/>
      <c r="U104" s="12" t="n"/>
      <c r="V104" s="12" t="n"/>
    </row>
  </sheetData>
  <mergeCells count="3">
    <mergeCell ref="A2:V2"/>
    <mergeCell ref="A1:V1"/>
    <mergeCell ref="A3:V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2026-08-17T22:43:08Z</dcterms:created>
  <dcterms:modified xmlns:dcterms="http://purl.org/dc/terms/" xmlns:xsi="http://www.w3.org/2001/XMLSchema-instance" xsi:type="dcterms:W3CDTF">2026-08-17T22:43:08Z</dcterms:modified>
</cp:coreProperties>
</file>