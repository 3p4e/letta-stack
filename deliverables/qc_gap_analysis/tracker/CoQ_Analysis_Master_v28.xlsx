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28" sheetId="2" state="visible" r:id="rId2"/>
    <sheet name="Batch Dates" sheetId="3" state="visible" r:id="rId3"/>
    <sheet name="iCoA Register" sheetId="4" state="visible" r:id="rId4"/>
    <sheet name="CoQ Register" sheetId="5" state="visible" r:id="rId5"/>
    <sheet name="Parameters" sheetId="6" state="visible" r:id="rId6"/>
    <sheet name="Reference" sheetId="7" state="visible" r:id="rId7"/>
  </sheets>
  <definedNames>
    <definedName name="_fold_Read_Me">Reference!$A$2:$A$66</definedName>
    <definedName name="_fold_Delivery_T1_T3">Reference!$A$70:$A$150</definedName>
    <definedName name="_fold_ImB_Register">Reference!$A$154:$A$199</definedName>
    <definedName name="_fold_Mikro_CoQ_Parameter">Reference!$A$203:$A$341</definedName>
    <definedName name="_fold_Reconciliation_09_09">Reference!$A$345:$A$601</definedName>
    <definedName name="_fold_Credit_Audit">Reference!$A$605:$A$618</definedName>
    <definedName name="_fold_Credit_Corrections">Reference!$A$622:$A$756</definedName>
    <definedName name="_fold_Work_Order">Reference!$A$760:$A$799</definedName>
    <definedName name="_fold_Open_Items">Reference!$A$803:$A$836</definedName>
    <definedName name="_fold_Summary_Dashboard">Reference!$A$840:$A$860</definedName>
    <definedName name="_xlnm._FilterDatabase" localSheetId="0" hidden="1">'Batch Coverage'!$A$1:$V$88</definedName>
    <definedName name="_xlnm.Print_Titles" localSheetId="0">'Batch Coverage'!$1:$1</definedName>
    <definedName name="_xlnm.Print_Titles" localSheetId="1">'CoQ Parameter Tracker v28'!$1:$4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'Parameters'!$A$1:$G$22</definedName>
    <definedName name="_xlnm.Print_Titles" localSheetId="5">'Parameters'!$1:$1</definedName>
    <definedName name="_xlnm.Print_Titles" localSheetId="6">'Reference'!$1:$1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93">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44" fillId="30" borderId="17" applyAlignment="1" pivotButton="0" quotePrefix="0" xfId="0">
      <alignment vertical="top"/>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71" pivotButton="0" quotePrefix="0" xfId="0"/>
    <xf numFmtId="0" fontId="0" fillId="0" borderId="79" pivotButton="0" quotePrefix="0" xfId="0"/>
    <xf numFmtId="0" fontId="0" fillId="0" borderId="78" pivotButton="0" quotePrefix="0" xfId="0"/>
    <xf numFmtId="0" fontId="0" fillId="0" borderId="69" pivotButton="0" quotePrefix="0" xfId="0"/>
    <xf numFmtId="0" fontId="0" fillId="0" borderId="68"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iCoA_Register" displayName="iCoA_Register" ref="A1:AB193" headerRowCount="1">
  <autoFilter ref="A1:AB193"/>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73" headerRowCount="1">
  <autoFilter ref="A1:T173"/>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5</v>
      </c>
      <c r="T6" s="102" t="inlineStr">
        <is>
          <t>[CNP]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8 MISSING</t>
        </is>
      </c>
      <c r="E14" s="105" t="inlineStr">
        <is>
          <t>✓</t>
        </is>
      </c>
      <c r="F14" s="105" t="inlineStr">
        <is>
          <t>✓</t>
        </is>
      </c>
      <c r="G14" s="118" t="inlineStr">
        <is>
          <t>○</t>
        </is>
      </c>
      <c r="H14" s="118" t="inlineStr">
        <is>
          <t>○</t>
        </is>
      </c>
      <c r="I14" s="118" t="inlineStr">
        <is>
          <t>○</t>
        </is>
      </c>
      <c r="J14" s="99" t="inlineStr">
        <is>
          <t>✗</t>
        </is>
      </c>
      <c r="K14" s="105" t="inlineStr">
        <is>
          <t>✓</t>
        </is>
      </c>
      <c r="L14" s="118" t="inlineStr">
        <is>
          <t>○</t>
        </is>
      </c>
      <c r="M14" s="118" t="inlineStr">
        <is>
          <t>○</t>
        </is>
      </c>
      <c r="N14" s="98" t="inlineStr">
        <is>
          <t>✓</t>
        </is>
      </c>
      <c r="O14" s="118" t="inlineStr">
        <is>
          <t>○</t>
        </is>
      </c>
      <c r="P14" s="118" t="inlineStr">
        <is>
          <t>○</t>
        </is>
      </c>
      <c r="Q14" s="101" t="n">
        <v>8</v>
      </c>
      <c r="R14" s="104"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S14" s="103" t="n">
        <v>3</v>
      </c>
      <c r="T14" s="102" t="inlineStr">
        <is>
          <t>[FHM-M]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7</v>
      </c>
      <c r="T16" s="102" t="inlineStr">
        <is>
          <t>[FHM-K] 3;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5</v>
      </c>
      <c r="T22" s="102" t="inlineStr">
        <is>
          <t>[CNP] 2;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4</v>
      </c>
      <c r="T26" s="102" t="inlineStr">
        <is>
          <t>[FHM-K] 2;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5</v>
      </c>
      <c r="T33" s="102" t="inlineStr">
        <is>
          <t>[CNP]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8</v>
      </c>
      <c r="T36" s="102" t="inlineStr">
        <is>
          <t>[CNP] 4;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5</v>
      </c>
      <c r="T37" s="102" t="inlineStr">
        <is>
          <t>[CNP]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5</v>
      </c>
      <c r="T40" s="102" t="inlineStr">
        <is>
          <t>[CNP]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5</v>
      </c>
      <c r="T46" s="102" t="inlineStr">
        <is>
          <t>[CNP] 1; [FHM-M]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5</v>
      </c>
      <c r="T50" s="102" t="inlineStr">
        <is>
          <t>[CNP]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5</v>
      </c>
      <c r="T54" s="102" t="inlineStr">
        <is>
          <t>[CNP]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5</v>
      </c>
      <c r="T56" s="102" t="inlineStr">
        <is>
          <t>[CNP]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5</v>
      </c>
      <c r="T57" s="102" t="inlineStr">
        <is>
          <t>[CNP]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5</v>
      </c>
      <c r="T59" s="102" t="inlineStr">
        <is>
          <t>[CNP]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5</v>
      </c>
      <c r="T60" s="102" t="inlineStr">
        <is>
          <t>[CNP]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5</v>
      </c>
      <c r="T62" s="102" t="inlineStr">
        <is>
          <t>[CNP]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5</v>
      </c>
      <c r="T65" s="102" t="inlineStr">
        <is>
          <t>[CNP]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5</v>
      </c>
      <c r="T66" s="102" t="inlineStr">
        <is>
          <t>[CNP]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5</v>
      </c>
      <c r="T67" s="102" t="inlineStr">
        <is>
          <t>[CNP]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3</v>
      </c>
      <c r="T74" s="102" t="inlineStr">
        <is>
          <t>[CNP]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5</v>
      </c>
      <c r="T76" s="102" t="inlineStr">
        <is>
          <t>[CNP]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8 ON FILE, NOT RECORDED</t>
        </is>
      </c>
      <c r="E82" s="105" t="inlineStr">
        <is>
          <t>✓</t>
        </is>
      </c>
      <c r="F82" s="105" t="inlineStr">
        <is>
          <t>✓</t>
        </is>
      </c>
      <c r="G82" s="118" t="inlineStr">
        <is>
          <t>○</t>
        </is>
      </c>
      <c r="H82" s="118" t="inlineStr">
        <is>
          <t>○</t>
        </is>
      </c>
      <c r="I82" s="118" t="inlineStr">
        <is>
          <t>○</t>
        </is>
      </c>
      <c r="J82" s="118" t="inlineStr">
        <is>
          <t>○</t>
        </is>
      </c>
      <c r="K82" s="105" t="inlineStr">
        <is>
          <t>✓</t>
        </is>
      </c>
      <c r="L82" s="118" t="inlineStr">
        <is>
          <t>○</t>
        </is>
      </c>
      <c r="M82" s="118" t="inlineStr">
        <is>
          <t>○</t>
        </is>
      </c>
      <c r="N82" s="98" t="inlineStr">
        <is>
          <t>✓</t>
        </is>
      </c>
      <c r="O82" s="118" t="inlineStr">
        <is>
          <t>○</t>
        </is>
      </c>
      <c r="P82" s="118" t="inlineStr">
        <is>
          <t>○</t>
        </is>
      </c>
      <c r="Q82" s="101" t="n">
        <v>8</v>
      </c>
      <c r="R82"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2" s="103" t="n">
        <v>2</v>
      </c>
      <c r="T82" s="102" t="inlineStr">
        <is>
          <t>[FHM-M] 1; [PP] 1</t>
        </is>
      </c>
      <c r="U82" s="103" t="n">
        <v>1</v>
      </c>
      <c r="V82" s="102" t="inlineStr">
        <is>
          <t>[IJZ-MB] 1</t>
        </is>
      </c>
    </row>
    <row r="83">
      <c r="A83" s="96" t="inlineStr">
        <is>
          <t>CF102501</t>
        </is>
      </c>
      <c r="B83" s="97" t="inlineStr">
        <is>
          <t>P060132</t>
        </is>
      </c>
      <c r="C83" s="97" t="inlineStr">
        <is>
          <t>Chem Flyer</t>
        </is>
      </c>
      <c r="D83" s="98" t="inlineStr">
        <is>
          <t>○ 8 ON FILE, NOT RECORDED</t>
        </is>
      </c>
      <c r="E83" s="105" t="inlineStr">
        <is>
          <t>✓</t>
        </is>
      </c>
      <c r="F83" s="105" t="inlineStr">
        <is>
          <t>✓</t>
        </is>
      </c>
      <c r="G83" s="118" t="inlineStr">
        <is>
          <t>○</t>
        </is>
      </c>
      <c r="H83" s="118" t="inlineStr">
        <is>
          <t>○</t>
        </is>
      </c>
      <c r="I83" s="118" t="inlineStr">
        <is>
          <t>○</t>
        </is>
      </c>
      <c r="J83" s="118" t="inlineStr">
        <is>
          <t>○</t>
        </is>
      </c>
      <c r="K83" s="105" t="inlineStr">
        <is>
          <t>✓</t>
        </is>
      </c>
      <c r="L83" s="118" t="inlineStr">
        <is>
          <t>○</t>
        </is>
      </c>
      <c r="M83" s="118" t="inlineStr">
        <is>
          <t>○</t>
        </is>
      </c>
      <c r="N83" s="98" t="inlineStr">
        <is>
          <t>✓</t>
        </is>
      </c>
      <c r="O83" s="118" t="inlineStr">
        <is>
          <t>○</t>
        </is>
      </c>
      <c r="P83" s="118" t="inlineStr">
        <is>
          <t>○</t>
        </is>
      </c>
      <c r="Q83" s="101" t="n">
        <v>8</v>
      </c>
      <c r="R83"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3" s="103" t="n">
        <v>2</v>
      </c>
      <c r="T83" s="102" t="inlineStr">
        <is>
          <t>[FHM-M] 1; [PP] 1</t>
        </is>
      </c>
      <c r="U83" s="103" t="n">
        <v>1</v>
      </c>
      <c r="V83" s="102" t="inlineStr">
        <is>
          <t>[IJZ-MB] 1</t>
        </is>
      </c>
    </row>
    <row r="84">
      <c r="A84" s="96" t="inlineStr">
        <is>
          <t>PUM102501</t>
        </is>
      </c>
      <c r="B84" s="97" t="inlineStr">
        <is>
          <t>P060112</t>
        </is>
      </c>
      <c r="C84" s="97" t="inlineStr">
        <is>
          <t>Pure Michigen</t>
        </is>
      </c>
      <c r="D84" s="98" t="inlineStr">
        <is>
          <t>○ 8 ON FILE, NOT RECORDED</t>
        </is>
      </c>
      <c r="E84" s="105" t="inlineStr">
        <is>
          <t>✓</t>
        </is>
      </c>
      <c r="F84" s="105" t="inlineStr">
        <is>
          <t>✓</t>
        </is>
      </c>
      <c r="G84" s="118" t="inlineStr">
        <is>
          <t>○</t>
        </is>
      </c>
      <c r="H84" s="118" t="inlineStr">
        <is>
          <t>○</t>
        </is>
      </c>
      <c r="I84" s="118" t="inlineStr">
        <is>
          <t>○</t>
        </is>
      </c>
      <c r="J84" s="118" t="inlineStr">
        <is>
          <t>○</t>
        </is>
      </c>
      <c r="K84" s="105" t="inlineStr">
        <is>
          <t>✓</t>
        </is>
      </c>
      <c r="L84" s="118" t="inlineStr">
        <is>
          <t>○</t>
        </is>
      </c>
      <c r="M84" s="118" t="inlineStr">
        <is>
          <t>○</t>
        </is>
      </c>
      <c r="N84" s="98" t="inlineStr">
        <is>
          <t>✓</t>
        </is>
      </c>
      <c r="O84" s="118" t="inlineStr">
        <is>
          <t>○</t>
        </is>
      </c>
      <c r="P84" s="118" t="inlineStr">
        <is>
          <t>○</t>
        </is>
      </c>
      <c r="Q84" s="101" t="n">
        <v>8</v>
      </c>
      <c r="R84"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4" s="103" t="n">
        <v>2</v>
      </c>
      <c r="T84" s="102" t="inlineStr">
        <is>
          <t>[FHM-M] 1; [PP] 1</t>
        </is>
      </c>
      <c r="U84" s="103" t="n">
        <v>1</v>
      </c>
      <c r="V84" s="102" t="inlineStr">
        <is>
          <t>[IJZ-MB] 1</t>
        </is>
      </c>
    </row>
    <row r="85">
      <c r="A85" s="96" t="inlineStr">
        <is>
          <t>CC012603</t>
        </is>
      </c>
      <c r="B85" s="97" t="inlineStr">
        <is>
          <t>P060372</t>
        </is>
      </c>
      <c r="C85" s="97" t="inlineStr">
        <is>
          <t>Cash Cow</t>
        </is>
      </c>
      <c r="D85" s="98" t="inlineStr">
        <is>
          <t>❌ 8 MISSING</t>
        </is>
      </c>
      <c r="E85" s="105" t="inlineStr">
        <is>
          <t>✓</t>
        </is>
      </c>
      <c r="F85" s="105" t="inlineStr">
        <is>
          <t>✓</t>
        </is>
      </c>
      <c r="G85" s="99" t="inlineStr">
        <is>
          <t>✗</t>
        </is>
      </c>
      <c r="H85" s="99" t="inlineStr">
        <is>
          <t>✗</t>
        </is>
      </c>
      <c r="I85" s="99" t="inlineStr">
        <is>
          <t>✗</t>
        </is>
      </c>
      <c r="J85" s="99" t="inlineStr">
        <is>
          <t>✗</t>
        </is>
      </c>
      <c r="K85" s="105" t="inlineStr">
        <is>
          <t>✓</t>
        </is>
      </c>
      <c r="L85" s="99" t="inlineStr">
        <is>
          <t>✗</t>
        </is>
      </c>
      <c r="M85" s="118" t="inlineStr">
        <is>
          <t>○</t>
        </is>
      </c>
      <c r="N85" s="98" t="inlineStr">
        <is>
          <t>✓</t>
        </is>
      </c>
      <c r="O85" s="99" t="inlineStr">
        <is>
          <t>✗</t>
        </is>
      </c>
      <c r="P85" s="99" t="inlineStr">
        <is>
          <t>✗</t>
        </is>
      </c>
      <c r="Q85" s="101" t="n">
        <v>8</v>
      </c>
      <c r="R85" s="104" t="inlineStr">
        <is>
          <t>#3 Ident. C; #4 Δ⁹-THC; #5 CBD; #6 CBN; #8 LoD; #9 Microbiology (on file 09.09, not recorded); #11 Heavy metals; #12 Pesticides</t>
        </is>
      </c>
      <c r="S85" s="103" t="n">
        <v>2</v>
      </c>
      <c r="T85" s="102" t="inlineStr">
        <is>
          <t>[FHM-M] 1; [PP] 1</t>
        </is>
      </c>
      <c r="U85" s="103" t="n">
        <v>1</v>
      </c>
      <c r="V85" s="102" t="inlineStr">
        <is>
          <t>[IJZ-MB] 1</t>
        </is>
      </c>
    </row>
    <row r="86">
      <c r="A86" s="96" t="inlineStr">
        <is>
          <t>JD042601</t>
        </is>
      </c>
      <c r="B86" s="97" t="inlineStr">
        <is>
          <t>P060492</t>
        </is>
      </c>
      <c r="C86" s="97" t="inlineStr">
        <is>
          <t>Jelly Donutz</t>
        </is>
      </c>
      <c r="D86" s="98" t="inlineStr">
        <is>
          <t>❌ 8 MISSING</t>
        </is>
      </c>
      <c r="E86" s="105" t="inlineStr">
        <is>
          <t>✓</t>
        </is>
      </c>
      <c r="F86" s="105" t="inlineStr">
        <is>
          <t>✓</t>
        </is>
      </c>
      <c r="G86" s="99" t="inlineStr">
        <is>
          <t>✗</t>
        </is>
      </c>
      <c r="H86" s="99" t="inlineStr">
        <is>
          <t>✗</t>
        </is>
      </c>
      <c r="I86" s="99" t="inlineStr">
        <is>
          <t>✗</t>
        </is>
      </c>
      <c r="J86" s="99" t="inlineStr">
        <is>
          <t>✗</t>
        </is>
      </c>
      <c r="K86" s="105" t="inlineStr">
        <is>
          <t>✓</t>
        </is>
      </c>
      <c r="L86" s="99" t="inlineStr">
        <is>
          <t>✗</t>
        </is>
      </c>
      <c r="M86" s="99" t="inlineStr">
        <is>
          <t>✗</t>
        </is>
      </c>
      <c r="N86" s="98" t="inlineStr">
        <is>
          <t>✓</t>
        </is>
      </c>
      <c r="O86" s="99" t="inlineStr">
        <is>
          <t>✗</t>
        </is>
      </c>
      <c r="P86" s="99" t="inlineStr">
        <is>
          <t>✗</t>
        </is>
      </c>
      <c r="Q86" s="101" t="n">
        <v>8</v>
      </c>
      <c r="R86" s="104" t="inlineStr">
        <is>
          <t>#3 Ident. C; #4 Δ⁹-THC; #5 CBD; #6 CBN; #8 LoD; #9 Microbiology; #11 Heavy metals; #12 Pesticides</t>
        </is>
      </c>
      <c r="S86" s="103" t="n">
        <v>2</v>
      </c>
      <c r="T86" s="102" t="inlineStr">
        <is>
          <t>[FHM-M] 1; [PP] 1</t>
        </is>
      </c>
      <c r="U86" s="103" t="n">
        <v>0</v>
      </c>
      <c r="V86" s="102" t="inlineStr">
        <is>
          <t>—</t>
        </is>
      </c>
    </row>
    <row r="87">
      <c r="A87" s="96" t="inlineStr">
        <is>
          <t>FB042601</t>
        </is>
      </c>
      <c r="B87" s="97" t="inlineStr">
        <is>
          <t>— not assigned —</t>
        </is>
      </c>
      <c r="C87" s="97" t="inlineStr">
        <is>
          <t>Fat Bastard</t>
        </is>
      </c>
      <c r="D87" s="98" t="inlineStr">
        <is>
          <t>❌ 8 MISSING</t>
        </is>
      </c>
      <c r="E87" s="105" t="inlineStr">
        <is>
          <t>✓</t>
        </is>
      </c>
      <c r="F87" s="105" t="inlineStr">
        <is>
          <t>✓</t>
        </is>
      </c>
      <c r="G87" s="99" t="inlineStr">
        <is>
          <t>✗</t>
        </is>
      </c>
      <c r="H87" s="99" t="inlineStr">
        <is>
          <t>✗</t>
        </is>
      </c>
      <c r="I87" s="99" t="inlineStr">
        <is>
          <t>✗</t>
        </is>
      </c>
      <c r="J87" s="99" t="inlineStr">
        <is>
          <t>✗</t>
        </is>
      </c>
      <c r="K87" s="105" t="inlineStr">
        <is>
          <t>✓</t>
        </is>
      </c>
      <c r="L87" s="99" t="inlineStr">
        <is>
          <t>✗</t>
        </is>
      </c>
      <c r="M87" s="99" t="inlineStr">
        <is>
          <t>✗</t>
        </is>
      </c>
      <c r="N87" s="98" t="inlineStr">
        <is>
          <t>✓</t>
        </is>
      </c>
      <c r="O87" s="99" t="inlineStr">
        <is>
          <t>✗</t>
        </is>
      </c>
      <c r="P87" s="99" t="inlineStr">
        <is>
          <t>✗</t>
        </is>
      </c>
      <c r="Q87" s="101" t="n">
        <v>8</v>
      </c>
      <c r="R87" s="104" t="inlineStr">
        <is>
          <t>#3 Ident. C; #4 Δ⁹-THC; #5 CBD; #6 CBN; #8 LoD; #9 Microbiology; #11 Heavy metals; #12 Pesticides</t>
        </is>
      </c>
      <c r="S87" s="103" t="n">
        <v>2</v>
      </c>
      <c r="T87" s="102" t="inlineStr">
        <is>
          <t>[FHM-M] 1; [PP] 1</t>
        </is>
      </c>
      <c r="U87" s="103" t="n">
        <v>0</v>
      </c>
      <c r="V87" s="102" t="inlineStr">
        <is>
          <t>—</t>
        </is>
      </c>
    </row>
    <row r="88">
      <c r="A88" s="96" t="inlineStr">
        <is>
          <t>CC042601</t>
        </is>
      </c>
      <c r="B88" s="97" t="inlineStr">
        <is>
          <t>— not assigned —</t>
        </is>
      </c>
      <c r="C88" s="97" t="inlineStr">
        <is>
          <t>Cash Cow</t>
        </is>
      </c>
      <c r="D88" s="98" t="inlineStr">
        <is>
          <t>❌ 8 MISSING</t>
        </is>
      </c>
      <c r="E88" s="105" t="inlineStr">
        <is>
          <t>✓</t>
        </is>
      </c>
      <c r="F88" s="105" t="inlineStr">
        <is>
          <t>✓</t>
        </is>
      </c>
      <c r="G88" s="99" t="inlineStr">
        <is>
          <t>✗</t>
        </is>
      </c>
      <c r="H88" s="99" t="inlineStr">
        <is>
          <t>✗</t>
        </is>
      </c>
      <c r="I88" s="99" t="inlineStr">
        <is>
          <t>✗</t>
        </is>
      </c>
      <c r="J88" s="99" t="inlineStr">
        <is>
          <t>✗</t>
        </is>
      </c>
      <c r="K88" s="105" t="inlineStr">
        <is>
          <t>✓</t>
        </is>
      </c>
      <c r="L88" s="99" t="inlineStr">
        <is>
          <t>✗</t>
        </is>
      </c>
      <c r="M88" s="99" t="inlineStr">
        <is>
          <t>✗</t>
        </is>
      </c>
      <c r="N88" s="98" t="inlineStr">
        <is>
          <t>✓</t>
        </is>
      </c>
      <c r="O88" s="99" t="inlineStr">
        <is>
          <t>✗</t>
        </is>
      </c>
      <c r="P88" s="99" t="inlineStr">
        <is>
          <t>✗</t>
        </is>
      </c>
      <c r="Q88" s="101" t="n">
        <v>8</v>
      </c>
      <c r="R88" s="104" t="inlineStr">
        <is>
          <t>#3 Ident. C; #4 Δ⁹-THC; #5 CBD; #6 CBN; #8 LoD; #9 Microbiology; #11 Heavy metals; #12 Pesticides</t>
        </is>
      </c>
      <c r="S88" s="103" t="n">
        <v>2</v>
      </c>
      <c r="T88" s="102" t="inlineStr">
        <is>
          <t>[FHM-M]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6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4"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5" t="n"/>
      <c r="K23" s="144" t="n"/>
      <c r="L23" s="146" t="n"/>
      <c r="M23" s="145" t="n"/>
      <c r="N23" s="144" t="n"/>
      <c r="O23" s="146" t="n"/>
      <c r="P23" s="145" t="n"/>
      <c r="Q23" s="144" t="n"/>
      <c r="R23" s="146" t="n"/>
      <c r="S23" s="145" t="n"/>
      <c r="T23" s="144" t="n"/>
      <c r="U23" s="146" t="n"/>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17.625"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17.625"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ND</t>
        </is>
      </c>
      <c r="AI39" s="136" t="inlineStr">
        <is>
          <t>&lt; 2</t>
        </is>
      </c>
      <c r="AJ39" s="136" t="inlineStr">
        <is>
          <t>ND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8 NO RESULT
(8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65" t="inlineStr">
        <is>
          <t>— MISSING —</t>
        </is>
      </c>
      <c r="K49" s="168" t="inlineStr">
        <is>
          <t>— no certificate —</t>
        </is>
      </c>
      <c r="L49" s="167" t="inlineStr">
        <is>
          <t>✗</t>
        </is>
      </c>
      <c r="M49" s="165" t="inlineStr">
        <is>
          <t>— MISSING —</t>
        </is>
      </c>
      <c r="N49" s="168" t="inlineStr">
        <is>
          <t>— no certificate —</t>
        </is>
      </c>
      <c r="O49" s="167" t="inlineStr">
        <is>
          <t>✗</t>
        </is>
      </c>
      <c r="P49" s="165" t="inlineStr">
        <is>
          <t>— MISSING —</t>
        </is>
      </c>
      <c r="Q49" s="168" t="inlineStr">
        <is>
          <t>— no certificate —</t>
        </is>
      </c>
      <c r="R49" s="167" t="inlineStr">
        <is>
          <t>✗</t>
        </is>
      </c>
      <c r="S49" s="165" t="inlineStr">
        <is>
          <t>— MISSING —</t>
        </is>
      </c>
      <c r="T49" s="168" t="inlineStr">
        <is>
          <t>— no certificate —</t>
        </is>
      </c>
      <c r="U49" s="167"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17.625"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t>
        </is>
      </c>
      <c r="AE53" s="136" t="inlineStr">
        <is>
          <t>Absent</t>
        </is>
      </c>
      <c r="AF53" s="136" t="inlineStr">
        <is>
          <t>Absent</t>
        </is>
      </c>
      <c r="AG53" s="130" t="inlineStr">
        <is>
          <t>✓</t>
        </is>
      </c>
      <c r="AH53" s="128" t="inlineStr">
        <is>
          <t>ND</t>
        </is>
      </c>
      <c r="AI53" s="136" t="inlineStr">
        <is>
          <t>&lt; 2</t>
        </is>
      </c>
      <c r="AJ53" s="136" t="inlineStr">
        <is>
          <t>ND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3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47" t="inlineStr">
        <is>
          <t>Conforms (ImB spec.)</t>
        </is>
      </c>
      <c r="K61" s="148" t="inlineStr">
        <is>
          <t>227-16-K-26, (11.09.2026) [FHM-K]</t>
        </is>
      </c>
      <c r="L61" s="149" t="inlineStr">
        <is>
          <t>✓</t>
        </is>
      </c>
      <c r="M61" s="150" t="inlineStr">
        <is>
          <t>7.50</t>
        </is>
      </c>
      <c r="N61" s="148" t="inlineStr">
        <is>
          <t>227-16-K-26, (11.09.2026) [FHM-K]</t>
        </is>
      </c>
      <c r="O61" s="149" t="inlineStr">
        <is>
          <t>✓</t>
        </is>
      </c>
      <c r="P61" s="151" t="inlineStr">
        <is>
          <t>&lt; LOQ</t>
        </is>
      </c>
      <c r="Q61" s="148" t="inlineStr">
        <is>
          <t>227-16-K-26, (11.09.2026) [FHM-K]</t>
        </is>
      </c>
      <c r="R61" s="149" t="inlineStr">
        <is>
          <t>✓</t>
        </is>
      </c>
      <c r="S61" s="151" t="inlineStr">
        <is>
          <t>&lt; LOQ</t>
        </is>
      </c>
      <c r="T61" s="148" t="inlineStr">
        <is>
          <t>227-16-K-26, (11.09.2026) [FHM-K]</t>
        </is>
      </c>
      <c r="U61" s="149"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58" t="n"/>
      <c r="B62" s="159" t="n"/>
      <c r="C62" s="159" t="n"/>
      <c r="D62" s="160" t="n"/>
      <c r="E62" s="159" t="n"/>
      <c r="F62" s="161" t="n"/>
      <c r="G62" s="160" t="n"/>
      <c r="H62" s="159" t="n"/>
      <c r="I62" s="161" t="n"/>
      <c r="J62" s="160" t="n"/>
      <c r="K62" s="159" t="n"/>
      <c r="L62" s="161" t="n"/>
      <c r="M62" s="160" t="n"/>
      <c r="N62" s="159" t="n"/>
      <c r="O62" s="161" t="n"/>
      <c r="P62" s="160" t="n"/>
      <c r="Q62" s="159" t="n"/>
      <c r="R62" s="161" t="n"/>
      <c r="S62" s="160" t="n"/>
      <c r="T62" s="159" t="n"/>
      <c r="U62" s="161" t="n"/>
      <c r="V62" s="160" t="n"/>
      <c r="W62" s="159" t="n"/>
      <c r="X62" s="161" t="n"/>
      <c r="Y62" s="160" t="n"/>
      <c r="Z62" s="159" t="n"/>
      <c r="AA62" s="161" t="n"/>
      <c r="AB62" s="160" t="n"/>
      <c r="AC62" s="159" t="n"/>
      <c r="AD62" s="159" t="n"/>
      <c r="AE62" s="159" t="n"/>
      <c r="AF62" s="159" t="n"/>
      <c r="AG62" s="161" t="n"/>
      <c r="AH62" s="160" t="n"/>
      <c r="AI62" s="159" t="n"/>
      <c r="AJ62" s="159" t="n"/>
      <c r="AK62" s="161" t="n"/>
      <c r="AL62" s="160" t="n"/>
      <c r="AM62" s="159" t="n"/>
      <c r="AN62" s="159" t="n"/>
      <c r="AO62" s="159" t="n"/>
      <c r="AP62" s="161" t="n"/>
      <c r="AQ62" s="160" t="n"/>
      <c r="AR62" s="159" t="n"/>
      <c r="AS62" s="163" t="n"/>
    </row>
    <row r="63" ht="21" customHeight="1" s="70">
      <c r="A63" s="125" t="inlineStr">
        <is>
          <t>HPA1024</t>
        </is>
      </c>
      <c r="B63" s="126" t="inlineStr">
        <is>
          <t>N/A — no P batch assigned</t>
        </is>
      </c>
      <c r="C63" s="171" t="inlineStr">
        <is>
          <t>✗ 4 NO RESULT
(4 no cert / 0 cert w/o result)
2 testing instances
• 2 document(s) on file, not credited</t>
        </is>
      </c>
      <c r="D63" s="128" t="inlineStr">
        <is>
          <t>Conforms</t>
        </is>
      </c>
      <c r="E63" s="129">
        <f>IFERROR(INDEX('iCoA Register'!$B:$B,MATCH("HPA1024|I",'iCoA Register'!$AA:$AA,0)),"iCoA — at issue")&amp;", (11.04.2025) [PP]"</f>
        <v/>
      </c>
      <c r="F63" s="130" t="inlineStr">
        <is>
          <t>✓</t>
        </is>
      </c>
      <c r="G63" s="128" t="inlineStr">
        <is>
          <t>Conforms</t>
        </is>
      </c>
      <c r="H63" s="129">
        <f>IFERROR(INDEX('iCoA Register'!$B:$B,MATCH("HPA1024|I",'iCoA Register'!$AA:$AA,0)),"iCoA — at issue")&amp;", (11.04.2025) [PP]"</f>
        <v/>
      </c>
      <c r="I63" s="130" t="inlineStr">
        <is>
          <t>✓</t>
        </is>
      </c>
      <c r="J63" s="128" t="inlineStr">
        <is>
          <t>Conforms (ImB spec.) ᴿ</t>
        </is>
      </c>
      <c r="K63" s="129" t="inlineStr">
        <is>
          <t>197-13-K-26, (07.08.2026) [FHM-K]</t>
        </is>
      </c>
      <c r="L63" s="130" t="inlineStr">
        <is>
          <t>✓</t>
        </is>
      </c>
      <c r="M63" s="183" t="inlineStr">
        <is>
          <t>14.97 ᴿ</t>
        </is>
      </c>
      <c r="N63" s="132">
        <f>IFERROR(INDEX('iCoA Register'!$B:$B,MATCH("HPA1024|I",'iCoA Register'!$AA:$AA,0)),"iCoA — at issue")&amp;", (11.04.2025) [PP] · on file, not credited"</f>
        <v/>
      </c>
      <c r="O63" s="133" t="inlineStr">
        <is>
          <t>•</t>
        </is>
      </c>
      <c r="P63" s="184" t="inlineStr">
        <is>
          <t>0.04 ᴿ</t>
        </is>
      </c>
      <c r="Q63" s="132">
        <f>IFERROR(INDEX('iCoA Register'!$B:$B,MATCH("HPA1024|I",'iCoA Register'!$AA:$AA,0)),"iCoA — at issue")&amp;", (11.04.2025) [PP] · on file, not credited"</f>
        <v/>
      </c>
      <c r="R63" s="133" t="inlineStr">
        <is>
          <t>•</t>
        </is>
      </c>
      <c r="S63" s="135" t="inlineStr">
        <is>
          <t>0.36</t>
        </is>
      </c>
      <c r="T63" s="129" t="inlineStr">
        <is>
          <t>197-13-K-26, (07.08.2026) [FHM-K]</t>
        </is>
      </c>
      <c r="U63" s="130" t="inlineStr">
        <is>
          <t>✓</t>
        </is>
      </c>
      <c r="V63" s="128" t="inlineStr">
        <is>
          <t>Conforms</t>
        </is>
      </c>
      <c r="W63" s="129">
        <f>IFERROR(INDEX('iCoA Register'!$B:$B,MATCH("HPA1024|I",'iCoA Register'!$AA:$AA,0)),"iCoA — at issue")&amp;", (11.04.2025) [PP]"</f>
        <v/>
      </c>
      <c r="X63" s="130" t="inlineStr">
        <is>
          <t>✓</t>
        </is>
      </c>
      <c r="Y63" s="131" t="inlineStr">
        <is>
          <t>not on this certificate</t>
        </is>
      </c>
      <c r="Z63" s="132" t="inlineStr">
        <is>
          <t>197-13-K-26, (07.08.2026) [FHM-K] · on file, not credited</t>
        </is>
      </c>
      <c r="AA63" s="133" t="inlineStr">
        <is>
          <t>•</t>
        </is>
      </c>
      <c r="AB63" s="131" t="inlineStr">
        <is>
          <t>5.2 × 10⁴ ᴿ</t>
        </is>
      </c>
      <c r="AC63" s="197" t="inlineStr">
        <is>
          <t>7 × 10² ᴿ</t>
        </is>
      </c>
      <c r="AD63" s="197" t="inlineStr">
        <is>
          <t>&lt; 10 ᴿ</t>
        </is>
      </c>
      <c r="AE63" s="197" t="inlineStr">
        <is>
          <t>Absent ᴿ</t>
        </is>
      </c>
      <c r="AF63" s="197" t="inlineStr">
        <is>
          <t>Absent ᴿ</t>
        </is>
      </c>
      <c r="AG63" s="133" t="inlineStr">
        <is>
          <t>•</t>
        </is>
      </c>
      <c r="AH63" s="131" t="inlineStr">
        <is>
          <t>not reported</t>
        </is>
      </c>
      <c r="AI63" s="197" t="inlineStr">
        <is>
          <t>&lt; 2 ᴿ</t>
        </is>
      </c>
      <c r="AJ63" s="197" t="inlineStr">
        <is>
          <t>not reported</t>
        </is>
      </c>
      <c r="AK63" s="133" t="inlineStr">
        <is>
          <t>•</t>
        </is>
      </c>
      <c r="AL63" s="131" t="inlineStr">
        <is>
          <t>0.02 ᴿ</t>
        </is>
      </c>
      <c r="AM63" s="197" t="inlineStr">
        <is>
          <t>0.013 ᴿ</t>
        </is>
      </c>
      <c r="AN63" s="197" t="inlineStr">
        <is>
          <t>0.017 ᴿ</t>
        </is>
      </c>
      <c r="AO63" s="197" t="inlineStr">
        <is>
          <t>0.0026 ᴿ</t>
        </is>
      </c>
      <c r="AP63" s="133" t="inlineStr">
        <is>
          <t>•</t>
        </is>
      </c>
      <c r="AQ63" s="131" t="inlineStr">
        <is>
          <t>ND ᴿ</t>
        </is>
      </c>
      <c r="AR63" s="132">
        <f>IFERROR(INDEX('iCoA Register'!$B:$B,MATCH("HPA1024|I",'iCoA Register'!$AA:$AA,0)),"iCoA — at issue")&amp;", (11.04.2025) [PP] · on file, not credited"</f>
        <v/>
      </c>
      <c r="AS63" s="198" t="inlineStr">
        <is>
          <t>•</t>
        </is>
      </c>
    </row>
    <row r="64" ht="21" customHeight="1" s="70">
      <c r="A64" s="138" t="n"/>
      <c r="D64" s="139" t="n"/>
      <c r="F64" s="140" t="n"/>
      <c r="G64" s="139" t="n"/>
      <c r="I64" s="140" t="n"/>
      <c r="J64" s="139" t="n"/>
      <c r="L64" s="140" t="n"/>
      <c r="M64" s="139" t="n"/>
      <c r="O64" s="140" t="n"/>
      <c r="P64" s="139" t="n"/>
      <c r="R64" s="140" t="n"/>
      <c r="S64" s="139" t="n"/>
      <c r="U64" s="140" t="n"/>
      <c r="V64" s="139" t="n"/>
      <c r="X64" s="140" t="n"/>
      <c r="Y64" s="139" t="n"/>
      <c r="AA64" s="140" t="n"/>
      <c r="AB64" s="199">
        <f>IFERROR(INDEX('iCoA Register'!$B:$B,MATCH("HPA1024|I",'iCoA Register'!$AA:$AA,0)),"iCoA — at issue")&amp;", (11.04.2025) [PP] · on file, not credited"</f>
        <v/>
      </c>
      <c r="AG64" s="140" t="n"/>
      <c r="AH64" s="199">
        <f>IFERROR(INDEX('iCoA Register'!$B:$B,MATCH("HPA1024|I",'iCoA Register'!$AA:$AA,0)),"iCoA — at issue")&amp;", (11.04.2025) [PP] · on file, not credited"</f>
        <v/>
      </c>
      <c r="AK64" s="140" t="n"/>
      <c r="AL64" s="199">
        <f>IFERROR(INDEX('iCoA Register'!$B:$B,MATCH("HPA1024|I",'iCoA Register'!$AA:$AA,0)),"iCoA — at issue")&amp;", (11.04.2025) [PP] · on file, not credited"</f>
        <v/>
      </c>
      <c r="AP64" s="140" t="n"/>
      <c r="AQ64" s="139" t="n"/>
      <c r="AS64" s="142" t="n"/>
    </row>
    <row r="65" ht="17.625" customHeight="1" s="70">
      <c r="A65" s="143" t="n"/>
      <c r="B65" s="144" t="n"/>
      <c r="D65" s="147" t="inlineStr">
        <is>
          <t>Conforms</t>
        </is>
      </c>
      <c r="E65" s="148" t="inlineStr">
        <is>
          <t>iCoA — at issue (HPA1024), (23.04.2025) [PP]</t>
        </is>
      </c>
      <c r="F65" s="149" t="inlineStr">
        <is>
          <t>✓</t>
        </is>
      </c>
      <c r="G65" s="145" t="n"/>
      <c r="H65" s="144" t="n"/>
      <c r="I65" s="146" t="n"/>
      <c r="J65" s="145" t="n"/>
      <c r="K65" s="144" t="n"/>
      <c r="L65" s="146" t="n"/>
      <c r="M65" s="150" t="inlineStr">
        <is>
          <t>17.31</t>
        </is>
      </c>
      <c r="N65" s="148" t="inlineStr">
        <is>
          <t>197-13-K-26, (07.08.2026) [FHM-K]</t>
        </is>
      </c>
      <c r="O65" s="149" t="inlineStr">
        <is>
          <t>✓</t>
        </is>
      </c>
      <c r="P65" s="151" t="inlineStr">
        <is>
          <t>&lt; LOQ</t>
        </is>
      </c>
      <c r="Q65" s="148" t="inlineStr">
        <is>
          <t>197-13-K-26, (07.08.2026) [FHM-K]</t>
        </is>
      </c>
      <c r="R65" s="149" t="inlineStr">
        <is>
          <t>✓</t>
        </is>
      </c>
      <c r="S65" s="145" t="n"/>
      <c r="T65" s="144" t="n"/>
      <c r="U65" s="146" t="n"/>
      <c r="V65" s="147" t="inlineStr">
        <is>
          <t>Conforms</t>
        </is>
      </c>
      <c r="W65" s="148" t="inlineStr">
        <is>
          <t>iCoA — at issue (HPA1024), (23.04.2025) [PP]</t>
        </is>
      </c>
      <c r="X65" s="149" t="inlineStr">
        <is>
          <t>✓</t>
        </is>
      </c>
      <c r="Y65" s="145" t="n"/>
      <c r="Z65" s="144" t="n"/>
      <c r="AA65" s="146" t="n"/>
      <c r="AB65" s="145" t="n"/>
      <c r="AC65" s="144" t="n"/>
      <c r="AD65" s="144" t="n"/>
      <c r="AE65" s="144" t="n"/>
      <c r="AF65" s="144" t="n"/>
      <c r="AG65" s="146" t="n"/>
      <c r="AH65" s="155" t="inlineStr">
        <is>
          <t>ND</t>
        </is>
      </c>
      <c r="AI65" s="156" t="inlineStr">
        <is>
          <t>ND</t>
        </is>
      </c>
      <c r="AJ65" s="156" t="inlineStr">
        <is>
          <t>&lt; LOQ</t>
        </is>
      </c>
      <c r="AK65" s="149" t="inlineStr">
        <is>
          <t>✓</t>
        </is>
      </c>
      <c r="AL65" s="145" t="n"/>
      <c r="AM65" s="144" t="n"/>
      <c r="AN65" s="144" t="n"/>
      <c r="AO65" s="144" t="n"/>
      <c r="AP65" s="146" t="n"/>
      <c r="AQ65" s="145" t="n"/>
      <c r="AR65" s="144" t="n"/>
      <c r="AS65" s="157" t="n"/>
    </row>
    <row r="66" ht="13" customHeight="1" s="70">
      <c r="A66" s="158" t="n"/>
      <c r="B66" s="159" t="n"/>
      <c r="C66" s="159" t="n"/>
      <c r="D66" s="160" t="n"/>
      <c r="E66" s="159" t="n"/>
      <c r="F66" s="161" t="n"/>
      <c r="G66" s="160" t="n"/>
      <c r="H66" s="159" t="n"/>
      <c r="I66" s="161" t="n"/>
      <c r="J66" s="160" t="n"/>
      <c r="K66" s="159" t="n"/>
      <c r="L66" s="161" t="n"/>
      <c r="M66" s="160" t="n"/>
      <c r="N66" s="159" t="n"/>
      <c r="O66" s="161" t="n"/>
      <c r="P66" s="160" t="n"/>
      <c r="Q66" s="159" t="n"/>
      <c r="R66" s="161" t="n"/>
      <c r="S66" s="160" t="n"/>
      <c r="T66" s="159" t="n"/>
      <c r="U66" s="161" t="n"/>
      <c r="V66" s="160" t="n"/>
      <c r="W66" s="159" t="n"/>
      <c r="X66" s="161" t="n"/>
      <c r="Y66" s="160" t="n"/>
      <c r="Z66" s="159" t="n"/>
      <c r="AA66" s="161" t="n"/>
      <c r="AB66" s="160" t="n"/>
      <c r="AC66" s="159" t="n"/>
      <c r="AD66" s="159" t="n"/>
      <c r="AE66" s="159" t="n"/>
      <c r="AF66" s="159" t="n"/>
      <c r="AG66" s="161" t="n"/>
      <c r="AH66" s="162" t="inlineStr">
        <is>
          <t>197-13-M-26, (10.08.2026) [FHM-M]</t>
        </is>
      </c>
      <c r="AI66" s="159" t="n"/>
      <c r="AJ66" s="159" t="n"/>
      <c r="AK66" s="161" t="n"/>
      <c r="AL66" s="160" t="n"/>
      <c r="AM66" s="159" t="n"/>
      <c r="AN66" s="159" t="n"/>
      <c r="AO66" s="159" t="n"/>
      <c r="AP66" s="161" t="n"/>
      <c r="AQ66" s="160" t="n"/>
      <c r="AR66" s="159" t="n"/>
      <c r="AS66" s="163" t="n"/>
    </row>
    <row r="67" ht="21" customHeight="1" s="70">
      <c r="A67" s="125" t="inlineStr">
        <is>
          <t>J31102501</t>
        </is>
      </c>
      <c r="B67" s="126" t="inlineStr">
        <is>
          <t>P060152</t>
        </is>
      </c>
      <c r="C67" s="164" t="inlineStr">
        <is>
          <t>⚠ 3 NO RESULT
(3 no cert / 0 cert w/o result)
3 testing instances
• 3 document(s) on file, not credited</t>
        </is>
      </c>
      <c r="D67" s="128" t="inlineStr">
        <is>
          <t>Conforms</t>
        </is>
      </c>
      <c r="E67" s="129">
        <f>IFERROR(INDEX('iCoA Register'!$B:$B,MATCH("P060152|I",'iCoA Register'!$AA:$AA,0)),"iCoA — at issue")&amp;", (05.03.2026) [PP]"</f>
        <v/>
      </c>
      <c r="F67" s="130" t="inlineStr">
        <is>
          <t>✓</t>
        </is>
      </c>
      <c r="G67" s="128" t="inlineStr">
        <is>
          <t>Conforms</t>
        </is>
      </c>
      <c r="H67" s="129">
        <f>IFERROR(INDEX('iCoA Register'!$B:$B,MATCH("P060152|I",'iCoA Register'!$AA:$AA,0)),"iCoA — at issue")&amp;", (05.03.2026) [PP]"</f>
        <v/>
      </c>
      <c r="I67" s="130" t="inlineStr">
        <is>
          <t>✓</t>
        </is>
      </c>
      <c r="J67" s="131" t="inlineStr">
        <is>
          <t>not on this certificate</t>
        </is>
      </c>
      <c r="K67" s="132" t="inlineStr">
        <is>
          <t>051-1-LoD-26, (02.03.2026) [FHM-K] · on file, not credited</t>
        </is>
      </c>
      <c r="L67" s="133" t="inlineStr">
        <is>
          <t>•</t>
        </is>
      </c>
      <c r="M67" s="183" t="inlineStr">
        <is>
          <t>not on this certificate</t>
        </is>
      </c>
      <c r="N67" s="132" t="inlineStr">
        <is>
          <t>051-1-LoD-26, (02.03.2026) [FHM-K] · on file, not credited</t>
        </is>
      </c>
      <c r="O67" s="133" t="inlineStr">
        <is>
          <t>•</t>
        </is>
      </c>
      <c r="P67" s="184" t="inlineStr">
        <is>
          <t>not on this certificate</t>
        </is>
      </c>
      <c r="Q67" s="132" t="inlineStr">
        <is>
          <t>051-1-LoD-26, (02.03.2026) [FHM-K] · on file, not credited</t>
        </is>
      </c>
      <c r="R67" s="133" t="inlineStr">
        <is>
          <t>•</t>
        </is>
      </c>
      <c r="S67" s="184" t="inlineStr">
        <is>
          <t>not on this certificate</t>
        </is>
      </c>
      <c r="T67" s="132" t="inlineStr">
        <is>
          <t>051-1-LoD-26, (02.03.2026) [FHM-K] · on file, not credited</t>
        </is>
      </c>
      <c r="U67" s="133" t="inlineStr">
        <is>
          <t>•</t>
        </is>
      </c>
      <c r="V67" s="128" t="inlineStr">
        <is>
          <t>Conforms</t>
        </is>
      </c>
      <c r="W67" s="129">
        <f>IFERROR(INDEX('iCoA Register'!$B:$B,MATCH("P060152|I",'iCoA Register'!$AA:$AA,0)),"iCoA — at issue")&amp;", (05.03.2026) [PP]"</f>
        <v/>
      </c>
      <c r="X67" s="130" t="inlineStr">
        <is>
          <t>✓</t>
        </is>
      </c>
      <c r="Y67" s="128" t="inlineStr">
        <is>
          <t>6.3</t>
        </is>
      </c>
      <c r="Z67" s="129" t="inlineStr">
        <is>
          <t>051-1-LoD-26, (02.03.2026) [FHM-K]</t>
        </is>
      </c>
      <c r="AA67" s="130" t="inlineStr">
        <is>
          <t>✓</t>
        </is>
      </c>
      <c r="AB67" s="165" t="inlineStr">
        <is>
          <t>— MISSING —</t>
        </is>
      </c>
      <c r="AC67" s="166" t="inlineStr">
        <is>
          <t>— MISSING —</t>
        </is>
      </c>
      <c r="AD67" s="166" t="inlineStr">
        <is>
          <t>— MISSING —</t>
        </is>
      </c>
      <c r="AE67" s="166" t="inlineStr">
        <is>
          <t>— MISSING —</t>
        </is>
      </c>
      <c r="AF67" s="166" t="inlineStr">
        <is>
          <t>— MISSING —</t>
        </is>
      </c>
      <c r="AG67" s="167" t="inlineStr">
        <is>
          <t>✗</t>
        </is>
      </c>
      <c r="AH67" s="128" t="inlineStr">
        <is>
          <t>ND</t>
        </is>
      </c>
      <c r="AI67" s="136" t="inlineStr">
        <is>
          <t>ND</t>
        </is>
      </c>
      <c r="AJ67" s="136" t="inlineStr">
        <is>
          <t>ND</t>
        </is>
      </c>
      <c r="AK67" s="130" t="inlineStr">
        <is>
          <t>✓</t>
        </is>
      </c>
      <c r="AL67" s="165" t="inlineStr">
        <is>
          <t>— MISSING —</t>
        </is>
      </c>
      <c r="AM67" s="166" t="inlineStr">
        <is>
          <t>— MISSING —</t>
        </is>
      </c>
      <c r="AN67" s="166" t="inlineStr">
        <is>
          <t>— MISSING —</t>
        </is>
      </c>
      <c r="AO67" s="166" t="inlineStr">
        <is>
          <t>— MISSING —</t>
        </is>
      </c>
      <c r="AP67" s="167" t="inlineStr">
        <is>
          <t>✗</t>
        </is>
      </c>
      <c r="AQ67" s="165" t="inlineStr">
        <is>
          <t>— MISSING —</t>
        </is>
      </c>
      <c r="AR67" s="168" t="inlineStr">
        <is>
          <t>— no certificate —</t>
        </is>
      </c>
      <c r="AS67" s="169" t="inlineStr">
        <is>
          <t>✗</t>
        </is>
      </c>
    </row>
    <row r="68" ht="21" customHeight="1" s="70">
      <c r="A68" s="138" t="n"/>
      <c r="D68" s="139" t="n"/>
      <c r="F68" s="140" t="n"/>
      <c r="G68" s="139" t="n"/>
      <c r="I68" s="140" t="n"/>
      <c r="J68" s="139" t="n"/>
      <c r="L68" s="140" t="n"/>
      <c r="M68" s="139" t="n"/>
      <c r="O68" s="140" t="n"/>
      <c r="P68" s="139" t="n"/>
      <c r="R68" s="140" t="n"/>
      <c r="S68" s="139" t="n"/>
      <c r="U68" s="140" t="n"/>
      <c r="V68" s="139" t="n"/>
      <c r="X68" s="140" t="n"/>
      <c r="Y68" s="139" t="n"/>
      <c r="AA68" s="140" t="n"/>
      <c r="AB68" s="170" t="inlineStr">
        <is>
          <t>— no certificate —</t>
        </is>
      </c>
      <c r="AG68" s="140" t="n"/>
      <c r="AH68" s="141" t="inlineStr">
        <is>
          <t>197-16-M-26, (10.08.2026) [FHM-M]</t>
        </is>
      </c>
      <c r="AK68" s="140" t="n"/>
      <c r="AL68" s="170" t="inlineStr">
        <is>
          <t>— no certificate —</t>
        </is>
      </c>
      <c r="AP68" s="140" t="n"/>
      <c r="AQ68" s="139" t="n"/>
      <c r="AS68" s="142" t="n"/>
    </row>
    <row r="69" ht="17.625" customHeight="1" s="70">
      <c r="A69" s="143" t="n"/>
      <c r="B69" s="144" t="n"/>
      <c r="D69" s="145" t="n"/>
      <c r="E69" s="144" t="n"/>
      <c r="F69" s="146" t="n"/>
      <c r="G69" s="145" t="n"/>
      <c r="H69" s="144" t="n"/>
      <c r="I69" s="146" t="n"/>
      <c r="J69" s="155" t="inlineStr">
        <is>
          <t>Conforms (ImB spec.) ᴿ</t>
        </is>
      </c>
      <c r="K69" s="185" t="inlineStr">
        <is>
          <t>051-1-K-26, (04.03.2026) [FHM-K]</t>
        </is>
      </c>
      <c r="L69" s="186" t="inlineStr">
        <is>
          <t>✓</t>
        </is>
      </c>
      <c r="M69" s="187" t="inlineStr">
        <is>
          <t>19.14</t>
        </is>
      </c>
      <c r="N69" s="185" t="inlineStr">
        <is>
          <t>051-1-K-26, (04.03.2026) [FHM-K]</t>
        </is>
      </c>
      <c r="O69" s="186" t="inlineStr">
        <is>
          <t>✓</t>
        </is>
      </c>
      <c r="P69" s="188" t="inlineStr">
        <is>
          <t>&lt; LOQ**</t>
        </is>
      </c>
      <c r="Q69" s="185" t="inlineStr">
        <is>
          <t>051-1-K-26, (04.03.2026) [FHM-K]</t>
        </is>
      </c>
      <c r="R69" s="186" t="inlineStr">
        <is>
          <t>✓</t>
        </is>
      </c>
      <c r="S69" s="188" t="inlineStr">
        <is>
          <t>&lt; LOQ**</t>
        </is>
      </c>
      <c r="T69" s="185" t="inlineStr">
        <is>
          <t>051-1-K-26, (04.03.2026) [FHM-K]</t>
        </is>
      </c>
      <c r="U69" s="186" t="inlineStr">
        <is>
          <t>✓</t>
        </is>
      </c>
      <c r="V69" s="145" t="n"/>
      <c r="W69" s="144" t="n"/>
      <c r="X69" s="146" t="n"/>
      <c r="Y69" s="189" t="inlineStr">
        <is>
          <t>not on this certificate</t>
        </is>
      </c>
      <c r="Z69" s="190" t="inlineStr">
        <is>
          <t>051-1-K-26, (04.03.2026) [FHM-K] · on file, not credited</t>
        </is>
      </c>
      <c r="AA69" s="191" t="inlineStr">
        <is>
          <t>•</t>
        </is>
      </c>
      <c r="AB69" s="145" t="n"/>
      <c r="AC69" s="144" t="n"/>
      <c r="AD69" s="144" t="n"/>
      <c r="AE69" s="144" t="n"/>
      <c r="AF69" s="144" t="n"/>
      <c r="AG69" s="146" t="n"/>
      <c r="AH69" s="145" t="n"/>
      <c r="AI69" s="144" t="n"/>
      <c r="AJ69" s="144" t="n"/>
      <c r="AK69" s="146" t="n"/>
      <c r="AL69" s="145" t="n"/>
      <c r="AM69" s="144" t="n"/>
      <c r="AN69" s="144" t="n"/>
      <c r="AO69" s="144" t="n"/>
      <c r="AP69" s="146" t="n"/>
      <c r="AQ69" s="145" t="n"/>
      <c r="AR69" s="144" t="n"/>
      <c r="AS69" s="157" t="n"/>
    </row>
    <row r="70" ht="15.375" customHeight="1" s="70">
      <c r="A70" s="192" t="n"/>
      <c r="B70" s="193" t="n"/>
      <c r="D70" s="194" t="n"/>
      <c r="E70" s="193" t="n"/>
      <c r="F70" s="195" t="n"/>
      <c r="G70" s="194" t="n"/>
      <c r="H70" s="193" t="n"/>
      <c r="I70" s="195" t="n"/>
      <c r="J70" s="194" t="n"/>
      <c r="K70" s="193" t="n"/>
      <c r="L70" s="195" t="n"/>
      <c r="M70" s="194" t="n"/>
      <c r="N70" s="193" t="n"/>
      <c r="O70" s="195" t="n"/>
      <c r="P70" s="194" t="n"/>
      <c r="Q70" s="193" t="n"/>
      <c r="R70" s="195" t="n"/>
      <c r="S70" s="194" t="n"/>
      <c r="T70" s="193" t="n"/>
      <c r="U70" s="195" t="n"/>
      <c r="V70" s="194" t="n"/>
      <c r="W70" s="193" t="n"/>
      <c r="X70" s="195" t="n"/>
      <c r="Y70" s="194" t="n"/>
      <c r="Z70" s="193" t="n"/>
      <c r="AA70" s="195" t="n"/>
      <c r="AB70" s="194" t="n"/>
      <c r="AC70" s="193" t="n"/>
      <c r="AD70" s="193" t="n"/>
      <c r="AE70" s="193" t="n"/>
      <c r="AF70" s="193" t="n"/>
      <c r="AG70" s="195" t="n"/>
      <c r="AH70" s="194" t="n"/>
      <c r="AI70" s="193" t="n"/>
      <c r="AJ70" s="193" t="n"/>
      <c r="AK70" s="195" t="n"/>
      <c r="AL70" s="194" t="n"/>
      <c r="AM70" s="193" t="n"/>
      <c r="AN70" s="193" t="n"/>
      <c r="AO70" s="193" t="n"/>
      <c r="AP70" s="195" t="n"/>
      <c r="AQ70" s="194" t="n"/>
      <c r="AR70" s="193" t="n"/>
      <c r="AS70" s="196" t="n"/>
    </row>
    <row r="71" ht="17.625" customHeight="1" s="70">
      <c r="A71" s="143" t="n"/>
      <c r="B71" s="144" t="n"/>
      <c r="D71" s="145" t="n"/>
      <c r="E71" s="144" t="n"/>
      <c r="F71" s="146" t="n"/>
      <c r="G71" s="145" t="n"/>
      <c r="H71" s="144" t="n"/>
      <c r="I71" s="146" t="n"/>
      <c r="J71" s="147" t="inlineStr">
        <is>
          <t>Conforms (ImB spec.)</t>
        </is>
      </c>
      <c r="K71" s="148" t="inlineStr">
        <is>
          <t>197-16-K-26, (07.08.2026) [FHM-K]</t>
        </is>
      </c>
      <c r="L71" s="149" t="inlineStr">
        <is>
          <t>✓</t>
        </is>
      </c>
      <c r="M71" s="150" t="inlineStr">
        <is>
          <t>17.32</t>
        </is>
      </c>
      <c r="N71" s="148" t="inlineStr">
        <is>
          <t>197-16-K-26, (07.08.2026) [FHM-K]</t>
        </is>
      </c>
      <c r="O71" s="149" t="inlineStr">
        <is>
          <t>✓</t>
        </is>
      </c>
      <c r="P71" s="151" t="inlineStr">
        <is>
          <t>&lt; LOQ</t>
        </is>
      </c>
      <c r="Q71" s="148" t="inlineStr">
        <is>
          <t>197-16-K-26, (07.08.2026) [FHM-K]</t>
        </is>
      </c>
      <c r="R71" s="149" t="inlineStr">
        <is>
          <t>✓</t>
        </is>
      </c>
      <c r="S71" s="151" t="inlineStr">
        <is>
          <t>&lt; LOQ</t>
        </is>
      </c>
      <c r="T71" s="148" t="inlineStr">
        <is>
          <t>197-16-K-26, (07.08.2026) [FHM-K]</t>
        </is>
      </c>
      <c r="U71" s="149" t="inlineStr">
        <is>
          <t>✓</t>
        </is>
      </c>
      <c r="V71" s="145" t="n"/>
      <c r="W71" s="144" t="n"/>
      <c r="X71" s="146" t="n"/>
      <c r="Y71" s="152" t="inlineStr">
        <is>
          <t>not on this certificate</t>
        </is>
      </c>
      <c r="Z71" s="153" t="inlineStr">
        <is>
          <t>197-16-K-26, (07.08.2026) [FHM-K] · on file, not credited</t>
        </is>
      </c>
      <c r="AA71" s="154"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58" t="n"/>
      <c r="B72" s="159" t="n"/>
      <c r="C72" s="159" t="n"/>
      <c r="D72" s="160" t="n"/>
      <c r="E72" s="159" t="n"/>
      <c r="F72" s="161" t="n"/>
      <c r="G72" s="160" t="n"/>
      <c r="H72" s="159" t="n"/>
      <c r="I72" s="161" t="n"/>
      <c r="J72" s="160" t="n"/>
      <c r="K72" s="159" t="n"/>
      <c r="L72" s="161" t="n"/>
      <c r="M72" s="160" t="n"/>
      <c r="N72" s="159" t="n"/>
      <c r="O72" s="161" t="n"/>
      <c r="P72" s="160" t="n"/>
      <c r="Q72" s="159" t="n"/>
      <c r="R72" s="161" t="n"/>
      <c r="S72" s="160" t="n"/>
      <c r="T72" s="159" t="n"/>
      <c r="U72" s="161" t="n"/>
      <c r="V72" s="160" t="n"/>
      <c r="W72" s="159" t="n"/>
      <c r="X72" s="161" t="n"/>
      <c r="Y72" s="160" t="n"/>
      <c r="Z72" s="159" t="n"/>
      <c r="AA72" s="161" t="n"/>
      <c r="AB72" s="160" t="n"/>
      <c r="AC72" s="159" t="n"/>
      <c r="AD72" s="159" t="n"/>
      <c r="AE72" s="159" t="n"/>
      <c r="AF72" s="159" t="n"/>
      <c r="AG72" s="161" t="n"/>
      <c r="AH72" s="160" t="n"/>
      <c r="AI72" s="159" t="n"/>
      <c r="AJ72" s="159" t="n"/>
      <c r="AK72" s="161" t="n"/>
      <c r="AL72" s="160" t="n"/>
      <c r="AM72" s="159" t="n"/>
      <c r="AN72" s="159" t="n"/>
      <c r="AO72" s="159" t="n"/>
      <c r="AP72" s="161" t="n"/>
      <c r="AQ72" s="160" t="n"/>
      <c r="AR72" s="159" t="n"/>
      <c r="AS72" s="163" t="n"/>
    </row>
    <row r="73" ht="21" customHeight="1" s="70">
      <c r="A73" s="125" t="inlineStr">
        <is>
          <t>J31112501</t>
        </is>
      </c>
      <c r="B73" s="126" t="inlineStr">
        <is>
          <t>P060202</t>
        </is>
      </c>
      <c r="C73" s="164" t="inlineStr">
        <is>
          <t>⚠ 3 NO RESULT
(3 no cert / 0 cert w/o result)
7 testing instances
• 6 document(s) on file, not credited</t>
        </is>
      </c>
      <c r="D73" s="128" t="inlineStr">
        <is>
          <t>Conforms</t>
        </is>
      </c>
      <c r="E73" s="129">
        <f>IFERROR(INDEX('iCoA Register'!$B:$B,MATCH("P060202|I",'iCoA Register'!$AA:$AA,0)),"iCoA — at issue")&amp;", (17.04.2026) [PP]"</f>
        <v/>
      </c>
      <c r="F73" s="130" t="inlineStr">
        <is>
          <t>✓</t>
        </is>
      </c>
      <c r="G73" s="128" t="inlineStr">
        <is>
          <t>Conforms</t>
        </is>
      </c>
      <c r="H73" s="129">
        <f>IFERROR(INDEX('iCoA Register'!$B:$B,MATCH("P060202|I",'iCoA Register'!$AA:$AA,0)),"iCoA — at issue")&amp;", (17.04.2026) [PP]"</f>
        <v/>
      </c>
      <c r="I73" s="130" t="inlineStr">
        <is>
          <t>✓</t>
        </is>
      </c>
      <c r="J73" s="131" t="inlineStr">
        <is>
          <t>not on this certificate</t>
        </is>
      </c>
      <c r="K73" s="132" t="inlineStr">
        <is>
          <t>051-5-LoD-26, (02.03.2026) [FHM-K] · on file, not credited</t>
        </is>
      </c>
      <c r="L73" s="133" t="inlineStr">
        <is>
          <t>•</t>
        </is>
      </c>
      <c r="M73" s="183" t="inlineStr">
        <is>
          <t>not on this certificate</t>
        </is>
      </c>
      <c r="N73" s="132" t="inlineStr">
        <is>
          <t>051-5-LoD-26, (02.03.2026) [FHM-K] · on file, not credited</t>
        </is>
      </c>
      <c r="O73" s="133" t="inlineStr">
        <is>
          <t>•</t>
        </is>
      </c>
      <c r="P73" s="184" t="inlineStr">
        <is>
          <t>not on this certificate</t>
        </is>
      </c>
      <c r="Q73" s="132" t="inlineStr">
        <is>
          <t>051-5-LoD-26, (02.03.2026) [FHM-K] · on file, not credited</t>
        </is>
      </c>
      <c r="R73" s="133" t="inlineStr">
        <is>
          <t>•</t>
        </is>
      </c>
      <c r="S73" s="184" t="inlineStr">
        <is>
          <t>not on this certificate</t>
        </is>
      </c>
      <c r="T73" s="132" t="inlineStr">
        <is>
          <t>051-5-LoD-26, (02.03.2026) [FHM-K] · on file, not credited</t>
        </is>
      </c>
      <c r="U73" s="133" t="inlineStr">
        <is>
          <t>•</t>
        </is>
      </c>
      <c r="V73" s="128" t="inlineStr">
        <is>
          <t>Conforms</t>
        </is>
      </c>
      <c r="W73" s="129">
        <f>IFERROR(INDEX('iCoA Register'!$B:$B,MATCH("P060202|I",'iCoA Register'!$AA:$AA,0)),"iCoA — at issue")&amp;", (17.04.2026) [PP]"</f>
        <v/>
      </c>
      <c r="X73" s="130" t="inlineStr">
        <is>
          <t>✓</t>
        </is>
      </c>
      <c r="Y73" s="128" t="inlineStr">
        <is>
          <t>8.4</t>
        </is>
      </c>
      <c r="Z73" s="129" t="inlineStr">
        <is>
          <t>051-5-LoD-26, (02.03.2026) [FHM-K]</t>
        </is>
      </c>
      <c r="AA73" s="130" t="inlineStr">
        <is>
          <t>✓</t>
        </is>
      </c>
      <c r="AB73" s="128" t="inlineStr">
        <is>
          <t>4.4 × 10²</t>
        </is>
      </c>
      <c r="AC73" s="136" t="inlineStr">
        <is>
          <t>8.6 × 10²</t>
        </is>
      </c>
      <c r="AD73" s="136" t="inlineStr">
        <is>
          <t>&lt; 10² and &gt; 10</t>
        </is>
      </c>
      <c r="AE73" s="136" t="inlineStr">
        <is>
          <t>Absent</t>
        </is>
      </c>
      <c r="AF73" s="136" t="inlineStr">
        <is>
          <t>Absent</t>
        </is>
      </c>
      <c r="AG73" s="130" t="inlineStr">
        <is>
          <t>✓</t>
        </is>
      </c>
      <c r="AH73" s="165" t="inlineStr">
        <is>
          <t>— MISSING —</t>
        </is>
      </c>
      <c r="AI73" s="166" t="inlineStr">
        <is>
          <t>— MISSING —</t>
        </is>
      </c>
      <c r="AJ73" s="166" t="inlineStr">
        <is>
          <t>— MISSING —</t>
        </is>
      </c>
      <c r="AK73" s="167" t="inlineStr">
        <is>
          <t>✗</t>
        </is>
      </c>
      <c r="AL73" s="165" t="inlineStr">
        <is>
          <t>— MISSING —</t>
        </is>
      </c>
      <c r="AM73" s="166" t="inlineStr">
        <is>
          <t>— MISSING —</t>
        </is>
      </c>
      <c r="AN73" s="166" t="inlineStr">
        <is>
          <t>— MISSING —</t>
        </is>
      </c>
      <c r="AO73" s="166" t="inlineStr">
        <is>
          <t>— MISSING —</t>
        </is>
      </c>
      <c r="AP73" s="167" t="inlineStr">
        <is>
          <t>✗</t>
        </is>
      </c>
      <c r="AQ73" s="165" t="inlineStr">
        <is>
          <t>— MISSING —</t>
        </is>
      </c>
      <c r="AR73" s="168" t="inlineStr">
        <is>
          <t>— no certificate —</t>
        </is>
      </c>
      <c r="AS73" s="169" t="inlineStr">
        <is>
          <t>✗</t>
        </is>
      </c>
    </row>
    <row r="74" ht="21" customHeight="1" s="70">
      <c r="A74" s="138" t="n"/>
      <c r="D74" s="139" t="n"/>
      <c r="F74" s="140" t="n"/>
      <c r="G74" s="139" t="n"/>
      <c r="I74" s="140" t="n"/>
      <c r="J74" s="139" t="n"/>
      <c r="L74" s="140" t="n"/>
      <c r="M74" s="139" t="n"/>
      <c r="O74" s="140" t="n"/>
      <c r="P74" s="139" t="n"/>
      <c r="R74" s="140" t="n"/>
      <c r="S74" s="139" t="n"/>
      <c r="U74" s="140" t="n"/>
      <c r="V74" s="139" t="n"/>
      <c r="X74" s="140" t="n"/>
      <c r="Y74" s="139" t="n"/>
      <c r="AA74" s="140" t="n"/>
      <c r="AB74" s="141" t="inlineStr">
        <is>
          <t>547-1078-26, (31.08.2026) [IJZ-MB]</t>
        </is>
      </c>
      <c r="AG74" s="140" t="n"/>
      <c r="AH74" s="170" t="inlineStr">
        <is>
          <t>— no certificate —</t>
        </is>
      </c>
      <c r="AK74" s="140" t="n"/>
      <c r="AL74" s="170" t="inlineStr">
        <is>
          <t>— no certificate —</t>
        </is>
      </c>
      <c r="AP74" s="140" t="n"/>
      <c r="AQ74" s="139" t="n"/>
      <c r="AS74" s="142" t="n"/>
    </row>
    <row r="75" ht="17.625" customHeight="1" s="70">
      <c r="A75" s="143" t="n"/>
      <c r="B75" s="144" t="n"/>
      <c r="D75" s="145" t="n"/>
      <c r="E75" s="144" t="n"/>
      <c r="F75" s="146" t="n"/>
      <c r="G75" s="145" t="n"/>
      <c r="H75" s="144" t="n"/>
      <c r="I75" s="146" t="n"/>
      <c r="J75" s="155" t="inlineStr">
        <is>
          <t>Conforms (ImB spec.) ᴿ</t>
        </is>
      </c>
      <c r="K75" s="185" t="inlineStr">
        <is>
          <t>051-5-K-26, (04.03.2026) [FHM-K]</t>
        </is>
      </c>
      <c r="L75" s="186" t="inlineStr">
        <is>
          <t>✓</t>
        </is>
      </c>
      <c r="M75" s="187" t="inlineStr">
        <is>
          <t>25.27</t>
        </is>
      </c>
      <c r="N75" s="185" t="inlineStr">
        <is>
          <t>051-5-K-26, (04.03.2026) [FHM-K]</t>
        </is>
      </c>
      <c r="O75" s="186" t="inlineStr">
        <is>
          <t>✓</t>
        </is>
      </c>
      <c r="P75" s="188" t="inlineStr">
        <is>
          <t>&lt; LOQ**</t>
        </is>
      </c>
      <c r="Q75" s="185" t="inlineStr">
        <is>
          <t>051-5-K-26, (04.03.2026) [FHM-K]</t>
        </is>
      </c>
      <c r="R75" s="186" t="inlineStr">
        <is>
          <t>✓</t>
        </is>
      </c>
      <c r="S75" s="188" t="inlineStr">
        <is>
          <t>&lt; LOQ**</t>
        </is>
      </c>
      <c r="T75" s="185" t="inlineStr">
        <is>
          <t>051-5-K-26, (04.03.2026) [FHM-K]</t>
        </is>
      </c>
      <c r="U75" s="186" t="inlineStr">
        <is>
          <t>✓</t>
        </is>
      </c>
      <c r="V75" s="145" t="n"/>
      <c r="W75" s="144" t="n"/>
      <c r="X75" s="146" t="n"/>
      <c r="Y75" s="189" t="inlineStr">
        <is>
          <t>not on this certificate</t>
        </is>
      </c>
      <c r="Z75" s="190" t="inlineStr">
        <is>
          <t>051-5-K-26, (04.03.2026) [FHM-K] · on file, not credited</t>
        </is>
      </c>
      <c r="AA75" s="191" t="inlineStr">
        <is>
          <t>•</t>
        </is>
      </c>
      <c r="AB75" s="145" t="n"/>
      <c r="AC75" s="144" t="n"/>
      <c r="AD75" s="144" t="n"/>
      <c r="AE75" s="144" t="n"/>
      <c r="AF75" s="144" t="n"/>
      <c r="AG75" s="146" t="n"/>
      <c r="AH75" s="145" t="n"/>
      <c r="AI75" s="144" t="n"/>
      <c r="AJ75" s="144" t="n"/>
      <c r="AK75" s="146" t="n"/>
      <c r="AL75" s="145" t="n"/>
      <c r="AM75" s="144" t="n"/>
      <c r="AN75" s="144" t="n"/>
      <c r="AO75" s="144" t="n"/>
      <c r="AP75" s="146" t="n"/>
      <c r="AQ75" s="145" t="n"/>
      <c r="AR75" s="144" t="n"/>
      <c r="AS75" s="157" t="n"/>
    </row>
    <row r="76" ht="15.375" customHeight="1" s="70">
      <c r="A76" s="192" t="n"/>
      <c r="B76" s="193" t="n"/>
      <c r="D76" s="194" t="n"/>
      <c r="E76" s="193" t="n"/>
      <c r="F76" s="195" t="n"/>
      <c r="G76" s="194" t="n"/>
      <c r="H76" s="193" t="n"/>
      <c r="I76" s="195" t="n"/>
      <c r="J76" s="194" t="n"/>
      <c r="K76" s="193" t="n"/>
      <c r="L76" s="195" t="n"/>
      <c r="M76" s="194" t="n"/>
      <c r="N76" s="193" t="n"/>
      <c r="O76" s="195" t="n"/>
      <c r="P76" s="194" t="n"/>
      <c r="Q76" s="193" t="n"/>
      <c r="R76" s="195" t="n"/>
      <c r="S76" s="194" t="n"/>
      <c r="T76" s="193" t="n"/>
      <c r="U76" s="195" t="n"/>
      <c r="V76" s="194" t="n"/>
      <c r="W76" s="193" t="n"/>
      <c r="X76" s="195" t="n"/>
      <c r="Y76" s="194" t="n"/>
      <c r="Z76" s="193" t="n"/>
      <c r="AA76" s="195" t="n"/>
      <c r="AB76" s="194" t="n"/>
      <c r="AC76" s="193" t="n"/>
      <c r="AD76" s="193" t="n"/>
      <c r="AE76" s="193" t="n"/>
      <c r="AF76" s="193" t="n"/>
      <c r="AG76" s="195" t="n"/>
      <c r="AH76" s="194" t="n"/>
      <c r="AI76" s="193" t="n"/>
      <c r="AJ76" s="193" t="n"/>
      <c r="AK76" s="195" t="n"/>
      <c r="AL76" s="194" t="n"/>
      <c r="AM76" s="193" t="n"/>
      <c r="AN76" s="193" t="n"/>
      <c r="AO76" s="193" t="n"/>
      <c r="AP76" s="195" t="n"/>
      <c r="AQ76" s="194" t="n"/>
      <c r="AR76" s="193" t="n"/>
      <c r="AS76" s="196" t="n"/>
    </row>
    <row r="77" ht="17.625" customHeight="1" s="70">
      <c r="A77" s="143" t="n"/>
      <c r="B77" s="144" t="n"/>
      <c r="D77" s="145" t="n"/>
      <c r="E77" s="144" t="n"/>
      <c r="F77" s="146" t="n"/>
      <c r="G77" s="145" t="n"/>
      <c r="H77" s="144" t="n"/>
      <c r="I77" s="146" t="n"/>
      <c r="J77" s="200" t="inlineStr">
        <is>
          <t>held for review</t>
        </is>
      </c>
      <c r="K77" s="201" t="inlineStr">
        <is>
          <t>100-1-K-26, (09.04.2026) [FHM-K]</t>
        </is>
      </c>
      <c r="L77" s="202" t="inlineStr">
        <is>
          <t>✗</t>
        </is>
      </c>
      <c r="M77" s="187" t="inlineStr">
        <is>
          <t>20.21</t>
        </is>
      </c>
      <c r="N77" s="185" t="inlineStr">
        <is>
          <t>100-1-K-26, (09.04.2026) [FHM-K]</t>
        </is>
      </c>
      <c r="O77" s="186" t="inlineStr">
        <is>
          <t>✓</t>
        </is>
      </c>
      <c r="P77" s="188" t="inlineStr">
        <is>
          <t>&lt; LOQ</t>
        </is>
      </c>
      <c r="Q77" s="185" t="inlineStr">
        <is>
          <t>100-1-K-26, (09.04.2026) [FHM-K]</t>
        </is>
      </c>
      <c r="R77" s="186" t="inlineStr">
        <is>
          <t>✓</t>
        </is>
      </c>
      <c r="S77" s="188" t="inlineStr">
        <is>
          <t>&lt; LOQ</t>
        </is>
      </c>
      <c r="T77" s="185" t="inlineStr">
        <is>
          <t>100-1-K-26, (09.04.2026) [FHM-K]</t>
        </is>
      </c>
      <c r="U77" s="186" t="inlineStr">
        <is>
          <t>✓</t>
        </is>
      </c>
      <c r="V77" s="145" t="n"/>
      <c r="W77" s="144" t="n"/>
      <c r="X77" s="146" t="n"/>
      <c r="Y77" s="189" t="inlineStr">
        <is>
          <t>not on this certificate</t>
        </is>
      </c>
      <c r="Z77" s="190" t="inlineStr">
        <is>
          <t>100-1-K-26, (09.04.2026)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189" t="inlineStr">
        <is>
          <t>not on this certificate</t>
        </is>
      </c>
      <c r="K79" s="190" t="inlineStr">
        <is>
          <t>100-1-LoD-26, (09.04.2026) [FHM-K] · on file, not credited</t>
        </is>
      </c>
      <c r="L79" s="191" t="inlineStr">
        <is>
          <t>•</t>
        </is>
      </c>
      <c r="M79" s="203" t="inlineStr">
        <is>
          <t>not on this certificate</t>
        </is>
      </c>
      <c r="N79" s="190" t="inlineStr">
        <is>
          <t>100-1-LoD-26, (09.04.2026) [FHM-K] · on file, not credited</t>
        </is>
      </c>
      <c r="O79" s="191" t="inlineStr">
        <is>
          <t>•</t>
        </is>
      </c>
      <c r="P79" s="204" t="inlineStr">
        <is>
          <t>not on this certificate</t>
        </is>
      </c>
      <c r="Q79" s="190" t="inlineStr">
        <is>
          <t>100-1-LoD-26, (09.04.2026) [FHM-K] · on file, not credited</t>
        </is>
      </c>
      <c r="R79" s="191" t="inlineStr">
        <is>
          <t>•</t>
        </is>
      </c>
      <c r="S79" s="204" t="inlineStr">
        <is>
          <t>not on this certificate</t>
        </is>
      </c>
      <c r="T79" s="190" t="inlineStr">
        <is>
          <t>100-1-LoD-26, (09.04.2026) [FHM-K] · on file, not credited</t>
        </is>
      </c>
      <c r="U79" s="191" t="inlineStr">
        <is>
          <t>•</t>
        </is>
      </c>
      <c r="V79" s="145" t="n"/>
      <c r="W79" s="144" t="n"/>
      <c r="X79" s="146" t="n"/>
      <c r="Y79" s="155" t="inlineStr">
        <is>
          <t>7.6</t>
        </is>
      </c>
      <c r="Z79" s="185" t="inlineStr">
        <is>
          <t>100-1-LoD-26, (09.04.2026) [FHM-K]</t>
        </is>
      </c>
      <c r="AA79" s="186"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21"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100-2-LoD-26, (09.04.2026) [FHM-K] · on file, not credited</t>
        </is>
      </c>
      <c r="L81" s="191" t="inlineStr">
        <is>
          <t>•</t>
        </is>
      </c>
      <c r="M81" s="203" t="inlineStr">
        <is>
          <t>not on this certificate</t>
        </is>
      </c>
      <c r="N81" s="190" t="inlineStr">
        <is>
          <t>100-2-LoD-26, (09.04.2026) [FHM-K] · on file, not credited</t>
        </is>
      </c>
      <c r="O81" s="191" t="inlineStr">
        <is>
          <t>•</t>
        </is>
      </c>
      <c r="P81" s="204" t="inlineStr">
        <is>
          <t>not on this certificate</t>
        </is>
      </c>
      <c r="Q81" s="190" t="inlineStr">
        <is>
          <t>100-2-LoD-26, (09.04.2026) [FHM-K] · on file, not credited</t>
        </is>
      </c>
      <c r="R81" s="191" t="inlineStr">
        <is>
          <t>•</t>
        </is>
      </c>
      <c r="S81" s="204" t="inlineStr">
        <is>
          <t>not on this certificate</t>
        </is>
      </c>
      <c r="T81" s="190" t="inlineStr">
        <is>
          <t>100-2-LoD-26, (09.04.2026) [FHM-K] · on file, not credited</t>
        </is>
      </c>
      <c r="U81" s="191" t="inlineStr">
        <is>
          <t>•</t>
        </is>
      </c>
      <c r="V81" s="145" t="n"/>
      <c r="W81" s="144" t="n"/>
      <c r="X81" s="146" t="n"/>
      <c r="Y81" s="155" t="inlineStr">
        <is>
          <t>10.3 ± 0.2</t>
        </is>
      </c>
      <c r="Z81" s="185" t="inlineStr">
        <is>
          <t>100-2-LoD-26,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100-3-LoD-26, (09.04.2026) [FHM-K] · on file, not credited</t>
        </is>
      </c>
      <c r="L83" s="191" t="inlineStr">
        <is>
          <t>•</t>
        </is>
      </c>
      <c r="M83" s="203" t="inlineStr">
        <is>
          <t>not on this certificate</t>
        </is>
      </c>
      <c r="N83" s="190" t="inlineStr">
        <is>
          <t>100-3-LoD-26, (09.04.2026) [FHM-K] · on file, not credited</t>
        </is>
      </c>
      <c r="O83" s="191" t="inlineStr">
        <is>
          <t>•</t>
        </is>
      </c>
      <c r="P83" s="204" t="inlineStr">
        <is>
          <t>not on this certificate</t>
        </is>
      </c>
      <c r="Q83" s="190" t="inlineStr">
        <is>
          <t>100-3-LoD-26, (09.04.2026) [FHM-K] · on file, not credited</t>
        </is>
      </c>
      <c r="R83" s="191" t="inlineStr">
        <is>
          <t>•</t>
        </is>
      </c>
      <c r="S83" s="204" t="inlineStr">
        <is>
          <t>not on this certificate</t>
        </is>
      </c>
      <c r="T83" s="190" t="inlineStr">
        <is>
          <t>100-3-LoD-26, (09.04.2026) [FHM-K] · on file, not credited</t>
        </is>
      </c>
      <c r="U83" s="191" t="inlineStr">
        <is>
          <t>•</t>
        </is>
      </c>
      <c r="V83" s="145" t="n"/>
      <c r="W83" s="144" t="n"/>
      <c r="X83" s="146" t="n"/>
      <c r="Y83" s="155" t="inlineStr">
        <is>
          <t>10.3</t>
        </is>
      </c>
      <c r="Z83" s="185" t="inlineStr">
        <is>
          <t>100-3-LoD-26,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47" t="inlineStr">
        <is>
          <t>Conforms (ImB spec.)</t>
        </is>
      </c>
      <c r="K85" s="148" t="inlineStr">
        <is>
          <t>227-14-K-26, (11.09.2026) [FHM-K]</t>
        </is>
      </c>
      <c r="L85" s="149" t="inlineStr">
        <is>
          <t>✓</t>
        </is>
      </c>
      <c r="M85" s="150" t="inlineStr">
        <is>
          <t>23.85</t>
        </is>
      </c>
      <c r="N85" s="148" t="inlineStr">
        <is>
          <t>227-14-K-26, (11.09.2026) [FHM-K]</t>
        </is>
      </c>
      <c r="O85" s="149" t="inlineStr">
        <is>
          <t>✓</t>
        </is>
      </c>
      <c r="P85" s="151" t="inlineStr">
        <is>
          <t>&lt; LOQ</t>
        </is>
      </c>
      <c r="Q85" s="148" t="inlineStr">
        <is>
          <t>227-14-K-26, (11.09.2026) [FHM-K]</t>
        </is>
      </c>
      <c r="R85" s="149" t="inlineStr">
        <is>
          <t>✓</t>
        </is>
      </c>
      <c r="S85" s="151" t="inlineStr">
        <is>
          <t>&lt; LOQ</t>
        </is>
      </c>
      <c r="T85" s="148" t="inlineStr">
        <is>
          <t>227-14-K-26, (11.09.2026) [FHM-K]</t>
        </is>
      </c>
      <c r="U85" s="149" t="inlineStr">
        <is>
          <t>✓</t>
        </is>
      </c>
      <c r="V85" s="145" t="n"/>
      <c r="W85" s="144" t="n"/>
      <c r="X85" s="146" t="n"/>
      <c r="Y85" s="145" t="n"/>
      <c r="Z85" s="144" t="n"/>
      <c r="AA85" s="146" t="n"/>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13" customHeight="1" s="70">
      <c r="A86" s="158" t="n"/>
      <c r="B86" s="159" t="n"/>
      <c r="C86" s="159" t="n"/>
      <c r="D86" s="160" t="n"/>
      <c r="E86" s="159" t="n"/>
      <c r="F86" s="161" t="n"/>
      <c r="G86" s="160" t="n"/>
      <c r="H86" s="159" t="n"/>
      <c r="I86" s="161" t="n"/>
      <c r="J86" s="160" t="n"/>
      <c r="K86" s="159" t="n"/>
      <c r="L86" s="161" t="n"/>
      <c r="M86" s="160" t="n"/>
      <c r="N86" s="159" t="n"/>
      <c r="O86" s="161" t="n"/>
      <c r="P86" s="160" t="n"/>
      <c r="Q86" s="159" t="n"/>
      <c r="R86" s="161" t="n"/>
      <c r="S86" s="160" t="n"/>
      <c r="T86" s="159" t="n"/>
      <c r="U86" s="161" t="n"/>
      <c r="V86" s="160" t="n"/>
      <c r="W86" s="159" t="n"/>
      <c r="X86" s="161" t="n"/>
      <c r="Y86" s="160" t="n"/>
      <c r="Z86" s="159" t="n"/>
      <c r="AA86" s="161" t="n"/>
      <c r="AB86" s="160" t="n"/>
      <c r="AC86" s="159" t="n"/>
      <c r="AD86" s="159" t="n"/>
      <c r="AE86" s="159" t="n"/>
      <c r="AF86" s="159" t="n"/>
      <c r="AG86" s="161" t="n"/>
      <c r="AH86" s="160" t="n"/>
      <c r="AI86" s="159" t="n"/>
      <c r="AJ86" s="159" t="n"/>
      <c r="AK86" s="161" t="n"/>
      <c r="AL86" s="160" t="n"/>
      <c r="AM86" s="159" t="n"/>
      <c r="AN86" s="159" t="n"/>
      <c r="AO86" s="159" t="n"/>
      <c r="AP86" s="161" t="n"/>
      <c r="AQ86" s="160" t="n"/>
      <c r="AR86" s="159" t="n"/>
      <c r="AS86" s="163" t="n"/>
    </row>
    <row r="87" ht="21" customHeight="1" s="70">
      <c r="A87" s="125" t="inlineStr">
        <is>
          <t>J31122501</t>
        </is>
      </c>
      <c r="B87" s="126" t="inlineStr">
        <is>
          <t>P060262</t>
        </is>
      </c>
      <c r="C87" s="164" t="inlineStr">
        <is>
          <t>⚠ 1 NO RESULT
(1 no cert / 0 cert w/o result)
3 testing instances
• 2 document(s) on file, not credited</t>
        </is>
      </c>
      <c r="D87" s="128" t="inlineStr">
        <is>
          <t>Conforms</t>
        </is>
      </c>
      <c r="E87" s="129">
        <f>IFERROR(INDEX('iCoA Register'!$B:$B,MATCH("P060262|I",'iCoA Register'!$AA:$AA,0)),"iCoA — at issue")&amp;", (14.05.2026) [PP]"</f>
        <v/>
      </c>
      <c r="F87" s="130" t="inlineStr">
        <is>
          <t>✓</t>
        </is>
      </c>
      <c r="G87" s="128" t="inlineStr">
        <is>
          <t>Conforms</t>
        </is>
      </c>
      <c r="H87" s="129">
        <f>IFERROR(INDEX('iCoA Register'!$B:$B,MATCH("P060262|I",'iCoA Register'!$AA:$AA,0)),"iCoA — at issue")&amp;", (14.05.2026) [PP]"</f>
        <v/>
      </c>
      <c r="I87" s="130" t="inlineStr">
        <is>
          <t>✓</t>
        </is>
      </c>
      <c r="J87" s="128" t="inlineStr">
        <is>
          <t>Conforms (ImB spec.) ᴿ</t>
        </is>
      </c>
      <c r="K87" s="129" t="inlineStr">
        <is>
          <t>100-2-K-26, (09.04.2026) [FHM-K]</t>
        </is>
      </c>
      <c r="L87" s="130" t="inlineStr">
        <is>
          <t>✓</t>
        </is>
      </c>
      <c r="M87" s="134" t="inlineStr">
        <is>
          <t>19.84 ᴿ</t>
        </is>
      </c>
      <c r="N87" s="129" t="inlineStr">
        <is>
          <t>100-2-K-26, (09.04.2026) [FHM-K]</t>
        </is>
      </c>
      <c r="O87" s="130" t="inlineStr">
        <is>
          <t>✓</t>
        </is>
      </c>
      <c r="P87" s="135" t="inlineStr">
        <is>
          <t>&lt; LOQ (&lt;0.20) ᴿ</t>
        </is>
      </c>
      <c r="Q87" s="129" t="inlineStr">
        <is>
          <t>100-2-K-26, (09.04.2026) [FHM-K]</t>
        </is>
      </c>
      <c r="R87" s="130" t="inlineStr">
        <is>
          <t>✓</t>
        </is>
      </c>
      <c r="S87" s="135" t="inlineStr">
        <is>
          <t>&lt; LOQ ᴿ</t>
        </is>
      </c>
      <c r="T87" s="129" t="inlineStr">
        <is>
          <t>100-2-K-26, (09.04.2026) [FHM-K]</t>
        </is>
      </c>
      <c r="U87" s="130" t="inlineStr">
        <is>
          <t>✓</t>
        </is>
      </c>
      <c r="V87" s="128" t="inlineStr">
        <is>
          <t>Conforms</t>
        </is>
      </c>
      <c r="W87" s="129">
        <f>IFERROR(INDEX('iCoA Register'!$B:$B,MATCH("P060262|I",'iCoA Register'!$AA:$AA,0)),"iCoA — at issue")&amp;", (14.05.2026) [PP]"</f>
        <v/>
      </c>
      <c r="X87" s="130" t="inlineStr">
        <is>
          <t>✓</t>
        </is>
      </c>
      <c r="Y87" s="131" t="inlineStr">
        <is>
          <t>not ingested</t>
        </is>
      </c>
      <c r="Z87" s="132" t="inlineStr">
        <is>
          <t>100-2-K-26, (09.04.2026) [FHM-K] · on file, not credited</t>
        </is>
      </c>
      <c r="AA87" s="133" t="inlineStr">
        <is>
          <t>•</t>
        </is>
      </c>
      <c r="AB87" s="128" t="inlineStr">
        <is>
          <t>1900 ᴿ</t>
        </is>
      </c>
      <c r="AC87" s="136" t="inlineStr">
        <is>
          <t>840 ᴿ</t>
        </is>
      </c>
      <c r="AD87" s="136" t="inlineStr">
        <is>
          <t>&lt; 10³ and &gt; 10² ᴿ</t>
        </is>
      </c>
      <c r="AE87" s="136" t="inlineStr">
        <is>
          <t>Absent ᴿ</t>
        </is>
      </c>
      <c r="AF87" s="136" t="inlineStr">
        <is>
          <t>Absent ᴿ</t>
        </is>
      </c>
      <c r="AG87" s="130" t="inlineStr">
        <is>
          <t>✓</t>
        </is>
      </c>
      <c r="AH87" s="128" t="inlineStr">
        <is>
          <t>not reported</t>
        </is>
      </c>
      <c r="AI87" s="136" t="inlineStr">
        <is>
          <t>Complies ᴿ</t>
        </is>
      </c>
      <c r="AJ87" s="136" t="inlineStr">
        <is>
          <t>not reported</t>
        </is>
      </c>
      <c r="AK87" s="130" t="inlineStr">
        <is>
          <t>✓</t>
        </is>
      </c>
      <c r="AL87" s="205" t="inlineStr">
        <is>
          <t>not ingested</t>
        </is>
      </c>
      <c r="AM87" s="206" t="inlineStr"/>
      <c r="AN87" s="206" t="inlineStr"/>
      <c r="AO87" s="206" t="inlineStr"/>
      <c r="AP87" s="207" t="inlineStr">
        <is>
          <t>✗</t>
        </is>
      </c>
      <c r="AQ87" s="128" t="inlineStr">
        <is>
          <t>ND ᴿ</t>
        </is>
      </c>
      <c r="AR87" s="129" t="inlineStr">
        <is>
          <t>1625-2026, (23.04.2026) [IJZ]</t>
        </is>
      </c>
      <c r="AS87" s="137" t="inlineStr">
        <is>
          <t>✓</t>
        </is>
      </c>
    </row>
    <row r="88" ht="15.375" customHeight="1" s="70">
      <c r="A88" s="138" t="n"/>
      <c r="D88" s="139" t="n"/>
      <c r="F88" s="140" t="n"/>
      <c r="G88" s="139" t="n"/>
      <c r="I88" s="140" t="n"/>
      <c r="J88" s="139" t="n"/>
      <c r="L88" s="140" t="n"/>
      <c r="M88" s="139" t="n"/>
      <c r="O88" s="140" t="n"/>
      <c r="P88" s="139" t="n"/>
      <c r="R88" s="140" t="n"/>
      <c r="S88" s="139" t="n"/>
      <c r="U88" s="140" t="n"/>
      <c r="V88" s="139" t="n"/>
      <c r="X88" s="140" t="n"/>
      <c r="Y88" s="139" t="n"/>
      <c r="AA88" s="140" t="n"/>
      <c r="AB88" s="141" t="inlineStr">
        <is>
          <t>230-0393-26, (07.04.2026) [IJZ-MB]</t>
        </is>
      </c>
      <c r="AG88" s="140" t="n"/>
      <c r="AH88" s="141" t="inlineStr">
        <is>
          <t>1625-2026, (23.04.2026) [IJZ]</t>
        </is>
      </c>
      <c r="AK88" s="140" t="n"/>
      <c r="AL88" s="208" t="inlineStr">
        <is>
          <t>1625-2026, (23.04.2026) [IJZ]</t>
        </is>
      </c>
      <c r="AP88" s="140" t="n"/>
      <c r="AQ88" s="139" t="n"/>
      <c r="AS88" s="142" t="n"/>
    </row>
    <row r="89" ht="21" customHeight="1" s="70">
      <c r="A89" s="143" t="n"/>
      <c r="B89" s="144" t="n"/>
      <c r="D89" s="145" t="n"/>
      <c r="E89" s="144" t="n"/>
      <c r="F89" s="146" t="n"/>
      <c r="G89" s="145" t="n"/>
      <c r="H89" s="144" t="n"/>
      <c r="I89" s="146" t="n"/>
      <c r="J89" s="200" t="inlineStr">
        <is>
          <t>not ingested</t>
        </is>
      </c>
      <c r="K89" s="201" t="inlineStr">
        <is>
          <t>100-3-K-26, (09.04.2026) [FHM-K]</t>
        </is>
      </c>
      <c r="L89" s="202" t="inlineStr">
        <is>
          <t>✗</t>
        </is>
      </c>
      <c r="M89" s="187" t="inlineStr">
        <is>
          <t>21.84 ᴿ</t>
        </is>
      </c>
      <c r="N89" s="185" t="inlineStr">
        <is>
          <t>100-3-K-26, (09.04.2026) [FHM-K]</t>
        </is>
      </c>
      <c r="O89" s="186" t="inlineStr">
        <is>
          <t>✓</t>
        </is>
      </c>
      <c r="P89" s="188" t="inlineStr">
        <is>
          <t>&lt; LOQ (&lt;0.20) ᴿ</t>
        </is>
      </c>
      <c r="Q89" s="185" t="inlineStr">
        <is>
          <t>100-3-K-26, (09.04.2026) [FHM-K]</t>
        </is>
      </c>
      <c r="R89" s="186" t="inlineStr">
        <is>
          <t>✓</t>
        </is>
      </c>
      <c r="S89" s="188" t="inlineStr">
        <is>
          <t>&lt; LOQ ᴿ</t>
        </is>
      </c>
      <c r="T89" s="185" t="inlineStr">
        <is>
          <t>100-3-K-26, (09.04.2026) [FHM-K]</t>
        </is>
      </c>
      <c r="U89" s="186" t="inlineStr">
        <is>
          <t>✓</t>
        </is>
      </c>
      <c r="V89" s="145" t="n"/>
      <c r="W89" s="144" t="n"/>
      <c r="X89" s="146" t="n"/>
      <c r="Y89" s="189" t="inlineStr">
        <is>
          <t>not ingested</t>
        </is>
      </c>
      <c r="Z89" s="190" t="inlineStr">
        <is>
          <t>100-3-K-26, (09.04.2026) [FHM-K] · on file, not credited</t>
        </is>
      </c>
      <c r="AA89" s="191" t="inlineStr">
        <is>
          <t>•</t>
        </is>
      </c>
      <c r="AB89" s="155" t="inlineStr">
        <is>
          <t>850 ᴿ</t>
        </is>
      </c>
      <c r="AC89" s="156" t="inlineStr">
        <is>
          <t>370 ᴿ</t>
        </is>
      </c>
      <c r="AD89" s="156" t="inlineStr">
        <is>
          <t>&lt; 10² and &gt; 10 ᴿ</t>
        </is>
      </c>
      <c r="AE89" s="156" t="inlineStr">
        <is>
          <t>Absent ᴿ</t>
        </is>
      </c>
      <c r="AF89" s="156" t="inlineStr">
        <is>
          <t>Absent ᴿ</t>
        </is>
      </c>
      <c r="AG89" s="186" t="inlineStr">
        <is>
          <t>✓</t>
        </is>
      </c>
      <c r="AH89" s="155" t="inlineStr">
        <is>
          <t>not reported</t>
        </is>
      </c>
      <c r="AI89" s="156" t="inlineStr">
        <is>
          <t>2.5 ᴿ</t>
        </is>
      </c>
      <c r="AJ89" s="156" t="inlineStr">
        <is>
          <t>not reported</t>
        </is>
      </c>
      <c r="AK89" s="186" t="inlineStr">
        <is>
          <t>✓</t>
        </is>
      </c>
      <c r="AL89" s="155" t="inlineStr">
        <is>
          <t>ND ᴿ</t>
        </is>
      </c>
      <c r="AM89" s="156" t="inlineStr">
        <is>
          <t>ND ᴿ</t>
        </is>
      </c>
      <c r="AN89" s="156" t="inlineStr">
        <is>
          <t>ND ᴿ</t>
        </is>
      </c>
      <c r="AO89" s="156" t="inlineStr">
        <is>
          <t>ND ᴿ</t>
        </is>
      </c>
      <c r="AP89" s="186" t="inlineStr">
        <is>
          <t>✓</t>
        </is>
      </c>
      <c r="AQ89" s="155" t="inlineStr">
        <is>
          <t>ND ᴿ</t>
        </is>
      </c>
      <c r="AR89" s="185" t="inlineStr">
        <is>
          <t>1628-2026, (23.04.2026) [IJZ]</t>
        </is>
      </c>
      <c r="AS89" s="209" t="inlineStr">
        <is>
          <t>✓</t>
        </is>
      </c>
    </row>
    <row r="90" ht="15.375" customHeight="1" s="70">
      <c r="A90" s="192" t="n"/>
      <c r="B90" s="193" t="n"/>
      <c r="D90" s="194" t="n"/>
      <c r="E90" s="193" t="n"/>
      <c r="F90" s="195" t="n"/>
      <c r="G90" s="194" t="n"/>
      <c r="H90" s="193" t="n"/>
      <c r="I90" s="195" t="n"/>
      <c r="J90" s="194" t="n"/>
      <c r="K90" s="193" t="n"/>
      <c r="L90" s="195" t="n"/>
      <c r="M90" s="194" t="n"/>
      <c r="N90" s="193" t="n"/>
      <c r="O90" s="195" t="n"/>
      <c r="P90" s="194" t="n"/>
      <c r="Q90" s="193" t="n"/>
      <c r="R90" s="195" t="n"/>
      <c r="S90" s="194" t="n"/>
      <c r="T90" s="193" t="n"/>
      <c r="U90" s="195" t="n"/>
      <c r="V90" s="194" t="n"/>
      <c r="W90" s="193" t="n"/>
      <c r="X90" s="195" t="n"/>
      <c r="Y90" s="194" t="n"/>
      <c r="Z90" s="193" t="n"/>
      <c r="AA90" s="195" t="n"/>
      <c r="AB90" s="210" t="inlineStr">
        <is>
          <t>231-0394-26, (07.04.2026) [IJZ-MB]</t>
        </is>
      </c>
      <c r="AC90" s="193" t="n"/>
      <c r="AD90" s="193" t="n"/>
      <c r="AE90" s="193" t="n"/>
      <c r="AF90" s="193" t="n"/>
      <c r="AG90" s="195" t="n"/>
      <c r="AH90" s="210" t="inlineStr">
        <is>
          <t>1628-2026, (23.04.2026) [IJZ]</t>
        </is>
      </c>
      <c r="AI90" s="193" t="n"/>
      <c r="AJ90" s="193" t="n"/>
      <c r="AK90" s="195" t="n"/>
      <c r="AL90" s="210" t="inlineStr">
        <is>
          <t>1628-2026, (23.04.2026) [IJZ]</t>
        </is>
      </c>
      <c r="AM90" s="193" t="n"/>
      <c r="AN90" s="193" t="n"/>
      <c r="AO90" s="193" t="n"/>
      <c r="AP90" s="195" t="n"/>
      <c r="AQ90" s="194" t="n"/>
      <c r="AR90" s="193" t="n"/>
      <c r="AS90" s="196" t="n"/>
    </row>
    <row r="91" ht="21" customHeight="1" s="70">
      <c r="A91" s="143" t="n"/>
      <c r="B91" s="144" t="n"/>
      <c r="D91" s="145" t="n"/>
      <c r="E91" s="144" t="n"/>
      <c r="F91" s="146" t="n"/>
      <c r="G91" s="145" t="n"/>
      <c r="H91" s="144" t="n"/>
      <c r="I91" s="146" t="n"/>
      <c r="J91" s="147" t="inlineStr">
        <is>
          <t>Conforms (ImB spec.)</t>
        </is>
      </c>
      <c r="K91" s="148" t="inlineStr">
        <is>
          <t>227-13-K-26, (11.09.2026) [FHM-K]</t>
        </is>
      </c>
      <c r="L91" s="149" t="inlineStr">
        <is>
          <t>✓</t>
        </is>
      </c>
      <c r="M91" s="150" t="inlineStr">
        <is>
          <t>24.48</t>
        </is>
      </c>
      <c r="N91" s="148" t="inlineStr">
        <is>
          <t>227-13-K-26, (11.09.2026) [FHM-K]</t>
        </is>
      </c>
      <c r="O91" s="149" t="inlineStr">
        <is>
          <t>✓</t>
        </is>
      </c>
      <c r="P91" s="151" t="inlineStr">
        <is>
          <t>&lt; LOQ</t>
        </is>
      </c>
      <c r="Q91" s="148" t="inlineStr">
        <is>
          <t>227-13-K-26, (11.09.2026) [FHM-K]</t>
        </is>
      </c>
      <c r="R91" s="149" t="inlineStr">
        <is>
          <t>✓</t>
        </is>
      </c>
      <c r="S91" s="151" t="inlineStr">
        <is>
          <t>&lt; LOQ</t>
        </is>
      </c>
      <c r="T91" s="148" t="inlineStr">
        <is>
          <t>227-13-K-26, (11.09.2026) [FHM-K]</t>
        </is>
      </c>
      <c r="U91" s="149" t="inlineStr">
        <is>
          <t>✓</t>
        </is>
      </c>
      <c r="V91" s="145" t="n"/>
      <c r="W91" s="144" t="n"/>
      <c r="X91" s="146" t="n"/>
      <c r="Y91" s="145" t="n"/>
      <c r="Z91" s="144" t="n"/>
      <c r="AA91" s="146" t="n"/>
      <c r="AB91" s="155" t="inlineStr">
        <is>
          <t>1 × 10³</t>
        </is>
      </c>
      <c r="AC91" s="156" t="inlineStr">
        <is>
          <t>1.7 × 10²</t>
        </is>
      </c>
      <c r="AD91" s="156" t="inlineStr">
        <is>
          <t>&lt; 10³ and &gt; 10²</t>
        </is>
      </c>
      <c r="AE91" s="156" t="inlineStr">
        <is>
          <t>Absent</t>
        </is>
      </c>
      <c r="AF91" s="156" t="inlineStr">
        <is>
          <t>Absent</t>
        </is>
      </c>
      <c r="AG91" s="149" t="inlineStr">
        <is>
          <t>✓</t>
        </is>
      </c>
      <c r="AH91" s="145" t="n"/>
      <c r="AI91" s="144" t="n"/>
      <c r="AJ91" s="144" t="n"/>
      <c r="AK91" s="146" t="n"/>
      <c r="AL91" s="145" t="n"/>
      <c r="AM91" s="144" t="n"/>
      <c r="AN91" s="144" t="n"/>
      <c r="AO91" s="144" t="n"/>
      <c r="AP91" s="146" t="n"/>
      <c r="AQ91" s="145" t="n"/>
      <c r="AR91" s="144" t="n"/>
      <c r="AS91" s="157" t="n"/>
    </row>
    <row r="92" ht="13" customHeight="1" s="70">
      <c r="A92" s="158" t="n"/>
      <c r="B92" s="159" t="n"/>
      <c r="C92" s="159" t="n"/>
      <c r="D92" s="160" t="n"/>
      <c r="E92" s="159" t="n"/>
      <c r="F92" s="161" t="n"/>
      <c r="G92" s="160" t="n"/>
      <c r="H92" s="159" t="n"/>
      <c r="I92" s="161" t="n"/>
      <c r="J92" s="160" t="n"/>
      <c r="K92" s="159" t="n"/>
      <c r="L92" s="161" t="n"/>
      <c r="M92" s="160" t="n"/>
      <c r="N92" s="159" t="n"/>
      <c r="O92" s="161" t="n"/>
      <c r="P92" s="160" t="n"/>
      <c r="Q92" s="159" t="n"/>
      <c r="R92" s="161" t="n"/>
      <c r="S92" s="160" t="n"/>
      <c r="T92" s="159" t="n"/>
      <c r="U92" s="161" t="n"/>
      <c r="V92" s="160" t="n"/>
      <c r="W92" s="159" t="n"/>
      <c r="X92" s="161" t="n"/>
      <c r="Y92" s="160" t="n"/>
      <c r="Z92" s="159" t="n"/>
      <c r="AA92" s="161" t="n"/>
      <c r="AB92" s="162" t="inlineStr">
        <is>
          <t>544-1075-26, (31.08.2026) [IJZ-MB]</t>
        </is>
      </c>
      <c r="AC92" s="159" t="n"/>
      <c r="AD92" s="159" t="n"/>
      <c r="AE92" s="159" t="n"/>
      <c r="AF92" s="159" t="n"/>
      <c r="AG92" s="161" t="n"/>
      <c r="AH92" s="160" t="n"/>
      <c r="AI92" s="159" t="n"/>
      <c r="AJ92" s="159" t="n"/>
      <c r="AK92" s="161" t="n"/>
      <c r="AL92" s="160" t="n"/>
      <c r="AM92" s="159" t="n"/>
      <c r="AN92" s="159" t="n"/>
      <c r="AO92" s="159" t="n"/>
      <c r="AP92" s="161" t="n"/>
      <c r="AQ92" s="160" t="n"/>
      <c r="AR92" s="159" t="n"/>
      <c r="AS92" s="163" t="n"/>
    </row>
    <row r="93" ht="17.625" customHeight="1" s="70">
      <c r="A93" s="125" t="inlineStr">
        <is>
          <t>JD012601＊</t>
        </is>
      </c>
      <c r="B93" s="126" t="inlineStr">
        <is>
          <t>P060312</t>
        </is>
      </c>
      <c r="C93" s="127" t="inlineStr">
        <is>
          <t>✓ COMPLETE
2 testing instances
• 1 document(s) on file, not credited</t>
        </is>
      </c>
      <c r="D93" s="128" t="inlineStr">
        <is>
          <t>Conforms</t>
        </is>
      </c>
      <c r="E93" s="129">
        <f>IFERROR(INDEX('iCoA Register'!$B:$B,MATCH("P060312|I",'iCoA Register'!$AA:$AA,0)),"iCoA — at issue")&amp;", (21.05.2026) [PP]"</f>
        <v/>
      </c>
      <c r="F93" s="130" t="inlineStr">
        <is>
          <t>✓</t>
        </is>
      </c>
      <c r="G93" s="131" t="inlineStr">
        <is>
          <t>not on this certificate</t>
        </is>
      </c>
      <c r="H93" s="132" t="inlineStr">
        <is>
          <t>ППК26064, (11.05.2026) [CNP] · on file, not credited</t>
        </is>
      </c>
      <c r="I93" s="133" t="inlineStr">
        <is>
          <t>•</t>
        </is>
      </c>
      <c r="J93" s="128" t="inlineStr">
        <is>
          <t>Conforms (ImB spec.)</t>
        </is>
      </c>
      <c r="K93" s="129" t="inlineStr">
        <is>
          <t>ППК26064, (11.05.2026) [CNP]</t>
        </is>
      </c>
      <c r="L93" s="130" t="inlineStr">
        <is>
          <t>✓</t>
        </is>
      </c>
      <c r="M93" s="134" t="inlineStr">
        <is>
          <t>18.16</t>
        </is>
      </c>
      <c r="N93" s="129" t="inlineStr">
        <is>
          <t>ППК26064, (11.05.2026) [CNP]</t>
        </is>
      </c>
      <c r="O93" s="130" t="inlineStr">
        <is>
          <t>✓</t>
        </is>
      </c>
      <c r="P93" s="135" t="inlineStr">
        <is>
          <t>0.06</t>
        </is>
      </c>
      <c r="Q93" s="129" t="inlineStr">
        <is>
          <t>ППК26064, (11.05.2026) [CNP]</t>
        </is>
      </c>
      <c r="R93" s="130" t="inlineStr">
        <is>
          <t>✓</t>
        </is>
      </c>
      <c r="S93" s="135" t="inlineStr">
        <is>
          <t>&lt; LOQ ᴰ</t>
        </is>
      </c>
      <c r="T93" s="129" t="inlineStr">
        <is>
          <t>ППК26064, (11.05.2026) [CNP]</t>
        </is>
      </c>
      <c r="U93" s="130" t="inlineStr">
        <is>
          <t>✓</t>
        </is>
      </c>
      <c r="V93" s="128" t="inlineStr">
        <is>
          <t>Conforms</t>
        </is>
      </c>
      <c r="W93" s="129">
        <f>IFERROR(INDEX('iCoA Register'!$B:$B,MATCH("P060312|I",'iCoA Register'!$AA:$AA,0)),"iCoA — at issue")&amp;", (21.05.2026) [PP]"</f>
        <v/>
      </c>
      <c r="X93" s="130" t="inlineStr">
        <is>
          <t>✓</t>
        </is>
      </c>
      <c r="Y93" s="128" t="inlineStr">
        <is>
          <t>6.68</t>
        </is>
      </c>
      <c r="Z93" s="129" t="inlineStr">
        <is>
          <t>ППК26064, (11.05.2026) [CNP]</t>
        </is>
      </c>
      <c r="AA93" s="130" t="inlineStr">
        <is>
          <t>✓</t>
        </is>
      </c>
      <c r="AB93" s="128" t="inlineStr">
        <is>
          <t>1.9 × 10³</t>
        </is>
      </c>
      <c r="AC93" s="136" t="inlineStr">
        <is>
          <t>2.4 × 10³</t>
        </is>
      </c>
      <c r="AD93" s="136" t="inlineStr">
        <is>
          <t>&lt; 10</t>
        </is>
      </c>
      <c r="AE93" s="136" t="inlineStr">
        <is>
          <t>Absent</t>
        </is>
      </c>
      <c r="AF93" s="136" t="inlineStr">
        <is>
          <t>Absent</t>
        </is>
      </c>
      <c r="AG93" s="130" t="inlineStr">
        <is>
          <t>✓</t>
        </is>
      </c>
      <c r="AH93" s="128" t="inlineStr">
        <is>
          <t>ND</t>
        </is>
      </c>
      <c r="AI93" s="136" t="inlineStr">
        <is>
          <t>&lt; 2</t>
        </is>
      </c>
      <c r="AJ93" s="136" t="inlineStr">
        <is>
          <t>ND</t>
        </is>
      </c>
      <c r="AK93" s="130" t="inlineStr">
        <is>
          <t>✓</t>
        </is>
      </c>
      <c r="AL93" s="128" t="inlineStr">
        <is>
          <t>0.0739</t>
        </is>
      </c>
      <c r="AM93" s="136" t="inlineStr">
        <is>
          <t>0.0166</t>
        </is>
      </c>
      <c r="AN93" s="136" t="inlineStr">
        <is>
          <t>0.0136</t>
        </is>
      </c>
      <c r="AO93" s="136" t="inlineStr">
        <is>
          <t>0.0322</t>
        </is>
      </c>
      <c r="AP93" s="130" t="inlineStr">
        <is>
          <t>✓</t>
        </is>
      </c>
      <c r="AQ93" s="128" t="inlineStr">
        <is>
          <t>≤ LOQ (all 28 compounds)</t>
        </is>
      </c>
      <c r="AR93" s="129" t="inlineStr">
        <is>
          <t>2363-2026, (30.04.2026) [IJZ]</t>
        </is>
      </c>
      <c r="AS93" s="137" t="inlineStr">
        <is>
          <t>✓</t>
        </is>
      </c>
    </row>
    <row r="94" ht="13" customHeight="1" s="70">
      <c r="A94" s="138" t="n"/>
      <c r="D94" s="139" t="n"/>
      <c r="F94" s="140" t="n"/>
      <c r="G94" s="139" t="n"/>
      <c r="I94" s="140" t="n"/>
      <c r="J94" s="139" t="n"/>
      <c r="L94" s="140" t="n"/>
      <c r="M94" s="139" t="n"/>
      <c r="O94" s="140" t="n"/>
      <c r="P94" s="139" t="n"/>
      <c r="R94" s="140" t="n"/>
      <c r="S94" s="139" t="n"/>
      <c r="U94" s="140" t="n"/>
      <c r="V94" s="139" t="n"/>
      <c r="X94" s="140" t="n"/>
      <c r="Y94" s="139" t="n"/>
      <c r="AA94" s="140" t="n"/>
      <c r="AB94" s="141" t="inlineStr">
        <is>
          <t>309-0553-26, (28.04.2026) [IJZ-MB]</t>
        </is>
      </c>
      <c r="AG94" s="140" t="n"/>
      <c r="AH94" s="141" t="inlineStr">
        <is>
          <t>2363-2026, (30.04.2026) [IJZ]</t>
        </is>
      </c>
      <c r="AK94" s="140" t="n"/>
      <c r="AL94" s="141" t="inlineStr">
        <is>
          <t>2363-2026, (30.04.2026) [IJZ]</t>
        </is>
      </c>
      <c r="AP94" s="140" t="n"/>
      <c r="AQ94" s="139" t="n"/>
      <c r="AS94" s="142" t="n"/>
    </row>
    <row r="95" ht="17.625" customHeight="1" s="70">
      <c r="A95" s="143" t="n"/>
      <c r="B95" s="144" t="n"/>
      <c r="D95" s="145" t="n"/>
      <c r="E95" s="144" t="n"/>
      <c r="F95" s="146" t="n"/>
      <c r="G95" s="147" t="inlineStr">
        <is>
          <t>Conforms</t>
        </is>
      </c>
      <c r="H95" s="148">
        <f>IFERROR(INDEX('iCoA Register'!$B:$B,MATCH("P060312|I",'iCoA Register'!$AA:$AA,0)),"iCoA — at issue")&amp;", (21.05.2026) [PP]"</f>
        <v/>
      </c>
      <c r="I95" s="149" t="inlineStr">
        <is>
          <t>✓</t>
        </is>
      </c>
      <c r="J95" s="147" t="inlineStr">
        <is>
          <t>Conforms (ImB spec.)</t>
        </is>
      </c>
      <c r="K95" s="148" t="inlineStr">
        <is>
          <t>227-15-K-26, (11.09.2026) [FHM-K]</t>
        </is>
      </c>
      <c r="L95" s="149" t="inlineStr">
        <is>
          <t>✓</t>
        </is>
      </c>
      <c r="M95" s="150" t="inlineStr">
        <is>
          <t>19.99</t>
        </is>
      </c>
      <c r="N95" s="148" t="inlineStr">
        <is>
          <t>227-15-K-26, (11.09.2026) [FHM-K]</t>
        </is>
      </c>
      <c r="O95" s="149" t="inlineStr">
        <is>
          <t>✓</t>
        </is>
      </c>
      <c r="P95" s="151" t="inlineStr">
        <is>
          <t>&lt; LOQ</t>
        </is>
      </c>
      <c r="Q95" s="148" t="inlineStr">
        <is>
          <t>227-15-K-26, (11.09.2026) [FHM-K]</t>
        </is>
      </c>
      <c r="R95" s="149" t="inlineStr">
        <is>
          <t>✓</t>
        </is>
      </c>
      <c r="S95" s="151" t="inlineStr">
        <is>
          <t>&lt; LOQ</t>
        </is>
      </c>
      <c r="T95" s="148" t="inlineStr">
        <is>
          <t>227-15-K-26, (11.09.2026) [FHM-K]</t>
        </is>
      </c>
      <c r="U95" s="149" t="inlineStr">
        <is>
          <t>✓</t>
        </is>
      </c>
      <c r="V95" s="145" t="n"/>
      <c r="W95" s="144" t="n"/>
      <c r="X95" s="146" t="n"/>
      <c r="Y95" s="145" t="n"/>
      <c r="Z95" s="144" t="n"/>
      <c r="AA95" s="146" t="n"/>
      <c r="AB95" s="155" t="inlineStr">
        <is>
          <t>2.2 × 10³</t>
        </is>
      </c>
      <c r="AC95" s="156" t="inlineStr">
        <is>
          <t>1.7 × 10³</t>
        </is>
      </c>
      <c r="AD95" s="156" t="inlineStr">
        <is>
          <t>&lt; 10</t>
        </is>
      </c>
      <c r="AE95" s="156" t="inlineStr">
        <is>
          <t>Absent</t>
        </is>
      </c>
      <c r="AF95" s="156" t="inlineStr">
        <is>
          <t>Absent</t>
        </is>
      </c>
      <c r="AG95" s="149" t="inlineStr">
        <is>
          <t>✓</t>
        </is>
      </c>
      <c r="AH95" s="145" t="n"/>
      <c r="AI95" s="144" t="n"/>
      <c r="AJ95" s="144" t="n"/>
      <c r="AK95" s="146" t="n"/>
      <c r="AL95" s="145" t="n"/>
      <c r="AM95" s="144" t="n"/>
      <c r="AN95" s="144" t="n"/>
      <c r="AO95" s="144" t="n"/>
      <c r="AP95" s="146" t="n"/>
      <c r="AQ95" s="145" t="n"/>
      <c r="AR95" s="144" t="n"/>
      <c r="AS95" s="157" t="n"/>
    </row>
    <row r="96" ht="13" customHeight="1" s="70">
      <c r="A96" s="158" t="n"/>
      <c r="B96" s="159" t="n"/>
      <c r="C96" s="159" t="n"/>
      <c r="D96" s="160" t="n"/>
      <c r="E96" s="159" t="n"/>
      <c r="F96" s="161" t="n"/>
      <c r="G96" s="160" t="n"/>
      <c r="H96" s="159" t="n"/>
      <c r="I96" s="161" t="n"/>
      <c r="J96" s="160" t="n"/>
      <c r="K96" s="159" t="n"/>
      <c r="L96" s="161" t="n"/>
      <c r="M96" s="160" t="n"/>
      <c r="N96" s="159" t="n"/>
      <c r="O96" s="161" t="n"/>
      <c r="P96" s="160" t="n"/>
      <c r="Q96" s="159" t="n"/>
      <c r="R96" s="161" t="n"/>
      <c r="S96" s="160" t="n"/>
      <c r="T96" s="159" t="n"/>
      <c r="U96" s="161" t="n"/>
      <c r="V96" s="160" t="n"/>
      <c r="W96" s="159" t="n"/>
      <c r="X96" s="161" t="n"/>
      <c r="Y96" s="160" t="n"/>
      <c r="Z96" s="159" t="n"/>
      <c r="AA96" s="161" t="n"/>
      <c r="AB96" s="162" t="inlineStr">
        <is>
          <t>540-1071-26, (31.08.2026) [IJZ-MB]</t>
        </is>
      </c>
      <c r="AC96" s="159" t="n"/>
      <c r="AD96" s="159" t="n"/>
      <c r="AE96" s="159" t="n"/>
      <c r="AF96" s="159" t="n"/>
      <c r="AG96" s="161" t="n"/>
      <c r="AH96" s="160" t="n"/>
      <c r="AI96" s="159" t="n"/>
      <c r="AJ96" s="159" t="n"/>
      <c r="AK96" s="161" t="n"/>
      <c r="AL96" s="160" t="n"/>
      <c r="AM96" s="159" t="n"/>
      <c r="AN96" s="159" t="n"/>
      <c r="AO96" s="159" t="n"/>
      <c r="AP96" s="161" t="n"/>
      <c r="AQ96" s="160" t="n"/>
      <c r="AR96" s="159" t="n"/>
      <c r="AS96" s="163" t="n"/>
    </row>
    <row r="97" ht="21" customHeight="1" s="70">
      <c r="A97" s="125" t="inlineStr">
        <is>
          <t>JD012603</t>
        </is>
      </c>
      <c r="B97" s="126" t="inlineStr">
        <is>
          <t>P060362 / P060412 / P060422</t>
        </is>
      </c>
      <c r="C97" s="164" t="inlineStr">
        <is>
          <t>⚠ 3 NO RESULT
(3 no cert / 0 cert w/o result)
3 testing instances
• 1 document(s) on file, not credited</t>
        </is>
      </c>
      <c r="D97" s="128" t="inlineStr">
        <is>
          <t>Conforms</t>
        </is>
      </c>
      <c r="E97" s="129" t="inlineStr">
        <is>
          <t>ППК26111, (30.06.2026) [CNP]</t>
        </is>
      </c>
      <c r="F97" s="130" t="inlineStr">
        <is>
          <t>✓</t>
        </is>
      </c>
      <c r="G97" s="128" t="inlineStr">
        <is>
          <t>Conforms</t>
        </is>
      </c>
      <c r="H97" s="129" t="inlineStr">
        <is>
          <t>ППК26111, (30.06.2026) [CNP]</t>
        </is>
      </c>
      <c r="I97" s="130" t="inlineStr">
        <is>
          <t>✓</t>
        </is>
      </c>
      <c r="J97" s="128" t="inlineStr">
        <is>
          <t>Conforms (ImB spec.)</t>
        </is>
      </c>
      <c r="K97" s="129" t="inlineStr">
        <is>
          <t>ППК26111, (30.06.2026) [CNP]</t>
        </is>
      </c>
      <c r="L97" s="130" t="inlineStr">
        <is>
          <t>✓</t>
        </is>
      </c>
      <c r="M97" s="134" t="inlineStr">
        <is>
          <t>15.16</t>
        </is>
      </c>
      <c r="N97" s="129" t="inlineStr">
        <is>
          <t>ППК26111, (30.06.2026) [CNP]</t>
        </is>
      </c>
      <c r="O97" s="130" t="inlineStr">
        <is>
          <t>✓</t>
        </is>
      </c>
      <c r="P97" s="135" t="inlineStr">
        <is>
          <t>&lt; LOQ</t>
        </is>
      </c>
      <c r="Q97" s="129" t="inlineStr">
        <is>
          <t>ППК26111, (30.06.2026) [CNP]</t>
        </is>
      </c>
      <c r="R97" s="130" t="inlineStr">
        <is>
          <t>✓</t>
        </is>
      </c>
      <c r="S97" s="135" t="inlineStr">
        <is>
          <t>0.04</t>
        </is>
      </c>
      <c r="T97" s="129" t="inlineStr">
        <is>
          <t>ППК26111, (30.06.2026) [CNP]</t>
        </is>
      </c>
      <c r="U97" s="130" t="inlineStr">
        <is>
          <t>✓</t>
        </is>
      </c>
      <c r="V97" s="128" t="inlineStr">
        <is>
          <t>Conforms (no value printed)</t>
        </is>
      </c>
      <c r="W97" s="129" t="inlineStr">
        <is>
          <t>ППК26111, (30.06.2026) [CNP]</t>
        </is>
      </c>
      <c r="X97" s="130" t="inlineStr">
        <is>
          <t>✓</t>
        </is>
      </c>
      <c r="Y97" s="128" t="inlineStr">
        <is>
          <t>7.04</t>
        </is>
      </c>
      <c r="Z97" s="129" t="inlineStr">
        <is>
          <t>ППК26111, (30.06.2026) [CNP]</t>
        </is>
      </c>
      <c r="AA97" s="130" t="inlineStr">
        <is>
          <t>✓</t>
        </is>
      </c>
      <c r="AB97" s="165" t="inlineStr">
        <is>
          <t>— MISSING —</t>
        </is>
      </c>
      <c r="AC97" s="166" t="inlineStr">
        <is>
          <t>— MISSING —</t>
        </is>
      </c>
      <c r="AD97" s="166" t="inlineStr">
        <is>
          <t>— MISSING —</t>
        </is>
      </c>
      <c r="AE97" s="166" t="inlineStr">
        <is>
          <t>— MISSING —</t>
        </is>
      </c>
      <c r="AF97" s="166" t="inlineStr">
        <is>
          <t>— MISSING —</t>
        </is>
      </c>
      <c r="AG97" s="167" t="inlineStr">
        <is>
          <t>✗</t>
        </is>
      </c>
      <c r="AH97" s="128" t="inlineStr">
        <is>
          <t>ND</t>
        </is>
      </c>
      <c r="AI97" s="136" t="inlineStr">
        <is>
          <t>ND</t>
        </is>
      </c>
      <c r="AJ97" s="136" t="inlineStr">
        <is>
          <t>ND</t>
        </is>
      </c>
      <c r="AK97" s="130" t="inlineStr">
        <is>
          <t>✓</t>
        </is>
      </c>
      <c r="AL97" s="165" t="inlineStr">
        <is>
          <t>— MISSING —</t>
        </is>
      </c>
      <c r="AM97" s="166" t="inlineStr">
        <is>
          <t>— MISSING —</t>
        </is>
      </c>
      <c r="AN97" s="166" t="inlineStr">
        <is>
          <t>— MISSING —</t>
        </is>
      </c>
      <c r="AO97" s="166" t="inlineStr">
        <is>
          <t>— MISSING —</t>
        </is>
      </c>
      <c r="AP97" s="167" t="inlineStr">
        <is>
          <t>✗</t>
        </is>
      </c>
      <c r="AQ97" s="165" t="inlineStr">
        <is>
          <t>— MISSING —</t>
        </is>
      </c>
      <c r="AR97" s="168" t="inlineStr">
        <is>
          <t>— no certificate —</t>
        </is>
      </c>
      <c r="AS97" s="169" t="inlineStr">
        <is>
          <t>✗</t>
        </is>
      </c>
    </row>
    <row r="98" ht="15.375" customHeight="1" s="70">
      <c r="A98" s="138" t="n"/>
      <c r="D98" s="139" t="n"/>
      <c r="F98" s="140" t="n"/>
      <c r="G98" s="139" t="n"/>
      <c r="I98" s="140" t="n"/>
      <c r="J98" s="139" t="n"/>
      <c r="L98" s="140" t="n"/>
      <c r="M98" s="139" t="n"/>
      <c r="O98" s="140" t="n"/>
      <c r="P98" s="139" t="n"/>
      <c r="R98" s="140" t="n"/>
      <c r="S98" s="139" t="n"/>
      <c r="U98" s="140" t="n"/>
      <c r="V98" s="139" t="n"/>
      <c r="X98" s="140" t="n"/>
      <c r="Y98" s="139" t="n"/>
      <c r="AA98" s="140" t="n"/>
      <c r="AB98" s="170" t="inlineStr">
        <is>
          <t>— no certificate —</t>
        </is>
      </c>
      <c r="AG98" s="140" t="n"/>
      <c r="AH98" s="141" t="inlineStr">
        <is>
          <t>220-16-M-26, (11.09.2026) [FHM-M]</t>
        </is>
      </c>
      <c r="AK98" s="140" t="n"/>
      <c r="AL98" s="170" t="inlineStr">
        <is>
          <t>— no certificate —</t>
        </is>
      </c>
      <c r="AP98" s="140" t="n"/>
      <c r="AQ98" s="139" t="n"/>
      <c r="AS98" s="142" t="n"/>
    </row>
    <row r="99" ht="17.625" customHeight="1" s="70">
      <c r="A99" s="143" t="n"/>
      <c r="B99" s="144" t="n"/>
      <c r="D99" s="189" t="inlineStr">
        <is>
          <t>Conforms</t>
        </is>
      </c>
      <c r="E99" s="190" t="inlineStr">
        <is>
          <t>ППК26113, (30.06.2026) [CNP] · on file, not credited</t>
        </is>
      </c>
      <c r="F99" s="191" t="inlineStr">
        <is>
          <t>•</t>
        </is>
      </c>
      <c r="G99" s="155" t="inlineStr">
        <is>
          <t>Conforms</t>
        </is>
      </c>
      <c r="H99" s="185" t="inlineStr">
        <is>
          <t>ППК26113, (30.06.2026) [CNP]</t>
        </is>
      </c>
      <c r="I99" s="186" t="inlineStr">
        <is>
          <t>✓</t>
        </is>
      </c>
      <c r="J99" s="155" t="inlineStr">
        <is>
          <t>Conforms (ImB spec.)</t>
        </is>
      </c>
      <c r="K99" s="185" t="inlineStr">
        <is>
          <t>ППК26113, (30.06.2026) [CNP]</t>
        </is>
      </c>
      <c r="L99" s="186" t="inlineStr">
        <is>
          <t>✓</t>
        </is>
      </c>
      <c r="M99" s="187" t="inlineStr">
        <is>
          <t>20.54</t>
        </is>
      </c>
      <c r="N99" s="185" t="inlineStr">
        <is>
          <t>ППК26113, (30.06.2026) [CNP]</t>
        </is>
      </c>
      <c r="O99" s="186" t="inlineStr">
        <is>
          <t>✓</t>
        </is>
      </c>
      <c r="P99" s="188" t="inlineStr">
        <is>
          <t>0.05</t>
        </is>
      </c>
      <c r="Q99" s="185" t="inlineStr">
        <is>
          <t>ППК26113, (30.06.2026) [CNP]</t>
        </is>
      </c>
      <c r="R99" s="186" t="inlineStr">
        <is>
          <t>✓</t>
        </is>
      </c>
      <c r="S99" s="188" t="inlineStr">
        <is>
          <t>0.05</t>
        </is>
      </c>
      <c r="T99" s="185" t="inlineStr">
        <is>
          <t>ППК26113, (30.06.2026) [CNP]</t>
        </is>
      </c>
      <c r="U99" s="186" t="inlineStr">
        <is>
          <t>✓</t>
        </is>
      </c>
      <c r="V99" s="189" t="inlineStr">
        <is>
          <t>Conforms (no value printed)</t>
        </is>
      </c>
      <c r="W99" s="190" t="inlineStr">
        <is>
          <t>ППК26113, (30.06.2026) [CNP] · on file, not credited</t>
        </is>
      </c>
      <c r="X99" s="191" t="inlineStr">
        <is>
          <t>•</t>
        </is>
      </c>
      <c r="Y99" s="155" t="inlineStr">
        <is>
          <t>7.52</t>
        </is>
      </c>
      <c r="Z99" s="185" t="inlineStr">
        <is>
          <t>ППК26113, (30.06.2026) [CNP]</t>
        </is>
      </c>
      <c r="AA99" s="186" t="inlineStr">
        <is>
          <t>✓</t>
        </is>
      </c>
      <c r="AB99" s="145" t="n"/>
      <c r="AC99" s="144" t="n"/>
      <c r="AD99" s="144" t="n"/>
      <c r="AE99" s="144" t="n"/>
      <c r="AF99" s="144" t="n"/>
      <c r="AG99" s="146" t="n"/>
      <c r="AH99" s="155" t="inlineStr">
        <is>
          <t>ND</t>
        </is>
      </c>
      <c r="AI99" s="156" t="inlineStr">
        <is>
          <t>ND</t>
        </is>
      </c>
      <c r="AJ99" s="156" t="inlineStr">
        <is>
          <t>ND</t>
        </is>
      </c>
      <c r="AK99" s="186" t="inlineStr">
        <is>
          <t>✓</t>
        </is>
      </c>
      <c r="AL99" s="145" t="n"/>
      <c r="AM99" s="144" t="n"/>
      <c r="AN99" s="144" t="n"/>
      <c r="AO99" s="144" t="n"/>
      <c r="AP99" s="146" t="n"/>
      <c r="AQ99" s="145" t="n"/>
      <c r="AR99" s="144" t="n"/>
      <c r="AS99" s="157" t="n"/>
    </row>
    <row r="100" ht="15.375" customHeight="1" s="70">
      <c r="A100" s="192" t="n"/>
      <c r="B100" s="193" t="n"/>
      <c r="D100" s="194" t="n"/>
      <c r="E100" s="193" t="n"/>
      <c r="F100" s="195" t="n"/>
      <c r="G100" s="194" t="n"/>
      <c r="H100" s="193" t="n"/>
      <c r="I100" s="195" t="n"/>
      <c r="J100" s="194" t="n"/>
      <c r="K100" s="193" t="n"/>
      <c r="L100" s="195" t="n"/>
      <c r="M100" s="194" t="n"/>
      <c r="N100" s="193" t="n"/>
      <c r="O100" s="195" t="n"/>
      <c r="P100" s="194" t="n"/>
      <c r="Q100" s="193" t="n"/>
      <c r="R100" s="195" t="n"/>
      <c r="S100" s="194" t="n"/>
      <c r="T100" s="193" t="n"/>
      <c r="U100" s="195" t="n"/>
      <c r="V100" s="194" t="n"/>
      <c r="W100" s="193" t="n"/>
      <c r="X100" s="195" t="n"/>
      <c r="Y100" s="194" t="n"/>
      <c r="Z100" s="193" t="n"/>
      <c r="AA100" s="195" t="n"/>
      <c r="AB100" s="194" t="n"/>
      <c r="AC100" s="193" t="n"/>
      <c r="AD100" s="193" t="n"/>
      <c r="AE100" s="193" t="n"/>
      <c r="AF100" s="193" t="n"/>
      <c r="AG100" s="195" t="n"/>
      <c r="AH100" s="210" t="inlineStr">
        <is>
          <t>220-17-M-26, (11.09.2026) [FHM-M]</t>
        </is>
      </c>
      <c r="AI100" s="193" t="n"/>
      <c r="AJ100" s="193" t="n"/>
      <c r="AK100" s="195" t="n"/>
      <c r="AL100" s="194" t="n"/>
      <c r="AM100" s="193" t="n"/>
      <c r="AN100" s="193" t="n"/>
      <c r="AO100" s="193" t="n"/>
      <c r="AP100" s="195" t="n"/>
      <c r="AQ100" s="194" t="n"/>
      <c r="AR100" s="193" t="n"/>
      <c r="AS100" s="196" t="n"/>
    </row>
    <row r="101" ht="14" customHeight="1" s="70">
      <c r="A101" s="143" t="n"/>
      <c r="B101" s="144" t="n"/>
      <c r="D101" s="145" t="n"/>
      <c r="E101" s="144" t="n"/>
      <c r="F101" s="146" t="n"/>
      <c r="G101" s="145" t="n"/>
      <c r="H101" s="144" t="n"/>
      <c r="I101" s="146" t="n"/>
      <c r="J101" s="145" t="n"/>
      <c r="K101" s="144" t="n"/>
      <c r="L101" s="146" t="n"/>
      <c r="M101" s="145" t="n"/>
      <c r="N101" s="144" t="n"/>
      <c r="O101" s="146" t="n"/>
      <c r="P101" s="145" t="n"/>
      <c r="Q101" s="144" t="n"/>
      <c r="R101" s="146" t="n"/>
      <c r="S101" s="145" t="n"/>
      <c r="T101" s="144" t="n"/>
      <c r="U101" s="146" t="n"/>
      <c r="V101" s="145" t="n"/>
      <c r="W101" s="144" t="n"/>
      <c r="X101" s="146" t="n"/>
      <c r="Y101" s="145" t="n"/>
      <c r="Z101" s="144" t="n"/>
      <c r="AA101" s="146" t="n"/>
      <c r="AB101" s="145" t="n"/>
      <c r="AC101" s="144" t="n"/>
      <c r="AD101" s="144" t="n"/>
      <c r="AE101" s="144" t="n"/>
      <c r="AF101" s="144" t="n"/>
      <c r="AG101" s="146" t="n"/>
      <c r="AH101" s="155" t="inlineStr">
        <is>
          <t>ND</t>
        </is>
      </c>
      <c r="AI101" s="156" t="inlineStr">
        <is>
          <t>ND</t>
        </is>
      </c>
      <c r="AJ101" s="156" t="inlineStr">
        <is>
          <t>ND</t>
        </is>
      </c>
      <c r="AK101" s="149" t="inlineStr">
        <is>
          <t>✓</t>
        </is>
      </c>
      <c r="AL101" s="145" t="n"/>
      <c r="AM101" s="144" t="n"/>
      <c r="AN101" s="144" t="n"/>
      <c r="AO101" s="144" t="n"/>
      <c r="AP101" s="146" t="n"/>
      <c r="AQ101" s="145" t="n"/>
      <c r="AR101" s="144" t="n"/>
      <c r="AS101" s="157" t="n"/>
    </row>
    <row r="102" ht="13" customHeight="1" s="70">
      <c r="A102" s="158" t="n"/>
      <c r="B102" s="159" t="n"/>
      <c r="C102" s="159" t="n"/>
      <c r="D102" s="160" t="n"/>
      <c r="E102" s="159" t="n"/>
      <c r="F102" s="161" t="n"/>
      <c r="G102" s="160" t="n"/>
      <c r="H102" s="159" t="n"/>
      <c r="I102" s="161" t="n"/>
      <c r="J102" s="160" t="n"/>
      <c r="K102" s="159" t="n"/>
      <c r="L102" s="161" t="n"/>
      <c r="M102" s="160" t="n"/>
      <c r="N102" s="159" t="n"/>
      <c r="O102" s="161" t="n"/>
      <c r="P102" s="160" t="n"/>
      <c r="Q102" s="159" t="n"/>
      <c r="R102" s="161" t="n"/>
      <c r="S102" s="160" t="n"/>
      <c r="T102" s="159" t="n"/>
      <c r="U102" s="161" t="n"/>
      <c r="V102" s="160" t="n"/>
      <c r="W102" s="159" t="n"/>
      <c r="X102" s="161" t="n"/>
      <c r="Y102" s="160" t="n"/>
      <c r="Z102" s="159" t="n"/>
      <c r="AA102" s="161" t="n"/>
      <c r="AB102" s="160" t="n"/>
      <c r="AC102" s="159" t="n"/>
      <c r="AD102" s="159" t="n"/>
      <c r="AE102" s="159" t="n"/>
      <c r="AF102" s="159" t="n"/>
      <c r="AG102" s="161" t="n"/>
      <c r="AH102" s="162" t="inlineStr">
        <is>
          <t>220-18-M-26, (11.09.2026) [FHM-M]</t>
        </is>
      </c>
      <c r="AI102" s="159" t="n"/>
      <c r="AJ102" s="159" t="n"/>
      <c r="AK102" s="161" t="n"/>
      <c r="AL102" s="160" t="n"/>
      <c r="AM102" s="159" t="n"/>
      <c r="AN102" s="159" t="n"/>
      <c r="AO102" s="159" t="n"/>
      <c r="AP102" s="161" t="n"/>
      <c r="AQ102" s="160" t="n"/>
      <c r="AR102" s="159" t="n"/>
      <c r="AS102" s="163" t="n"/>
    </row>
    <row r="103" ht="21" customHeight="1" s="70">
      <c r="A103" s="125" t="inlineStr">
        <is>
          <t>JD022601</t>
        </is>
      </c>
      <c r="B103" s="126" t="inlineStr">
        <is>
          <t>P060482</t>
        </is>
      </c>
      <c r="C103" s="171" t="inlineStr">
        <is>
          <t>✗ 4 NO RESULT
(4 no cert / 0 cert w/o result)</t>
        </is>
      </c>
      <c r="D103" s="172" t="inlineStr">
        <is>
          <t>Conforms</t>
        </is>
      </c>
      <c r="E103" s="173" t="inlineStr">
        <is>
          <t>ППК26115, (30.06.2026) [CNP]</t>
        </is>
      </c>
      <c r="F103" s="174" t="inlineStr">
        <is>
          <t>✓</t>
        </is>
      </c>
      <c r="G103" s="172" t="inlineStr">
        <is>
          <t>Conforms</t>
        </is>
      </c>
      <c r="H103" s="173" t="inlineStr">
        <is>
          <t>ППК26115, (30.06.2026) [CNP]</t>
        </is>
      </c>
      <c r="I103" s="174" t="inlineStr">
        <is>
          <t>✓</t>
        </is>
      </c>
      <c r="J103" s="172" t="inlineStr">
        <is>
          <t>Conforms (ImB spec.)</t>
        </is>
      </c>
      <c r="K103" s="173" t="inlineStr">
        <is>
          <t>ППК26115, (30.06.2026) [CNP]</t>
        </is>
      </c>
      <c r="L103" s="174" t="inlineStr">
        <is>
          <t>✓</t>
        </is>
      </c>
      <c r="M103" s="175" t="inlineStr">
        <is>
          <t>18.58</t>
        </is>
      </c>
      <c r="N103" s="173" t="inlineStr">
        <is>
          <t>ППК26115, (30.06.2026) [CNP]</t>
        </is>
      </c>
      <c r="O103" s="174" t="inlineStr">
        <is>
          <t>✓</t>
        </is>
      </c>
      <c r="P103" s="176" t="inlineStr">
        <is>
          <t>&lt; LOQ</t>
        </is>
      </c>
      <c r="Q103" s="173" t="inlineStr">
        <is>
          <t>ППК26115, (30.06.2026) [CNP]</t>
        </is>
      </c>
      <c r="R103" s="174" t="inlineStr">
        <is>
          <t>✓</t>
        </is>
      </c>
      <c r="S103" s="176" t="inlineStr">
        <is>
          <t>0.05</t>
        </is>
      </c>
      <c r="T103" s="173" t="inlineStr">
        <is>
          <t>ППК26115, (30.06.2026) [CNP]</t>
        </is>
      </c>
      <c r="U103" s="174" t="inlineStr">
        <is>
          <t>✓</t>
        </is>
      </c>
      <c r="V103" s="172" t="inlineStr">
        <is>
          <t>Conforms (no value printed)</t>
        </is>
      </c>
      <c r="W103" s="173" t="inlineStr">
        <is>
          <t>ППК26115, (30.06.2026) [CNP]</t>
        </is>
      </c>
      <c r="X103" s="174" t="inlineStr">
        <is>
          <t>✓</t>
        </is>
      </c>
      <c r="Y103" s="172" t="inlineStr">
        <is>
          <t>7.73</t>
        </is>
      </c>
      <c r="Z103" s="173" t="inlineStr">
        <is>
          <t>ППК26115, (30.06.2026) [CNP]</t>
        </is>
      </c>
      <c r="AA103" s="174" t="inlineStr">
        <is>
          <t>✓</t>
        </is>
      </c>
      <c r="AB103" s="165" t="inlineStr">
        <is>
          <t>— MISSING —</t>
        </is>
      </c>
      <c r="AC103" s="166" t="inlineStr">
        <is>
          <t>— MISSING —</t>
        </is>
      </c>
      <c r="AD103" s="166" t="inlineStr">
        <is>
          <t>— MISSING —</t>
        </is>
      </c>
      <c r="AE103" s="166" t="inlineStr">
        <is>
          <t>— MISSING —</t>
        </is>
      </c>
      <c r="AF103" s="166" t="inlineStr">
        <is>
          <t>— MISSING —</t>
        </is>
      </c>
      <c r="AG103" s="178" t="inlineStr">
        <is>
          <t>✗</t>
        </is>
      </c>
      <c r="AH103" s="165" t="inlineStr">
        <is>
          <t>— MISSING —</t>
        </is>
      </c>
      <c r="AI103" s="166" t="inlineStr">
        <is>
          <t>— MISSING —</t>
        </is>
      </c>
      <c r="AJ103" s="166" t="inlineStr">
        <is>
          <t>— MISSING —</t>
        </is>
      </c>
      <c r="AK103" s="178" t="inlineStr">
        <is>
          <t>✗</t>
        </is>
      </c>
      <c r="AL103" s="165" t="inlineStr">
        <is>
          <t>— MISSING —</t>
        </is>
      </c>
      <c r="AM103" s="166" t="inlineStr">
        <is>
          <t>— MISSING —</t>
        </is>
      </c>
      <c r="AN103" s="166" t="inlineStr">
        <is>
          <t>— MISSING —</t>
        </is>
      </c>
      <c r="AO103" s="166" t="inlineStr">
        <is>
          <t>— MISSING —</t>
        </is>
      </c>
      <c r="AP103" s="178" t="inlineStr">
        <is>
          <t>✗</t>
        </is>
      </c>
      <c r="AQ103" s="179" t="inlineStr">
        <is>
          <t>— MISSING —</t>
        </is>
      </c>
      <c r="AR103" s="180" t="inlineStr">
        <is>
          <t>— no certificate —</t>
        </is>
      </c>
      <c r="AS103" s="181" t="inlineStr">
        <is>
          <t>✗</t>
        </is>
      </c>
    </row>
    <row r="104" ht="15.375" customHeight="1" s="70">
      <c r="A104" s="158" t="n"/>
      <c r="B104" s="159" t="n"/>
      <c r="C104" s="159" t="n"/>
      <c r="D104" s="160" t="n"/>
      <c r="E104" s="159" t="n"/>
      <c r="F104" s="161" t="n"/>
      <c r="G104" s="160" t="n"/>
      <c r="H104" s="159" t="n"/>
      <c r="I104" s="161" t="n"/>
      <c r="J104" s="160" t="n"/>
      <c r="K104" s="159" t="n"/>
      <c r="L104" s="161" t="n"/>
      <c r="M104" s="160" t="n"/>
      <c r="N104" s="159" t="n"/>
      <c r="O104" s="161" t="n"/>
      <c r="P104" s="160" t="n"/>
      <c r="Q104" s="159" t="n"/>
      <c r="R104" s="161" t="n"/>
      <c r="S104" s="160" t="n"/>
      <c r="T104" s="159" t="n"/>
      <c r="U104" s="161" t="n"/>
      <c r="V104" s="160" t="n"/>
      <c r="W104" s="159" t="n"/>
      <c r="X104" s="161" t="n"/>
      <c r="Y104" s="160" t="n"/>
      <c r="Z104" s="159" t="n"/>
      <c r="AA104" s="161" t="n"/>
      <c r="AB104" s="182" t="inlineStr">
        <is>
          <t>— no certificate —</t>
        </is>
      </c>
      <c r="AC104" s="159" t="n"/>
      <c r="AD104" s="159" t="n"/>
      <c r="AE104" s="159" t="n"/>
      <c r="AF104" s="159" t="n"/>
      <c r="AG104" s="161" t="n"/>
      <c r="AH104" s="182" t="inlineStr">
        <is>
          <t>— no certificate —</t>
        </is>
      </c>
      <c r="AI104" s="159" t="n"/>
      <c r="AJ104" s="159" t="n"/>
      <c r="AK104" s="161" t="n"/>
      <c r="AL104" s="182" t="inlineStr">
        <is>
          <t>— no certificate —</t>
        </is>
      </c>
      <c r="AM104" s="159" t="n"/>
      <c r="AN104" s="159" t="n"/>
      <c r="AO104" s="159" t="n"/>
      <c r="AP104" s="161" t="n"/>
      <c r="AQ104" s="160" t="n"/>
      <c r="AR104" s="159" t="n"/>
      <c r="AS104" s="163" t="n"/>
    </row>
    <row r="105" ht="21" customHeight="1" s="70">
      <c r="A105" s="125" t="inlineStr">
        <is>
          <t>JD112501</t>
        </is>
      </c>
      <c r="B105" s="126" t="inlineStr">
        <is>
          <t>P060212</t>
        </is>
      </c>
      <c r="C105" s="127" t="inlineStr">
        <is>
          <t>✓ COMPLETE
3 testing instances
• 5 document(s) on file, not credited</t>
        </is>
      </c>
      <c r="D105" s="128" t="inlineStr">
        <is>
          <t>Conforms</t>
        </is>
      </c>
      <c r="E105" s="129">
        <f>IFERROR(INDEX('iCoA Register'!$B:$B,MATCH("P060212|I",'iCoA Register'!$AA:$AA,0)),"iCoA — at issue")&amp;", (21.04.2026) [PP]"</f>
        <v/>
      </c>
      <c r="F105" s="130" t="inlineStr">
        <is>
          <t>✓</t>
        </is>
      </c>
      <c r="G105" s="128" t="inlineStr">
        <is>
          <t>Conforms</t>
        </is>
      </c>
      <c r="H105" s="129">
        <f>IFERROR(INDEX('iCoA Register'!$B:$B,MATCH("P060212|I",'iCoA Register'!$AA:$AA,0)),"iCoA — at issue")&amp;", (21.04.2026) [PP]"</f>
        <v/>
      </c>
      <c r="I105" s="130" t="inlineStr">
        <is>
          <t>✓</t>
        </is>
      </c>
      <c r="J105" s="128" t="inlineStr">
        <is>
          <t>Conforms (ImB spec.)</t>
        </is>
      </c>
      <c r="K105" s="129" t="inlineStr">
        <is>
          <t>ППК26063, (11.05.2026) [CNP]</t>
        </is>
      </c>
      <c r="L105" s="130" t="inlineStr">
        <is>
          <t>✓</t>
        </is>
      </c>
      <c r="M105" s="134" t="inlineStr">
        <is>
          <t>19.64</t>
        </is>
      </c>
      <c r="N105" s="129" t="inlineStr">
        <is>
          <t>ППК26063, (11.05.2026) [CNP]</t>
        </is>
      </c>
      <c r="O105" s="130" t="inlineStr">
        <is>
          <t>✓</t>
        </is>
      </c>
      <c r="P105" s="135" t="inlineStr">
        <is>
          <t>0.06</t>
        </is>
      </c>
      <c r="Q105" s="129" t="inlineStr">
        <is>
          <t>ППК26063, (11.05.2026) [CNP]</t>
        </is>
      </c>
      <c r="R105" s="130" t="inlineStr">
        <is>
          <t>✓</t>
        </is>
      </c>
      <c r="S105" s="135" t="inlineStr">
        <is>
          <t>&lt; LOQ ᴰ</t>
        </is>
      </c>
      <c r="T105" s="129" t="inlineStr">
        <is>
          <t>ППК26063, (11.05.2026) [CNP]</t>
        </is>
      </c>
      <c r="U105" s="130" t="inlineStr">
        <is>
          <t>✓</t>
        </is>
      </c>
      <c r="V105" s="128" t="inlineStr">
        <is>
          <t>Conforms</t>
        </is>
      </c>
      <c r="W105" s="129">
        <f>IFERROR(INDEX('iCoA Register'!$B:$B,MATCH("P060212|I",'iCoA Register'!$AA:$AA,0)),"iCoA — at issue")&amp;", (21.04.2026) [PP]"</f>
        <v/>
      </c>
      <c r="X105" s="130" t="inlineStr">
        <is>
          <t>✓</t>
        </is>
      </c>
      <c r="Y105" s="128" t="inlineStr">
        <is>
          <t>6.69</t>
        </is>
      </c>
      <c r="Z105" s="129" t="inlineStr">
        <is>
          <t>ППК26063, (11.05.2026) [CNP]</t>
        </is>
      </c>
      <c r="AA105" s="130" t="inlineStr">
        <is>
          <t>✓</t>
        </is>
      </c>
      <c r="AB105" s="131" t="inlineStr">
        <is>
          <t>1 × 10⁴</t>
        </is>
      </c>
      <c r="AC105" s="197" t="inlineStr">
        <is>
          <t>6.7 × 10³</t>
        </is>
      </c>
      <c r="AD105" s="197" t="inlineStr">
        <is>
          <t>&lt; 10³ and &gt; 10²</t>
        </is>
      </c>
      <c r="AE105" s="197" t="inlineStr">
        <is>
          <t>Absent</t>
        </is>
      </c>
      <c r="AF105" s="197" t="inlineStr">
        <is>
          <t>Absent</t>
        </is>
      </c>
      <c r="AG105" s="133" t="inlineStr">
        <is>
          <t>•</t>
        </is>
      </c>
      <c r="AH105" s="128" t="inlineStr">
        <is>
          <t>ND</t>
        </is>
      </c>
      <c r="AI105" s="136" t="inlineStr">
        <is>
          <t>&lt; 2</t>
        </is>
      </c>
      <c r="AJ105" s="136" t="inlineStr">
        <is>
          <t>ND</t>
        </is>
      </c>
      <c r="AK105" s="130" t="inlineStr">
        <is>
          <t>✓</t>
        </is>
      </c>
      <c r="AL105" s="128" t="inlineStr">
        <is>
          <t>0.022</t>
        </is>
      </c>
      <c r="AM105" s="136" t="inlineStr">
        <is>
          <t>0.0149</t>
        </is>
      </c>
      <c r="AN105" s="136" t="inlineStr">
        <is>
          <t>0.02</t>
        </is>
      </c>
      <c r="AO105" s="136" t="inlineStr">
        <is>
          <t>0.0166</t>
        </is>
      </c>
      <c r="AP105" s="130" t="inlineStr">
        <is>
          <t>✓</t>
        </is>
      </c>
      <c r="AQ105" s="128" t="inlineStr">
        <is>
          <t>≤ LOQ (all 26 compounds)</t>
        </is>
      </c>
      <c r="AR105" s="129" t="inlineStr">
        <is>
          <t>2361-2026, (30.04.2026) [IJZ]</t>
        </is>
      </c>
      <c r="AS105" s="137" t="inlineStr">
        <is>
          <t>✓</t>
        </is>
      </c>
    </row>
    <row r="106" ht="13" customHeight="1" s="70">
      <c r="A106" s="138" t="n"/>
      <c r="D106" s="139" t="n"/>
      <c r="F106" s="140" t="n"/>
      <c r="G106" s="139" t="n"/>
      <c r="I106" s="140" t="n"/>
      <c r="J106" s="139" t="n"/>
      <c r="L106" s="140" t="n"/>
      <c r="M106" s="139" t="n"/>
      <c r="O106" s="140" t="n"/>
      <c r="P106" s="139" t="n"/>
      <c r="R106" s="140" t="n"/>
      <c r="S106" s="139" t="n"/>
      <c r="U106" s="140" t="n"/>
      <c r="V106" s="139" t="n"/>
      <c r="X106" s="140" t="n"/>
      <c r="Y106" s="139" t="n"/>
      <c r="AA106" s="140" t="n"/>
      <c r="AB106" s="199" t="inlineStr">
        <is>
          <t>306-0550-26, (28.04.2026) [IJZ-MB] · on file, not credited</t>
        </is>
      </c>
      <c r="AG106" s="140" t="n"/>
      <c r="AH106" s="141" t="inlineStr">
        <is>
          <t>2361-2026, (30.04.2026) [IJZ]</t>
        </is>
      </c>
      <c r="AK106" s="140" t="n"/>
      <c r="AL106" s="141" t="inlineStr">
        <is>
          <t>2361-2026, (30.04.2026) [IJZ]</t>
        </is>
      </c>
      <c r="AP106" s="140" t="n"/>
      <c r="AQ106" s="139" t="n"/>
      <c r="AS106" s="142" t="n"/>
    </row>
    <row r="107" ht="21" customHeight="1" s="70">
      <c r="A107" s="143" t="n"/>
      <c r="B107" s="144" t="n"/>
      <c r="D107" s="145" t="n"/>
      <c r="E107" s="144" t="n"/>
      <c r="F107" s="146" t="n"/>
      <c r="G107" s="189" t="inlineStr">
        <is>
          <t>not on this certificate</t>
        </is>
      </c>
      <c r="H107" s="190" t="inlineStr">
        <is>
          <t>ППК26063, (11.05.2026) [CNP] · on file, not credited</t>
        </is>
      </c>
      <c r="I107" s="191" t="inlineStr">
        <is>
          <t>•</t>
        </is>
      </c>
      <c r="J107" s="189" t="inlineStr">
        <is>
          <t>Conforms (ImB spec.)</t>
        </is>
      </c>
      <c r="K107" s="190" t="inlineStr">
        <is>
          <t>ППК26065, (11.05.2026) [CNP] · on file, not credited</t>
        </is>
      </c>
      <c r="L107" s="191" t="inlineStr">
        <is>
          <t>•</t>
        </is>
      </c>
      <c r="M107" s="203" t="inlineStr">
        <is>
          <t>13.93</t>
        </is>
      </c>
      <c r="N107" s="190" t="inlineStr">
        <is>
          <t>ППК26065, (11.05.2026) [CNP] · on file, not credited</t>
        </is>
      </c>
      <c r="O107" s="191" t="inlineStr">
        <is>
          <t>•</t>
        </is>
      </c>
      <c r="P107" s="204" t="inlineStr">
        <is>
          <t>0.04</t>
        </is>
      </c>
      <c r="Q107" s="190" t="inlineStr">
        <is>
          <t>ППК26065, (11.05.2026) [CNP] · on file, not credited</t>
        </is>
      </c>
      <c r="R107" s="191" t="inlineStr">
        <is>
          <t>•</t>
        </is>
      </c>
      <c r="S107" s="204" t="inlineStr">
        <is>
          <t>&lt; LOQ ᴰ</t>
        </is>
      </c>
      <c r="T107" s="190" t="inlineStr">
        <is>
          <t>ППК26065, (11.05.2026) [CNP] · on file, not credited</t>
        </is>
      </c>
      <c r="U107" s="191" t="inlineStr">
        <is>
          <t>•</t>
        </is>
      </c>
      <c r="V107" s="145" t="n"/>
      <c r="W107" s="144" t="n"/>
      <c r="X107" s="146" t="n"/>
      <c r="Y107" s="189" t="inlineStr">
        <is>
          <t>6.38</t>
        </is>
      </c>
      <c r="Z107" s="190" t="inlineStr">
        <is>
          <t>ППК26065, (11.05.2026) [CNP] · on file, not credited</t>
        </is>
      </c>
      <c r="AA107" s="191" t="inlineStr">
        <is>
          <t>•</t>
        </is>
      </c>
      <c r="AB107" s="155" t="inlineStr">
        <is>
          <t>2.6 × 10³</t>
        </is>
      </c>
      <c r="AC107" s="156" t="inlineStr">
        <is>
          <t>3.3 × 10³</t>
        </is>
      </c>
      <c r="AD107" s="156" t="inlineStr">
        <is>
          <t>not reported</t>
        </is>
      </c>
      <c r="AE107" s="156" t="inlineStr">
        <is>
          <t>Absent</t>
        </is>
      </c>
      <c r="AF107" s="156" t="inlineStr">
        <is>
          <t>Absent</t>
        </is>
      </c>
      <c r="AG107" s="186" t="inlineStr">
        <is>
          <t>✓</t>
        </is>
      </c>
      <c r="AH107" s="189" t="inlineStr">
        <is>
          <t>ND</t>
        </is>
      </c>
      <c r="AI107" s="211" t="inlineStr">
        <is>
          <t>&lt; 2</t>
        </is>
      </c>
      <c r="AJ107" s="211" t="inlineStr">
        <is>
          <t>ND</t>
        </is>
      </c>
      <c r="AK107" s="191" t="inlineStr">
        <is>
          <t>•</t>
        </is>
      </c>
      <c r="AL107" s="189" t="inlineStr">
        <is>
          <t>0.0109</t>
        </is>
      </c>
      <c r="AM107" s="211" t="inlineStr">
        <is>
          <t>0.01287</t>
        </is>
      </c>
      <c r="AN107" s="211" t="inlineStr">
        <is>
          <t>0.0175</t>
        </is>
      </c>
      <c r="AO107" s="211" t="inlineStr">
        <is>
          <t>0.0165</t>
        </is>
      </c>
      <c r="AP107" s="191" t="inlineStr">
        <is>
          <t>•</t>
        </is>
      </c>
      <c r="AQ107" s="189" t="inlineStr">
        <is>
          <t>≤ LOQ (all 27 compounds)</t>
        </is>
      </c>
      <c r="AR107" s="190" t="inlineStr">
        <is>
          <t>2365-2026, (30.04.2026) [IJZ] · on file, not credited</t>
        </is>
      </c>
      <c r="AS107" s="212" t="inlineStr">
        <is>
          <t>•</t>
        </is>
      </c>
    </row>
    <row r="108" ht="21" customHeight="1" s="70">
      <c r="A108" s="192" t="n"/>
      <c r="B108" s="193" t="n"/>
      <c r="D108" s="194" t="n"/>
      <c r="E108" s="193" t="n"/>
      <c r="F108" s="195" t="n"/>
      <c r="G108" s="194" t="n"/>
      <c r="H108" s="193" t="n"/>
      <c r="I108" s="195" t="n"/>
      <c r="J108" s="194" t="n"/>
      <c r="K108" s="193" t="n"/>
      <c r="L108" s="195" t="n"/>
      <c r="M108" s="194" t="n"/>
      <c r="N108" s="193" t="n"/>
      <c r="O108" s="195" t="n"/>
      <c r="P108" s="194" t="n"/>
      <c r="Q108" s="193" t="n"/>
      <c r="R108" s="195" t="n"/>
      <c r="S108" s="194" t="n"/>
      <c r="T108" s="193" t="n"/>
      <c r="U108" s="195" t="n"/>
      <c r="V108" s="194" t="n"/>
      <c r="W108" s="193" t="n"/>
      <c r="X108" s="195" t="n"/>
      <c r="Y108" s="194" t="n"/>
      <c r="Z108" s="193" t="n"/>
      <c r="AA108" s="195" t="n"/>
      <c r="AB108" s="210" t="inlineStr">
        <is>
          <t>307-0551-26, (28.04.2026) [IJZ-MB]</t>
        </is>
      </c>
      <c r="AC108" s="193" t="n"/>
      <c r="AD108" s="193" t="n"/>
      <c r="AE108" s="193" t="n"/>
      <c r="AF108" s="193" t="n"/>
      <c r="AG108" s="195" t="n"/>
      <c r="AH108" s="213" t="inlineStr">
        <is>
          <t>2365-2026, (30.04.2026) [IJZ] · on file, not credited</t>
        </is>
      </c>
      <c r="AI108" s="193" t="n"/>
      <c r="AJ108" s="193" t="n"/>
      <c r="AK108" s="195" t="n"/>
      <c r="AL108" s="213" t="inlineStr">
        <is>
          <t>2365-2026, (30.04.2026) [IJZ] · on file, not credited</t>
        </is>
      </c>
      <c r="AM108" s="193" t="n"/>
      <c r="AN108" s="193" t="n"/>
      <c r="AO108" s="193" t="n"/>
      <c r="AP108" s="195" t="n"/>
      <c r="AQ108" s="194" t="n"/>
      <c r="AR108" s="193" t="n"/>
      <c r="AS108" s="196" t="n"/>
    </row>
    <row r="109" ht="17.625" customHeight="1" s="70">
      <c r="A109" s="143" t="n"/>
      <c r="B109" s="144" t="n"/>
      <c r="D109" s="145" t="n"/>
      <c r="E109" s="144" t="n"/>
      <c r="F109" s="146" t="n"/>
      <c r="G109" s="152" t="inlineStr">
        <is>
          <t>not on this certificate</t>
        </is>
      </c>
      <c r="H109" s="153" t="inlineStr">
        <is>
          <t>ППК26065, (11.05.2026) [CNP] · on file, not credited</t>
        </is>
      </c>
      <c r="I109" s="154" t="inlineStr">
        <is>
          <t>•</t>
        </is>
      </c>
      <c r="J109" s="147" t="inlineStr">
        <is>
          <t>Conforms (ImB spec.) ᴿ</t>
        </is>
      </c>
      <c r="K109" s="148" t="inlineStr">
        <is>
          <t>197-15-K-26, (07.08.2026) [FHM-K]</t>
        </is>
      </c>
      <c r="L109" s="149" t="inlineStr">
        <is>
          <t>✓</t>
        </is>
      </c>
      <c r="M109" s="150" t="inlineStr">
        <is>
          <t>20.32</t>
        </is>
      </c>
      <c r="N109" s="148" t="inlineStr">
        <is>
          <t>197-15-K-26, (07.08.2026) [FHM-K]</t>
        </is>
      </c>
      <c r="O109" s="149" t="inlineStr">
        <is>
          <t>✓</t>
        </is>
      </c>
      <c r="P109" s="151" t="inlineStr">
        <is>
          <t>&lt; LOQ</t>
        </is>
      </c>
      <c r="Q109" s="148" t="inlineStr">
        <is>
          <t>197-15-K-26, (07.08.2026) [FHM-K]</t>
        </is>
      </c>
      <c r="R109" s="149" t="inlineStr">
        <is>
          <t>✓</t>
        </is>
      </c>
      <c r="S109" s="151" t="inlineStr">
        <is>
          <t>&lt; LOQ</t>
        </is>
      </c>
      <c r="T109" s="148" t="inlineStr">
        <is>
          <t>197-15-K-26, (07.08.2026) [FHM-K]</t>
        </is>
      </c>
      <c r="U109" s="149" t="inlineStr">
        <is>
          <t>✓</t>
        </is>
      </c>
      <c r="V109" s="145" t="n"/>
      <c r="W109" s="144" t="n"/>
      <c r="X109" s="146" t="n"/>
      <c r="Y109" s="152" t="inlineStr">
        <is>
          <t>not on this certificate</t>
        </is>
      </c>
      <c r="Z109" s="153" t="inlineStr">
        <is>
          <t>197-15-K-26, (07.08.2026) [FHM-K] · on file, not credited</t>
        </is>
      </c>
      <c r="AA109" s="154" t="inlineStr">
        <is>
          <t>•</t>
        </is>
      </c>
      <c r="AB109" s="145" t="n"/>
      <c r="AC109" s="144" t="n"/>
      <c r="AD109" s="144" t="n"/>
      <c r="AE109" s="144" t="n"/>
      <c r="AF109" s="144" t="n"/>
      <c r="AG109" s="146" t="n"/>
      <c r="AH109" s="155" t="inlineStr">
        <is>
          <t>ND</t>
        </is>
      </c>
      <c r="AI109" s="156" t="inlineStr">
        <is>
          <t>ND</t>
        </is>
      </c>
      <c r="AJ109" s="156" t="inlineStr">
        <is>
          <t>ND</t>
        </is>
      </c>
      <c r="AK109" s="149" t="inlineStr">
        <is>
          <t>✓</t>
        </is>
      </c>
      <c r="AL109" s="145" t="n"/>
      <c r="AM109" s="144" t="n"/>
      <c r="AN109" s="144" t="n"/>
      <c r="AO109" s="144" t="n"/>
      <c r="AP109" s="146" t="n"/>
      <c r="AQ109" s="145" t="n"/>
      <c r="AR109" s="144" t="n"/>
      <c r="AS109" s="157" t="n"/>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60" t="n"/>
      <c r="AC110" s="159" t="n"/>
      <c r="AD110" s="159" t="n"/>
      <c r="AE110" s="159" t="n"/>
      <c r="AF110" s="159" t="n"/>
      <c r="AG110" s="161" t="n"/>
      <c r="AH110" s="162" t="inlineStr">
        <is>
          <t>197-15-M-26, (10.08.2026) [FHM-M]</t>
        </is>
      </c>
      <c r="AI110" s="159" t="n"/>
      <c r="AJ110" s="159" t="n"/>
      <c r="AK110" s="161" t="n"/>
      <c r="AL110" s="160" t="n"/>
      <c r="AM110" s="159" t="n"/>
      <c r="AN110" s="159" t="n"/>
      <c r="AO110" s="159" t="n"/>
      <c r="AP110" s="161" t="n"/>
      <c r="AQ110" s="160" t="n"/>
      <c r="AR110" s="159" t="n"/>
      <c r="AS110" s="163" t="n"/>
    </row>
    <row r="111" ht="21" customHeight="1" s="70">
      <c r="A111" s="125" t="inlineStr">
        <is>
          <t>JD112501＊</t>
        </is>
      </c>
      <c r="B111" s="126" t="inlineStr">
        <is>
          <t>N/A — no P batch assigned</t>
        </is>
      </c>
      <c r="C111" s="127" t="inlineStr">
        <is>
          <t>✓ COMPLETE</t>
        </is>
      </c>
      <c r="D111" s="172" t="inlineStr">
        <is>
          <t>Conforms</t>
        </is>
      </c>
      <c r="E111" s="173">
        <f>IFERROR(INDEX('iCoA Register'!$B:$B,MATCH("JD112501|I",'iCoA Register'!$AA:$AA,0)),"iCoA — at issue")&amp;", (packaging date — to record) [PP]"</f>
        <v/>
      </c>
      <c r="F111" s="174" t="inlineStr">
        <is>
          <t>✓</t>
        </is>
      </c>
      <c r="G111" s="172" t="inlineStr">
        <is>
          <t>Conforms</t>
        </is>
      </c>
      <c r="H111" s="173">
        <f>IFERROR(INDEX('iCoA Register'!$B:$B,MATCH("JD112501|I",'iCoA Register'!$AA:$AA,0)),"iCoA — at issue")&amp;", (packaging date — to record) [PP]"</f>
        <v/>
      </c>
      <c r="I111" s="174" t="inlineStr">
        <is>
          <t>✓</t>
        </is>
      </c>
      <c r="J111" s="172" t="inlineStr">
        <is>
          <t>Conforms (ImB spec.)</t>
        </is>
      </c>
      <c r="K111" s="173" t="inlineStr">
        <is>
          <t>ППК26065, (11.05.2026) [CNP]</t>
        </is>
      </c>
      <c r="L111" s="174" t="inlineStr">
        <is>
          <t>✓</t>
        </is>
      </c>
      <c r="M111" s="175" t="inlineStr">
        <is>
          <t>13.93</t>
        </is>
      </c>
      <c r="N111" s="173" t="inlineStr">
        <is>
          <t>ППК26065, (11.05.2026) [CNP]</t>
        </is>
      </c>
      <c r="O111" s="174" t="inlineStr">
        <is>
          <t>✓</t>
        </is>
      </c>
      <c r="P111" s="176" t="inlineStr">
        <is>
          <t>0.04</t>
        </is>
      </c>
      <c r="Q111" s="173" t="inlineStr">
        <is>
          <t>ППК26065, (11.05.2026) [CNP]</t>
        </is>
      </c>
      <c r="R111" s="174" t="inlineStr">
        <is>
          <t>✓</t>
        </is>
      </c>
      <c r="S111" s="176" t="inlineStr">
        <is>
          <t>&lt; LOQ ᴰ</t>
        </is>
      </c>
      <c r="T111" s="173" t="inlineStr">
        <is>
          <t>ППК26065, (11.05.2026) [CNP]</t>
        </is>
      </c>
      <c r="U111" s="174" t="inlineStr">
        <is>
          <t>✓</t>
        </is>
      </c>
      <c r="V111" s="172" t="inlineStr">
        <is>
          <t>Conforms</t>
        </is>
      </c>
      <c r="W111" s="173">
        <f>IFERROR(INDEX('iCoA Register'!$B:$B,MATCH("JD112501|I",'iCoA Register'!$AA:$AA,0)),"iCoA — at issue")&amp;", (packaging date — to record) [PP]"</f>
        <v/>
      </c>
      <c r="X111" s="174" t="inlineStr">
        <is>
          <t>✓</t>
        </is>
      </c>
      <c r="Y111" s="172" t="inlineStr">
        <is>
          <t>6.38</t>
        </is>
      </c>
      <c r="Z111" s="173" t="inlineStr">
        <is>
          <t>ППК26065, (11.05.2026) [CNP]</t>
        </is>
      </c>
      <c r="AA111" s="174" t="inlineStr">
        <is>
          <t>✓</t>
        </is>
      </c>
      <c r="AB111" s="128" t="inlineStr">
        <is>
          <t>1 × 10⁴</t>
        </is>
      </c>
      <c r="AC111" s="136" t="inlineStr">
        <is>
          <t>6.7 × 10³</t>
        </is>
      </c>
      <c r="AD111" s="136" t="inlineStr">
        <is>
          <t>&lt; 10³ and &gt; 10²</t>
        </is>
      </c>
      <c r="AE111" s="136" t="inlineStr">
        <is>
          <t>Absent</t>
        </is>
      </c>
      <c r="AF111" s="136" t="inlineStr">
        <is>
          <t>Absent</t>
        </is>
      </c>
      <c r="AG111" s="174" t="inlineStr">
        <is>
          <t>✓</t>
        </is>
      </c>
      <c r="AH111" s="128" t="inlineStr">
        <is>
          <t>ND</t>
        </is>
      </c>
      <c r="AI111" s="136" t="inlineStr">
        <is>
          <t>&lt; 2</t>
        </is>
      </c>
      <c r="AJ111" s="136" t="inlineStr">
        <is>
          <t>ND</t>
        </is>
      </c>
      <c r="AK111" s="174" t="inlineStr">
        <is>
          <t>✓</t>
        </is>
      </c>
      <c r="AL111" s="128" t="inlineStr">
        <is>
          <t>0.0109</t>
        </is>
      </c>
      <c r="AM111" s="136" t="inlineStr">
        <is>
          <t>0.01287</t>
        </is>
      </c>
      <c r="AN111" s="136" t="inlineStr">
        <is>
          <t>0.0175</t>
        </is>
      </c>
      <c r="AO111" s="136" t="inlineStr">
        <is>
          <t>0.0165</t>
        </is>
      </c>
      <c r="AP111" s="174" t="inlineStr">
        <is>
          <t>✓</t>
        </is>
      </c>
      <c r="AQ111" s="172" t="inlineStr">
        <is>
          <t>≤ LOQ (all 27 compounds)</t>
        </is>
      </c>
      <c r="AR111" s="173" t="inlineStr">
        <is>
          <t>2365-2026, (30.04.2026) [IJZ]</t>
        </is>
      </c>
      <c r="AS111" s="214" t="inlineStr">
        <is>
          <t>✓</t>
        </is>
      </c>
    </row>
    <row r="112" ht="21" customHeight="1" s="70">
      <c r="A112" s="158" t="n"/>
      <c r="B112" s="159" t="n"/>
      <c r="C112" s="159" t="n"/>
      <c r="D112" s="160" t="n"/>
      <c r="E112" s="159" t="n"/>
      <c r="F112" s="161" t="n"/>
      <c r="G112" s="160" t="n"/>
      <c r="H112" s="159" t="n"/>
      <c r="I112" s="161" t="n"/>
      <c r="J112" s="160" t="n"/>
      <c r="K112" s="159" t="n"/>
      <c r="L112" s="161" t="n"/>
      <c r="M112" s="160" t="n"/>
      <c r="N112" s="159" t="n"/>
      <c r="O112" s="161" t="n"/>
      <c r="P112" s="160" t="n"/>
      <c r="Q112" s="159" t="n"/>
      <c r="R112" s="161" t="n"/>
      <c r="S112" s="160" t="n"/>
      <c r="T112" s="159" t="n"/>
      <c r="U112" s="161" t="n"/>
      <c r="V112" s="160" t="n"/>
      <c r="W112" s="159" t="n"/>
      <c r="X112" s="161" t="n"/>
      <c r="Y112" s="160" t="n"/>
      <c r="Z112" s="159" t="n"/>
      <c r="AA112" s="161" t="n"/>
      <c r="AB112" s="162" t="inlineStr">
        <is>
          <t>306-0550-26, (28.04.2026) [IJZ-MB]</t>
        </is>
      </c>
      <c r="AC112" s="159" t="n"/>
      <c r="AD112" s="159" t="n"/>
      <c r="AE112" s="159" t="n"/>
      <c r="AF112" s="159" t="n"/>
      <c r="AG112" s="161" t="n"/>
      <c r="AH112" s="162" t="inlineStr">
        <is>
          <t>2365-2026, (30.04.2026) [IJZ]</t>
        </is>
      </c>
      <c r="AI112" s="159" t="n"/>
      <c r="AJ112" s="159" t="n"/>
      <c r="AK112" s="161" t="n"/>
      <c r="AL112" s="162" t="inlineStr">
        <is>
          <t>2365-2026, (30.04.2026) [IJZ]</t>
        </is>
      </c>
      <c r="AM112" s="159" t="n"/>
      <c r="AN112" s="159" t="n"/>
      <c r="AO112" s="159" t="n"/>
      <c r="AP112" s="161" t="n"/>
      <c r="AQ112" s="160" t="n"/>
      <c r="AR112" s="159" t="n"/>
      <c r="AS112" s="163" t="n"/>
    </row>
    <row r="113" ht="21" customHeight="1" s="70">
      <c r="A113" s="125" t="inlineStr">
        <is>
          <t>KC102501</t>
        </is>
      </c>
      <c r="B113" s="126" t="inlineStr">
        <is>
          <t>P060172</t>
        </is>
      </c>
      <c r="C113" s="164" t="inlineStr">
        <is>
          <t>⚠ 3 NO RESULT
(3 no cert / 0 cert w/o result)
2 testing instances
• 2 document(s) on file, not credited</t>
        </is>
      </c>
      <c r="D113" s="128" t="inlineStr">
        <is>
          <t>Conforms</t>
        </is>
      </c>
      <c r="E113" s="129">
        <f>IFERROR(INDEX('iCoA Register'!$B:$B,MATCH("P060172|I",'iCoA Register'!$AA:$AA,0)),"iCoA — at issue")&amp;", (12.03.2026) [PP]"</f>
        <v/>
      </c>
      <c r="F113" s="130" t="inlineStr">
        <is>
          <t>✓</t>
        </is>
      </c>
      <c r="G113" s="128" t="inlineStr">
        <is>
          <t>Conforms</t>
        </is>
      </c>
      <c r="H113" s="129">
        <f>IFERROR(INDEX('iCoA Register'!$B:$B,MATCH("P060172|I",'iCoA Register'!$AA:$AA,0)),"iCoA — at issue")&amp;", (12.03.2026) [PP]"</f>
        <v/>
      </c>
      <c r="I113" s="130" t="inlineStr">
        <is>
          <t>✓</t>
        </is>
      </c>
      <c r="J113" s="131" t="inlineStr">
        <is>
          <t>not on this certificate</t>
        </is>
      </c>
      <c r="K113" s="132" t="inlineStr">
        <is>
          <t>051-4-LoD-26, (02.03.2026) [FHM-K] · on file, not credited</t>
        </is>
      </c>
      <c r="L113" s="133" t="inlineStr">
        <is>
          <t>•</t>
        </is>
      </c>
      <c r="M113" s="183" t="inlineStr">
        <is>
          <t>not on this certificate</t>
        </is>
      </c>
      <c r="N113" s="132" t="inlineStr">
        <is>
          <t>051-4-LoD-26, (02.03.2026) [FHM-K] · on file, not credited</t>
        </is>
      </c>
      <c r="O113" s="133" t="inlineStr">
        <is>
          <t>•</t>
        </is>
      </c>
      <c r="P113" s="184" t="inlineStr">
        <is>
          <t>not on this certificate</t>
        </is>
      </c>
      <c r="Q113" s="132" t="inlineStr">
        <is>
          <t>051-4-LoD-26, (02.03.2026) [FHM-K] · on file, not credited</t>
        </is>
      </c>
      <c r="R113" s="133" t="inlineStr">
        <is>
          <t>•</t>
        </is>
      </c>
      <c r="S113" s="184" t="inlineStr">
        <is>
          <t>not on this certificate</t>
        </is>
      </c>
      <c r="T113" s="132" t="inlineStr">
        <is>
          <t>051-4-LoD-26, (02.03.2026) [FHM-K] · on file, not credited</t>
        </is>
      </c>
      <c r="U113" s="133" t="inlineStr">
        <is>
          <t>•</t>
        </is>
      </c>
      <c r="V113" s="128" t="inlineStr">
        <is>
          <t>Conforms</t>
        </is>
      </c>
      <c r="W113" s="129">
        <f>IFERROR(INDEX('iCoA Register'!$B:$B,MATCH("P060172|I",'iCoA Register'!$AA:$AA,0)),"iCoA — at issue")&amp;", (12.03.2026) [PP]"</f>
        <v/>
      </c>
      <c r="X113" s="130" t="inlineStr">
        <is>
          <t>✓</t>
        </is>
      </c>
      <c r="Y113" s="128" t="inlineStr">
        <is>
          <t>8.6</t>
        </is>
      </c>
      <c r="Z113" s="129" t="inlineStr">
        <is>
          <t>051-4-LoD-26, (02.03.2026) [FHM-K]</t>
        </is>
      </c>
      <c r="AA113" s="130" t="inlineStr">
        <is>
          <t>✓</t>
        </is>
      </c>
      <c r="AB113" s="165" t="inlineStr">
        <is>
          <t>— MISSING —</t>
        </is>
      </c>
      <c r="AC113" s="166" t="inlineStr">
        <is>
          <t>— MISSING —</t>
        </is>
      </c>
      <c r="AD113" s="166" t="inlineStr">
        <is>
          <t>— MISSING —</t>
        </is>
      </c>
      <c r="AE113" s="166" t="inlineStr">
        <is>
          <t>— MISSING —</t>
        </is>
      </c>
      <c r="AF113" s="166" t="inlineStr">
        <is>
          <t>— MISSING —</t>
        </is>
      </c>
      <c r="AG113" s="167" t="inlineStr">
        <is>
          <t>✗</t>
        </is>
      </c>
      <c r="AH113" s="128" t="inlineStr">
        <is>
          <t>ND</t>
        </is>
      </c>
      <c r="AI113" s="136" t="inlineStr">
        <is>
          <t>ND</t>
        </is>
      </c>
      <c r="AJ113" s="136" t="inlineStr">
        <is>
          <t>ND</t>
        </is>
      </c>
      <c r="AK113" s="130" t="inlineStr">
        <is>
          <t>✓</t>
        </is>
      </c>
      <c r="AL113" s="165" t="inlineStr">
        <is>
          <t>— MISSING —</t>
        </is>
      </c>
      <c r="AM113" s="166" t="inlineStr">
        <is>
          <t>— MISSING —</t>
        </is>
      </c>
      <c r="AN113" s="166" t="inlineStr">
        <is>
          <t>— MISSING —</t>
        </is>
      </c>
      <c r="AO113" s="166" t="inlineStr">
        <is>
          <t>— MISSING —</t>
        </is>
      </c>
      <c r="AP113" s="167" t="inlineStr">
        <is>
          <t>✗</t>
        </is>
      </c>
      <c r="AQ113" s="165" t="inlineStr">
        <is>
          <t>— MISSING —</t>
        </is>
      </c>
      <c r="AR113" s="168" t="inlineStr">
        <is>
          <t>— no certificate —</t>
        </is>
      </c>
      <c r="AS113" s="169" t="inlineStr">
        <is>
          <t>✗</t>
        </is>
      </c>
    </row>
    <row r="114" ht="21" customHeight="1" s="70">
      <c r="A114" s="138" t="n"/>
      <c r="D114" s="139" t="n"/>
      <c r="F114" s="140" t="n"/>
      <c r="G114" s="139" t="n"/>
      <c r="I114" s="140" t="n"/>
      <c r="J114" s="139" t="n"/>
      <c r="L114" s="140" t="n"/>
      <c r="M114" s="139" t="n"/>
      <c r="O114" s="140" t="n"/>
      <c r="P114" s="139" t="n"/>
      <c r="R114" s="140" t="n"/>
      <c r="S114" s="139" t="n"/>
      <c r="U114" s="140" t="n"/>
      <c r="V114" s="139" t="n"/>
      <c r="X114" s="140" t="n"/>
      <c r="Y114" s="139" t="n"/>
      <c r="AA114" s="140" t="n"/>
      <c r="AB114" s="170" t="inlineStr">
        <is>
          <t>— no certificate —</t>
        </is>
      </c>
      <c r="AG114" s="140" t="n"/>
      <c r="AH114" s="141" t="inlineStr">
        <is>
          <t>220-19-M-26, (11.09.2026) [FHM-M]</t>
        </is>
      </c>
      <c r="AK114" s="140" t="n"/>
      <c r="AL114" s="170" t="inlineStr">
        <is>
          <t>— no certificate —</t>
        </is>
      </c>
      <c r="AP114" s="140" t="n"/>
      <c r="AQ114" s="139" t="n"/>
      <c r="AS114" s="142" t="n"/>
    </row>
    <row r="115" ht="17.625" customHeight="1" s="70">
      <c r="A115" s="143" t="n"/>
      <c r="B115" s="144" t="n"/>
      <c r="D115" s="145" t="n"/>
      <c r="E115" s="144" t="n"/>
      <c r="F115" s="146" t="n"/>
      <c r="G115" s="145" t="n"/>
      <c r="H115" s="144" t="n"/>
      <c r="I115" s="146" t="n"/>
      <c r="J115" s="147" t="inlineStr">
        <is>
          <t>Conforms (ImB spec.) ᴿ</t>
        </is>
      </c>
      <c r="K115" s="148" t="inlineStr">
        <is>
          <t>051-4-K-26, (04.03.2026) [FHM-K]</t>
        </is>
      </c>
      <c r="L115" s="149" t="inlineStr">
        <is>
          <t>✓</t>
        </is>
      </c>
      <c r="M115" s="150" t="inlineStr">
        <is>
          <t>17.04</t>
        </is>
      </c>
      <c r="N115" s="148" t="inlineStr">
        <is>
          <t>051-4-K-26, (04.03.2026) [FHM-K]</t>
        </is>
      </c>
      <c r="O115" s="149" t="inlineStr">
        <is>
          <t>✓</t>
        </is>
      </c>
      <c r="P115" s="151" t="inlineStr">
        <is>
          <t>&lt; LOQ**</t>
        </is>
      </c>
      <c r="Q115" s="148" t="inlineStr">
        <is>
          <t>051-4-K-26, (04.03.2026) [FHM-K]</t>
        </is>
      </c>
      <c r="R115" s="149" t="inlineStr">
        <is>
          <t>✓</t>
        </is>
      </c>
      <c r="S115" s="151" t="inlineStr">
        <is>
          <t>&lt; LOQ**</t>
        </is>
      </c>
      <c r="T115" s="148" t="inlineStr">
        <is>
          <t>051-4-K-26, (04.03.2026) [FHM-K]</t>
        </is>
      </c>
      <c r="U115" s="149" t="inlineStr">
        <is>
          <t>✓</t>
        </is>
      </c>
      <c r="V115" s="145" t="n"/>
      <c r="W115" s="144" t="n"/>
      <c r="X115" s="146" t="n"/>
      <c r="Y115" s="152" t="inlineStr">
        <is>
          <t>not on this certificate</t>
        </is>
      </c>
      <c r="Z115" s="153" t="inlineStr">
        <is>
          <t>051-4-K-26, (04.03.2026) [FHM-K] · on file, not credited</t>
        </is>
      </c>
      <c r="AA115" s="154" t="inlineStr">
        <is>
          <t>•</t>
        </is>
      </c>
      <c r="AB115" s="145" t="n"/>
      <c r="AC115" s="144" t="n"/>
      <c r="AD115" s="144" t="n"/>
      <c r="AE115" s="144" t="n"/>
      <c r="AF115" s="144" t="n"/>
      <c r="AG115" s="146" t="n"/>
      <c r="AH115" s="145" t="n"/>
      <c r="AI115" s="144" t="n"/>
      <c r="AJ115" s="144" t="n"/>
      <c r="AK115" s="146" t="n"/>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0" t="n"/>
      <c r="AI116" s="159" t="n"/>
      <c r="AJ116" s="159" t="n"/>
      <c r="AK116" s="161" t="n"/>
      <c r="AL116" s="160" t="n"/>
      <c r="AM116" s="159" t="n"/>
      <c r="AN116" s="159" t="n"/>
      <c r="AO116" s="159" t="n"/>
      <c r="AP116" s="161" t="n"/>
      <c r="AQ116" s="160" t="n"/>
      <c r="AR116" s="159" t="n"/>
      <c r="AS116" s="163" t="n"/>
    </row>
    <row r="117" ht="21" customHeight="1" s="70">
      <c r="A117" s="125" t="inlineStr">
        <is>
          <t>OPM1024</t>
        </is>
      </c>
      <c r="B117" s="126" t="inlineStr">
        <is>
          <t>N/A — no P batch assigned</t>
        </is>
      </c>
      <c r="C117" s="171" t="inlineStr">
        <is>
          <t>✗ 4 NO RESULT
(4 no cert / 0 cert w/o result)
2 testing instances
• 2 document(s) on file, not credited</t>
        </is>
      </c>
      <c r="D117" s="128" t="inlineStr">
        <is>
          <t>Conforms</t>
        </is>
      </c>
      <c r="E117" s="129" t="inlineStr">
        <is>
          <t>iCoA — at issue (OPM1024), (23.04.2025) [PP]</t>
        </is>
      </c>
      <c r="F117" s="130" t="inlineStr">
        <is>
          <t>✓</t>
        </is>
      </c>
      <c r="G117" s="128" t="inlineStr">
        <is>
          <t>Conforms</t>
        </is>
      </c>
      <c r="H117" s="129">
        <f>IFERROR(INDEX('iCoA Register'!$B:$B,MATCH("OPM1024|I",'iCoA Register'!$AA:$AA,0)),"iCoA — at issue")&amp;", (24.04.2025) [PP]"</f>
        <v/>
      </c>
      <c r="I117" s="130" t="inlineStr">
        <is>
          <t>✓</t>
        </is>
      </c>
      <c r="J117" s="128" t="inlineStr">
        <is>
          <t>Conforms (ImB spec.) ᴿ</t>
        </is>
      </c>
      <c r="K117" s="129" t="inlineStr">
        <is>
          <t>197-17-K-26, (07.08.2026) [FHM-K]</t>
        </is>
      </c>
      <c r="L117" s="130" t="inlineStr">
        <is>
          <t>✓</t>
        </is>
      </c>
      <c r="M117" s="183" t="inlineStr">
        <is>
          <t>19.96 ᴿ</t>
        </is>
      </c>
      <c r="N117" s="132">
        <f>IFERROR(INDEX('iCoA Register'!$B:$B,MATCH("OPM1024|I",'iCoA Register'!$AA:$AA,0)),"iCoA — at issue")&amp;", (24.04.2025) [PP] · on file, not credited"</f>
        <v/>
      </c>
      <c r="O117" s="133" t="inlineStr">
        <is>
          <t>•</t>
        </is>
      </c>
      <c r="P117" s="184" t="inlineStr">
        <is>
          <t>0.05 ᴿ</t>
        </is>
      </c>
      <c r="Q117" s="132">
        <f>IFERROR(INDEX('iCoA Register'!$B:$B,MATCH("OPM1024|I",'iCoA Register'!$AA:$AA,0)),"iCoA — at issue")&amp;", (24.04.2025) [PP] · on file, not credited"</f>
        <v/>
      </c>
      <c r="R117" s="133" t="inlineStr">
        <is>
          <t>•</t>
        </is>
      </c>
      <c r="S117" s="135" t="inlineStr">
        <is>
          <t>&lt; LOQ</t>
        </is>
      </c>
      <c r="T117" s="129" t="inlineStr">
        <is>
          <t>197-17-K-26, (07.08.2026) [FHM-K]</t>
        </is>
      </c>
      <c r="U117" s="130" t="inlineStr">
        <is>
          <t>✓</t>
        </is>
      </c>
      <c r="V117" s="128" t="inlineStr">
        <is>
          <t>Conforms</t>
        </is>
      </c>
      <c r="W117" s="129" t="inlineStr">
        <is>
          <t>iCoA — at issue (OPM1024), (23.04.2025) [PP]</t>
        </is>
      </c>
      <c r="X117" s="130" t="inlineStr">
        <is>
          <t>✓</t>
        </is>
      </c>
      <c r="Y117" s="131" t="inlineStr">
        <is>
          <t>not on this certificate</t>
        </is>
      </c>
      <c r="Z117" s="132" t="inlineStr">
        <is>
          <t>197-17-K-26, (07.08.2026) [FHM-K] · on file, not credited</t>
        </is>
      </c>
      <c r="AA117" s="133" t="inlineStr">
        <is>
          <t>•</t>
        </is>
      </c>
      <c r="AB117" s="131" t="inlineStr">
        <is>
          <t>1.3 × 10⁴ ᴿ</t>
        </is>
      </c>
      <c r="AC117" s="197" t="inlineStr">
        <is>
          <t>7 × 10² ᴿ</t>
        </is>
      </c>
      <c r="AD117" s="197" t="inlineStr">
        <is>
          <t>&lt; 10² &gt; 10³ ᴿ</t>
        </is>
      </c>
      <c r="AE117" s="197" t="inlineStr">
        <is>
          <t>Absent ᴿ</t>
        </is>
      </c>
      <c r="AF117" s="197" t="inlineStr">
        <is>
          <t>Absent ᴿ</t>
        </is>
      </c>
      <c r="AG117" s="133" t="inlineStr">
        <is>
          <t>•</t>
        </is>
      </c>
      <c r="AH117" s="131" t="inlineStr">
        <is>
          <t>not reported</t>
        </is>
      </c>
      <c r="AI117" s="197" t="inlineStr">
        <is>
          <t>&lt; 2 ᴿ</t>
        </is>
      </c>
      <c r="AJ117" s="197" t="inlineStr">
        <is>
          <t>not reported</t>
        </is>
      </c>
      <c r="AK117" s="133" t="inlineStr">
        <is>
          <t>•</t>
        </is>
      </c>
      <c r="AL117" s="131" t="inlineStr">
        <is>
          <t>0.031 ᴿ</t>
        </is>
      </c>
      <c r="AM117" s="197" t="inlineStr">
        <is>
          <t>0.017 ᴿ</t>
        </is>
      </c>
      <c r="AN117" s="197" t="inlineStr">
        <is>
          <t>0.045 ᴿ</t>
        </is>
      </c>
      <c r="AO117" s="197" t="inlineStr">
        <is>
          <t>0.005 ᴿ</t>
        </is>
      </c>
      <c r="AP117" s="133" t="inlineStr">
        <is>
          <t>•</t>
        </is>
      </c>
      <c r="AQ117" s="131" t="inlineStr">
        <is>
          <t>ND ᴿ</t>
        </is>
      </c>
      <c r="AR117" s="132">
        <f>IFERROR(INDEX('iCoA Register'!$B:$B,MATCH("OPM1024|I",'iCoA Register'!$AA:$AA,0)),"iCoA — at issue")&amp;", (24.04.2025) [PP] · on file, not credited"</f>
        <v/>
      </c>
      <c r="AS117" s="198"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99">
        <f>IFERROR(INDEX('iCoA Register'!$B:$B,MATCH("OPM1024|I",'iCoA Register'!$AA:$AA,0)),"iCoA — at issue")&amp;", (24.04.2025) [PP] · on file, not credited"</f>
        <v/>
      </c>
      <c r="AG118" s="140" t="n"/>
      <c r="AH118" s="199">
        <f>IFERROR(INDEX('iCoA Register'!$B:$B,MATCH("OPM1024|I",'iCoA Register'!$AA:$AA,0)),"iCoA — at issue")&amp;", (24.04.2025) [PP] · on file, not credited"</f>
        <v/>
      </c>
      <c r="AK118" s="140" t="n"/>
      <c r="AL118" s="199">
        <f>IFERROR(INDEX('iCoA Register'!$B:$B,MATCH("OPM1024|I",'iCoA Register'!$AA:$AA,0)),"iCoA — at issue")&amp;", (24.04.2025) [PP] · on file, not credited"</f>
        <v/>
      </c>
      <c r="AP118" s="140" t="n"/>
      <c r="AQ118" s="139" t="n"/>
      <c r="AS118" s="142" t="n"/>
    </row>
    <row r="119" ht="17.625" customHeight="1" s="70">
      <c r="A119" s="143" t="n"/>
      <c r="B119" s="144" t="n"/>
      <c r="D119" s="147" t="inlineStr">
        <is>
          <t>Conforms</t>
        </is>
      </c>
      <c r="E119" s="148">
        <f>IFERROR(INDEX('iCoA Register'!$B:$B,MATCH("OPM1024|I",'iCoA Register'!$AA:$AA,0)),"iCoA — at issue")&amp;", (24.04.2025) [PP]"</f>
        <v/>
      </c>
      <c r="F119" s="149" t="inlineStr">
        <is>
          <t>✓</t>
        </is>
      </c>
      <c r="G119" s="145" t="n"/>
      <c r="H119" s="144" t="n"/>
      <c r="I119" s="146" t="n"/>
      <c r="J119" s="145" t="n"/>
      <c r="K119" s="144" t="n"/>
      <c r="L119" s="146" t="n"/>
      <c r="M119" s="150" t="inlineStr">
        <is>
          <t>20.03</t>
        </is>
      </c>
      <c r="N119" s="148" t="inlineStr">
        <is>
          <t>197-17-K-26, (07.08.2026) [FHM-K]</t>
        </is>
      </c>
      <c r="O119" s="149" t="inlineStr">
        <is>
          <t>✓</t>
        </is>
      </c>
      <c r="P119" s="151" t="inlineStr">
        <is>
          <t>&lt; LOQ</t>
        </is>
      </c>
      <c r="Q119" s="148" t="inlineStr">
        <is>
          <t>197-17-K-26, (07.08.2026) [FHM-K]</t>
        </is>
      </c>
      <c r="R119" s="149" t="inlineStr">
        <is>
          <t>✓</t>
        </is>
      </c>
      <c r="S119" s="145" t="n"/>
      <c r="T119" s="144" t="n"/>
      <c r="U119" s="146" t="n"/>
      <c r="V119" s="147" t="inlineStr">
        <is>
          <t>Conforms</t>
        </is>
      </c>
      <c r="W119" s="148">
        <f>IFERROR(INDEX('iCoA Register'!$B:$B,MATCH("OPM1024|I",'iCoA Register'!$AA:$AA,0)),"iCoA — at issue")&amp;", (24.04.2025) [PP]"</f>
        <v/>
      </c>
      <c r="X119" s="149" t="inlineStr">
        <is>
          <t>✓</t>
        </is>
      </c>
      <c r="Y119" s="145" t="n"/>
      <c r="Z119" s="144" t="n"/>
      <c r="AA119" s="146" t="n"/>
      <c r="AB119" s="145" t="n"/>
      <c r="AC119" s="144" t="n"/>
      <c r="AD119" s="144" t="n"/>
      <c r="AE119" s="144" t="n"/>
      <c r="AF119" s="144" t="n"/>
      <c r="AG119" s="146" t="n"/>
      <c r="AH119" s="155" t="inlineStr">
        <is>
          <t>ND</t>
        </is>
      </c>
      <c r="AI119" s="156" t="inlineStr">
        <is>
          <t>ND</t>
        </is>
      </c>
      <c r="AJ119" s="156" t="inlineStr">
        <is>
          <t>ND</t>
        </is>
      </c>
      <c r="AK119" s="149" t="inlineStr">
        <is>
          <t>✓</t>
        </is>
      </c>
      <c r="AL119" s="145" t="n"/>
      <c r="AM119" s="144" t="n"/>
      <c r="AN119" s="144" t="n"/>
      <c r="AO119" s="144" t="n"/>
      <c r="AP119" s="146" t="n"/>
      <c r="AQ119" s="145" t="n"/>
      <c r="AR119" s="144" t="n"/>
      <c r="AS119" s="157" t="n"/>
    </row>
    <row r="120" ht="13" customHeight="1" s="70">
      <c r="A120" s="158" t="n"/>
      <c r="B120" s="159" t="n"/>
      <c r="C120" s="159" t="n"/>
      <c r="D120" s="160" t="n"/>
      <c r="E120" s="159" t="n"/>
      <c r="F120" s="161" t="n"/>
      <c r="G120" s="160" t="n"/>
      <c r="H120" s="159" t="n"/>
      <c r="I120" s="161" t="n"/>
      <c r="J120" s="160" t="n"/>
      <c r="K120" s="159" t="n"/>
      <c r="L120" s="161" t="n"/>
      <c r="M120" s="160" t="n"/>
      <c r="N120" s="159" t="n"/>
      <c r="O120" s="161" t="n"/>
      <c r="P120" s="160" t="n"/>
      <c r="Q120" s="159" t="n"/>
      <c r="R120" s="161" t="n"/>
      <c r="S120" s="160" t="n"/>
      <c r="T120" s="159" t="n"/>
      <c r="U120" s="161" t="n"/>
      <c r="V120" s="160" t="n"/>
      <c r="W120" s="159" t="n"/>
      <c r="X120" s="161" t="n"/>
      <c r="Y120" s="160" t="n"/>
      <c r="Z120" s="159" t="n"/>
      <c r="AA120" s="161" t="n"/>
      <c r="AB120" s="160" t="n"/>
      <c r="AC120" s="159" t="n"/>
      <c r="AD120" s="159" t="n"/>
      <c r="AE120" s="159" t="n"/>
      <c r="AF120" s="159" t="n"/>
      <c r="AG120" s="161" t="n"/>
      <c r="AH120" s="162" t="inlineStr">
        <is>
          <t>197-17-M-26, (10.08.2026) [FHM-M]</t>
        </is>
      </c>
      <c r="AI120" s="159" t="n"/>
      <c r="AJ120" s="159" t="n"/>
      <c r="AK120" s="161" t="n"/>
      <c r="AL120" s="160" t="n"/>
      <c r="AM120" s="159" t="n"/>
      <c r="AN120" s="159" t="n"/>
      <c r="AO120" s="159" t="n"/>
      <c r="AP120" s="161" t="n"/>
      <c r="AQ120" s="160" t="n"/>
      <c r="AR120" s="159" t="n"/>
      <c r="AS120" s="163" t="n"/>
    </row>
    <row r="121" ht="21" customHeight="1" s="70">
      <c r="A121" s="125" t="inlineStr">
        <is>
          <t>OPM112501</t>
        </is>
      </c>
      <c r="B121" s="126" t="inlineStr">
        <is>
          <t>P060222</t>
        </is>
      </c>
      <c r="C121" s="164" t="inlineStr">
        <is>
          <t>⚠ 3 NO RESULT
(3 no cert / 0 cert w/o result)
2 testing instances
• 1 document(s) on file, not credited</t>
        </is>
      </c>
      <c r="D121" s="128" t="inlineStr">
        <is>
          <t>Conforms</t>
        </is>
      </c>
      <c r="E121" s="129">
        <f>IFERROR(INDEX('iCoA Register'!$B:$B,MATCH("P060222|I",'iCoA Register'!$AA:$AA,0)),"iCoA — at issue")&amp;", (24.04.2026) [PP]"</f>
        <v/>
      </c>
      <c r="F121" s="130" t="inlineStr">
        <is>
          <t>✓</t>
        </is>
      </c>
      <c r="G121" s="131" t="inlineStr">
        <is>
          <t>not ingested</t>
        </is>
      </c>
      <c r="H121" s="132" t="inlineStr">
        <is>
          <t>ППК26031, (05.03.2026) [CNP] · on file, not credited</t>
        </is>
      </c>
      <c r="I121" s="133" t="inlineStr">
        <is>
          <t>•</t>
        </is>
      </c>
      <c r="J121" s="128" t="inlineStr">
        <is>
          <t>Conforms (ImB spec.) ᴿ</t>
        </is>
      </c>
      <c r="K121" s="129" t="inlineStr">
        <is>
          <t>ППК26031, (05.03.2026) [CNP]</t>
        </is>
      </c>
      <c r="L121" s="130" t="inlineStr">
        <is>
          <t>✓</t>
        </is>
      </c>
      <c r="M121" s="134" t="inlineStr">
        <is>
          <t>8.00 ᴿ</t>
        </is>
      </c>
      <c r="N121" s="129" t="inlineStr">
        <is>
          <t>ППК26031, (05.03.2026) [CNP]</t>
        </is>
      </c>
      <c r="O121" s="130" t="inlineStr">
        <is>
          <t>✓</t>
        </is>
      </c>
      <c r="P121" s="135" t="inlineStr">
        <is>
          <t>0.02 ᴿ</t>
        </is>
      </c>
      <c r="Q121" s="129" t="inlineStr">
        <is>
          <t>ППК26031, (05.03.2026) [CNP]</t>
        </is>
      </c>
      <c r="R121" s="130" t="inlineStr">
        <is>
          <t>✓</t>
        </is>
      </c>
      <c r="S121" s="215" t="inlineStr">
        <is>
          <t>not ingested</t>
        </is>
      </c>
      <c r="T121" s="216" t="inlineStr">
        <is>
          <t>ППК26031, (05.03.2026) [CNP]</t>
        </is>
      </c>
      <c r="U121" s="207" t="inlineStr">
        <is>
          <t>✗</t>
        </is>
      </c>
      <c r="V121" s="128" t="inlineStr">
        <is>
          <t>Conforms</t>
        </is>
      </c>
      <c r="W121" s="129">
        <f>IFERROR(INDEX('iCoA Register'!$B:$B,MATCH("P060222|I",'iCoA Register'!$AA:$AA,0)),"iCoA — at issue")&amp;", (24.04.2026) [PP]"</f>
        <v/>
      </c>
      <c r="X121" s="130" t="inlineStr">
        <is>
          <t>✓</t>
        </is>
      </c>
      <c r="Y121" s="128" t="inlineStr">
        <is>
          <t>8.06 ᴿ</t>
        </is>
      </c>
      <c r="Z121" s="129" t="inlineStr">
        <is>
          <t>ППК26031, (05.03.2026) [CNP]</t>
        </is>
      </c>
      <c r="AA121" s="130" t="inlineStr">
        <is>
          <t>✓</t>
        </is>
      </c>
      <c r="AB121" s="128" t="inlineStr">
        <is>
          <t>&lt; 10</t>
        </is>
      </c>
      <c r="AC121" s="136" t="inlineStr">
        <is>
          <t>10</t>
        </is>
      </c>
      <c r="AD121" s="136" t="inlineStr">
        <is>
          <t>&lt; 10</t>
        </is>
      </c>
      <c r="AE121" s="136" t="inlineStr">
        <is>
          <t>Absent</t>
        </is>
      </c>
      <c r="AF121" s="136" t="inlineStr">
        <is>
          <t>Absent</t>
        </is>
      </c>
      <c r="AG121" s="130" t="inlineStr">
        <is>
          <t>✓</t>
        </is>
      </c>
      <c r="AH121" s="165" t="inlineStr">
        <is>
          <t>— MISSING —</t>
        </is>
      </c>
      <c r="AI121" s="166" t="inlineStr">
        <is>
          <t>— MISSING —</t>
        </is>
      </c>
      <c r="AJ121" s="166" t="inlineStr">
        <is>
          <t>— MISSING —</t>
        </is>
      </c>
      <c r="AK121" s="167" t="inlineStr">
        <is>
          <t>✗</t>
        </is>
      </c>
      <c r="AL121" s="165" t="inlineStr">
        <is>
          <t>— MISSING —</t>
        </is>
      </c>
      <c r="AM121" s="166" t="inlineStr">
        <is>
          <t>— MISSING —</t>
        </is>
      </c>
      <c r="AN121" s="166" t="inlineStr">
        <is>
          <t>— MISSING —</t>
        </is>
      </c>
      <c r="AO121" s="166" t="inlineStr">
        <is>
          <t>— MISSING —</t>
        </is>
      </c>
      <c r="AP121" s="167" t="inlineStr">
        <is>
          <t>✗</t>
        </is>
      </c>
      <c r="AQ121" s="165" t="inlineStr">
        <is>
          <t>— MISSING —</t>
        </is>
      </c>
      <c r="AR121" s="168" t="inlineStr">
        <is>
          <t>— no certificate —</t>
        </is>
      </c>
      <c r="AS121" s="169" t="inlineStr">
        <is>
          <t>✗</t>
        </is>
      </c>
    </row>
    <row r="122" ht="13" customHeight="1" s="70">
      <c r="A122" s="138" t="n"/>
      <c r="D122" s="139" t="n"/>
      <c r="F122" s="140" t="n"/>
      <c r="G122" s="139" t="n"/>
      <c r="I122" s="140" t="n"/>
      <c r="J122" s="139" t="n"/>
      <c r="L122" s="140" t="n"/>
      <c r="M122" s="139" t="n"/>
      <c r="O122" s="140" t="n"/>
      <c r="P122" s="139" t="n"/>
      <c r="R122" s="140" t="n"/>
      <c r="S122" s="139" t="n"/>
      <c r="U122" s="140" t="n"/>
      <c r="V122" s="139" t="n"/>
      <c r="X122" s="140" t="n"/>
      <c r="Y122" s="139" t="n"/>
      <c r="AA122" s="140" t="n"/>
      <c r="AB122" s="141" t="inlineStr">
        <is>
          <t>546-1077-26, (31.08.2026) [IJZ-MB]</t>
        </is>
      </c>
      <c r="AG122" s="140" t="n"/>
      <c r="AH122" s="170" t="inlineStr">
        <is>
          <t>— no certificate —</t>
        </is>
      </c>
      <c r="AK122" s="140" t="n"/>
      <c r="AL122" s="170" t="inlineStr">
        <is>
          <t>— no certificate —</t>
        </is>
      </c>
      <c r="AP122" s="140" t="n"/>
      <c r="AQ122" s="139" t="n"/>
      <c r="AS122" s="142" t="n"/>
    </row>
    <row r="123" ht="17.625" customHeight="1" s="70">
      <c r="A123" s="143" t="n"/>
      <c r="B123" s="144" t="n"/>
      <c r="D123" s="145" t="n"/>
      <c r="E123" s="144" t="n"/>
      <c r="F123" s="146" t="n"/>
      <c r="G123" s="147" t="inlineStr">
        <is>
          <t>Conforms</t>
        </is>
      </c>
      <c r="H123" s="148">
        <f>IFERROR(INDEX('iCoA Register'!$B:$B,MATCH("P060222|I",'iCoA Register'!$AA:$AA,0)),"iCoA — at issue")&amp;", (24.04.2026) [PP]"</f>
        <v/>
      </c>
      <c r="I123" s="149" t="inlineStr">
        <is>
          <t>✓</t>
        </is>
      </c>
      <c r="J123" s="147" t="inlineStr">
        <is>
          <t>Conforms (ImB spec.)</t>
        </is>
      </c>
      <c r="K123" s="148" t="inlineStr">
        <is>
          <t>227-10-K-26, (11.09.2026) [FHM-K]</t>
        </is>
      </c>
      <c r="L123" s="149" t="inlineStr">
        <is>
          <t>✓</t>
        </is>
      </c>
      <c r="M123" s="150" t="inlineStr">
        <is>
          <t>9.73</t>
        </is>
      </c>
      <c r="N123" s="148" t="inlineStr">
        <is>
          <t>227-10-K-26, (11.09.2026) [FHM-K]</t>
        </is>
      </c>
      <c r="O123" s="149" t="inlineStr">
        <is>
          <t>✓</t>
        </is>
      </c>
      <c r="P123" s="151" t="inlineStr">
        <is>
          <t>&lt; LOQ</t>
        </is>
      </c>
      <c r="Q123" s="148" t="inlineStr">
        <is>
          <t>227-10-K-26, (11.09.2026) [FHM-K]</t>
        </is>
      </c>
      <c r="R123" s="149" t="inlineStr">
        <is>
          <t>✓</t>
        </is>
      </c>
      <c r="S123" s="151" t="inlineStr">
        <is>
          <t>&lt; LOQ</t>
        </is>
      </c>
      <c r="T123" s="148" t="inlineStr">
        <is>
          <t>227-10-K-26, (11.09.2026)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17.625" customHeight="1" s="70">
      <c r="A125" s="125" t="inlineStr">
        <is>
          <t>OPM122501</t>
        </is>
      </c>
      <c r="B125" s="126" t="inlineStr">
        <is>
          <t>P060242</t>
        </is>
      </c>
      <c r="C125" s="127" t="inlineStr">
        <is>
          <t>✓ COMPLETE
3 testing instances
• 3 document(s) on file, not credited</t>
        </is>
      </c>
      <c r="D125" s="128" t="inlineStr">
        <is>
          <t>Conforms</t>
        </is>
      </c>
      <c r="E125" s="129">
        <f>IFERROR(INDEX('iCoA Register'!$B:$B,MATCH("P060242|I",'iCoA Register'!$AA:$AA,0)),"iCoA — at issue")&amp;", (28.04.2026) [PP]"</f>
        <v/>
      </c>
      <c r="F125" s="130" t="inlineStr">
        <is>
          <t>✓</t>
        </is>
      </c>
      <c r="G125" s="128" t="inlineStr">
        <is>
          <t>Conforms</t>
        </is>
      </c>
      <c r="H125" s="129">
        <f>IFERROR(INDEX('iCoA Register'!$B:$B,MATCH("P060242|I",'iCoA Register'!$AA:$AA,0)),"iCoA — at issue")&amp;", (28.04.2026) [PP]"</f>
        <v/>
      </c>
      <c r="I125" s="130" t="inlineStr">
        <is>
          <t>✓</t>
        </is>
      </c>
      <c r="J125" s="128" t="inlineStr">
        <is>
          <t>Conforms (ImB spec.) ᴿ</t>
        </is>
      </c>
      <c r="K125" s="129" t="inlineStr">
        <is>
          <t>100-4-K-26, (09.04.2026) [FHM-K]</t>
        </is>
      </c>
      <c r="L125" s="130" t="inlineStr">
        <is>
          <t>✓</t>
        </is>
      </c>
      <c r="M125" s="134" t="inlineStr">
        <is>
          <t>8.09</t>
        </is>
      </c>
      <c r="N125" s="129" t="inlineStr">
        <is>
          <t>100-4-K-26, (09.04.2026) [FHM-K]</t>
        </is>
      </c>
      <c r="O125" s="130" t="inlineStr">
        <is>
          <t>✓</t>
        </is>
      </c>
      <c r="P125" s="135" t="inlineStr">
        <is>
          <t>&lt; LOQ</t>
        </is>
      </c>
      <c r="Q125" s="129" t="inlineStr">
        <is>
          <t>100-4-K-26, (09.04.2026) [FHM-K]</t>
        </is>
      </c>
      <c r="R125" s="130" t="inlineStr">
        <is>
          <t>✓</t>
        </is>
      </c>
      <c r="S125" s="135" t="inlineStr">
        <is>
          <t>&lt; LOQ</t>
        </is>
      </c>
      <c r="T125" s="129" t="inlineStr">
        <is>
          <t>100-4-K-26, (09.04.2026) [FHM-K]</t>
        </is>
      </c>
      <c r="U125" s="130" t="inlineStr">
        <is>
          <t>✓</t>
        </is>
      </c>
      <c r="V125" s="128" t="inlineStr">
        <is>
          <t>Conforms</t>
        </is>
      </c>
      <c r="W125" s="129">
        <f>IFERROR(INDEX('iCoA Register'!$B:$B,MATCH("P060242|I",'iCoA Register'!$AA:$AA,0)),"iCoA — at issue")&amp;", (28.04.2026) [PP]"</f>
        <v/>
      </c>
      <c r="X125" s="130" t="inlineStr">
        <is>
          <t>✓</t>
        </is>
      </c>
      <c r="Y125" s="131" t="inlineStr">
        <is>
          <t>not on this certificate</t>
        </is>
      </c>
      <c r="Z125" s="132" t="inlineStr">
        <is>
          <t>100-4-K-26, (09.04.2026) [FHM-K] · on file, not credited</t>
        </is>
      </c>
      <c r="AA125" s="133" t="inlineStr">
        <is>
          <t>•</t>
        </is>
      </c>
      <c r="AB125" s="128" t="inlineStr">
        <is>
          <t>120</t>
        </is>
      </c>
      <c r="AC125" s="136" t="inlineStr">
        <is>
          <t>100</t>
        </is>
      </c>
      <c r="AD125" s="136" t="inlineStr">
        <is>
          <t>&lt; 10</t>
        </is>
      </c>
      <c r="AE125" s="136" t="inlineStr">
        <is>
          <t>Absent</t>
        </is>
      </c>
      <c r="AF125" s="136" t="inlineStr">
        <is>
          <t>Absent</t>
        </is>
      </c>
      <c r="AG125" s="130" t="inlineStr">
        <is>
          <t>✓</t>
        </is>
      </c>
      <c r="AH125" s="128" t="inlineStr">
        <is>
          <t>ND</t>
        </is>
      </c>
      <c r="AI125" s="136" t="inlineStr">
        <is>
          <t>2.2</t>
        </is>
      </c>
      <c r="AJ125" s="136" t="inlineStr">
        <is>
          <t>ND</t>
        </is>
      </c>
      <c r="AK125" s="130" t="inlineStr">
        <is>
          <t>✓</t>
        </is>
      </c>
      <c r="AL125" s="128" t="inlineStr">
        <is>
          <t>0.049</t>
        </is>
      </c>
      <c r="AM125" s="136" t="inlineStr">
        <is>
          <t>0.165</t>
        </is>
      </c>
      <c r="AN125" s="136" t="inlineStr">
        <is>
          <t>ND</t>
        </is>
      </c>
      <c r="AO125" s="136" t="inlineStr">
        <is>
          <t>ND</t>
        </is>
      </c>
      <c r="AP125" s="130" t="inlineStr">
        <is>
          <t>✓</t>
        </is>
      </c>
      <c r="AQ125" s="128" t="inlineStr">
        <is>
          <t>≤ LOQ (all 25 compounds)</t>
        </is>
      </c>
      <c r="AR125" s="129" t="inlineStr">
        <is>
          <t>1627-2026, (23.04.2026) [IJZ]</t>
        </is>
      </c>
      <c r="AS125" s="137" t="inlineStr">
        <is>
          <t>✓</t>
        </is>
      </c>
    </row>
    <row r="126" ht="15.375"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41" t="inlineStr">
        <is>
          <t>229-0392-26, (07.04.2026) [IJZ-MB]</t>
        </is>
      </c>
      <c r="AG126" s="140" t="n"/>
      <c r="AH126" s="141" t="inlineStr">
        <is>
          <t>1627-2026, (23.04.2026) [IJZ]</t>
        </is>
      </c>
      <c r="AK126" s="140" t="n"/>
      <c r="AL126" s="141" t="inlineStr">
        <is>
          <t>1627-2026, (23.04.2026) [IJZ]</t>
        </is>
      </c>
      <c r="AP126" s="140" t="n"/>
      <c r="AQ126" s="139" t="n"/>
      <c r="AS126" s="142" t="n"/>
    </row>
    <row r="127" ht="17.625" customHeight="1" s="70">
      <c r="A127" s="143" t="n"/>
      <c r="B127" s="144" t="n"/>
      <c r="D127" s="145" t="n"/>
      <c r="E127" s="144" t="n"/>
      <c r="F127" s="146" t="n"/>
      <c r="G127" s="145" t="n"/>
      <c r="H127" s="144" t="n"/>
      <c r="I127" s="146" t="n"/>
      <c r="J127" s="189" t="inlineStr">
        <is>
          <t>not on this certificate</t>
        </is>
      </c>
      <c r="K127" s="190" t="inlineStr">
        <is>
          <t>100-4-LoD-26, (09.04.2026) [FHM-K] · on file, not credited</t>
        </is>
      </c>
      <c r="L127" s="191" t="inlineStr">
        <is>
          <t>•</t>
        </is>
      </c>
      <c r="M127" s="203" t="inlineStr">
        <is>
          <t>not on this certificate</t>
        </is>
      </c>
      <c r="N127" s="190" t="inlineStr">
        <is>
          <t>100-4-LoD-26, (09.04.2026) [FHM-K] · on file, not credited</t>
        </is>
      </c>
      <c r="O127" s="191" t="inlineStr">
        <is>
          <t>•</t>
        </is>
      </c>
      <c r="P127" s="204" t="inlineStr">
        <is>
          <t>not on this certificate</t>
        </is>
      </c>
      <c r="Q127" s="190" t="inlineStr">
        <is>
          <t>100-4-LoD-26, (09.04.2026) [FHM-K] · on file, not credited</t>
        </is>
      </c>
      <c r="R127" s="191" t="inlineStr">
        <is>
          <t>•</t>
        </is>
      </c>
      <c r="S127" s="204" t="inlineStr">
        <is>
          <t>not on this certificate</t>
        </is>
      </c>
      <c r="T127" s="190" t="inlineStr">
        <is>
          <t>100-4-LoD-26, (09.04.2026) [FHM-K] · on file, not credited</t>
        </is>
      </c>
      <c r="U127" s="191" t="inlineStr">
        <is>
          <t>•</t>
        </is>
      </c>
      <c r="V127" s="145" t="n"/>
      <c r="W127" s="144" t="n"/>
      <c r="X127" s="146" t="n"/>
      <c r="Y127" s="155" t="inlineStr">
        <is>
          <t>6.6</t>
        </is>
      </c>
      <c r="Z127" s="185" t="inlineStr">
        <is>
          <t>100-4-LoD-26, (09.04.2026) [FHM-K]</t>
        </is>
      </c>
      <c r="AA127" s="186" t="inlineStr">
        <is>
          <t>✓</t>
        </is>
      </c>
      <c r="AB127" s="145" t="n"/>
      <c r="AC127" s="144" t="n"/>
      <c r="AD127" s="144" t="n"/>
      <c r="AE127" s="144" t="n"/>
      <c r="AF127" s="144" t="n"/>
      <c r="AG127" s="146" t="n"/>
      <c r="AH127" s="155" t="inlineStr">
        <is>
          <t>ND</t>
        </is>
      </c>
      <c r="AI127" s="156" t="inlineStr">
        <is>
          <t>ND</t>
        </is>
      </c>
      <c r="AJ127" s="156" t="inlineStr">
        <is>
          <t>ND</t>
        </is>
      </c>
      <c r="AK127" s="186" t="inlineStr">
        <is>
          <t>✓</t>
        </is>
      </c>
      <c r="AL127" s="145" t="n"/>
      <c r="AM127" s="144" t="n"/>
      <c r="AN127" s="144" t="n"/>
      <c r="AO127" s="144" t="n"/>
      <c r="AP127" s="146" t="n"/>
      <c r="AQ127" s="145" t="n"/>
      <c r="AR127" s="144" t="n"/>
      <c r="AS127" s="157" t="n"/>
    </row>
    <row r="128" ht="21" customHeight="1" s="70">
      <c r="A128" s="192" t="n"/>
      <c r="B128" s="193" t="n"/>
      <c r="D128" s="194" t="n"/>
      <c r="E128" s="193" t="n"/>
      <c r="F128" s="195" t="n"/>
      <c r="G128" s="194" t="n"/>
      <c r="H128" s="193" t="n"/>
      <c r="I128" s="195" t="n"/>
      <c r="J128" s="194" t="n"/>
      <c r="K128" s="193" t="n"/>
      <c r="L128" s="195" t="n"/>
      <c r="M128" s="194" t="n"/>
      <c r="N128" s="193" t="n"/>
      <c r="O128" s="195" t="n"/>
      <c r="P128" s="194" t="n"/>
      <c r="Q128" s="193" t="n"/>
      <c r="R128" s="195" t="n"/>
      <c r="S128" s="194" t="n"/>
      <c r="T128" s="193" t="n"/>
      <c r="U128" s="195" t="n"/>
      <c r="V128" s="194" t="n"/>
      <c r="W128" s="193" t="n"/>
      <c r="X128" s="195" t="n"/>
      <c r="Y128" s="194" t="n"/>
      <c r="Z128" s="193" t="n"/>
      <c r="AA128" s="195" t="n"/>
      <c r="AB128" s="194" t="n"/>
      <c r="AC128" s="193" t="n"/>
      <c r="AD128" s="193" t="n"/>
      <c r="AE128" s="193" t="n"/>
      <c r="AF128" s="193" t="n"/>
      <c r="AG128" s="195" t="n"/>
      <c r="AH128" s="210" t="inlineStr">
        <is>
          <t>197-19-M-26, (10.08.2026) [FHM-M]</t>
        </is>
      </c>
      <c r="AI128" s="193" t="n"/>
      <c r="AJ128" s="193" t="n"/>
      <c r="AK128" s="195" t="n"/>
      <c r="AL128" s="194" t="n"/>
      <c r="AM128" s="193" t="n"/>
      <c r="AN128" s="193" t="n"/>
      <c r="AO128" s="193" t="n"/>
      <c r="AP128" s="195" t="n"/>
      <c r="AQ128" s="194" t="n"/>
      <c r="AR128" s="193" t="n"/>
      <c r="AS128" s="196" t="n"/>
    </row>
    <row r="129" ht="17.625" customHeight="1" s="70">
      <c r="A129" s="143" t="n"/>
      <c r="B129" s="144" t="n"/>
      <c r="D129" s="145" t="n"/>
      <c r="E129" s="144" t="n"/>
      <c r="F129" s="146" t="n"/>
      <c r="G129" s="145" t="n"/>
      <c r="H129" s="144" t="n"/>
      <c r="I129" s="146" t="n"/>
      <c r="J129" s="147" t="inlineStr">
        <is>
          <t>Conforms (ImB spec.) ᴿ</t>
        </is>
      </c>
      <c r="K129" s="148" t="inlineStr">
        <is>
          <t>197-19-K-26, (07.08.2026) [FHM-K]</t>
        </is>
      </c>
      <c r="L129" s="149" t="inlineStr">
        <is>
          <t>✓</t>
        </is>
      </c>
      <c r="M129" s="150" t="inlineStr">
        <is>
          <t>7.91</t>
        </is>
      </c>
      <c r="N129" s="148" t="inlineStr">
        <is>
          <t>197-19-K-26, (07.08.2026) [FHM-K]</t>
        </is>
      </c>
      <c r="O129" s="149" t="inlineStr">
        <is>
          <t>✓</t>
        </is>
      </c>
      <c r="P129" s="151" t="inlineStr">
        <is>
          <t>&lt; LOQ</t>
        </is>
      </c>
      <c r="Q129" s="148" t="inlineStr">
        <is>
          <t>197-19-K-26, (07.08.2026) [FHM-K]</t>
        </is>
      </c>
      <c r="R129" s="149" t="inlineStr">
        <is>
          <t>✓</t>
        </is>
      </c>
      <c r="S129" s="151" t="inlineStr">
        <is>
          <t>&lt; LOQ</t>
        </is>
      </c>
      <c r="T129" s="148" t="inlineStr">
        <is>
          <t>197-19-K-26, (07.08.2026) [FHM-K]</t>
        </is>
      </c>
      <c r="U129" s="149" t="inlineStr">
        <is>
          <t>✓</t>
        </is>
      </c>
      <c r="V129" s="145" t="n"/>
      <c r="W129" s="144" t="n"/>
      <c r="X129" s="146" t="n"/>
      <c r="Y129" s="152" t="inlineStr">
        <is>
          <t>not on this certificate</t>
        </is>
      </c>
      <c r="Z129" s="153" t="inlineStr">
        <is>
          <t>197-19-K-26, (07.08.2026) [FHM-K] · on file, not credited</t>
        </is>
      </c>
      <c r="AA129" s="154" t="inlineStr">
        <is>
          <t>•</t>
        </is>
      </c>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5.375"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17.625" customHeight="1" s="70">
      <c r="A131" s="125" t="inlineStr">
        <is>
          <t>GG1024_02</t>
        </is>
      </c>
      <c r="B131" s="126" t="inlineStr">
        <is>
          <t>P050012</t>
        </is>
      </c>
      <c r="C131" s="164" t="inlineStr">
        <is>
          <t>✓ COMPLETE
2 testing instances
• 1 document(s) on file, not credited
◐ UNDETERMINED (Ph. Eur. band): #9 TYMC</t>
        </is>
      </c>
      <c r="D131" s="128" t="inlineStr">
        <is>
          <t>Conforms</t>
        </is>
      </c>
      <c r="E131" s="129">
        <f>IFERROR(INDEX('iCoA Register'!$B:$B,MATCH("P050012|I",'iCoA Register'!$AA:$AA,0)),"iCoA — at issue")&amp;", (11.06.2025) [PP]"</f>
        <v/>
      </c>
      <c r="F131" s="130" t="inlineStr">
        <is>
          <t>✓</t>
        </is>
      </c>
      <c r="G131" s="131" t="inlineStr">
        <is>
          <t>not on this certificate</t>
        </is>
      </c>
      <c r="H131" s="132" t="inlineStr">
        <is>
          <t>ППК25140, (22.05.2025) [CNP] · on file, not credited</t>
        </is>
      </c>
      <c r="I131" s="133" t="inlineStr">
        <is>
          <t>•</t>
        </is>
      </c>
      <c r="J131" s="128" t="inlineStr">
        <is>
          <t>Conforms (ImB spec.)</t>
        </is>
      </c>
      <c r="K131" s="129" t="inlineStr">
        <is>
          <t>ППК25140, (22.05.2025) [CNP]</t>
        </is>
      </c>
      <c r="L131" s="130" t="inlineStr">
        <is>
          <t>✓</t>
        </is>
      </c>
      <c r="M131" s="134" t="inlineStr">
        <is>
          <t>15.95</t>
        </is>
      </c>
      <c r="N131" s="129" t="inlineStr">
        <is>
          <t>ППК25140, (22.05.2025) [CNP]</t>
        </is>
      </c>
      <c r="O131" s="130" t="inlineStr">
        <is>
          <t>✓</t>
        </is>
      </c>
      <c r="P131" s="135" t="inlineStr">
        <is>
          <t>0.05</t>
        </is>
      </c>
      <c r="Q131" s="129" t="inlineStr">
        <is>
          <t>ППК25140, (22.05.2025) [CNP]</t>
        </is>
      </c>
      <c r="R131" s="130" t="inlineStr">
        <is>
          <t>✓</t>
        </is>
      </c>
      <c r="S131" s="135" t="inlineStr">
        <is>
          <t>0.01 ᴰ</t>
        </is>
      </c>
      <c r="T131" s="129" t="inlineStr">
        <is>
          <t>ППК25140, (22.05.2025) [CNP]</t>
        </is>
      </c>
      <c r="U131" s="130" t="inlineStr">
        <is>
          <t>✓</t>
        </is>
      </c>
      <c r="V131" s="128" t="inlineStr">
        <is>
          <t>Conforms</t>
        </is>
      </c>
      <c r="W131" s="129">
        <f>IFERROR(INDEX('iCoA Register'!$B:$B,MATCH("P050012|I",'iCoA Register'!$AA:$AA,0)),"iCoA — at issue")&amp;", (11.06.2025) [PP]"</f>
        <v/>
      </c>
      <c r="X131" s="130" t="inlineStr">
        <is>
          <t>✓</t>
        </is>
      </c>
      <c r="Y131" s="128" t="inlineStr">
        <is>
          <t>6.88</t>
        </is>
      </c>
      <c r="Z131" s="129" t="inlineStr">
        <is>
          <t>ППК25140, (22.05.2025) [CNP]</t>
        </is>
      </c>
      <c r="AA131" s="130" t="inlineStr">
        <is>
          <t>✓</t>
        </is>
      </c>
      <c r="AB131" s="128" t="inlineStr">
        <is>
          <t>2.1 × 10⁴</t>
        </is>
      </c>
      <c r="AC131" s="217" t="inlineStr">
        <is>
          <t>1.9 × 10⁴</t>
        </is>
      </c>
      <c r="AD131" s="136" t="inlineStr">
        <is>
          <t>&lt; 10</t>
        </is>
      </c>
      <c r="AE131" s="136" t="inlineStr">
        <is>
          <t>Absent</t>
        </is>
      </c>
      <c r="AF131" s="136" t="inlineStr">
        <is>
          <t>Absent</t>
        </is>
      </c>
      <c r="AG131" s="130" t="inlineStr">
        <is>
          <t>✓</t>
        </is>
      </c>
      <c r="AH131" s="128" t="inlineStr">
        <is>
          <t>ND</t>
        </is>
      </c>
      <c r="AI131" s="136" t="inlineStr">
        <is>
          <t>&lt; 2</t>
        </is>
      </c>
      <c r="AJ131" s="136" t="inlineStr">
        <is>
          <t>ND</t>
        </is>
      </c>
      <c r="AK131" s="130" t="inlineStr">
        <is>
          <t>✓</t>
        </is>
      </c>
      <c r="AL131" s="128" t="inlineStr">
        <is>
          <t>ND</t>
        </is>
      </c>
      <c r="AM131" s="136" t="inlineStr">
        <is>
          <t>ND</t>
        </is>
      </c>
      <c r="AN131" s="136" t="inlineStr">
        <is>
          <t>ND</t>
        </is>
      </c>
      <c r="AO131" s="136" t="inlineStr">
        <is>
          <t>ND</t>
        </is>
      </c>
      <c r="AP131" s="130" t="inlineStr">
        <is>
          <t>✓</t>
        </is>
      </c>
      <c r="AQ131" s="128" t="inlineStr">
        <is>
          <t>≤ LOQ (all 26 compounds)</t>
        </is>
      </c>
      <c r="AR131" s="129" t="inlineStr">
        <is>
          <t>2472-2025, (30.05.2025) [IJZ]</t>
        </is>
      </c>
      <c r="AS131" s="137" t="inlineStr">
        <is>
          <t>✓</t>
        </is>
      </c>
    </row>
    <row r="132" ht="13"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472-0863-25, (22.05.2025) [IJZ-MB]</t>
        </is>
      </c>
      <c r="AG132" s="140" t="n"/>
      <c r="AH132" s="141" t="inlineStr">
        <is>
          <t>2472-2025, (30.05.2025) [IJZ]</t>
        </is>
      </c>
      <c r="AK132" s="140" t="n"/>
      <c r="AL132" s="141" t="inlineStr">
        <is>
          <t>2472-2025, (30.05.2025) [IJZ]</t>
        </is>
      </c>
      <c r="AP132" s="140" t="n"/>
      <c r="AQ132" s="139" t="n"/>
      <c r="AS132" s="142" t="n"/>
    </row>
    <row r="133" ht="17.625" customHeight="1" s="70">
      <c r="A133" s="143" t="n"/>
      <c r="B133" s="144" t="n"/>
      <c r="D133" s="145" t="n"/>
      <c r="E133" s="144" t="n"/>
      <c r="F133" s="146" t="n"/>
      <c r="G133" s="147" t="inlineStr">
        <is>
          <t>Conforms</t>
        </is>
      </c>
      <c r="H133" s="148">
        <f>IFERROR(INDEX('iCoA Register'!$B:$B,MATCH("P050012|I",'iCoA Register'!$AA:$AA,0)),"iCoA — at issue")&amp;", (11.06.2025) [PP]"</f>
        <v/>
      </c>
      <c r="I133" s="149" t="inlineStr">
        <is>
          <t>✓</t>
        </is>
      </c>
      <c r="J133" s="147" t="inlineStr">
        <is>
          <t>Conforms (ImB spec.)</t>
        </is>
      </c>
      <c r="K133" s="148" t="inlineStr">
        <is>
          <t>227-19-K-26, (11.09.2026) [FHM-K]</t>
        </is>
      </c>
      <c r="L133" s="149" t="inlineStr">
        <is>
          <t>✓</t>
        </is>
      </c>
      <c r="M133" s="150" t="inlineStr">
        <is>
          <t>17.76</t>
        </is>
      </c>
      <c r="N133" s="148" t="inlineStr">
        <is>
          <t>227-19-K-26, (11.09.2026) [FHM-K]</t>
        </is>
      </c>
      <c r="O133" s="149" t="inlineStr">
        <is>
          <t>✓</t>
        </is>
      </c>
      <c r="P133" s="151" t="inlineStr">
        <is>
          <t>&lt; LOQ</t>
        </is>
      </c>
      <c r="Q133" s="148" t="inlineStr">
        <is>
          <t>227-19-K-26, (11.09.2026) [FHM-K]</t>
        </is>
      </c>
      <c r="R133" s="149" t="inlineStr">
        <is>
          <t>✓</t>
        </is>
      </c>
      <c r="S133" s="151" t="inlineStr">
        <is>
          <t>0.26</t>
        </is>
      </c>
      <c r="T133" s="148" t="inlineStr">
        <is>
          <t>227-19-K-26, (11.09.2026) [FHM-K]</t>
        </is>
      </c>
      <c r="U133" s="149" t="inlineStr">
        <is>
          <t>✓</t>
        </is>
      </c>
      <c r="V133" s="145" t="n"/>
      <c r="W133" s="144" t="n"/>
      <c r="X133" s="146" t="n"/>
      <c r="Y133" s="145" t="n"/>
      <c r="Z133" s="144" t="n"/>
      <c r="AA133" s="146" t="n"/>
      <c r="AB133" s="155" t="inlineStr">
        <is>
          <t>&lt; 10</t>
        </is>
      </c>
      <c r="AC133" s="156" t="inlineStr">
        <is>
          <t>&lt; 10</t>
        </is>
      </c>
      <c r="AD133" s="156" t="inlineStr">
        <is>
          <t>&lt; 10</t>
        </is>
      </c>
      <c r="AE133" s="156" t="inlineStr">
        <is>
          <t>Absent</t>
        </is>
      </c>
      <c r="AF133" s="156" t="inlineStr">
        <is>
          <t>Absent</t>
        </is>
      </c>
      <c r="AG133" s="149" t="inlineStr">
        <is>
          <t>✓</t>
        </is>
      </c>
      <c r="AH133" s="145" t="n"/>
      <c r="AI133" s="144" t="n"/>
      <c r="AJ133" s="144" t="n"/>
      <c r="AK133" s="146" t="n"/>
      <c r="AL133" s="145" t="n"/>
      <c r="AM133" s="144" t="n"/>
      <c r="AN133" s="144" t="n"/>
      <c r="AO133" s="144" t="n"/>
      <c r="AP133" s="146" t="n"/>
      <c r="AQ133" s="145" t="n"/>
      <c r="AR133" s="144" t="n"/>
      <c r="AS133" s="157" t="n"/>
    </row>
    <row r="134" ht="13" customHeight="1" s="70">
      <c r="A134" s="158" t="n"/>
      <c r="B134" s="159" t="n"/>
      <c r="C134" s="159" t="n"/>
      <c r="D134" s="160" t="n"/>
      <c r="E134" s="159" t="n"/>
      <c r="F134" s="161" t="n"/>
      <c r="G134" s="160" t="n"/>
      <c r="H134" s="159" t="n"/>
      <c r="I134" s="161" t="n"/>
      <c r="J134" s="160" t="n"/>
      <c r="K134" s="159" t="n"/>
      <c r="L134" s="161" t="n"/>
      <c r="M134" s="160" t="n"/>
      <c r="N134" s="159" t="n"/>
      <c r="O134" s="161" t="n"/>
      <c r="P134" s="160" t="n"/>
      <c r="Q134" s="159" t="n"/>
      <c r="R134" s="161" t="n"/>
      <c r="S134" s="160" t="n"/>
      <c r="T134" s="159" t="n"/>
      <c r="U134" s="161" t="n"/>
      <c r="V134" s="160" t="n"/>
      <c r="W134" s="159" t="n"/>
      <c r="X134" s="161" t="n"/>
      <c r="Y134" s="160" t="n"/>
      <c r="Z134" s="159" t="n"/>
      <c r="AA134" s="161" t="n"/>
      <c r="AB134" s="162" t="inlineStr">
        <is>
          <t>564-1095-26, (01.09.2026) [IJZ-MB]</t>
        </is>
      </c>
      <c r="AC134" s="159" t="n"/>
      <c r="AD134" s="159" t="n"/>
      <c r="AE134" s="159" t="n"/>
      <c r="AF134" s="159" t="n"/>
      <c r="AG134" s="161" t="n"/>
      <c r="AH134" s="160" t="n"/>
      <c r="AI134" s="159" t="n"/>
      <c r="AJ134" s="159" t="n"/>
      <c r="AK134" s="161" t="n"/>
      <c r="AL134" s="160" t="n"/>
      <c r="AM134" s="159" t="n"/>
      <c r="AN134" s="159" t="n"/>
      <c r="AO134" s="159" t="n"/>
      <c r="AP134" s="161" t="n"/>
      <c r="AQ134" s="160" t="n"/>
      <c r="AR134" s="159" t="n"/>
      <c r="AS134" s="163" t="n"/>
    </row>
    <row r="135" ht="21" customHeight="1" s="70">
      <c r="A135" s="125" t="inlineStr">
        <is>
          <t>GP0824_02</t>
        </is>
      </c>
      <c r="B135" s="126" t="inlineStr">
        <is>
          <t>P050022</t>
        </is>
      </c>
      <c r="C135" s="127" t="inlineStr">
        <is>
          <t>✓ COMPLETE
6 testing instances
• 6 document(s) on file, not credited
· stability above A.C.: #6</t>
        </is>
      </c>
      <c r="D135" s="128" t="inlineStr">
        <is>
          <t>Conforms</t>
        </is>
      </c>
      <c r="E135" s="129">
        <f>IFERROR(INDEX('iCoA Register'!$B:$B,MATCH("P050022|I",'iCoA Register'!$AA:$AA,0)),"iCoA — at issue")&amp;", (03.06.2025) [PP]"</f>
        <v/>
      </c>
      <c r="F135" s="130" t="inlineStr">
        <is>
          <t>✓</t>
        </is>
      </c>
      <c r="G135" s="131" t="inlineStr">
        <is>
          <t>not on this certificate</t>
        </is>
      </c>
      <c r="H135" s="132" t="inlineStr">
        <is>
          <t>ППК25139, (22.05.2025) [CNP] · on file, not credited</t>
        </is>
      </c>
      <c r="I135" s="133" t="inlineStr">
        <is>
          <t>•</t>
        </is>
      </c>
      <c r="J135" s="128" t="inlineStr">
        <is>
          <t>Conforms (ImB spec.)</t>
        </is>
      </c>
      <c r="K135" s="129" t="inlineStr">
        <is>
          <t>ППК25139, (22.05.2025) [CNP]</t>
        </is>
      </c>
      <c r="L135" s="130" t="inlineStr">
        <is>
          <t>✓</t>
        </is>
      </c>
      <c r="M135" s="134" t="inlineStr">
        <is>
          <t>23.79</t>
        </is>
      </c>
      <c r="N135" s="129" t="inlineStr">
        <is>
          <t>ППК25139, (22.05.2025) [CNP]</t>
        </is>
      </c>
      <c r="O135" s="130" t="inlineStr">
        <is>
          <t>✓</t>
        </is>
      </c>
      <c r="P135" s="135" t="inlineStr">
        <is>
          <t>0.10</t>
        </is>
      </c>
      <c r="Q135" s="129" t="inlineStr">
        <is>
          <t>ППК25139, (22.05.2025) [CNP]</t>
        </is>
      </c>
      <c r="R135" s="130" t="inlineStr">
        <is>
          <t>✓</t>
        </is>
      </c>
      <c r="S135" s="135" t="inlineStr">
        <is>
          <t>0.02 ᴰ</t>
        </is>
      </c>
      <c r="T135" s="129" t="inlineStr">
        <is>
          <t>ППК25139, (22.05.2025) [CNP]</t>
        </is>
      </c>
      <c r="U135" s="130" t="inlineStr">
        <is>
          <t>✓</t>
        </is>
      </c>
      <c r="V135" s="128" t="inlineStr">
        <is>
          <t>Conforms</t>
        </is>
      </c>
      <c r="W135" s="129">
        <f>IFERROR(INDEX('iCoA Register'!$B:$B,MATCH("P050022|I",'iCoA Register'!$AA:$AA,0)),"iCoA — at issue")&amp;", (03.06.2025) [PP]"</f>
        <v/>
      </c>
      <c r="X135" s="130" t="inlineStr">
        <is>
          <t>✓</t>
        </is>
      </c>
      <c r="Y135" s="128" t="inlineStr">
        <is>
          <t>7.21</t>
        </is>
      </c>
      <c r="Z135" s="129" t="inlineStr">
        <is>
          <t>ППК25139, (22.05.2025) [CNP]</t>
        </is>
      </c>
      <c r="AA135" s="130" t="inlineStr">
        <is>
          <t>✓</t>
        </is>
      </c>
      <c r="AB135" s="128" t="inlineStr">
        <is>
          <t>700</t>
        </is>
      </c>
      <c r="AC135" s="136" t="inlineStr">
        <is>
          <t>10</t>
        </is>
      </c>
      <c r="AD135" s="136" t="inlineStr">
        <is>
          <t>&lt; 10² and &gt; 10</t>
        </is>
      </c>
      <c r="AE135" s="136" t="inlineStr">
        <is>
          <t>Absent</t>
        </is>
      </c>
      <c r="AF135" s="136" t="inlineStr">
        <is>
          <t>Absent</t>
        </is>
      </c>
      <c r="AG135" s="130" t="inlineStr">
        <is>
          <t>✓</t>
        </is>
      </c>
      <c r="AH135" s="128" t="inlineStr">
        <is>
          <t>ND</t>
        </is>
      </c>
      <c r="AI135" s="136" t="inlineStr">
        <is>
          <t>&lt; 2</t>
        </is>
      </c>
      <c r="AJ135" s="136" t="inlineStr">
        <is>
          <t>ND</t>
        </is>
      </c>
      <c r="AK135" s="130" t="inlineStr">
        <is>
          <t>✓</t>
        </is>
      </c>
      <c r="AL135" s="128" t="inlineStr">
        <is>
          <t>ND</t>
        </is>
      </c>
      <c r="AM135" s="136" t="inlineStr">
        <is>
          <t>ND</t>
        </is>
      </c>
      <c r="AN135" s="136" t="inlineStr">
        <is>
          <t>ND</t>
        </is>
      </c>
      <c r="AO135" s="136" t="inlineStr">
        <is>
          <t>ND</t>
        </is>
      </c>
      <c r="AP135" s="130" t="inlineStr">
        <is>
          <t>✓</t>
        </is>
      </c>
      <c r="AQ135" s="128" t="inlineStr">
        <is>
          <t>≤ LOQ (all 29 compounds)</t>
        </is>
      </c>
      <c r="AR135" s="129" t="inlineStr">
        <is>
          <t>2471-2025, (30.05.2025) [IJZ]</t>
        </is>
      </c>
      <c r="AS135" s="137" t="inlineStr">
        <is>
          <t>✓</t>
        </is>
      </c>
    </row>
    <row r="136" ht="13" customHeight="1" s="70">
      <c r="A136" s="138" t="n"/>
      <c r="D136" s="139" t="n"/>
      <c r="F136" s="140" t="n"/>
      <c r="G136" s="139" t="n"/>
      <c r="I136" s="140" t="n"/>
      <c r="J136" s="139" t="n"/>
      <c r="L136" s="140" t="n"/>
      <c r="M136" s="139" t="n"/>
      <c r="O136" s="140" t="n"/>
      <c r="P136" s="139" t="n"/>
      <c r="R136" s="140" t="n"/>
      <c r="S136" s="139" t="n"/>
      <c r="U136" s="140" t="n"/>
      <c r="V136" s="139" t="n"/>
      <c r="X136" s="140" t="n"/>
      <c r="Y136" s="139" t="n"/>
      <c r="AA136" s="140" t="n"/>
      <c r="AB136" s="141" t="inlineStr">
        <is>
          <t>471-0862-25, (22.05.2025) [IJZ-MB]</t>
        </is>
      </c>
      <c r="AG136" s="140" t="n"/>
      <c r="AH136" s="141" t="inlineStr">
        <is>
          <t>2471-2025, (30.05.2025) [IJZ]</t>
        </is>
      </c>
      <c r="AK136" s="140" t="n"/>
      <c r="AL136" s="141" t="inlineStr">
        <is>
          <t>2471-2025, (30.05.2025) [IJZ]</t>
        </is>
      </c>
      <c r="AP136" s="140" t="n"/>
      <c r="AQ136" s="139" t="n"/>
      <c r="AS136" s="142" t="n"/>
    </row>
    <row r="137" ht="17.625" customHeight="1" s="70">
      <c r="A137" s="143" t="n"/>
      <c r="B137" s="144" t="n"/>
      <c r="D137" s="145" t="n"/>
      <c r="E137" s="144" t="n"/>
      <c r="F137" s="146" t="n"/>
      <c r="G137" s="155" t="inlineStr">
        <is>
          <t>Conforms</t>
        </is>
      </c>
      <c r="H137" s="185">
        <f>IFERROR(INDEX('iCoA Register'!$B:$B,MATCH("P050022|I",'iCoA Register'!$AA:$AA,0)),"iCoA — at issue")&amp;", (03.06.2025) [PP]"</f>
        <v/>
      </c>
      <c r="I137" s="186" t="inlineStr">
        <is>
          <t>✓</t>
        </is>
      </c>
      <c r="J137" s="155" t="inlineStr">
        <is>
          <t>Conforms (ImB spec.)</t>
        </is>
      </c>
      <c r="K137" s="185" t="inlineStr">
        <is>
          <t>ППК25174, (10.07.2025) [CNP]</t>
        </is>
      </c>
      <c r="L137" s="186" t="inlineStr">
        <is>
          <t>✓</t>
        </is>
      </c>
      <c r="M137" s="187" t="inlineStr">
        <is>
          <t>23.19</t>
        </is>
      </c>
      <c r="N137" s="185" t="inlineStr">
        <is>
          <t>ППК25174, (10.07.2025) [CNP]</t>
        </is>
      </c>
      <c r="O137" s="186" t="inlineStr">
        <is>
          <t>✓</t>
        </is>
      </c>
      <c r="P137" s="188" t="inlineStr">
        <is>
          <t>0.07</t>
        </is>
      </c>
      <c r="Q137" s="185" t="inlineStr">
        <is>
          <t>ППК25174, (10.07.2025) [CNP]</t>
        </is>
      </c>
      <c r="R137" s="186" t="inlineStr">
        <is>
          <t>✓</t>
        </is>
      </c>
      <c r="S137" s="188" t="inlineStr">
        <is>
          <t>&lt; LOQ ᴰ</t>
        </is>
      </c>
      <c r="T137" s="185" t="inlineStr">
        <is>
          <t>ППК25174, (10.07.2025) [CNP]</t>
        </is>
      </c>
      <c r="U137" s="186" t="inlineStr">
        <is>
          <t>✓</t>
        </is>
      </c>
      <c r="V137" s="145" t="n"/>
      <c r="W137" s="144" t="n"/>
      <c r="X137" s="146" t="n"/>
      <c r="Y137" s="155" t="inlineStr">
        <is>
          <t>6.51</t>
        </is>
      </c>
      <c r="Z137" s="185" t="inlineStr">
        <is>
          <t>ППК25174, (10.07.2025) [CNP]</t>
        </is>
      </c>
      <c r="AA137" s="186" t="inlineStr">
        <is>
          <t>✓</t>
        </is>
      </c>
      <c r="AB137" s="155" t="inlineStr">
        <is>
          <t>&lt; 10</t>
        </is>
      </c>
      <c r="AC137" s="156" t="inlineStr">
        <is>
          <t>&lt; 10</t>
        </is>
      </c>
      <c r="AD137" s="156" t="inlineStr">
        <is>
          <t>&lt; 10</t>
        </is>
      </c>
      <c r="AE137" s="156" t="inlineStr">
        <is>
          <t>Absent</t>
        </is>
      </c>
      <c r="AF137" s="156" t="inlineStr">
        <is>
          <t>Absent</t>
        </is>
      </c>
      <c r="AG137" s="186" t="inlineStr">
        <is>
          <t>✓</t>
        </is>
      </c>
      <c r="AH137" s="155" t="inlineStr">
        <is>
          <t>ND</t>
        </is>
      </c>
      <c r="AI137" s="156" t="inlineStr">
        <is>
          <t>&lt; 2</t>
        </is>
      </c>
      <c r="AJ137" s="156" t="inlineStr">
        <is>
          <t>ND</t>
        </is>
      </c>
      <c r="AK137" s="186" t="inlineStr">
        <is>
          <t>✓</t>
        </is>
      </c>
      <c r="AL137" s="155" t="inlineStr">
        <is>
          <t>ND</t>
        </is>
      </c>
      <c r="AM137" s="156" t="inlineStr">
        <is>
          <t>ND</t>
        </is>
      </c>
      <c r="AN137" s="156" t="inlineStr">
        <is>
          <t>0.047</t>
        </is>
      </c>
      <c r="AO137" s="156" t="inlineStr">
        <is>
          <t>ND</t>
        </is>
      </c>
      <c r="AP137" s="186" t="inlineStr">
        <is>
          <t>✓</t>
        </is>
      </c>
      <c r="AQ137" s="155" t="inlineStr">
        <is>
          <t>≤ LOQ (all 29 compounds)</t>
        </is>
      </c>
      <c r="AR137" s="185" t="inlineStr">
        <is>
          <t>3176-2025, (26.06.2025) [IJZ]</t>
        </is>
      </c>
      <c r="AS137" s="209" t="inlineStr">
        <is>
          <t>✓</t>
        </is>
      </c>
    </row>
    <row r="138" ht="13" customHeight="1" s="70">
      <c r="A138" s="192" t="n"/>
      <c r="B138" s="193" t="n"/>
      <c r="D138" s="194" t="n"/>
      <c r="E138" s="193" t="n"/>
      <c r="F138" s="195" t="n"/>
      <c r="G138" s="194" t="n"/>
      <c r="H138" s="193" t="n"/>
      <c r="I138" s="195" t="n"/>
      <c r="J138" s="194" t="n"/>
      <c r="K138" s="193" t="n"/>
      <c r="L138" s="195" t="n"/>
      <c r="M138" s="194" t="n"/>
      <c r="N138" s="193" t="n"/>
      <c r="O138" s="195" t="n"/>
      <c r="P138" s="194" t="n"/>
      <c r="Q138" s="193" t="n"/>
      <c r="R138" s="195" t="n"/>
      <c r="S138" s="194" t="n"/>
      <c r="T138" s="193" t="n"/>
      <c r="U138" s="195" t="n"/>
      <c r="V138" s="194" t="n"/>
      <c r="W138" s="193" t="n"/>
      <c r="X138" s="195" t="n"/>
      <c r="Y138" s="194" t="n"/>
      <c r="Z138" s="193" t="n"/>
      <c r="AA138" s="195" t="n"/>
      <c r="AB138" s="210" t="inlineStr">
        <is>
          <t>627-1128-25, (02.07.2025) [IJZ-MB]</t>
        </is>
      </c>
      <c r="AC138" s="193" t="n"/>
      <c r="AD138" s="193" t="n"/>
      <c r="AE138" s="193" t="n"/>
      <c r="AF138" s="193" t="n"/>
      <c r="AG138" s="195" t="n"/>
      <c r="AH138" s="210" t="inlineStr">
        <is>
          <t>3176-2025, (26.06.2025) [IJZ]</t>
        </is>
      </c>
      <c r="AI138" s="193" t="n"/>
      <c r="AJ138" s="193" t="n"/>
      <c r="AK138" s="195" t="n"/>
      <c r="AL138" s="210" t="inlineStr">
        <is>
          <t>3176-2025, (26.06.2025) [IJZ]</t>
        </is>
      </c>
      <c r="AM138" s="193" t="n"/>
      <c r="AN138" s="193" t="n"/>
      <c r="AO138" s="193" t="n"/>
      <c r="AP138" s="195" t="n"/>
      <c r="AQ138" s="194" t="n"/>
      <c r="AR138" s="193" t="n"/>
      <c r="AS138" s="196" t="n"/>
    </row>
    <row r="139" ht="17.625" customHeight="1" s="70">
      <c r="A139" s="143" t="n"/>
      <c r="B139" s="144" t="n"/>
      <c r="D139" s="145" t="n"/>
      <c r="E139" s="144" t="n"/>
      <c r="F139" s="146" t="n"/>
      <c r="G139" s="189" t="inlineStr">
        <is>
          <t>not on this certificate</t>
        </is>
      </c>
      <c r="H139" s="190" t="inlineStr">
        <is>
          <t>ППК25174, (10.07.2025) [CNP] · on file, not credited</t>
        </is>
      </c>
      <c r="I139" s="191" t="inlineStr">
        <is>
          <t>•</t>
        </is>
      </c>
      <c r="J139" s="218" t="inlineStr">
        <is>
          <t>Conforms (ImB spec.)</t>
        </is>
      </c>
      <c r="K139" s="219" t="inlineStr">
        <is>
          <t>ППК26032, (05.03.2026) [CNP]</t>
        </is>
      </c>
      <c r="L139" s="220" t="inlineStr">
        <is>
          <t>✓</t>
        </is>
      </c>
      <c r="M139" s="221" t="inlineStr">
        <is>
          <t>21.31</t>
        </is>
      </c>
      <c r="N139" s="219" t="inlineStr">
        <is>
          <t>ППК26032, (05.03.2026) [CNP]</t>
        </is>
      </c>
      <c r="O139" s="220" t="inlineStr">
        <is>
          <t>✓</t>
        </is>
      </c>
      <c r="P139" s="222" t="inlineStr">
        <is>
          <t>0.03</t>
        </is>
      </c>
      <c r="Q139" s="219" t="inlineStr">
        <is>
          <t>ППК26032, (05.03.2026) [CNP]</t>
        </is>
      </c>
      <c r="R139" s="220" t="inlineStr">
        <is>
          <t>✓</t>
        </is>
      </c>
      <c r="S139" s="222" t="inlineStr">
        <is>
          <t>0.23 ᴰ</t>
        </is>
      </c>
      <c r="T139" s="219" t="inlineStr">
        <is>
          <t>ППК26032, (05.03.2026) [CNP]</t>
        </is>
      </c>
      <c r="U139" s="220" t="inlineStr">
        <is>
          <t>✓</t>
        </is>
      </c>
      <c r="V139" s="145" t="n"/>
      <c r="W139" s="144" t="n"/>
      <c r="X139" s="146" t="n"/>
      <c r="Y139" s="218" t="inlineStr">
        <is>
          <t>6.32</t>
        </is>
      </c>
      <c r="Z139" s="219" t="inlineStr">
        <is>
          <t>ППК26032, (05.03.2026) [CNP]</t>
        </is>
      </c>
      <c r="AA139" s="220" t="inlineStr">
        <is>
          <t>✓</t>
        </is>
      </c>
      <c r="AB139" s="145" t="n"/>
      <c r="AC139" s="144" t="n"/>
      <c r="AD139" s="144" t="n"/>
      <c r="AE139" s="144" t="n"/>
      <c r="AF139" s="144" t="n"/>
      <c r="AG139" s="146" t="n"/>
      <c r="AH139" s="155" t="inlineStr">
        <is>
          <t>ND</t>
        </is>
      </c>
      <c r="AI139" s="156" t="inlineStr">
        <is>
          <t>ND</t>
        </is>
      </c>
      <c r="AJ139" s="156" t="inlineStr">
        <is>
          <t>ND</t>
        </is>
      </c>
      <c r="AK139" s="186" t="inlineStr">
        <is>
          <t>✓</t>
        </is>
      </c>
      <c r="AL139" s="145" t="n"/>
      <c r="AM139" s="144" t="n"/>
      <c r="AN139" s="144" t="n"/>
      <c r="AO139" s="144" t="n"/>
      <c r="AP139" s="146" t="n"/>
      <c r="AQ139" s="145" t="n"/>
      <c r="AR139" s="144" t="n"/>
      <c r="AS139" s="157" t="n"/>
    </row>
    <row r="140" ht="13" customHeight="1" s="70">
      <c r="A140" s="192" t="n"/>
      <c r="B140" s="193" t="n"/>
      <c r="D140" s="194" t="n"/>
      <c r="E140" s="193" t="n"/>
      <c r="F140" s="195" t="n"/>
      <c r="G140" s="194" t="n"/>
      <c r="H140" s="193" t="n"/>
      <c r="I140" s="195" t="n"/>
      <c r="J140" s="194" t="n"/>
      <c r="K140" s="193" t="n"/>
      <c r="L140" s="195" t="n"/>
      <c r="M140" s="194" t="n"/>
      <c r="N140" s="193" t="n"/>
      <c r="O140" s="195" t="n"/>
      <c r="P140" s="194" t="n"/>
      <c r="Q140" s="193" t="n"/>
      <c r="R140" s="195" t="n"/>
      <c r="S140" s="194" t="n"/>
      <c r="T140" s="193" t="n"/>
      <c r="U140" s="195" t="n"/>
      <c r="V140" s="194" t="n"/>
      <c r="W140" s="193" t="n"/>
      <c r="X140" s="195" t="n"/>
      <c r="Y140" s="194" t="n"/>
      <c r="Z140" s="193" t="n"/>
      <c r="AA140" s="195" t="n"/>
      <c r="AB140" s="194" t="n"/>
      <c r="AC140" s="193" t="n"/>
      <c r="AD140" s="193" t="n"/>
      <c r="AE140" s="193" t="n"/>
      <c r="AF140" s="193" t="n"/>
      <c r="AG140" s="195" t="n"/>
      <c r="AH140" s="210" t="inlineStr">
        <is>
          <t>197-11-M-26, (10.08.2026) [FHM-M]</t>
        </is>
      </c>
      <c r="AI140" s="193" t="n"/>
      <c r="AJ140" s="193" t="n"/>
      <c r="AK140" s="195" t="n"/>
      <c r="AL140" s="194" t="n"/>
      <c r="AM140" s="193" t="n"/>
      <c r="AN140" s="193" t="n"/>
      <c r="AO140" s="193" t="n"/>
      <c r="AP140" s="195" t="n"/>
      <c r="AQ140" s="194" t="n"/>
      <c r="AR140" s="193" t="n"/>
      <c r="AS140" s="196" t="n"/>
    </row>
    <row r="141" ht="17.625" customHeight="1" s="70">
      <c r="A141" s="143" t="n"/>
      <c r="B141" s="144" t="n"/>
      <c r="D141" s="145" t="n"/>
      <c r="E141" s="144" t="n"/>
      <c r="F141" s="146" t="n"/>
      <c r="G141" s="189" t="inlineStr">
        <is>
          <t>not on this certificate</t>
        </is>
      </c>
      <c r="H141" s="190" t="inlineStr">
        <is>
          <t>ППК26032, (05.03.2026) [CNP] · on file, not credited</t>
        </is>
      </c>
      <c r="I141" s="191" t="inlineStr">
        <is>
          <t>•</t>
        </is>
      </c>
      <c r="J141" s="218" t="inlineStr">
        <is>
          <t>Conforms (ImB spec.)</t>
        </is>
      </c>
      <c r="K141" s="219" t="inlineStr">
        <is>
          <t>ППК26033, (05.03.2026) [CNP]</t>
        </is>
      </c>
      <c r="L141" s="220" t="inlineStr">
        <is>
          <t>✓</t>
        </is>
      </c>
      <c r="M141" s="221" t="inlineStr">
        <is>
          <t>13.16</t>
        </is>
      </c>
      <c r="N141" s="219" t="inlineStr">
        <is>
          <t>ППК26033, (05.03.2026) [CNP]</t>
        </is>
      </c>
      <c r="O141" s="220" t="inlineStr">
        <is>
          <t>✓</t>
        </is>
      </c>
      <c r="P141" s="222" t="inlineStr">
        <is>
          <t>0.05</t>
        </is>
      </c>
      <c r="Q141" s="219" t="inlineStr">
        <is>
          <t>ППК26033, (05.03.2026) [CNP]</t>
        </is>
      </c>
      <c r="R141" s="220" t="inlineStr">
        <is>
          <t>✓</t>
        </is>
      </c>
      <c r="S141" s="223" t="inlineStr">
        <is>
          <t>2.35 ᴰ</t>
        </is>
      </c>
      <c r="T141" s="219" t="inlineStr">
        <is>
          <t>ППК26033, (05.03.2026) [CNP]</t>
        </is>
      </c>
      <c r="U141" s="220" t="inlineStr">
        <is>
          <t>✓</t>
        </is>
      </c>
      <c r="V141" s="145" t="n"/>
      <c r="W141" s="144" t="n"/>
      <c r="X141" s="146" t="n"/>
      <c r="Y141" s="218" t="inlineStr">
        <is>
          <t>5.84</t>
        </is>
      </c>
      <c r="Z141" s="219" t="inlineStr">
        <is>
          <t>ППК26033, (05.03.2026) [CNP]</t>
        </is>
      </c>
      <c r="AA141" s="220" t="inlineStr">
        <is>
          <t>✓</t>
        </is>
      </c>
      <c r="AB141" s="145" t="n"/>
      <c r="AC141" s="144" t="n"/>
      <c r="AD141" s="144" t="n"/>
      <c r="AE141" s="144" t="n"/>
      <c r="AF141" s="144" t="n"/>
      <c r="AG141" s="146" t="n"/>
      <c r="AH141" s="145" t="n"/>
      <c r="AI141" s="144" t="n"/>
      <c r="AJ141" s="144" t="n"/>
      <c r="AK141" s="146" t="n"/>
      <c r="AL141" s="145" t="n"/>
      <c r="AM141" s="144" t="n"/>
      <c r="AN141" s="144" t="n"/>
      <c r="AO141" s="144" t="n"/>
      <c r="AP141" s="146" t="n"/>
      <c r="AQ141" s="145" t="n"/>
      <c r="AR141" s="144" t="n"/>
      <c r="AS141" s="157" t="n"/>
    </row>
    <row r="142" ht="13" customHeight="1" s="70">
      <c r="A142" s="192" t="n"/>
      <c r="B142" s="193" t="n"/>
      <c r="D142" s="194" t="n"/>
      <c r="E142" s="193" t="n"/>
      <c r="F142" s="195" t="n"/>
      <c r="G142" s="194" t="n"/>
      <c r="H142" s="193" t="n"/>
      <c r="I142" s="195" t="n"/>
      <c r="J142" s="194" t="n"/>
      <c r="K142" s="193" t="n"/>
      <c r="L142" s="195" t="n"/>
      <c r="M142" s="194" t="n"/>
      <c r="N142" s="193" t="n"/>
      <c r="O142" s="195" t="n"/>
      <c r="P142" s="194" t="n"/>
      <c r="Q142" s="193" t="n"/>
      <c r="R142" s="195" t="n"/>
      <c r="S142" s="194" t="n"/>
      <c r="T142" s="193" t="n"/>
      <c r="U142" s="195" t="n"/>
      <c r="V142" s="194" t="n"/>
      <c r="W142" s="193" t="n"/>
      <c r="X142" s="195" t="n"/>
      <c r="Y142" s="194" t="n"/>
      <c r="Z142" s="193" t="n"/>
      <c r="AA142" s="195" t="n"/>
      <c r="AB142" s="194" t="n"/>
      <c r="AC142" s="193" t="n"/>
      <c r="AD142" s="193" t="n"/>
      <c r="AE142" s="193" t="n"/>
      <c r="AF142" s="193" t="n"/>
      <c r="AG142" s="195" t="n"/>
      <c r="AH142" s="194" t="n"/>
      <c r="AI142" s="193" t="n"/>
      <c r="AJ142" s="193" t="n"/>
      <c r="AK142" s="195" t="n"/>
      <c r="AL142" s="194" t="n"/>
      <c r="AM142" s="193" t="n"/>
      <c r="AN142" s="193" t="n"/>
      <c r="AO142" s="193" t="n"/>
      <c r="AP142" s="195" t="n"/>
      <c r="AQ142" s="194" t="n"/>
      <c r="AR142" s="193" t="n"/>
      <c r="AS142" s="196" t="n"/>
    </row>
    <row r="143" ht="17.625" customHeight="1" s="70">
      <c r="A143" s="143" t="n"/>
      <c r="B143" s="144" t="n"/>
      <c r="D143" s="145" t="n"/>
      <c r="E143" s="144" t="n"/>
      <c r="F143" s="146" t="n"/>
      <c r="G143" s="189" t="inlineStr">
        <is>
          <t>not on this certificate</t>
        </is>
      </c>
      <c r="H143" s="190" t="inlineStr">
        <is>
          <t>ППК26033, (05.03.2026) [CNP] · on file, not credited</t>
        </is>
      </c>
      <c r="I143" s="191" t="inlineStr">
        <is>
          <t>•</t>
        </is>
      </c>
      <c r="J143" s="218" t="inlineStr">
        <is>
          <t>Conforms (ImB spec.)</t>
        </is>
      </c>
      <c r="K143" s="219" t="inlineStr">
        <is>
          <t>ППК26059, (11.05.2026) [CNP]</t>
        </is>
      </c>
      <c r="L143" s="220" t="inlineStr">
        <is>
          <t>✓</t>
        </is>
      </c>
      <c r="M143" s="221" t="inlineStr">
        <is>
          <t>23.08</t>
        </is>
      </c>
      <c r="N143" s="219" t="inlineStr">
        <is>
          <t>ППК26059, (11.05.2026) [CNP]</t>
        </is>
      </c>
      <c r="O143" s="220" t="inlineStr">
        <is>
          <t>✓</t>
        </is>
      </c>
      <c r="P143" s="222" t="inlineStr">
        <is>
          <t>0.03</t>
        </is>
      </c>
      <c r="Q143" s="219" t="inlineStr">
        <is>
          <t>ППК26059, (11.05.2026) [CNP]</t>
        </is>
      </c>
      <c r="R143" s="220" t="inlineStr">
        <is>
          <t>✓</t>
        </is>
      </c>
      <c r="S143" s="222" t="inlineStr">
        <is>
          <t>0.30 ᴰ</t>
        </is>
      </c>
      <c r="T143" s="219" t="inlineStr">
        <is>
          <t>ППК26059, (11.05.2026) [CNP]</t>
        </is>
      </c>
      <c r="U143" s="220" t="inlineStr">
        <is>
          <t>✓</t>
        </is>
      </c>
      <c r="V143" s="145" t="n"/>
      <c r="W143" s="144" t="n"/>
      <c r="X143" s="146" t="n"/>
      <c r="Y143" s="218" t="inlineStr">
        <is>
          <t>6.62</t>
        </is>
      </c>
      <c r="Z143" s="219" t="inlineStr">
        <is>
          <t>ППК26059, (11.05.2026) [CNP]</t>
        </is>
      </c>
      <c r="AA143" s="220" t="inlineStr">
        <is>
          <t>✓</t>
        </is>
      </c>
      <c r="AB143" s="145" t="n"/>
      <c r="AC143" s="144" t="n"/>
      <c r="AD143" s="144" t="n"/>
      <c r="AE143" s="144" t="n"/>
      <c r="AF143" s="144" t="n"/>
      <c r="AG143" s="146" t="n"/>
      <c r="AH143" s="145" t="n"/>
      <c r="AI143" s="144" t="n"/>
      <c r="AJ143" s="144" t="n"/>
      <c r="AK143" s="146" t="n"/>
      <c r="AL143" s="145" t="n"/>
      <c r="AM143" s="144" t="n"/>
      <c r="AN143" s="144" t="n"/>
      <c r="AO143" s="144" t="n"/>
      <c r="AP143" s="146" t="n"/>
      <c r="AQ143" s="145" t="n"/>
      <c r="AR143" s="144" t="n"/>
      <c r="AS143" s="157" t="n"/>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194" t="n"/>
      <c r="AC144" s="193" t="n"/>
      <c r="AD144" s="193" t="n"/>
      <c r="AE144" s="193" t="n"/>
      <c r="AF144" s="193" t="n"/>
      <c r="AG144" s="195" t="n"/>
      <c r="AH144" s="194" t="n"/>
      <c r="AI144" s="193" t="n"/>
      <c r="AJ144" s="193" t="n"/>
      <c r="AK144" s="195" t="n"/>
      <c r="AL144" s="194" t="n"/>
      <c r="AM144" s="193" t="n"/>
      <c r="AN144" s="193" t="n"/>
      <c r="AO144" s="193" t="n"/>
      <c r="AP144" s="195" t="n"/>
      <c r="AQ144" s="194" t="n"/>
      <c r="AR144" s="193" t="n"/>
      <c r="AS144" s="196" t="n"/>
    </row>
    <row r="145" ht="17.625" customHeight="1" s="70">
      <c r="A145" s="143" t="n"/>
      <c r="B145" s="144" t="n"/>
      <c r="D145" s="145" t="n"/>
      <c r="E145" s="144" t="n"/>
      <c r="F145" s="146" t="n"/>
      <c r="G145" s="152" t="inlineStr">
        <is>
          <t>not on this certificate</t>
        </is>
      </c>
      <c r="H145" s="153" t="inlineStr">
        <is>
          <t>ППК26059, (11.05.2026) [CNP] · on file, not credited</t>
        </is>
      </c>
      <c r="I145" s="154" t="inlineStr">
        <is>
          <t>•</t>
        </is>
      </c>
      <c r="J145" s="147" t="inlineStr">
        <is>
          <t>Conforms (ImB spec.) ᴿ</t>
        </is>
      </c>
      <c r="K145" s="148" t="inlineStr">
        <is>
          <t>197-11-K-26, (07.08.2026) [FHM-K]</t>
        </is>
      </c>
      <c r="L145" s="149" t="inlineStr">
        <is>
          <t>✓</t>
        </is>
      </c>
      <c r="M145" s="150" t="inlineStr">
        <is>
          <t>22.61</t>
        </is>
      </c>
      <c r="N145" s="148" t="inlineStr">
        <is>
          <t>197-11-K-26, (07.08.2026) [FHM-K]</t>
        </is>
      </c>
      <c r="O145" s="149" t="inlineStr">
        <is>
          <t>✓</t>
        </is>
      </c>
      <c r="P145" s="151" t="inlineStr">
        <is>
          <t>&lt; LOQ</t>
        </is>
      </c>
      <c r="Q145" s="148" t="inlineStr">
        <is>
          <t>197-11-K-26, (07.08.2026) [FHM-K]</t>
        </is>
      </c>
      <c r="R145" s="149" t="inlineStr">
        <is>
          <t>✓</t>
        </is>
      </c>
      <c r="S145" s="151" t="inlineStr">
        <is>
          <t>0.23</t>
        </is>
      </c>
      <c r="T145" s="148" t="inlineStr">
        <is>
          <t>197-11-K-26, (07.08.2026) [FHM-K]</t>
        </is>
      </c>
      <c r="U145" s="149" t="inlineStr">
        <is>
          <t>✓</t>
        </is>
      </c>
      <c r="V145" s="145" t="n"/>
      <c r="W145" s="144" t="n"/>
      <c r="X145" s="146" t="n"/>
      <c r="Y145" s="152" t="inlineStr">
        <is>
          <t>not on this certificate</t>
        </is>
      </c>
      <c r="Z145" s="153" t="inlineStr">
        <is>
          <t>197-11-K-26, (07.08.2026) [FHM-K] · on file, not credited</t>
        </is>
      </c>
      <c r="AA145" s="154" t="inlineStr">
        <is>
          <t>•</t>
        </is>
      </c>
      <c r="AB145" s="145" t="n"/>
      <c r="AC145" s="144" t="n"/>
      <c r="AD145" s="144" t="n"/>
      <c r="AE145" s="144" t="n"/>
      <c r="AF145" s="144" t="n"/>
      <c r="AG145" s="146" t="n"/>
      <c r="AH145" s="145" t="n"/>
      <c r="AI145" s="144" t="n"/>
      <c r="AJ145" s="144" t="n"/>
      <c r="AK145" s="146" t="n"/>
      <c r="AL145" s="145" t="n"/>
      <c r="AM145" s="144" t="n"/>
      <c r="AN145" s="144" t="n"/>
      <c r="AO145" s="144" t="n"/>
      <c r="AP145" s="146" t="n"/>
      <c r="AQ145" s="145" t="n"/>
      <c r="AR145" s="144" t="n"/>
      <c r="AS145" s="157" t="n"/>
    </row>
    <row r="146" ht="15.375" customHeight="1" s="70">
      <c r="A146" s="158" t="n"/>
      <c r="B146" s="159" t="n"/>
      <c r="C146" s="159" t="n"/>
      <c r="D146" s="160" t="n"/>
      <c r="E146" s="159" t="n"/>
      <c r="F146" s="161" t="n"/>
      <c r="G146" s="160" t="n"/>
      <c r="H146" s="159" t="n"/>
      <c r="I146" s="161" t="n"/>
      <c r="J146" s="160" t="n"/>
      <c r="K146" s="159" t="n"/>
      <c r="L146" s="161" t="n"/>
      <c r="M146" s="160" t="n"/>
      <c r="N146" s="159" t="n"/>
      <c r="O146" s="161" t="n"/>
      <c r="P146" s="160" t="n"/>
      <c r="Q146" s="159" t="n"/>
      <c r="R146" s="161" t="n"/>
      <c r="S146" s="160" t="n"/>
      <c r="T146" s="159" t="n"/>
      <c r="U146" s="161" t="n"/>
      <c r="V146" s="160" t="n"/>
      <c r="W146" s="159" t="n"/>
      <c r="X146" s="161" t="n"/>
      <c r="Y146" s="160" t="n"/>
      <c r="Z146" s="159" t="n"/>
      <c r="AA146" s="161" t="n"/>
      <c r="AB146" s="160" t="n"/>
      <c r="AC146" s="159" t="n"/>
      <c r="AD146" s="159" t="n"/>
      <c r="AE146" s="159" t="n"/>
      <c r="AF146" s="159" t="n"/>
      <c r="AG146" s="161" t="n"/>
      <c r="AH146" s="160" t="n"/>
      <c r="AI146" s="159" t="n"/>
      <c r="AJ146" s="159" t="n"/>
      <c r="AK146" s="161" t="n"/>
      <c r="AL146" s="160" t="n"/>
      <c r="AM146" s="159" t="n"/>
      <c r="AN146" s="159" t="n"/>
      <c r="AO146" s="159" t="n"/>
      <c r="AP146" s="161" t="n"/>
      <c r="AQ146" s="160" t="n"/>
      <c r="AR146" s="159" t="n"/>
      <c r="AS146" s="163" t="n"/>
    </row>
    <row r="147" ht="21" customHeight="1" s="70">
      <c r="A147" s="125" t="inlineStr">
        <is>
          <t>MB0824_04</t>
        </is>
      </c>
      <c r="B147" s="126" t="inlineStr">
        <is>
          <t>P050032</t>
        </is>
      </c>
      <c r="C147" s="127" t="inlineStr">
        <is>
          <t>✓ COMPLETE
2 testing instances
• 1 document(s) on file, not credited</t>
        </is>
      </c>
      <c r="D147" s="128" t="inlineStr">
        <is>
          <t>Conforms</t>
        </is>
      </c>
      <c r="E147" s="129">
        <f>IFERROR(INDEX('iCoA Register'!$B:$B,MATCH("P050032|I",'iCoA Register'!$AA:$AA,0)),"iCoA — at issue")&amp;", (16.06.2025) [PP]"</f>
        <v/>
      </c>
      <c r="F147" s="130" t="inlineStr">
        <is>
          <t>✓</t>
        </is>
      </c>
      <c r="G147" s="131" t="inlineStr">
        <is>
          <t>not ingested</t>
        </is>
      </c>
      <c r="H147" s="132" t="inlineStr">
        <is>
          <t>ППК25118, (06.05.2025) [CNP] · on file, not credited</t>
        </is>
      </c>
      <c r="I147" s="133" t="inlineStr">
        <is>
          <t>•</t>
        </is>
      </c>
      <c r="J147" s="128" t="inlineStr">
        <is>
          <t>Conforms (ImB spec.) ᴿ</t>
        </is>
      </c>
      <c r="K147" s="129" t="inlineStr">
        <is>
          <t>ППК25118, (06.05.2025) [CNP]</t>
        </is>
      </c>
      <c r="L147" s="130" t="inlineStr">
        <is>
          <t>✓</t>
        </is>
      </c>
      <c r="M147" s="134" t="inlineStr">
        <is>
          <t>18.67 ᴿ</t>
        </is>
      </c>
      <c r="N147" s="129" t="inlineStr">
        <is>
          <t>ППК25118, (06.05.2025) [CNP]</t>
        </is>
      </c>
      <c r="O147" s="130" t="inlineStr">
        <is>
          <t>✓</t>
        </is>
      </c>
      <c r="P147" s="135" t="inlineStr">
        <is>
          <t>0.05 ᴿ</t>
        </is>
      </c>
      <c r="Q147" s="129" t="inlineStr">
        <is>
          <t>ППК25118, (06.05.2025) [CNP]</t>
        </is>
      </c>
      <c r="R147" s="130" t="inlineStr">
        <is>
          <t>✓</t>
        </is>
      </c>
      <c r="S147" s="215" t="inlineStr">
        <is>
          <t>not ingested</t>
        </is>
      </c>
      <c r="T147" s="216" t="inlineStr">
        <is>
          <t>ППК25118, (06.05.2025) [CNP]</t>
        </is>
      </c>
      <c r="U147" s="207" t="inlineStr">
        <is>
          <t>✗</t>
        </is>
      </c>
      <c r="V147" s="128" t="inlineStr">
        <is>
          <t>Conforms</t>
        </is>
      </c>
      <c r="W147" s="129">
        <f>IFERROR(INDEX('iCoA Register'!$B:$B,MATCH("P050032|I",'iCoA Register'!$AA:$AA,0)),"iCoA — at issue")&amp;", (16.06.2025) [PP]"</f>
        <v/>
      </c>
      <c r="X147" s="130" t="inlineStr">
        <is>
          <t>✓</t>
        </is>
      </c>
      <c r="Y147" s="128" t="inlineStr">
        <is>
          <t>6.01 ᴿ</t>
        </is>
      </c>
      <c r="Z147" s="129" t="inlineStr">
        <is>
          <t>ППК25118, (06.05.2025) [CNP]</t>
        </is>
      </c>
      <c r="AA147" s="130" t="inlineStr">
        <is>
          <t>✓</t>
        </is>
      </c>
      <c r="AB147" s="128" t="inlineStr">
        <is>
          <t>&lt; 10 ᴿ</t>
        </is>
      </c>
      <c r="AC147" s="136" t="inlineStr">
        <is>
          <t>&lt; 10 ᴿ</t>
        </is>
      </c>
      <c r="AD147" s="136" t="inlineStr">
        <is>
          <t>&lt; 10 ᴿ</t>
        </is>
      </c>
      <c r="AE147" s="136" t="inlineStr">
        <is>
          <t>Absent ᴿ</t>
        </is>
      </c>
      <c r="AF147" s="136" t="inlineStr">
        <is>
          <t>Absent ᴿ</t>
        </is>
      </c>
      <c r="AG147" s="130" t="inlineStr">
        <is>
          <t>✓</t>
        </is>
      </c>
      <c r="AH147" s="128" t="inlineStr">
        <is>
          <t>not reported</t>
        </is>
      </c>
      <c r="AI147" s="136" t="inlineStr">
        <is>
          <t>&lt; 2 ᴿ</t>
        </is>
      </c>
      <c r="AJ147" s="136" t="inlineStr">
        <is>
          <t>not reported</t>
        </is>
      </c>
      <c r="AK147" s="130" t="inlineStr">
        <is>
          <t>✓</t>
        </is>
      </c>
      <c r="AL147" s="128" t="inlineStr">
        <is>
          <t>0.031 ᴿ</t>
        </is>
      </c>
      <c r="AM147" s="136" t="inlineStr">
        <is>
          <t>0.005 ᴿ</t>
        </is>
      </c>
      <c r="AN147" s="136" t="inlineStr">
        <is>
          <t>0.011 ᴿ</t>
        </is>
      </c>
      <c r="AO147" s="136" t="inlineStr">
        <is>
          <t>ND ᴿ</t>
        </is>
      </c>
      <c r="AP147" s="130" t="inlineStr">
        <is>
          <t>✓</t>
        </is>
      </c>
      <c r="AQ147" s="128" t="inlineStr">
        <is>
          <t>ND ᴿ</t>
        </is>
      </c>
      <c r="AR147" s="129" t="inlineStr">
        <is>
          <t>2157-2025, (07.05.2025) [IJZ]</t>
        </is>
      </c>
      <c r="AS147" s="137" t="inlineStr">
        <is>
          <t>✓</t>
        </is>
      </c>
    </row>
    <row r="148" ht="13" customHeight="1" s="70">
      <c r="A148" s="138" t="n"/>
      <c r="D148" s="139" t="n"/>
      <c r="F148" s="140" t="n"/>
      <c r="G148" s="139" t="n"/>
      <c r="I148" s="140" t="n"/>
      <c r="J148" s="139" t="n"/>
      <c r="L148" s="140" t="n"/>
      <c r="M148" s="139" t="n"/>
      <c r="O148" s="140" t="n"/>
      <c r="P148" s="139" t="n"/>
      <c r="R148" s="140" t="n"/>
      <c r="S148" s="139" t="n"/>
      <c r="U148" s="140" t="n"/>
      <c r="V148" s="139" t="n"/>
      <c r="X148" s="140" t="n"/>
      <c r="Y148" s="139" t="n"/>
      <c r="AA148" s="140" t="n"/>
      <c r="AB148" s="141" t="inlineStr">
        <is>
          <t>406-0744-25, (05.05.2025) [IJZ-MB]</t>
        </is>
      </c>
      <c r="AG148" s="140" t="n"/>
      <c r="AH148" s="141" t="inlineStr">
        <is>
          <t>2157-2025, (07.05.2025) [IJZ]</t>
        </is>
      </c>
      <c r="AK148" s="140" t="n"/>
      <c r="AL148" s="141" t="inlineStr">
        <is>
          <t>2157-2025, (07.05.2025) [IJZ]</t>
        </is>
      </c>
      <c r="AP148" s="140" t="n"/>
      <c r="AQ148" s="139" t="n"/>
      <c r="AS148" s="142" t="n"/>
    </row>
    <row r="149" ht="17.625" customHeight="1" s="70">
      <c r="A149" s="143" t="n"/>
      <c r="B149" s="144" t="n"/>
      <c r="D149" s="145" t="n"/>
      <c r="E149" s="144" t="n"/>
      <c r="F149" s="146" t="n"/>
      <c r="G149" s="147" t="inlineStr">
        <is>
          <t>Conforms</t>
        </is>
      </c>
      <c r="H149" s="148">
        <f>IFERROR(INDEX('iCoA Register'!$B:$B,MATCH("P050032|I",'iCoA Register'!$AA:$AA,0)),"iCoA — at issue")&amp;", (16.06.2025) [PP]"</f>
        <v/>
      </c>
      <c r="I149" s="149" t="inlineStr">
        <is>
          <t>✓</t>
        </is>
      </c>
      <c r="J149" s="147" t="inlineStr">
        <is>
          <t>Conforms (ImB spec.)</t>
        </is>
      </c>
      <c r="K149" s="148" t="inlineStr">
        <is>
          <t>227-12-K-26, (11.09.2026) [FHM-K]</t>
        </is>
      </c>
      <c r="L149" s="149" t="inlineStr">
        <is>
          <t>✓</t>
        </is>
      </c>
      <c r="M149" s="150" t="inlineStr">
        <is>
          <t>17.57</t>
        </is>
      </c>
      <c r="N149" s="148" t="inlineStr">
        <is>
          <t>227-12-K-26, (11.09.2026) [FHM-K]</t>
        </is>
      </c>
      <c r="O149" s="149" t="inlineStr">
        <is>
          <t>✓</t>
        </is>
      </c>
      <c r="P149" s="151" t="inlineStr">
        <is>
          <t>&lt; LOQ</t>
        </is>
      </c>
      <c r="Q149" s="148" t="inlineStr">
        <is>
          <t>227-12-K-26, (11.09.2026) [FHM-K]</t>
        </is>
      </c>
      <c r="R149" s="149" t="inlineStr">
        <is>
          <t>✓</t>
        </is>
      </c>
      <c r="S149" s="151" t="inlineStr">
        <is>
          <t>&lt; LOQ</t>
        </is>
      </c>
      <c r="T149" s="148" t="inlineStr">
        <is>
          <t>227-12-K-26, (11.09.2026) [FHM-K]</t>
        </is>
      </c>
      <c r="U149" s="149" t="inlineStr">
        <is>
          <t>✓</t>
        </is>
      </c>
      <c r="V149" s="145" t="n"/>
      <c r="W149" s="144" t="n"/>
      <c r="X149" s="146" t="n"/>
      <c r="Y149" s="145" t="n"/>
      <c r="Z149" s="144" t="n"/>
      <c r="AA149" s="146" t="n"/>
      <c r="AB149" s="155" t="inlineStr">
        <is>
          <t>&lt; 10</t>
        </is>
      </c>
      <c r="AC149" s="156" t="inlineStr">
        <is>
          <t>&lt; 10</t>
        </is>
      </c>
      <c r="AD149" s="156" t="inlineStr">
        <is>
          <t>&lt; 10</t>
        </is>
      </c>
      <c r="AE149" s="156" t="inlineStr">
        <is>
          <t>Absent</t>
        </is>
      </c>
      <c r="AF149" s="156" t="inlineStr">
        <is>
          <t>Absent</t>
        </is>
      </c>
      <c r="AG149" s="149" t="inlineStr">
        <is>
          <t>✓</t>
        </is>
      </c>
      <c r="AH149" s="145" t="n"/>
      <c r="AI149" s="144" t="n"/>
      <c r="AJ149" s="144" t="n"/>
      <c r="AK149" s="146" t="n"/>
      <c r="AL149" s="145" t="n"/>
      <c r="AM149" s="144" t="n"/>
      <c r="AN149" s="144" t="n"/>
      <c r="AO149" s="144" t="n"/>
      <c r="AP149" s="146" t="n"/>
      <c r="AQ149" s="145" t="n"/>
      <c r="AR149" s="144" t="n"/>
      <c r="AS149" s="157" t="n"/>
    </row>
    <row r="150" ht="13" customHeight="1" s="70">
      <c r="A150" s="158" t="n"/>
      <c r="B150" s="159" t="n"/>
      <c r="C150" s="159" t="n"/>
      <c r="D150" s="160" t="n"/>
      <c r="E150" s="159" t="n"/>
      <c r="F150" s="161" t="n"/>
      <c r="G150" s="160" t="n"/>
      <c r="H150" s="159" t="n"/>
      <c r="I150" s="161" t="n"/>
      <c r="J150" s="160" t="n"/>
      <c r="K150" s="159" t="n"/>
      <c r="L150" s="161" t="n"/>
      <c r="M150" s="160" t="n"/>
      <c r="N150" s="159" t="n"/>
      <c r="O150" s="161" t="n"/>
      <c r="P150" s="160" t="n"/>
      <c r="Q150" s="159" t="n"/>
      <c r="R150" s="161" t="n"/>
      <c r="S150" s="160" t="n"/>
      <c r="T150" s="159" t="n"/>
      <c r="U150" s="161" t="n"/>
      <c r="V150" s="160" t="n"/>
      <c r="W150" s="159" t="n"/>
      <c r="X150" s="161" t="n"/>
      <c r="Y150" s="160" t="n"/>
      <c r="Z150" s="159" t="n"/>
      <c r="AA150" s="161" t="n"/>
      <c r="AB150" s="162" t="inlineStr">
        <is>
          <t>563-1094-26, (01.09.2026) [IJZ-MB]</t>
        </is>
      </c>
      <c r="AC150" s="159" t="n"/>
      <c r="AD150" s="159" t="n"/>
      <c r="AE150" s="159" t="n"/>
      <c r="AF150" s="159" t="n"/>
      <c r="AG150" s="161" t="n"/>
      <c r="AH150" s="160" t="n"/>
      <c r="AI150" s="159" t="n"/>
      <c r="AJ150" s="159" t="n"/>
      <c r="AK150" s="161" t="n"/>
      <c r="AL150" s="160" t="n"/>
      <c r="AM150" s="159" t="n"/>
      <c r="AN150" s="159" t="n"/>
      <c r="AO150" s="159" t="n"/>
      <c r="AP150" s="161" t="n"/>
      <c r="AQ150" s="160" t="n"/>
      <c r="AR150" s="159" t="n"/>
      <c r="AS150" s="163" t="n"/>
    </row>
    <row r="151" ht="21" customHeight="1" s="70">
      <c r="A151" s="125" t="inlineStr">
        <is>
          <t>OMP1024_01</t>
        </is>
      </c>
      <c r="B151" s="126" t="inlineStr">
        <is>
          <t>P050042</t>
        </is>
      </c>
      <c r="C151" s="127" t="inlineStr">
        <is>
          <t>✓ COMPLETE
2 testing instances
• 2 document(s) on file, not credited</t>
        </is>
      </c>
      <c r="D151" s="128" t="inlineStr">
        <is>
          <t>Conforms</t>
        </is>
      </c>
      <c r="E151" s="129">
        <f>IFERROR(INDEX('iCoA Register'!$B:$B,MATCH("P050042|I",'iCoA Register'!$AA:$AA,0)),"iCoA — at issue")&amp;", (20.06.2025) [PP]"</f>
        <v/>
      </c>
      <c r="F151" s="130" t="inlineStr">
        <is>
          <t>✓</t>
        </is>
      </c>
      <c r="G151" s="131" t="inlineStr">
        <is>
          <t>not on this certificate</t>
        </is>
      </c>
      <c r="H151" s="132" t="inlineStr">
        <is>
          <t>ППК25117, (06.05.2025) [CNP] · on file, not credited</t>
        </is>
      </c>
      <c r="I151" s="133" t="inlineStr">
        <is>
          <t>•</t>
        </is>
      </c>
      <c r="J151" s="128" t="inlineStr">
        <is>
          <t>Conforms (ImB spec.)</t>
        </is>
      </c>
      <c r="K151" s="129" t="inlineStr">
        <is>
          <t>ППК25117, (06.05.2025) [CNP]</t>
        </is>
      </c>
      <c r="L151" s="130" t="inlineStr">
        <is>
          <t>✓</t>
        </is>
      </c>
      <c r="M151" s="134" t="inlineStr">
        <is>
          <t>15.38</t>
        </is>
      </c>
      <c r="N151" s="129" t="inlineStr">
        <is>
          <t>ППК25117, (06.05.2025) [CNP]</t>
        </is>
      </c>
      <c r="O151" s="130" t="inlineStr">
        <is>
          <t>✓</t>
        </is>
      </c>
      <c r="P151" s="135" t="inlineStr">
        <is>
          <t>0.04</t>
        </is>
      </c>
      <c r="Q151" s="129" t="inlineStr">
        <is>
          <t>ППК25117, (06.05.2025) [CNP]</t>
        </is>
      </c>
      <c r="R151" s="130" t="inlineStr">
        <is>
          <t>✓</t>
        </is>
      </c>
      <c r="S151" s="135" t="inlineStr">
        <is>
          <t>0.01 ᴰ</t>
        </is>
      </c>
      <c r="T151" s="129" t="inlineStr">
        <is>
          <t>ППК25117, (06.05.2025) [CNP]</t>
        </is>
      </c>
      <c r="U151" s="130" t="inlineStr">
        <is>
          <t>✓</t>
        </is>
      </c>
      <c r="V151" s="128" t="inlineStr">
        <is>
          <t>Conforms</t>
        </is>
      </c>
      <c r="W151" s="129">
        <f>IFERROR(INDEX('iCoA Register'!$B:$B,MATCH("P050042|I",'iCoA Register'!$AA:$AA,0)),"iCoA — at issue")&amp;", (20.06.2025) [PP]"</f>
        <v/>
      </c>
      <c r="X151" s="130" t="inlineStr">
        <is>
          <t>✓</t>
        </is>
      </c>
      <c r="Y151" s="128" t="inlineStr">
        <is>
          <t>5.86</t>
        </is>
      </c>
      <c r="Z151" s="129" t="inlineStr">
        <is>
          <t>ППК25117, (06.05.2025) [CNP]</t>
        </is>
      </c>
      <c r="AA151" s="130" t="inlineStr">
        <is>
          <t>✓</t>
        </is>
      </c>
      <c r="AB151" s="128" t="inlineStr">
        <is>
          <t>10</t>
        </is>
      </c>
      <c r="AC151" s="136" t="inlineStr">
        <is>
          <t>&lt; 10</t>
        </is>
      </c>
      <c r="AD151" s="136" t="inlineStr">
        <is>
          <t>&lt; 10² and &gt; 10</t>
        </is>
      </c>
      <c r="AE151" s="136" t="inlineStr">
        <is>
          <t>Absent</t>
        </is>
      </c>
      <c r="AF151" s="136" t="inlineStr">
        <is>
          <t>Absent</t>
        </is>
      </c>
      <c r="AG151" s="130" t="inlineStr">
        <is>
          <t>✓</t>
        </is>
      </c>
      <c r="AH151" s="128" t="inlineStr">
        <is>
          <t>ND</t>
        </is>
      </c>
      <c r="AI151" s="136" t="inlineStr">
        <is>
          <t>&lt; 2</t>
        </is>
      </c>
      <c r="AJ151" s="136" t="inlineStr">
        <is>
          <t>ND</t>
        </is>
      </c>
      <c r="AK151" s="130" t="inlineStr">
        <is>
          <t>✓</t>
        </is>
      </c>
      <c r="AL151" s="128" t="inlineStr">
        <is>
          <t>0.031</t>
        </is>
      </c>
      <c r="AM151" s="136" t="inlineStr">
        <is>
          <t>0.004</t>
        </is>
      </c>
      <c r="AN151" s="136" t="inlineStr">
        <is>
          <t>0.01</t>
        </is>
      </c>
      <c r="AO151" s="136" t="inlineStr">
        <is>
          <t>0.001</t>
        </is>
      </c>
      <c r="AP151" s="130" t="inlineStr">
        <is>
          <t>✓</t>
        </is>
      </c>
      <c r="AQ151" s="128" t="inlineStr">
        <is>
          <t>≤ LOQ (all 26 compounds)</t>
        </is>
      </c>
      <c r="AR151" s="129" t="inlineStr">
        <is>
          <t>2156-2025, (07.05.2025) [IJZ]</t>
        </is>
      </c>
      <c r="AS151" s="137" t="inlineStr">
        <is>
          <t>✓</t>
        </is>
      </c>
    </row>
    <row r="152" ht="13" customHeight="1" s="70">
      <c r="A152" s="138" t="n"/>
      <c r="D152" s="139" t="n"/>
      <c r="F152" s="140" t="n"/>
      <c r="G152" s="139" t="n"/>
      <c r="I152" s="140" t="n"/>
      <c r="J152" s="139" t="n"/>
      <c r="L152" s="140" t="n"/>
      <c r="M152" s="139" t="n"/>
      <c r="O152" s="140" t="n"/>
      <c r="P152" s="139" t="n"/>
      <c r="R152" s="140" t="n"/>
      <c r="S152" s="139" t="n"/>
      <c r="U152" s="140" t="n"/>
      <c r="V152" s="139" t="n"/>
      <c r="X152" s="140" t="n"/>
      <c r="Y152" s="139" t="n"/>
      <c r="AA152" s="140" t="n"/>
      <c r="AB152" s="141" t="inlineStr">
        <is>
          <t>407-0745-25, (05.05.2025) [IJZ-MB]</t>
        </is>
      </c>
      <c r="AG152" s="140" t="n"/>
      <c r="AH152" s="141" t="inlineStr">
        <is>
          <t>2156-2025, (07.05.2025) [IJZ]</t>
        </is>
      </c>
      <c r="AK152" s="140" t="n"/>
      <c r="AL152" s="141" t="inlineStr">
        <is>
          <t>2156-2025, (07.05.2025) [IJZ]</t>
        </is>
      </c>
      <c r="AP152" s="140" t="n"/>
      <c r="AQ152" s="139" t="n"/>
      <c r="AS152" s="142" t="n"/>
    </row>
    <row r="153" ht="21" customHeight="1" s="70">
      <c r="A153" s="143" t="n"/>
      <c r="B153" s="144" t="n"/>
      <c r="D153" s="145" t="n"/>
      <c r="E153" s="144" t="n"/>
      <c r="F153" s="146" t="n"/>
      <c r="G153" s="147" t="inlineStr">
        <is>
          <t>Conforms</t>
        </is>
      </c>
      <c r="H153" s="148">
        <f>IFERROR(INDEX('iCoA Register'!$B:$B,MATCH("P050042|I",'iCoA Register'!$AA:$AA,0)),"iCoA — at issue")&amp;", (20.06.2025) [PP]"</f>
        <v/>
      </c>
      <c r="I153" s="149" t="inlineStr">
        <is>
          <t>✓</t>
        </is>
      </c>
      <c r="J153" s="145" t="n"/>
      <c r="K153" s="144" t="n"/>
      <c r="L153" s="146" t="n"/>
      <c r="M153" s="145" t="n"/>
      <c r="N153" s="144" t="n"/>
      <c r="O153" s="146" t="n"/>
      <c r="P153" s="145" t="n"/>
      <c r="Q153" s="144" t="n"/>
      <c r="R153" s="146" t="n"/>
      <c r="S153" s="145" t="n"/>
      <c r="T153" s="144" t="n"/>
      <c r="U153" s="146" t="n"/>
      <c r="V153" s="145" t="n"/>
      <c r="W153" s="144" t="n"/>
      <c r="X153" s="146" t="n"/>
      <c r="Y153" s="145" t="n"/>
      <c r="Z153" s="144" t="n"/>
      <c r="AA153" s="146" t="n"/>
      <c r="AB153" s="189" t="inlineStr">
        <is>
          <t>&lt; 10 ᴿ</t>
        </is>
      </c>
      <c r="AC153" s="211" t="inlineStr">
        <is>
          <t>&lt; 10 ᴿ</t>
        </is>
      </c>
      <c r="AD153" s="211" t="inlineStr">
        <is>
          <t>&lt; 10² and &gt; 10 ᴿ</t>
        </is>
      </c>
      <c r="AE153" s="211" t="inlineStr">
        <is>
          <t>Absent ᴿ</t>
        </is>
      </c>
      <c r="AF153" s="211" t="inlineStr">
        <is>
          <t>Absent ᴿ</t>
        </is>
      </c>
      <c r="AG153" s="154" t="inlineStr">
        <is>
          <t>•</t>
        </is>
      </c>
      <c r="AH153" s="155" t="inlineStr">
        <is>
          <t>ND</t>
        </is>
      </c>
      <c r="AI153" s="156" t="inlineStr">
        <is>
          <t>ND</t>
        </is>
      </c>
      <c r="AJ153" s="156" t="inlineStr">
        <is>
          <t>ND</t>
        </is>
      </c>
      <c r="AK153" s="149" t="inlineStr">
        <is>
          <t>✓</t>
        </is>
      </c>
      <c r="AL153" s="145" t="n"/>
      <c r="AM153" s="144" t="n"/>
      <c r="AN153" s="144" t="n"/>
      <c r="AO153" s="144" t="n"/>
      <c r="AP153" s="146" t="n"/>
      <c r="AQ153" s="145" t="n"/>
      <c r="AR153" s="144" t="n"/>
      <c r="AS153" s="157" t="n"/>
    </row>
    <row r="154" ht="13"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224" t="inlineStr">
        <is>
          <t>2156-2025, (07.05.2025) [IJZ] · on file, not credited</t>
        </is>
      </c>
      <c r="AC154" s="159" t="n"/>
      <c r="AD154" s="159" t="n"/>
      <c r="AE154" s="159" t="n"/>
      <c r="AF154" s="159" t="n"/>
      <c r="AG154" s="161" t="n"/>
      <c r="AH154" s="162" t="inlineStr">
        <is>
          <t>220-21-M-26, (11.09.2026) [FHM-M]</t>
        </is>
      </c>
      <c r="AI154" s="159" t="n"/>
      <c r="AJ154" s="159" t="n"/>
      <c r="AK154" s="161" t="n"/>
      <c r="AL154" s="160" t="n"/>
      <c r="AM154" s="159" t="n"/>
      <c r="AN154" s="159" t="n"/>
      <c r="AO154" s="159" t="n"/>
      <c r="AP154" s="161" t="n"/>
      <c r="AQ154" s="160" t="n"/>
      <c r="AR154" s="159" t="n"/>
      <c r="AS154" s="163" t="n"/>
    </row>
    <row r="155" ht="17.625" customHeight="1" s="70">
      <c r="A155" s="125" t="inlineStr">
        <is>
          <t>HPA1024_01</t>
        </is>
      </c>
      <c r="B155" s="126" t="inlineStr">
        <is>
          <t>P050052</t>
        </is>
      </c>
      <c r="C155" s="164" t="inlineStr">
        <is>
          <t>✓ COMPLETE
2 testing instances
• 2 document(s) on file, not credited
◐ UNDETERMINED (Ph. Eur. band): #9 TYMC</t>
        </is>
      </c>
      <c r="D155" s="128" t="inlineStr">
        <is>
          <t>Conforms</t>
        </is>
      </c>
      <c r="E155" s="129">
        <f>IFERROR(INDEX('iCoA Register'!$B:$B,MATCH("P050052|I",'iCoA Register'!$AA:$AA,0)),"iCoA — at issue")&amp;", (27.06.2025) [PP]"</f>
        <v/>
      </c>
      <c r="F155" s="130" t="inlineStr">
        <is>
          <t>✓</t>
        </is>
      </c>
      <c r="G155" s="131" t="inlineStr">
        <is>
          <t>not on this certificate</t>
        </is>
      </c>
      <c r="H155" s="132" t="inlineStr">
        <is>
          <t>ППК25155, (24.06.2025) [CNP] · on file, not credited</t>
        </is>
      </c>
      <c r="I155" s="133" t="inlineStr">
        <is>
          <t>•</t>
        </is>
      </c>
      <c r="J155" s="128" t="inlineStr">
        <is>
          <t>Conforms (ImB spec.)</t>
        </is>
      </c>
      <c r="K155" s="129" t="inlineStr">
        <is>
          <t>ППК25155, (24.06.2025) [CNP]</t>
        </is>
      </c>
      <c r="L155" s="130" t="inlineStr">
        <is>
          <t>✓</t>
        </is>
      </c>
      <c r="M155" s="134" t="inlineStr">
        <is>
          <t>22.43</t>
        </is>
      </c>
      <c r="N155" s="129" t="inlineStr">
        <is>
          <t>ППК25155, (24.06.2025) [CNP]</t>
        </is>
      </c>
      <c r="O155" s="130" t="inlineStr">
        <is>
          <t>✓</t>
        </is>
      </c>
      <c r="P155" s="135" t="inlineStr">
        <is>
          <t>0.10</t>
        </is>
      </c>
      <c r="Q155" s="129" t="inlineStr">
        <is>
          <t>ППК25155, (24.06.2025) [CNP]</t>
        </is>
      </c>
      <c r="R155" s="130" t="inlineStr">
        <is>
          <t>✓</t>
        </is>
      </c>
      <c r="S155" s="135" t="inlineStr">
        <is>
          <t>0.02 ᴰ</t>
        </is>
      </c>
      <c r="T155" s="129" t="inlineStr">
        <is>
          <t>ППК25155, (24.06.2025) [CNP]</t>
        </is>
      </c>
      <c r="U155" s="130" t="inlineStr">
        <is>
          <t>✓</t>
        </is>
      </c>
      <c r="V155" s="128" t="inlineStr">
        <is>
          <t>Conforms</t>
        </is>
      </c>
      <c r="W155" s="129">
        <f>IFERROR(INDEX('iCoA Register'!$B:$B,MATCH("P050052|I",'iCoA Register'!$AA:$AA,0)),"iCoA — at issue")&amp;", (27.06.2025) [PP]"</f>
        <v/>
      </c>
      <c r="X155" s="130" t="inlineStr">
        <is>
          <t>✓</t>
        </is>
      </c>
      <c r="Y155" s="128" t="inlineStr">
        <is>
          <t>6.36</t>
        </is>
      </c>
      <c r="Z155" s="129" t="inlineStr">
        <is>
          <t>ППК25155, (24.06.2025) [CNP]</t>
        </is>
      </c>
      <c r="AA155" s="130" t="inlineStr">
        <is>
          <t>✓</t>
        </is>
      </c>
      <c r="AB155" s="128" t="inlineStr">
        <is>
          <t>9.6 × 10³</t>
        </is>
      </c>
      <c r="AC155" s="217" t="inlineStr">
        <is>
          <t>1.5 × 10⁴</t>
        </is>
      </c>
      <c r="AD155" s="136" t="inlineStr">
        <is>
          <t>&lt; 10</t>
        </is>
      </c>
      <c r="AE155" s="136" t="inlineStr">
        <is>
          <t>Absent</t>
        </is>
      </c>
      <c r="AF155" s="136" t="inlineStr">
        <is>
          <t>Absent</t>
        </is>
      </c>
      <c r="AG155" s="130" t="inlineStr">
        <is>
          <t>✓</t>
        </is>
      </c>
      <c r="AH155" s="128" t="inlineStr">
        <is>
          <t>ND</t>
        </is>
      </c>
      <c r="AI155" s="136" t="inlineStr">
        <is>
          <t>&lt; 2</t>
        </is>
      </c>
      <c r="AJ155" s="136" t="inlineStr">
        <is>
          <t>ND</t>
        </is>
      </c>
      <c r="AK155" s="130" t="inlineStr">
        <is>
          <t>✓</t>
        </is>
      </c>
      <c r="AL155" s="128" t="inlineStr">
        <is>
          <t>0.059</t>
        </is>
      </c>
      <c r="AM155" s="136" t="inlineStr">
        <is>
          <t>0.014</t>
        </is>
      </c>
      <c r="AN155" s="136" t="inlineStr">
        <is>
          <t>0.037</t>
        </is>
      </c>
      <c r="AO155" s="136" t="inlineStr">
        <is>
          <t>0.008</t>
        </is>
      </c>
      <c r="AP155" s="130" t="inlineStr">
        <is>
          <t>✓</t>
        </is>
      </c>
      <c r="AQ155" s="128" t="inlineStr">
        <is>
          <t>≤ LOQ (all 23 compounds)</t>
        </is>
      </c>
      <c r="AR155" s="129" t="inlineStr">
        <is>
          <t>2995-2025, (19.06.2025)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587-1066-25, (18.06.2025) [IJZ-MB]</t>
        </is>
      </c>
      <c r="AG156" s="140" t="n"/>
      <c r="AH156" s="141" t="inlineStr">
        <is>
          <t>2995-2025, (19.06.2025) [IJZ]</t>
        </is>
      </c>
      <c r="AK156" s="140" t="n"/>
      <c r="AL156" s="141" t="inlineStr">
        <is>
          <t>2995-2025, (19.06.2025) [IJZ]</t>
        </is>
      </c>
      <c r="AP156" s="140" t="n"/>
      <c r="AQ156" s="139" t="n"/>
      <c r="AS156" s="142" t="n"/>
    </row>
    <row r="157" ht="17.625" customHeight="1" s="70">
      <c r="A157" s="143" t="n"/>
      <c r="B157" s="144" t="n"/>
      <c r="D157" s="145" t="n"/>
      <c r="E157" s="144" t="n"/>
      <c r="F157" s="146" t="n"/>
      <c r="G157" s="147" t="inlineStr">
        <is>
          <t>Conforms</t>
        </is>
      </c>
      <c r="H157" s="148">
        <f>IFERROR(INDEX('iCoA Register'!$B:$B,MATCH("P050052|I",'iCoA Register'!$AA:$AA,0)),"iCoA — at issue")&amp;", (27.06.2025) [PP]"</f>
        <v/>
      </c>
      <c r="I157" s="149" t="inlineStr">
        <is>
          <t>✓</t>
        </is>
      </c>
      <c r="J157" s="147" t="inlineStr">
        <is>
          <t>Conforms (ImB spec.) ᴿ</t>
        </is>
      </c>
      <c r="K157" s="148" t="inlineStr">
        <is>
          <t>197-14-K-26, (07.08.2026) [FHM-K]</t>
        </is>
      </c>
      <c r="L157" s="149" t="inlineStr">
        <is>
          <t>✓</t>
        </is>
      </c>
      <c r="M157" s="150" t="inlineStr">
        <is>
          <t>21.61</t>
        </is>
      </c>
      <c r="N157" s="148" t="inlineStr">
        <is>
          <t>197-14-K-26, (07.08.2026) [FHM-K]</t>
        </is>
      </c>
      <c r="O157" s="149" t="inlineStr">
        <is>
          <t>✓</t>
        </is>
      </c>
      <c r="P157" s="151" t="inlineStr">
        <is>
          <t>&lt; LOQ</t>
        </is>
      </c>
      <c r="Q157" s="148" t="inlineStr">
        <is>
          <t>197-14-K-26, (07.08.2026) [FHM-K]</t>
        </is>
      </c>
      <c r="R157" s="149" t="inlineStr">
        <is>
          <t>✓</t>
        </is>
      </c>
      <c r="S157" s="151" t="inlineStr">
        <is>
          <t>&lt; LOQ</t>
        </is>
      </c>
      <c r="T157" s="148" t="inlineStr">
        <is>
          <t>197-14-K-26, (07.08.2026) [FHM-K]</t>
        </is>
      </c>
      <c r="U157" s="149" t="inlineStr">
        <is>
          <t>✓</t>
        </is>
      </c>
      <c r="V157" s="145" t="n"/>
      <c r="W157" s="144" t="n"/>
      <c r="X157" s="146" t="n"/>
      <c r="Y157" s="152" t="inlineStr">
        <is>
          <t>not on this certificate</t>
        </is>
      </c>
      <c r="Z157" s="153" t="inlineStr">
        <is>
          <t>197-14-K-26, (07.08.2026) [FHM-K] · on file, not credited</t>
        </is>
      </c>
      <c r="AA157" s="154" t="inlineStr">
        <is>
          <t>•</t>
        </is>
      </c>
      <c r="AB157" s="145" t="n"/>
      <c r="AC157" s="144" t="n"/>
      <c r="AD157" s="144" t="n"/>
      <c r="AE157" s="144" t="n"/>
      <c r="AF157" s="144" t="n"/>
      <c r="AG157" s="146" t="n"/>
      <c r="AH157" s="155" t="inlineStr">
        <is>
          <t>ND</t>
        </is>
      </c>
      <c r="AI157" s="156" t="inlineStr">
        <is>
          <t>ND</t>
        </is>
      </c>
      <c r="AJ157" s="156" t="inlineStr">
        <is>
          <t>2.06</t>
        </is>
      </c>
      <c r="AK157" s="149" t="inlineStr">
        <is>
          <t>✓</t>
        </is>
      </c>
      <c r="AL157" s="145" t="n"/>
      <c r="AM157" s="144" t="n"/>
      <c r="AN157" s="144" t="n"/>
      <c r="AO157" s="144" t="n"/>
      <c r="AP157" s="146" t="n"/>
      <c r="AQ157" s="145" t="n"/>
      <c r="AR157" s="144" t="n"/>
      <c r="AS157" s="157" t="n"/>
    </row>
    <row r="158" ht="15.375"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0" t="n"/>
      <c r="AC158" s="159" t="n"/>
      <c r="AD158" s="159" t="n"/>
      <c r="AE158" s="159" t="n"/>
      <c r="AF158" s="159" t="n"/>
      <c r="AG158" s="161" t="n"/>
      <c r="AH158" s="162" t="inlineStr">
        <is>
          <t>197-14-M-26, (10.08.2026) [FHM-M]</t>
        </is>
      </c>
      <c r="AI158" s="159" t="n"/>
      <c r="AJ158" s="159" t="n"/>
      <c r="AK158" s="161" t="n"/>
      <c r="AL158" s="160" t="n"/>
      <c r="AM158" s="159" t="n"/>
      <c r="AN158" s="159" t="n"/>
      <c r="AO158" s="159" t="n"/>
      <c r="AP158" s="161" t="n"/>
      <c r="AQ158" s="160" t="n"/>
      <c r="AR158" s="159" t="n"/>
      <c r="AS158" s="163" t="n"/>
    </row>
    <row r="159" ht="17.625" customHeight="1" s="70">
      <c r="A159" s="125" t="inlineStr">
        <is>
          <t>OPM1024_02</t>
        </is>
      </c>
      <c r="B159" s="126" t="inlineStr">
        <is>
          <t>P050062</t>
        </is>
      </c>
      <c r="C159" s="127" t="inlineStr">
        <is>
          <t>✓ COMPLETE
2 testing instances
• 2 document(s) on file, not credited</t>
        </is>
      </c>
      <c r="D159" s="128" t="inlineStr">
        <is>
          <t>Conforms</t>
        </is>
      </c>
      <c r="E159" s="129">
        <f>IFERROR(INDEX('iCoA Register'!$B:$B,MATCH("P050062|I",'iCoA Register'!$AA:$AA,0)),"iCoA — at issue")&amp;", (04.07.2025) [PP]"</f>
        <v/>
      </c>
      <c r="F159" s="130" t="inlineStr">
        <is>
          <t>✓</t>
        </is>
      </c>
      <c r="G159" s="131" t="inlineStr">
        <is>
          <t>not on this certificate</t>
        </is>
      </c>
      <c r="H159" s="132" t="inlineStr">
        <is>
          <t>ППК25154, (24.06.2025) [CNP] · on file, not credited</t>
        </is>
      </c>
      <c r="I159" s="133" t="inlineStr">
        <is>
          <t>•</t>
        </is>
      </c>
      <c r="J159" s="128" t="inlineStr">
        <is>
          <t>Conforms (ImB spec.)</t>
        </is>
      </c>
      <c r="K159" s="129" t="inlineStr">
        <is>
          <t>ППК25154, (24.06.2025) [CNP]</t>
        </is>
      </c>
      <c r="L159" s="130" t="inlineStr">
        <is>
          <t>✓</t>
        </is>
      </c>
      <c r="M159" s="134" t="inlineStr">
        <is>
          <t>18.27</t>
        </is>
      </c>
      <c r="N159" s="129" t="inlineStr">
        <is>
          <t>ППК25154, (24.06.2025) [CNP]</t>
        </is>
      </c>
      <c r="O159" s="130" t="inlineStr">
        <is>
          <t>✓</t>
        </is>
      </c>
      <c r="P159" s="135" t="inlineStr">
        <is>
          <t>0.05</t>
        </is>
      </c>
      <c r="Q159" s="129" t="inlineStr">
        <is>
          <t>ППК25154, (24.06.2025) [CNP]</t>
        </is>
      </c>
      <c r="R159" s="130" t="inlineStr">
        <is>
          <t>✓</t>
        </is>
      </c>
      <c r="S159" s="135" t="inlineStr">
        <is>
          <t>0.02 ᴰ</t>
        </is>
      </c>
      <c r="T159" s="129" t="inlineStr">
        <is>
          <t>ППК25154, (24.06.2025) [CNP]</t>
        </is>
      </c>
      <c r="U159" s="130" t="inlineStr">
        <is>
          <t>✓</t>
        </is>
      </c>
      <c r="V159" s="128" t="inlineStr">
        <is>
          <t>Conforms</t>
        </is>
      </c>
      <c r="W159" s="129">
        <f>IFERROR(INDEX('iCoA Register'!$B:$B,MATCH("P050062|I",'iCoA Register'!$AA:$AA,0)),"iCoA — at issue")&amp;", (04.07.2025) [PP]"</f>
        <v/>
      </c>
      <c r="X159" s="130" t="inlineStr">
        <is>
          <t>✓</t>
        </is>
      </c>
      <c r="Y159" s="128" t="inlineStr">
        <is>
          <t>6.89</t>
        </is>
      </c>
      <c r="Z159" s="129" t="inlineStr">
        <is>
          <t>ППК25154, (24.06.2025) [CNP]</t>
        </is>
      </c>
      <c r="AA159" s="130" t="inlineStr">
        <is>
          <t>✓</t>
        </is>
      </c>
      <c r="AB159" s="128" t="inlineStr">
        <is>
          <t>3.4 × 10³</t>
        </is>
      </c>
      <c r="AC159" s="136" t="inlineStr">
        <is>
          <t>3.6 × 10³</t>
        </is>
      </c>
      <c r="AD159" s="136" t="inlineStr">
        <is>
          <t>&lt; 10</t>
        </is>
      </c>
      <c r="AE159" s="136" t="inlineStr">
        <is>
          <t>Absent</t>
        </is>
      </c>
      <c r="AF159" s="136" t="inlineStr">
        <is>
          <t>Absent</t>
        </is>
      </c>
      <c r="AG159" s="130" t="inlineStr">
        <is>
          <t>✓</t>
        </is>
      </c>
      <c r="AH159" s="128" t="inlineStr">
        <is>
          <t>ND</t>
        </is>
      </c>
      <c r="AI159" s="136" t="inlineStr">
        <is>
          <t>&lt; 2</t>
        </is>
      </c>
      <c r="AJ159" s="136" t="inlineStr">
        <is>
          <t>ND</t>
        </is>
      </c>
      <c r="AK159" s="130" t="inlineStr">
        <is>
          <t>✓</t>
        </is>
      </c>
      <c r="AL159" s="128" t="inlineStr">
        <is>
          <t>0.052</t>
        </is>
      </c>
      <c r="AM159" s="136" t="inlineStr">
        <is>
          <t>0.011</t>
        </is>
      </c>
      <c r="AN159" s="136" t="inlineStr">
        <is>
          <t>0.028</t>
        </is>
      </c>
      <c r="AO159" s="136" t="inlineStr">
        <is>
          <t>0.061</t>
        </is>
      </c>
      <c r="AP159" s="130" t="inlineStr">
        <is>
          <t>✓</t>
        </is>
      </c>
      <c r="AQ159" s="128" t="inlineStr">
        <is>
          <t>FINDS: delta HCH &lt;0.01</t>
        </is>
      </c>
      <c r="AR159" s="129" t="inlineStr">
        <is>
          <t>2994-2025, (19.06.2025)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588-1067-25, (18.06.2025) [IJZ-MB]</t>
        </is>
      </c>
      <c r="AG160" s="140" t="n"/>
      <c r="AH160" s="141" t="inlineStr">
        <is>
          <t>2994-2025, (19.06.2025) [IJZ]</t>
        </is>
      </c>
      <c r="AK160" s="140" t="n"/>
      <c r="AL160" s="141" t="inlineStr">
        <is>
          <t>2994-2025, (19.06.2025) [IJZ]</t>
        </is>
      </c>
      <c r="AP160" s="140" t="n"/>
      <c r="AQ160" s="139" t="n"/>
      <c r="AS160" s="142" t="n"/>
    </row>
    <row r="161" ht="17.625" customHeight="1" s="70">
      <c r="A161" s="143" t="n"/>
      <c r="B161" s="144" t="n"/>
      <c r="D161" s="145" t="n"/>
      <c r="E161" s="144" t="n"/>
      <c r="F161" s="146" t="n"/>
      <c r="G161" s="147" t="inlineStr">
        <is>
          <t>Conforms</t>
        </is>
      </c>
      <c r="H161" s="148">
        <f>IFERROR(INDEX('iCoA Register'!$B:$B,MATCH("P050062|I",'iCoA Register'!$AA:$AA,0)),"iCoA — at issue")&amp;", (04.07.2025) [PP]"</f>
        <v/>
      </c>
      <c r="I161" s="149" t="inlineStr">
        <is>
          <t>✓</t>
        </is>
      </c>
      <c r="J161" s="147" t="inlineStr">
        <is>
          <t>Conforms (ImB spec.) ᴿ</t>
        </is>
      </c>
      <c r="K161" s="148" t="inlineStr">
        <is>
          <t>197-18-K-26, (07.08.2026) [FHM-K]</t>
        </is>
      </c>
      <c r="L161" s="149" t="inlineStr">
        <is>
          <t>✓</t>
        </is>
      </c>
      <c r="M161" s="150" t="inlineStr">
        <is>
          <t>18.04</t>
        </is>
      </c>
      <c r="N161" s="148" t="inlineStr">
        <is>
          <t>197-18-K-26, (07.08.2026) [FHM-K]</t>
        </is>
      </c>
      <c r="O161" s="149" t="inlineStr">
        <is>
          <t>✓</t>
        </is>
      </c>
      <c r="P161" s="151" t="inlineStr">
        <is>
          <t>&lt; LOQ</t>
        </is>
      </c>
      <c r="Q161" s="148" t="inlineStr">
        <is>
          <t>197-18-K-26, (07.08.2026) [FHM-K]</t>
        </is>
      </c>
      <c r="R161" s="149" t="inlineStr">
        <is>
          <t>✓</t>
        </is>
      </c>
      <c r="S161" s="151" t="inlineStr">
        <is>
          <t>&lt; LOQ</t>
        </is>
      </c>
      <c r="T161" s="148" t="inlineStr">
        <is>
          <t>197-18-K-26, (07.08.2026) [FHM-K]</t>
        </is>
      </c>
      <c r="U161" s="149" t="inlineStr">
        <is>
          <t>✓</t>
        </is>
      </c>
      <c r="V161" s="145" t="n"/>
      <c r="W161" s="144" t="n"/>
      <c r="X161" s="146" t="n"/>
      <c r="Y161" s="152" t="inlineStr">
        <is>
          <t>not on this certificate</t>
        </is>
      </c>
      <c r="Z161" s="153" t="inlineStr">
        <is>
          <t>197-18-K-26, (07.08.2026) [FHM-K] · on file, not credited</t>
        </is>
      </c>
      <c r="AA161" s="154" t="inlineStr">
        <is>
          <t>•</t>
        </is>
      </c>
      <c r="AB161" s="145" t="n"/>
      <c r="AC161" s="144" t="n"/>
      <c r="AD161" s="144" t="n"/>
      <c r="AE161" s="144" t="n"/>
      <c r="AF161" s="144" t="n"/>
      <c r="AG161" s="146" t="n"/>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5.375"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160" t="n"/>
      <c r="AC162" s="159" t="n"/>
      <c r="AD162" s="159" t="n"/>
      <c r="AE162" s="159" t="n"/>
      <c r="AF162" s="159" t="n"/>
      <c r="AG162" s="161" t="n"/>
      <c r="AH162" s="162" t="inlineStr">
        <is>
          <t>197-18-M-26, (10.08.2026) [FHM-M]</t>
        </is>
      </c>
      <c r="AI162" s="159" t="n"/>
      <c r="AJ162" s="159" t="n"/>
      <c r="AK162" s="161" t="n"/>
      <c r="AL162" s="160" t="n"/>
      <c r="AM162" s="159" t="n"/>
      <c r="AN162" s="159" t="n"/>
      <c r="AO162" s="159" t="n"/>
      <c r="AP162" s="161" t="n"/>
      <c r="AQ162" s="160" t="n"/>
      <c r="AR162" s="159" t="n"/>
      <c r="AS162" s="163" t="n"/>
    </row>
    <row r="163" ht="21" customHeight="1" s="70">
      <c r="A163" s="125" t="inlineStr">
        <is>
          <t>GP0824_03</t>
        </is>
      </c>
      <c r="B163" s="126" t="inlineStr">
        <is>
          <t>P050072</t>
        </is>
      </c>
      <c r="C163" s="164" t="inlineStr">
        <is>
          <t>✓ COMPLETE
5 testing instances
• 4 document(s) on file, not credited
◐ UNDETERMINED (Ph. Eur. band): #9 TYMC
· stability above A.C.: #6</t>
        </is>
      </c>
      <c r="D163" s="128" t="inlineStr">
        <is>
          <t>Conforms</t>
        </is>
      </c>
      <c r="E163" s="129">
        <f>IFERROR(INDEX('iCoA Register'!$B:$B,MATCH("P050072|I",'iCoA Register'!$AA:$AA,0)),"iCoA — at issue")&amp;", (14.07.2025) [PP]"</f>
        <v/>
      </c>
      <c r="F163" s="130" t="inlineStr">
        <is>
          <t>✓</t>
        </is>
      </c>
      <c r="G163" s="131" t="inlineStr">
        <is>
          <t>not on this certificate</t>
        </is>
      </c>
      <c r="H163" s="132" t="inlineStr">
        <is>
          <t>ППК25175, (10.07.2025) [CNP] · on file, not credited</t>
        </is>
      </c>
      <c r="I163" s="133" t="inlineStr">
        <is>
          <t>•</t>
        </is>
      </c>
      <c r="J163" s="128" t="inlineStr">
        <is>
          <t>Conforms (ImB spec.)</t>
        </is>
      </c>
      <c r="K163" s="129" t="inlineStr">
        <is>
          <t>ППК25175, (10.07.2025) [CNP]</t>
        </is>
      </c>
      <c r="L163" s="130" t="inlineStr">
        <is>
          <t>✓</t>
        </is>
      </c>
      <c r="M163" s="134" t="inlineStr">
        <is>
          <t>25.45</t>
        </is>
      </c>
      <c r="N163" s="129" t="inlineStr">
        <is>
          <t>ППК25175, (10.07.2025) [CNP]</t>
        </is>
      </c>
      <c r="O163" s="130" t="inlineStr">
        <is>
          <t>✓</t>
        </is>
      </c>
      <c r="P163" s="135" t="inlineStr">
        <is>
          <t>0.08</t>
        </is>
      </c>
      <c r="Q163" s="129" t="inlineStr">
        <is>
          <t>ППК25175, (10.07.2025) [CNP]</t>
        </is>
      </c>
      <c r="R163" s="130" t="inlineStr">
        <is>
          <t>✓</t>
        </is>
      </c>
      <c r="S163" s="135" t="inlineStr">
        <is>
          <t>&lt; LOQ ᴰ</t>
        </is>
      </c>
      <c r="T163" s="129" t="inlineStr">
        <is>
          <t>ППК25175, (10.07.2025) [CNP]</t>
        </is>
      </c>
      <c r="U163" s="130" t="inlineStr">
        <is>
          <t>✓</t>
        </is>
      </c>
      <c r="V163" s="128" t="inlineStr">
        <is>
          <t>Conforms</t>
        </is>
      </c>
      <c r="W163" s="129">
        <f>IFERROR(INDEX('iCoA Register'!$B:$B,MATCH("P050072|I",'iCoA Register'!$AA:$AA,0)),"iCoA — at issue")&amp;", (14.07.2025) [PP]"</f>
        <v/>
      </c>
      <c r="X163" s="130" t="inlineStr">
        <is>
          <t>✓</t>
        </is>
      </c>
      <c r="Y163" s="128" t="inlineStr">
        <is>
          <t>6.58</t>
        </is>
      </c>
      <c r="Z163" s="129" t="inlineStr">
        <is>
          <t>ППК25175, (10.07.2025) [CNP]</t>
        </is>
      </c>
      <c r="AA163" s="130" t="inlineStr">
        <is>
          <t>✓</t>
        </is>
      </c>
      <c r="AB163" s="128" t="inlineStr">
        <is>
          <t>1.1 × 10⁴</t>
        </is>
      </c>
      <c r="AC163" s="217" t="inlineStr">
        <is>
          <t>1.2 × 10⁴</t>
        </is>
      </c>
      <c r="AD163" s="136" t="inlineStr">
        <is>
          <t>&lt; 10⁴ and &gt; 10³</t>
        </is>
      </c>
      <c r="AE163" s="136" t="inlineStr">
        <is>
          <t>Absent</t>
        </is>
      </c>
      <c r="AF163" s="136" t="inlineStr">
        <is>
          <t>Absent</t>
        </is>
      </c>
      <c r="AG163" s="130" t="inlineStr">
        <is>
          <t>✓</t>
        </is>
      </c>
      <c r="AH163" s="128" t="inlineStr">
        <is>
          <t>ND</t>
        </is>
      </c>
      <c r="AI163" s="136" t="inlineStr">
        <is>
          <t>&lt; 2</t>
        </is>
      </c>
      <c r="AJ163" s="136" t="inlineStr">
        <is>
          <t>ND</t>
        </is>
      </c>
      <c r="AK163" s="130" t="inlineStr">
        <is>
          <t>✓</t>
        </is>
      </c>
      <c r="AL163" s="128" t="inlineStr">
        <is>
          <t>ND</t>
        </is>
      </c>
      <c r="AM163" s="136" t="inlineStr">
        <is>
          <t>ND</t>
        </is>
      </c>
      <c r="AN163" s="136" t="inlineStr">
        <is>
          <t>0.119</t>
        </is>
      </c>
      <c r="AO163" s="136" t="inlineStr">
        <is>
          <t>ND</t>
        </is>
      </c>
      <c r="AP163" s="130" t="inlineStr">
        <is>
          <t>✓</t>
        </is>
      </c>
      <c r="AQ163" s="128" t="inlineStr">
        <is>
          <t>≤ LOQ (all 29 compounds)</t>
        </is>
      </c>
      <c r="AR163" s="129" t="inlineStr">
        <is>
          <t>3178-2025, (26.06.2025)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628-1129-25, (02.07.2025) [IJZ-MB]</t>
        </is>
      </c>
      <c r="AG164" s="140" t="n"/>
      <c r="AH164" s="141" t="inlineStr">
        <is>
          <t>3178-2025, (26.06.2025) [IJZ]</t>
        </is>
      </c>
      <c r="AK164" s="140" t="n"/>
      <c r="AL164" s="141" t="inlineStr">
        <is>
          <t>3178-2025, (26.06.2025) [IJZ]</t>
        </is>
      </c>
      <c r="AP164" s="140" t="n"/>
      <c r="AQ164" s="139" t="n"/>
      <c r="AS164" s="142" t="n"/>
    </row>
    <row r="165" ht="17.625" customHeight="1" s="70">
      <c r="A165" s="143" t="n"/>
      <c r="B165" s="144" t="n"/>
      <c r="D165" s="145" t="n"/>
      <c r="E165" s="144" t="n"/>
      <c r="F165" s="146" t="n"/>
      <c r="G165" s="155" t="inlineStr">
        <is>
          <t>Conforms</t>
        </is>
      </c>
      <c r="H165" s="185">
        <f>IFERROR(INDEX('iCoA Register'!$B:$B,MATCH("P050072|I",'iCoA Register'!$AA:$AA,0)),"iCoA — at issue")&amp;", (14.07.2025) [PP]"</f>
        <v/>
      </c>
      <c r="I165" s="186" t="inlineStr">
        <is>
          <t>✓</t>
        </is>
      </c>
      <c r="J165" s="218" t="inlineStr">
        <is>
          <t>Conforms (ImB spec.)</t>
        </is>
      </c>
      <c r="K165" s="219" t="inlineStr">
        <is>
          <t>ППК26034, (05.03.2026) [CNP]</t>
        </is>
      </c>
      <c r="L165" s="220" t="inlineStr">
        <is>
          <t>✓</t>
        </is>
      </c>
      <c r="M165" s="221" t="inlineStr">
        <is>
          <t>24.62</t>
        </is>
      </c>
      <c r="N165" s="219" t="inlineStr">
        <is>
          <t>ППК26034, (05.03.2026) [CNP]</t>
        </is>
      </c>
      <c r="O165" s="220" t="inlineStr">
        <is>
          <t>✓</t>
        </is>
      </c>
      <c r="P165" s="222" t="inlineStr">
        <is>
          <t>0.04</t>
        </is>
      </c>
      <c r="Q165" s="219" t="inlineStr">
        <is>
          <t>ППК26034, (05.03.2026) [CNP]</t>
        </is>
      </c>
      <c r="R165" s="220" t="inlineStr">
        <is>
          <t>✓</t>
        </is>
      </c>
      <c r="S165" s="222" t="inlineStr">
        <is>
          <t>0.05 ᴰ</t>
        </is>
      </c>
      <c r="T165" s="219" t="inlineStr">
        <is>
          <t>ППК26034, (05.03.2026) [CNP]</t>
        </is>
      </c>
      <c r="U165" s="220" t="inlineStr">
        <is>
          <t>✓</t>
        </is>
      </c>
      <c r="V165" s="145" t="n"/>
      <c r="W165" s="144" t="n"/>
      <c r="X165" s="146" t="n"/>
      <c r="Y165" s="218" t="inlineStr">
        <is>
          <t>5.92</t>
        </is>
      </c>
      <c r="Z165" s="219" t="inlineStr">
        <is>
          <t>ППК26034, (05.03.2026) [CNP]</t>
        </is>
      </c>
      <c r="AA165" s="220" t="inlineStr">
        <is>
          <t>✓</t>
        </is>
      </c>
      <c r="AB165" s="145" t="n"/>
      <c r="AC165" s="144" t="n"/>
      <c r="AD165" s="144" t="n"/>
      <c r="AE165" s="144" t="n"/>
      <c r="AF165" s="144" t="n"/>
      <c r="AG165" s="146" t="n"/>
      <c r="AH165" s="155" t="inlineStr">
        <is>
          <t>ND</t>
        </is>
      </c>
      <c r="AI165" s="156" t="inlineStr">
        <is>
          <t>ND</t>
        </is>
      </c>
      <c r="AJ165" s="156" t="inlineStr">
        <is>
          <t>ND</t>
        </is>
      </c>
      <c r="AK165" s="186" t="inlineStr">
        <is>
          <t>✓</t>
        </is>
      </c>
      <c r="AL165" s="145" t="n"/>
      <c r="AM165" s="144" t="n"/>
      <c r="AN165" s="144" t="n"/>
      <c r="AO165" s="144" t="n"/>
      <c r="AP165" s="146" t="n"/>
      <c r="AQ165" s="145" t="n"/>
      <c r="AR165" s="144" t="n"/>
      <c r="AS165" s="157" t="n"/>
    </row>
    <row r="166" ht="13" customHeight="1" s="70">
      <c r="A166" s="192" t="n"/>
      <c r="B166" s="193" t="n"/>
      <c r="D166" s="194" t="n"/>
      <c r="E166" s="193" t="n"/>
      <c r="F166" s="195" t="n"/>
      <c r="G166" s="194" t="n"/>
      <c r="H166" s="193" t="n"/>
      <c r="I166" s="195" t="n"/>
      <c r="J166" s="194" t="n"/>
      <c r="K166" s="193" t="n"/>
      <c r="L166" s="195" t="n"/>
      <c r="M166" s="194" t="n"/>
      <c r="N166" s="193" t="n"/>
      <c r="O166" s="195" t="n"/>
      <c r="P166" s="194" t="n"/>
      <c r="Q166" s="193" t="n"/>
      <c r="R166" s="195" t="n"/>
      <c r="S166" s="194" t="n"/>
      <c r="T166" s="193" t="n"/>
      <c r="U166" s="195" t="n"/>
      <c r="V166" s="194" t="n"/>
      <c r="W166" s="193" t="n"/>
      <c r="X166" s="195" t="n"/>
      <c r="Y166" s="194" t="n"/>
      <c r="Z166" s="193" t="n"/>
      <c r="AA166" s="195" t="n"/>
      <c r="AB166" s="194" t="n"/>
      <c r="AC166" s="193" t="n"/>
      <c r="AD166" s="193" t="n"/>
      <c r="AE166" s="193" t="n"/>
      <c r="AF166" s="193" t="n"/>
      <c r="AG166" s="195" t="n"/>
      <c r="AH166" s="210" t="inlineStr">
        <is>
          <t>220-11-M-26, (11.09.2026) [FHM-M]</t>
        </is>
      </c>
      <c r="AI166" s="193" t="n"/>
      <c r="AJ166" s="193" t="n"/>
      <c r="AK166" s="195" t="n"/>
      <c r="AL166" s="194" t="n"/>
      <c r="AM166" s="193" t="n"/>
      <c r="AN166" s="193" t="n"/>
      <c r="AO166" s="193" t="n"/>
      <c r="AP166" s="195" t="n"/>
      <c r="AQ166" s="194" t="n"/>
      <c r="AR166" s="193" t="n"/>
      <c r="AS166" s="196" t="n"/>
    </row>
    <row r="167" ht="17.625" customHeight="1" s="70">
      <c r="A167" s="143" t="n"/>
      <c r="B167" s="144" t="n"/>
      <c r="D167" s="145" t="n"/>
      <c r="E167" s="144" t="n"/>
      <c r="F167" s="146" t="n"/>
      <c r="G167" s="189" t="inlineStr">
        <is>
          <t>not on this certificate</t>
        </is>
      </c>
      <c r="H167" s="190" t="inlineStr">
        <is>
          <t>ППК26034, (05.03.2026) [CNP] · on file, not credited</t>
        </is>
      </c>
      <c r="I167" s="191" t="inlineStr">
        <is>
          <t>•</t>
        </is>
      </c>
      <c r="J167" s="218" t="inlineStr">
        <is>
          <t>Conforms (ImB spec.)</t>
        </is>
      </c>
      <c r="K167" s="219" t="inlineStr">
        <is>
          <t>ППК26035, (05.03.2026) [CNP]</t>
        </is>
      </c>
      <c r="L167" s="220" t="inlineStr">
        <is>
          <t>✓</t>
        </is>
      </c>
      <c r="M167" s="221" t="inlineStr">
        <is>
          <t>14.99</t>
        </is>
      </c>
      <c r="N167" s="219" t="inlineStr">
        <is>
          <t>ППК26035, (05.03.2026) [CNP]</t>
        </is>
      </c>
      <c r="O167" s="220" t="inlineStr">
        <is>
          <t>✓</t>
        </is>
      </c>
      <c r="P167" s="222" t="inlineStr">
        <is>
          <t>0.02</t>
        </is>
      </c>
      <c r="Q167" s="219" t="inlineStr">
        <is>
          <t>ППК26035, (05.03.2026) [CNP]</t>
        </is>
      </c>
      <c r="R167" s="220" t="inlineStr">
        <is>
          <t>✓</t>
        </is>
      </c>
      <c r="S167" s="223" t="inlineStr">
        <is>
          <t>2.15 ᴰ</t>
        </is>
      </c>
      <c r="T167" s="219" t="inlineStr">
        <is>
          <t>ППК26035, (05.03.2026) [CNP]</t>
        </is>
      </c>
      <c r="U167" s="220" t="inlineStr">
        <is>
          <t>✓</t>
        </is>
      </c>
      <c r="V167" s="145" t="n"/>
      <c r="W167" s="144" t="n"/>
      <c r="X167" s="146" t="n"/>
      <c r="Y167" s="218" t="inlineStr">
        <is>
          <t>5.52</t>
        </is>
      </c>
      <c r="Z167" s="219" t="inlineStr">
        <is>
          <t>ППК26035, (05.03.2026) [CNP]</t>
        </is>
      </c>
      <c r="AA167" s="220" t="inlineStr">
        <is>
          <t>✓</t>
        </is>
      </c>
      <c r="AB167" s="145" t="n"/>
      <c r="AC167" s="144" t="n"/>
      <c r="AD167" s="144" t="n"/>
      <c r="AE167" s="144" t="n"/>
      <c r="AF167" s="144" t="n"/>
      <c r="AG167" s="146" t="n"/>
      <c r="AH167" s="145" t="n"/>
      <c r="AI167" s="144" t="n"/>
      <c r="AJ167" s="144" t="n"/>
      <c r="AK167" s="146" t="n"/>
      <c r="AL167" s="145" t="n"/>
      <c r="AM167" s="144" t="n"/>
      <c r="AN167" s="144" t="n"/>
      <c r="AO167" s="144" t="n"/>
      <c r="AP167" s="146" t="n"/>
      <c r="AQ167" s="145" t="n"/>
      <c r="AR167" s="144" t="n"/>
      <c r="AS167" s="157" t="n"/>
    </row>
    <row r="168" ht="13" customHeight="1" s="70">
      <c r="A168" s="192" t="n"/>
      <c r="B168" s="193" t="n"/>
      <c r="D168" s="194" t="n"/>
      <c r="E168" s="193" t="n"/>
      <c r="F168" s="195" t="n"/>
      <c r="G168" s="194" t="n"/>
      <c r="H168" s="193" t="n"/>
      <c r="I168" s="195" t="n"/>
      <c r="J168" s="194" t="n"/>
      <c r="K168" s="193" t="n"/>
      <c r="L168" s="195" t="n"/>
      <c r="M168" s="194" t="n"/>
      <c r="N168" s="193" t="n"/>
      <c r="O168" s="195" t="n"/>
      <c r="P168" s="194" t="n"/>
      <c r="Q168" s="193" t="n"/>
      <c r="R168" s="195" t="n"/>
      <c r="S168" s="194" t="n"/>
      <c r="T168" s="193" t="n"/>
      <c r="U168" s="195" t="n"/>
      <c r="V168" s="194" t="n"/>
      <c r="W168" s="193" t="n"/>
      <c r="X168" s="195" t="n"/>
      <c r="Y168" s="194" t="n"/>
      <c r="Z168" s="193" t="n"/>
      <c r="AA168" s="195" t="n"/>
      <c r="AB168" s="194" t="n"/>
      <c r="AC168" s="193" t="n"/>
      <c r="AD168" s="193" t="n"/>
      <c r="AE168" s="193" t="n"/>
      <c r="AF168" s="193" t="n"/>
      <c r="AG168" s="195" t="n"/>
      <c r="AH168" s="194" t="n"/>
      <c r="AI168" s="193" t="n"/>
      <c r="AJ168" s="193" t="n"/>
      <c r="AK168" s="195" t="n"/>
      <c r="AL168" s="194" t="n"/>
      <c r="AM168" s="193" t="n"/>
      <c r="AN168" s="193" t="n"/>
      <c r="AO168" s="193" t="n"/>
      <c r="AP168" s="195" t="n"/>
      <c r="AQ168" s="194" t="n"/>
      <c r="AR168" s="193" t="n"/>
      <c r="AS168" s="196" t="n"/>
    </row>
    <row r="169" ht="17.625" customHeight="1" s="70">
      <c r="A169" s="143" t="n"/>
      <c r="B169" s="144" t="n"/>
      <c r="D169" s="145" t="n"/>
      <c r="E169" s="144" t="n"/>
      <c r="F169" s="146" t="n"/>
      <c r="G169" s="189" t="inlineStr">
        <is>
          <t>not on this certificate</t>
        </is>
      </c>
      <c r="H169" s="190" t="inlineStr">
        <is>
          <t>ППК26035, (05.03.2026) [CNP] · on file, not credited</t>
        </is>
      </c>
      <c r="I169" s="191" t="inlineStr">
        <is>
          <t>•</t>
        </is>
      </c>
      <c r="J169" s="218" t="inlineStr">
        <is>
          <t>Conforms (ImB spec.)</t>
        </is>
      </c>
      <c r="K169" s="219" t="inlineStr">
        <is>
          <t>ППК26060, (11.05.2026) [CNP]</t>
        </is>
      </c>
      <c r="L169" s="220" t="inlineStr">
        <is>
          <t>✓</t>
        </is>
      </c>
      <c r="M169" s="221" t="inlineStr">
        <is>
          <t>25.98</t>
        </is>
      </c>
      <c r="N169" s="219" t="inlineStr">
        <is>
          <t>ППК26060, (11.05.2026) [CNP]</t>
        </is>
      </c>
      <c r="O169" s="220" t="inlineStr">
        <is>
          <t>✓</t>
        </is>
      </c>
      <c r="P169" s="222" t="inlineStr">
        <is>
          <t>0.04</t>
        </is>
      </c>
      <c r="Q169" s="219" t="inlineStr">
        <is>
          <t>ППК26060, (11.05.2026) [CNP]</t>
        </is>
      </c>
      <c r="R169" s="220" t="inlineStr">
        <is>
          <t>✓</t>
        </is>
      </c>
      <c r="S169" s="222" t="inlineStr">
        <is>
          <t>0.04 ᴰ</t>
        </is>
      </c>
      <c r="T169" s="219" t="inlineStr">
        <is>
          <t>ППК26060, (11.05.2026) [CNP]</t>
        </is>
      </c>
      <c r="U169" s="220" t="inlineStr">
        <is>
          <t>✓</t>
        </is>
      </c>
      <c r="V169" s="145" t="n"/>
      <c r="W169" s="144" t="n"/>
      <c r="X169" s="146" t="n"/>
      <c r="Y169" s="218" t="inlineStr">
        <is>
          <t>7.07</t>
        </is>
      </c>
      <c r="Z169" s="219" t="inlineStr">
        <is>
          <t>ППК26060, (11.05.2026) [CNP]</t>
        </is>
      </c>
      <c r="AA169" s="220" t="inlineStr">
        <is>
          <t>✓</t>
        </is>
      </c>
      <c r="AB169" s="145" t="n"/>
      <c r="AC169" s="144" t="n"/>
      <c r="AD169" s="144" t="n"/>
      <c r="AE169" s="144" t="n"/>
      <c r="AF169" s="144" t="n"/>
      <c r="AG169" s="146" t="n"/>
      <c r="AH169" s="145" t="n"/>
      <c r="AI169" s="144" t="n"/>
      <c r="AJ169" s="144" t="n"/>
      <c r="AK169" s="146" t="n"/>
      <c r="AL169" s="145" t="n"/>
      <c r="AM169" s="144" t="n"/>
      <c r="AN169" s="144" t="n"/>
      <c r="AO169" s="144" t="n"/>
      <c r="AP169" s="146" t="n"/>
      <c r="AQ169" s="145" t="n"/>
      <c r="AR169" s="144" t="n"/>
      <c r="AS169" s="157" t="n"/>
    </row>
    <row r="170" ht="13" customHeight="1" s="70">
      <c r="A170" s="192" t="n"/>
      <c r="B170" s="193" t="n"/>
      <c r="D170" s="194" t="n"/>
      <c r="E170" s="193" t="n"/>
      <c r="F170" s="195" t="n"/>
      <c r="G170" s="194" t="n"/>
      <c r="H170" s="193" t="n"/>
      <c r="I170" s="195" t="n"/>
      <c r="J170" s="194" t="n"/>
      <c r="K170" s="193" t="n"/>
      <c r="L170" s="195" t="n"/>
      <c r="M170" s="194" t="n"/>
      <c r="N170" s="193" t="n"/>
      <c r="O170" s="195" t="n"/>
      <c r="P170" s="194" t="n"/>
      <c r="Q170" s="193" t="n"/>
      <c r="R170" s="195" t="n"/>
      <c r="S170" s="194" t="n"/>
      <c r="T170" s="193" t="n"/>
      <c r="U170" s="195" t="n"/>
      <c r="V170" s="194" t="n"/>
      <c r="W170" s="193" t="n"/>
      <c r="X170" s="195" t="n"/>
      <c r="Y170" s="194" t="n"/>
      <c r="Z170" s="193" t="n"/>
      <c r="AA170" s="195" t="n"/>
      <c r="AB170" s="194" t="n"/>
      <c r="AC170" s="193" t="n"/>
      <c r="AD170" s="193" t="n"/>
      <c r="AE170" s="193" t="n"/>
      <c r="AF170" s="193" t="n"/>
      <c r="AG170" s="195" t="n"/>
      <c r="AH170" s="194" t="n"/>
      <c r="AI170" s="193" t="n"/>
      <c r="AJ170" s="193" t="n"/>
      <c r="AK170" s="195" t="n"/>
      <c r="AL170" s="194" t="n"/>
      <c r="AM170" s="193" t="n"/>
      <c r="AN170" s="193" t="n"/>
      <c r="AO170" s="193" t="n"/>
      <c r="AP170" s="195" t="n"/>
      <c r="AQ170" s="194" t="n"/>
      <c r="AR170" s="193" t="n"/>
      <c r="AS170" s="196" t="n"/>
    </row>
    <row r="171" ht="14" customHeight="1" s="70">
      <c r="A171" s="143" t="n"/>
      <c r="B171" s="144" t="n"/>
      <c r="D171" s="145" t="n"/>
      <c r="E171" s="144" t="n"/>
      <c r="F171" s="146" t="n"/>
      <c r="G171" s="152" t="inlineStr">
        <is>
          <t>not on this certificate</t>
        </is>
      </c>
      <c r="H171" s="153" t="inlineStr">
        <is>
          <t>ППК26060, (11.05.2026) [CNP] · on file, not credited</t>
        </is>
      </c>
      <c r="I171" s="154" t="inlineStr">
        <is>
          <t>•</t>
        </is>
      </c>
      <c r="J171" s="145" t="n"/>
      <c r="K171" s="144" t="n"/>
      <c r="L171" s="146" t="n"/>
      <c r="M171" s="145" t="n"/>
      <c r="N171" s="144" t="n"/>
      <c r="O171" s="146" t="n"/>
      <c r="P171" s="145" t="n"/>
      <c r="Q171" s="144" t="n"/>
      <c r="R171" s="146" t="n"/>
      <c r="S171" s="145" t="n"/>
      <c r="T171" s="144" t="n"/>
      <c r="U171" s="146" t="n"/>
      <c r="V171" s="145" t="n"/>
      <c r="W171" s="144" t="n"/>
      <c r="X171" s="146" t="n"/>
      <c r="Y171" s="145" t="n"/>
      <c r="Z171" s="144" t="n"/>
      <c r="AA171" s="146" t="n"/>
      <c r="AB171" s="145" t="n"/>
      <c r="AC171" s="144" t="n"/>
      <c r="AD171" s="144" t="n"/>
      <c r="AE171" s="144" t="n"/>
      <c r="AF171" s="144" t="n"/>
      <c r="AG171" s="146" t="n"/>
      <c r="AH171" s="145" t="n"/>
      <c r="AI171" s="144" t="n"/>
      <c r="AJ171" s="144" t="n"/>
      <c r="AK171" s="146" t="n"/>
      <c r="AL171" s="145" t="n"/>
      <c r="AM171" s="144" t="n"/>
      <c r="AN171" s="144" t="n"/>
      <c r="AO171" s="144" t="n"/>
      <c r="AP171" s="146" t="n"/>
      <c r="AQ171" s="145" t="n"/>
      <c r="AR171" s="144" t="n"/>
      <c r="AS171" s="157" t="n"/>
    </row>
    <row r="172" ht="13" customHeight="1" s="70">
      <c r="A172" s="158" t="n"/>
      <c r="B172" s="159" t="n"/>
      <c r="C172" s="159" t="n"/>
      <c r="D172" s="160" t="n"/>
      <c r="E172" s="159" t="n"/>
      <c r="F172" s="161" t="n"/>
      <c r="G172" s="160" t="n"/>
      <c r="H172" s="159" t="n"/>
      <c r="I172" s="161" t="n"/>
      <c r="J172" s="160" t="n"/>
      <c r="K172" s="159" t="n"/>
      <c r="L172" s="161" t="n"/>
      <c r="M172" s="160" t="n"/>
      <c r="N172" s="159" t="n"/>
      <c r="O172" s="161" t="n"/>
      <c r="P172" s="160" t="n"/>
      <c r="Q172" s="159" t="n"/>
      <c r="R172" s="161" t="n"/>
      <c r="S172" s="160" t="n"/>
      <c r="T172" s="159" t="n"/>
      <c r="U172" s="161" t="n"/>
      <c r="V172" s="160" t="n"/>
      <c r="W172" s="159" t="n"/>
      <c r="X172" s="161" t="n"/>
      <c r="Y172" s="160" t="n"/>
      <c r="Z172" s="159" t="n"/>
      <c r="AA172" s="161" t="n"/>
      <c r="AB172" s="160" t="n"/>
      <c r="AC172" s="159" t="n"/>
      <c r="AD172" s="159" t="n"/>
      <c r="AE172" s="159" t="n"/>
      <c r="AF172" s="159" t="n"/>
      <c r="AG172" s="161" t="n"/>
      <c r="AH172" s="160" t="n"/>
      <c r="AI172" s="159" t="n"/>
      <c r="AJ172" s="159" t="n"/>
      <c r="AK172" s="161" t="n"/>
      <c r="AL172" s="160" t="n"/>
      <c r="AM172" s="159" t="n"/>
      <c r="AN172" s="159" t="n"/>
      <c r="AO172" s="159" t="n"/>
      <c r="AP172" s="161" t="n"/>
      <c r="AQ172" s="160" t="n"/>
      <c r="AR172" s="159" t="n"/>
      <c r="AS172" s="163" t="n"/>
    </row>
    <row r="173" ht="17.625" customHeight="1" s="70">
      <c r="A173" s="125" t="inlineStr">
        <is>
          <t>OPM1024_03</t>
        </is>
      </c>
      <c r="B173" s="126" t="inlineStr">
        <is>
          <t>P050082</t>
        </is>
      </c>
      <c r="C173" s="127" t="inlineStr">
        <is>
          <t>✓ COMPLETE
2 testing instances
• 1 document(s) on file, not credited</t>
        </is>
      </c>
      <c r="D173" s="128" t="inlineStr">
        <is>
          <t>Conforms</t>
        </is>
      </c>
      <c r="E173" s="129">
        <f>IFERROR(INDEX('iCoA Register'!$B:$B,MATCH("P050082|I",'iCoA Register'!$AA:$AA,0)),"iCoA — at issue")&amp;", (22.07.2025) [PP]"</f>
        <v/>
      </c>
      <c r="F173" s="130" t="inlineStr">
        <is>
          <t>✓</t>
        </is>
      </c>
      <c r="G173" s="128" t="inlineStr">
        <is>
          <t>Conforms</t>
        </is>
      </c>
      <c r="H173" s="129">
        <f>IFERROR(INDEX('iCoA Register'!$B:$B,MATCH("P050082|I",'iCoA Register'!$AA:$AA,0)),"iCoA — at issue")&amp;", (22.07.2025) [PP]"</f>
        <v/>
      </c>
      <c r="I173" s="130" t="inlineStr">
        <is>
          <t>✓</t>
        </is>
      </c>
      <c r="J173" s="128" t="inlineStr">
        <is>
          <t>Conforms (ImB spec.)</t>
        </is>
      </c>
      <c r="K173" s="129" t="inlineStr">
        <is>
          <t>ППК25210, (28.07.2025) [CNP]</t>
        </is>
      </c>
      <c r="L173" s="130" t="inlineStr">
        <is>
          <t>✓</t>
        </is>
      </c>
      <c r="M173" s="134" t="inlineStr">
        <is>
          <t>16.55</t>
        </is>
      </c>
      <c r="N173" s="129" t="inlineStr">
        <is>
          <t>ППК25210, (28.07.2025) [CNP]</t>
        </is>
      </c>
      <c r="O173" s="130" t="inlineStr">
        <is>
          <t>✓</t>
        </is>
      </c>
      <c r="P173" s="135" t="inlineStr">
        <is>
          <t>0.04</t>
        </is>
      </c>
      <c r="Q173" s="129" t="inlineStr">
        <is>
          <t>ППК25210, (28.07.2025) [CNP]</t>
        </is>
      </c>
      <c r="R173" s="130" t="inlineStr">
        <is>
          <t>✓</t>
        </is>
      </c>
      <c r="S173" s="135" t="inlineStr">
        <is>
          <t>0.01 ᴰ</t>
        </is>
      </c>
      <c r="T173" s="129" t="inlineStr">
        <is>
          <t>ППК25210, (28.07.2025) [CNP]</t>
        </is>
      </c>
      <c r="U173" s="130" t="inlineStr">
        <is>
          <t>✓</t>
        </is>
      </c>
      <c r="V173" s="128" t="inlineStr">
        <is>
          <t>Conforms</t>
        </is>
      </c>
      <c r="W173" s="129">
        <f>IFERROR(INDEX('iCoA Register'!$B:$B,MATCH("P050082|I",'iCoA Register'!$AA:$AA,0)),"iCoA — at issue")&amp;", (22.07.2025) [PP]"</f>
        <v/>
      </c>
      <c r="X173" s="130" t="inlineStr">
        <is>
          <t>✓</t>
        </is>
      </c>
      <c r="Y173" s="128" t="inlineStr">
        <is>
          <t>6.38</t>
        </is>
      </c>
      <c r="Z173" s="129" t="inlineStr">
        <is>
          <t>ППК25210, (28.07.2025) [CNP]</t>
        </is>
      </c>
      <c r="AA173" s="130" t="inlineStr">
        <is>
          <t>✓</t>
        </is>
      </c>
      <c r="AB173" s="128" t="inlineStr">
        <is>
          <t>2 × 10²</t>
        </is>
      </c>
      <c r="AC173" s="136" t="inlineStr">
        <is>
          <t>3 × 10²</t>
        </is>
      </c>
      <c r="AD173" s="136" t="inlineStr">
        <is>
          <t>&lt; 10</t>
        </is>
      </c>
      <c r="AE173" s="136" t="inlineStr">
        <is>
          <t>Absent</t>
        </is>
      </c>
      <c r="AF173" s="136" t="inlineStr">
        <is>
          <t>Absent</t>
        </is>
      </c>
      <c r="AG173" s="130" t="inlineStr">
        <is>
          <t>✓</t>
        </is>
      </c>
      <c r="AH173" s="128" t="inlineStr">
        <is>
          <t>ND</t>
        </is>
      </c>
      <c r="AI173" s="136" t="inlineStr">
        <is>
          <t>2.1</t>
        </is>
      </c>
      <c r="AJ173" s="136" t="inlineStr">
        <is>
          <t>ND</t>
        </is>
      </c>
      <c r="AK173" s="130" t="inlineStr">
        <is>
          <t>✓</t>
        </is>
      </c>
      <c r="AL173" s="128" t="inlineStr">
        <is>
          <t>ND</t>
        </is>
      </c>
      <c r="AM173" s="136" t="inlineStr">
        <is>
          <t>ND</t>
        </is>
      </c>
      <c r="AN173" s="136" t="inlineStr">
        <is>
          <t>0.135</t>
        </is>
      </c>
      <c r="AO173" s="136" t="inlineStr">
        <is>
          <t>0.03</t>
        </is>
      </c>
      <c r="AP173" s="130" t="inlineStr">
        <is>
          <t>✓</t>
        </is>
      </c>
      <c r="AQ173" s="128" t="inlineStr">
        <is>
          <t>≤ LOQ (all 26 compounds)</t>
        </is>
      </c>
      <c r="AR173" s="129" t="inlineStr">
        <is>
          <t>3636-2025, (28.07.2025) [IJZ]</t>
        </is>
      </c>
      <c r="AS173" s="137" t="inlineStr">
        <is>
          <t>✓</t>
        </is>
      </c>
    </row>
    <row r="174" ht="13" customHeight="1" s="70">
      <c r="A174" s="138" t="n"/>
      <c r="D174" s="139" t="n"/>
      <c r="F174" s="140" t="n"/>
      <c r="G174" s="139" t="n"/>
      <c r="I174" s="140" t="n"/>
      <c r="J174" s="139" t="n"/>
      <c r="L174" s="140" t="n"/>
      <c r="M174" s="139" t="n"/>
      <c r="O174" s="140" t="n"/>
      <c r="P174" s="139" t="n"/>
      <c r="R174" s="140" t="n"/>
      <c r="S174" s="139" t="n"/>
      <c r="U174" s="140" t="n"/>
      <c r="V174" s="139" t="n"/>
      <c r="X174" s="140" t="n"/>
      <c r="Y174" s="139" t="n"/>
      <c r="AA174" s="140" t="n"/>
      <c r="AB174" s="141" t="inlineStr">
        <is>
          <t>766-1375-25, (29.07.2025) [IJZ-MB]</t>
        </is>
      </c>
      <c r="AG174" s="140" t="n"/>
      <c r="AH174" s="141" t="inlineStr">
        <is>
          <t>3636-2025, (28.07.2025) [IJZ]</t>
        </is>
      </c>
      <c r="AK174" s="140" t="n"/>
      <c r="AL174" s="141" t="inlineStr">
        <is>
          <t>3636-2025, (28.07.2025) [IJZ]</t>
        </is>
      </c>
      <c r="AP174" s="140" t="n"/>
      <c r="AQ174" s="139" t="n"/>
      <c r="AS174" s="142" t="n"/>
    </row>
    <row r="175" ht="14" customHeight="1" s="70">
      <c r="A175" s="143" t="n"/>
      <c r="B175" s="144" t="n"/>
      <c r="D175" s="145" t="n"/>
      <c r="E175" s="144" t="n"/>
      <c r="F175" s="146" t="n"/>
      <c r="G175" s="152" t="inlineStr">
        <is>
          <t>not on this certificate</t>
        </is>
      </c>
      <c r="H175" s="153" t="inlineStr">
        <is>
          <t>ППК25210, (28.07.2025) [CNP] · on file, not credited</t>
        </is>
      </c>
      <c r="I175" s="154" t="inlineStr">
        <is>
          <t>•</t>
        </is>
      </c>
      <c r="J175" s="145" t="n"/>
      <c r="K175" s="144" t="n"/>
      <c r="L175" s="146" t="n"/>
      <c r="M175" s="145" t="n"/>
      <c r="N175" s="144" t="n"/>
      <c r="O175" s="146" t="n"/>
      <c r="P175" s="145" t="n"/>
      <c r="Q175" s="144" t="n"/>
      <c r="R175" s="146" t="n"/>
      <c r="S175" s="145" t="n"/>
      <c r="T175" s="144" t="n"/>
      <c r="U175" s="146" t="n"/>
      <c r="V175" s="145" t="n"/>
      <c r="W175" s="144" t="n"/>
      <c r="X175" s="146" t="n"/>
      <c r="Y175" s="145" t="n"/>
      <c r="Z175" s="144" t="n"/>
      <c r="AA175" s="146" t="n"/>
      <c r="AB175" s="145" t="n"/>
      <c r="AC175" s="144" t="n"/>
      <c r="AD175" s="144" t="n"/>
      <c r="AE175" s="144" t="n"/>
      <c r="AF175" s="144" t="n"/>
      <c r="AG175" s="146" t="n"/>
      <c r="AH175" s="155" t="inlineStr">
        <is>
          <t>ND</t>
        </is>
      </c>
      <c r="AI175" s="156" t="inlineStr">
        <is>
          <t>ND</t>
        </is>
      </c>
      <c r="AJ175" s="156" t="inlineStr">
        <is>
          <t>ND</t>
        </is>
      </c>
      <c r="AK175" s="149" t="inlineStr">
        <is>
          <t>✓</t>
        </is>
      </c>
      <c r="AL175" s="145" t="n"/>
      <c r="AM175" s="144" t="n"/>
      <c r="AN175" s="144" t="n"/>
      <c r="AO175" s="144" t="n"/>
      <c r="AP175" s="146" t="n"/>
      <c r="AQ175" s="145" t="n"/>
      <c r="AR175" s="144" t="n"/>
      <c r="AS175" s="157" t="n"/>
    </row>
    <row r="176" ht="13" customHeight="1" s="70">
      <c r="A176" s="158" t="n"/>
      <c r="B176" s="159" t="n"/>
      <c r="C176" s="159" t="n"/>
      <c r="D176" s="160" t="n"/>
      <c r="E176" s="159" t="n"/>
      <c r="F176" s="161" t="n"/>
      <c r="G176" s="160" t="n"/>
      <c r="H176" s="159" t="n"/>
      <c r="I176" s="161" t="n"/>
      <c r="J176" s="160" t="n"/>
      <c r="K176" s="159" t="n"/>
      <c r="L176" s="161" t="n"/>
      <c r="M176" s="160" t="n"/>
      <c r="N176" s="159" t="n"/>
      <c r="O176" s="161" t="n"/>
      <c r="P176" s="160" t="n"/>
      <c r="Q176" s="159" t="n"/>
      <c r="R176" s="161" t="n"/>
      <c r="S176" s="160" t="n"/>
      <c r="T176" s="159" t="n"/>
      <c r="U176" s="161" t="n"/>
      <c r="V176" s="160" t="n"/>
      <c r="W176" s="159" t="n"/>
      <c r="X176" s="161" t="n"/>
      <c r="Y176" s="160" t="n"/>
      <c r="Z176" s="159" t="n"/>
      <c r="AA176" s="161" t="n"/>
      <c r="AB176" s="160" t="n"/>
      <c r="AC176" s="159" t="n"/>
      <c r="AD176" s="159" t="n"/>
      <c r="AE176" s="159" t="n"/>
      <c r="AF176" s="159" t="n"/>
      <c r="AG176" s="161" t="n"/>
      <c r="AH176" s="162" t="inlineStr">
        <is>
          <t>220-23-M-26, (11.09.2026) [FHM-M]</t>
        </is>
      </c>
      <c r="AI176" s="159" t="n"/>
      <c r="AJ176" s="159" t="n"/>
      <c r="AK176" s="161" t="n"/>
      <c r="AL176" s="160" t="n"/>
      <c r="AM176" s="159" t="n"/>
      <c r="AN176" s="159" t="n"/>
      <c r="AO176" s="159" t="n"/>
      <c r="AP176" s="161" t="n"/>
      <c r="AQ176" s="160" t="n"/>
      <c r="AR176" s="159" t="n"/>
      <c r="AS176" s="163" t="n"/>
    </row>
    <row r="177" ht="17.625" customHeight="1" s="70">
      <c r="A177" s="125" t="inlineStr">
        <is>
          <t>GG1024_01</t>
        </is>
      </c>
      <c r="B177" s="126" t="inlineStr">
        <is>
          <t>P050092</t>
        </is>
      </c>
      <c r="C177" s="171" t="inlineStr">
        <is>
          <t>✓ COMPLETE
2 testing instances
• 2 document(s) on file, not credited
✗ OUT OF SPECIFICATION: #9 TYMC</t>
        </is>
      </c>
      <c r="D177" s="128" t="inlineStr">
        <is>
          <t>Conforms</t>
        </is>
      </c>
      <c r="E177" s="129">
        <f>IFERROR(INDEX('iCoA Register'!$B:$B,MATCH("P050092|I",'iCoA Register'!$AA:$AA,0)),"iCoA — at issue")&amp;", (31.07.2025) [PP]"</f>
        <v/>
      </c>
      <c r="F177" s="130" t="inlineStr">
        <is>
          <t>✓</t>
        </is>
      </c>
      <c r="G177" s="131" t="inlineStr">
        <is>
          <t>not on this certificate</t>
        </is>
      </c>
      <c r="H177" s="132" t="inlineStr">
        <is>
          <t>ППК25104, (17.04.2025) [CNP] · on file, not credited</t>
        </is>
      </c>
      <c r="I177" s="133" t="inlineStr">
        <is>
          <t>•</t>
        </is>
      </c>
      <c r="J177" s="128" t="inlineStr">
        <is>
          <t>Conforms (ImB spec.)</t>
        </is>
      </c>
      <c r="K177" s="129" t="inlineStr">
        <is>
          <t>ППК25104, (17.04.2025) [CNP]</t>
        </is>
      </c>
      <c r="L177" s="130" t="inlineStr">
        <is>
          <t>✓</t>
        </is>
      </c>
      <c r="M177" s="134" t="inlineStr">
        <is>
          <t>17.22</t>
        </is>
      </c>
      <c r="N177" s="129" t="inlineStr">
        <is>
          <t>ППК25104, (17.04.2025) [CNP]</t>
        </is>
      </c>
      <c r="O177" s="130" t="inlineStr">
        <is>
          <t>✓</t>
        </is>
      </c>
      <c r="P177" s="135" t="inlineStr">
        <is>
          <t>0.05</t>
        </is>
      </c>
      <c r="Q177" s="129" t="inlineStr">
        <is>
          <t>ППК25104, (17.04.2025) [CNP]</t>
        </is>
      </c>
      <c r="R177" s="130" t="inlineStr">
        <is>
          <t>✓</t>
        </is>
      </c>
      <c r="S177" s="135" t="inlineStr">
        <is>
          <t>ND ᴰ</t>
        </is>
      </c>
      <c r="T177" s="129" t="inlineStr">
        <is>
          <t>ППК25104, (17.04.2025) [CNP]</t>
        </is>
      </c>
      <c r="U177" s="130" t="inlineStr">
        <is>
          <t>✓</t>
        </is>
      </c>
      <c r="V177" s="128" t="inlineStr">
        <is>
          <t>Conforms</t>
        </is>
      </c>
      <c r="W177" s="129">
        <f>IFERROR(INDEX('iCoA Register'!$B:$B,MATCH("P050092|I",'iCoA Register'!$AA:$AA,0)),"iCoA — at issue")&amp;", (31.07.2025) [PP]"</f>
        <v/>
      </c>
      <c r="X177" s="130" t="inlineStr">
        <is>
          <t>✓</t>
        </is>
      </c>
      <c r="Y177" s="128" t="inlineStr">
        <is>
          <t>7.54</t>
        </is>
      </c>
      <c r="Z177" s="129" t="inlineStr">
        <is>
          <t>ППК25104, (17.04.2025) [CNP]</t>
        </is>
      </c>
      <c r="AA177" s="130" t="inlineStr">
        <is>
          <t>✓</t>
        </is>
      </c>
      <c r="AB177" s="128" t="inlineStr">
        <is>
          <t>5.1 × 10⁴</t>
        </is>
      </c>
      <c r="AC177" s="225" t="inlineStr">
        <is>
          <t>4.2 × 10⁴</t>
        </is>
      </c>
      <c r="AD177" s="136" t="inlineStr">
        <is>
          <t>&lt; 10</t>
        </is>
      </c>
      <c r="AE177" s="136" t="inlineStr">
        <is>
          <t>Absent</t>
        </is>
      </c>
      <c r="AF177" s="136" t="inlineStr">
        <is>
          <t>Absent</t>
        </is>
      </c>
      <c r="AG177" s="130" t="inlineStr">
        <is>
          <t>✓</t>
        </is>
      </c>
      <c r="AH177" s="128" t="inlineStr">
        <is>
          <t>ND</t>
        </is>
      </c>
      <c r="AI177" s="136" t="inlineStr">
        <is>
          <t>&lt; 2</t>
        </is>
      </c>
      <c r="AJ177" s="136" t="inlineStr">
        <is>
          <t>ND</t>
        </is>
      </c>
      <c r="AK177" s="130" t="inlineStr">
        <is>
          <t>✓</t>
        </is>
      </c>
      <c r="AL177" s="128" t="inlineStr">
        <is>
          <t>0.02</t>
        </is>
      </c>
      <c r="AM177" s="136" t="inlineStr">
        <is>
          <t>0.007</t>
        </is>
      </c>
      <c r="AN177" s="136" t="inlineStr">
        <is>
          <t>0.015</t>
        </is>
      </c>
      <c r="AO177" s="136" t="inlineStr">
        <is>
          <t>0.005</t>
        </is>
      </c>
      <c r="AP177" s="130" t="inlineStr">
        <is>
          <t>✓</t>
        </is>
      </c>
      <c r="AQ177" s="128" t="inlineStr">
        <is>
          <t>≤ LOQ (all 27 compounds)</t>
        </is>
      </c>
      <c r="AR177" s="129" t="inlineStr">
        <is>
          <t>1766-2025, (11.04.2025) [IJZ]</t>
        </is>
      </c>
      <c r="AS177" s="137" t="inlineStr">
        <is>
          <t>✓</t>
        </is>
      </c>
    </row>
    <row r="178" ht="13" customHeight="1" s="70">
      <c r="A178" s="138" t="n"/>
      <c r="D178" s="139" t="n"/>
      <c r="F178" s="140" t="n"/>
      <c r="G178" s="139" t="n"/>
      <c r="I178" s="140" t="n"/>
      <c r="J178" s="139" t="n"/>
      <c r="L178" s="140" t="n"/>
      <c r="M178" s="139" t="n"/>
      <c r="O178" s="140" t="n"/>
      <c r="P178" s="139" t="n"/>
      <c r="R178" s="140" t="n"/>
      <c r="S178" s="139" t="n"/>
      <c r="U178" s="140" t="n"/>
      <c r="V178" s="139" t="n"/>
      <c r="X178" s="140" t="n"/>
      <c r="Y178" s="139" t="n"/>
      <c r="AA178" s="140" t="n"/>
      <c r="AB178" s="141" t="inlineStr">
        <is>
          <t>320-0587-25, (14.04.2025) [IJZ-MB]</t>
        </is>
      </c>
      <c r="AG178" s="140" t="n"/>
      <c r="AH178" s="141" t="inlineStr">
        <is>
          <t>1766-2025, (11.04.2025) [IJZ]</t>
        </is>
      </c>
      <c r="AK178" s="140" t="n"/>
      <c r="AL178" s="141" t="inlineStr">
        <is>
          <t>1766-2025, (11.04.2025) [IJZ]</t>
        </is>
      </c>
      <c r="AP178" s="140" t="n"/>
      <c r="AQ178" s="139" t="n"/>
      <c r="AS178" s="142" t="n"/>
    </row>
    <row r="179" ht="17.625" customHeight="1" s="70">
      <c r="A179" s="143" t="n"/>
      <c r="B179" s="144" t="n"/>
      <c r="D179" s="145" t="n"/>
      <c r="E179" s="144" t="n"/>
      <c r="F179" s="146" t="n"/>
      <c r="G179" s="147" t="inlineStr">
        <is>
          <t>Conforms</t>
        </is>
      </c>
      <c r="H179" s="148">
        <f>IFERROR(INDEX('iCoA Register'!$B:$B,MATCH("P050092|I",'iCoA Register'!$AA:$AA,0)),"iCoA — at issue")&amp;", (31.07.2025) [PP]"</f>
        <v/>
      </c>
      <c r="I179" s="149" t="inlineStr">
        <is>
          <t>✓</t>
        </is>
      </c>
      <c r="J179" s="147" t="inlineStr">
        <is>
          <t>Conforms (ImB spec.) ᴿ</t>
        </is>
      </c>
      <c r="K179" s="148" t="inlineStr">
        <is>
          <t>197-9-K-26, (07.08.2026) [FHM-K]</t>
        </is>
      </c>
      <c r="L179" s="149" t="inlineStr">
        <is>
          <t>✓</t>
        </is>
      </c>
      <c r="M179" s="150" t="inlineStr">
        <is>
          <t>18.67</t>
        </is>
      </c>
      <c r="N179" s="148" t="inlineStr">
        <is>
          <t>197-9-K-26, (07.08.2026) [FHM-K]</t>
        </is>
      </c>
      <c r="O179" s="149" t="inlineStr">
        <is>
          <t>✓</t>
        </is>
      </c>
      <c r="P179" s="151" t="inlineStr">
        <is>
          <t>&lt; LOQ</t>
        </is>
      </c>
      <c r="Q179" s="148" t="inlineStr">
        <is>
          <t>197-9-K-26, (07.08.2026) [FHM-K]</t>
        </is>
      </c>
      <c r="R179" s="149" t="inlineStr">
        <is>
          <t>✓</t>
        </is>
      </c>
      <c r="S179" s="151" t="inlineStr">
        <is>
          <t>0.20</t>
        </is>
      </c>
      <c r="T179" s="148" t="inlineStr">
        <is>
          <t>197-9-K-26, (07.08.2026) [FHM-K]</t>
        </is>
      </c>
      <c r="U179" s="149" t="inlineStr">
        <is>
          <t>✓</t>
        </is>
      </c>
      <c r="V179" s="145" t="n"/>
      <c r="W179" s="144" t="n"/>
      <c r="X179" s="146" t="n"/>
      <c r="Y179" s="152" t="inlineStr">
        <is>
          <t>not on this certificate</t>
        </is>
      </c>
      <c r="Z179" s="153" t="inlineStr">
        <is>
          <t>197-9-K-26, (07.08.2026) [FHM-K] · on file, not credited</t>
        </is>
      </c>
      <c r="AA179" s="154" t="inlineStr">
        <is>
          <t>•</t>
        </is>
      </c>
      <c r="AB179" s="145" t="n"/>
      <c r="AC179" s="144" t="n"/>
      <c r="AD179" s="144" t="n"/>
      <c r="AE179" s="144" t="n"/>
      <c r="AF179" s="144" t="n"/>
      <c r="AG179" s="146" t="n"/>
      <c r="AH179" s="155" t="inlineStr">
        <is>
          <t>ND</t>
        </is>
      </c>
      <c r="AI179" s="156" t="inlineStr">
        <is>
          <t>ND</t>
        </is>
      </c>
      <c r="AJ179" s="156" t="inlineStr">
        <is>
          <t>ND</t>
        </is>
      </c>
      <c r="AK179" s="149" t="inlineStr">
        <is>
          <t>✓</t>
        </is>
      </c>
      <c r="AL179" s="145" t="n"/>
      <c r="AM179" s="144" t="n"/>
      <c r="AN179" s="144" t="n"/>
      <c r="AO179" s="144" t="n"/>
      <c r="AP179" s="146" t="n"/>
      <c r="AQ179" s="145" t="n"/>
      <c r="AR179" s="144" t="n"/>
      <c r="AS179" s="157" t="n"/>
    </row>
    <row r="180" ht="15.375"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2" t="inlineStr">
        <is>
          <t>197-9-M-26, (10.08.2026) [FHM-M]</t>
        </is>
      </c>
      <c r="AI180" s="159" t="n"/>
      <c r="AJ180" s="159" t="n"/>
      <c r="AK180" s="161" t="n"/>
      <c r="AL180" s="160" t="n"/>
      <c r="AM180" s="159" t="n"/>
      <c r="AN180" s="159" t="n"/>
      <c r="AO180" s="159" t="n"/>
      <c r="AP180" s="161" t="n"/>
      <c r="AQ180" s="160" t="n"/>
      <c r="AR180" s="159" t="n"/>
      <c r="AS180" s="163" t="n"/>
    </row>
    <row r="181" ht="17.625" customHeight="1" s="70">
      <c r="A181" s="125" t="inlineStr">
        <is>
          <t>GP0824_01</t>
        </is>
      </c>
      <c r="B181" s="126" t="inlineStr">
        <is>
          <t>P050102</t>
        </is>
      </c>
      <c r="C181" s="127" t="inlineStr">
        <is>
          <t>✓ COMPLETE
3 testing instances
• 1 document(s) on file, not credited</t>
        </is>
      </c>
      <c r="D181" s="128" t="inlineStr">
        <is>
          <t>Conforms</t>
        </is>
      </c>
      <c r="E181" s="129">
        <f>IFERROR(INDEX('iCoA Register'!$B:$B,MATCH("P050102|I",'iCoA Register'!$AA:$AA,0)),"iCoA — at issue")&amp;", (05.08.2025) [PP]"</f>
        <v/>
      </c>
      <c r="F181" s="130" t="inlineStr">
        <is>
          <t>✓</t>
        </is>
      </c>
      <c r="G181" s="131" t="inlineStr">
        <is>
          <t>not on this certificate</t>
        </is>
      </c>
      <c r="H181" s="132" t="inlineStr">
        <is>
          <t>ППК25105, (17.04.2025) [CNP] · on file, not credited</t>
        </is>
      </c>
      <c r="I181" s="133" t="inlineStr">
        <is>
          <t>•</t>
        </is>
      </c>
      <c r="J181" s="128" t="inlineStr">
        <is>
          <t>Conforms (ImB spec.)</t>
        </is>
      </c>
      <c r="K181" s="129" t="inlineStr">
        <is>
          <t>ППК25105, (17.04.2025) [CNP]</t>
        </is>
      </c>
      <c r="L181" s="130" t="inlineStr">
        <is>
          <t>✓</t>
        </is>
      </c>
      <c r="M181" s="134" t="inlineStr">
        <is>
          <t>20.79</t>
        </is>
      </c>
      <c r="N181" s="129" t="inlineStr">
        <is>
          <t>ППК25105, (17.04.2025) [CNP]</t>
        </is>
      </c>
      <c r="O181" s="130" t="inlineStr">
        <is>
          <t>✓</t>
        </is>
      </c>
      <c r="P181" s="135" t="inlineStr">
        <is>
          <t>0.06</t>
        </is>
      </c>
      <c r="Q181" s="129" t="inlineStr">
        <is>
          <t>ППК25105, (17.04.2025) [CNP]</t>
        </is>
      </c>
      <c r="R181" s="130" t="inlineStr">
        <is>
          <t>✓</t>
        </is>
      </c>
      <c r="S181" s="135" t="inlineStr">
        <is>
          <t>ND ᴰ</t>
        </is>
      </c>
      <c r="T181" s="129" t="inlineStr">
        <is>
          <t>ППК25105, (17.04.2025) [CNP]</t>
        </is>
      </c>
      <c r="U181" s="130" t="inlineStr">
        <is>
          <t>✓</t>
        </is>
      </c>
      <c r="V181" s="128" t="inlineStr">
        <is>
          <t>Conforms</t>
        </is>
      </c>
      <c r="W181" s="129">
        <f>IFERROR(INDEX('iCoA Register'!$B:$B,MATCH("P050102|I",'iCoA Register'!$AA:$AA,0)),"iCoA — at issue")&amp;", (05.08.2025) [PP]"</f>
        <v/>
      </c>
      <c r="X181" s="130" t="inlineStr">
        <is>
          <t>✓</t>
        </is>
      </c>
      <c r="Y181" s="128" t="inlineStr">
        <is>
          <t>6.73</t>
        </is>
      </c>
      <c r="Z181" s="129" t="inlineStr">
        <is>
          <t>ППК25105, (17.04.2025) [CNP]</t>
        </is>
      </c>
      <c r="AA181" s="130" t="inlineStr">
        <is>
          <t>✓</t>
        </is>
      </c>
      <c r="AB181" s="128" t="inlineStr">
        <is>
          <t>4.2 × 10³</t>
        </is>
      </c>
      <c r="AC181" s="136" t="inlineStr">
        <is>
          <t>6 × 10³</t>
        </is>
      </c>
      <c r="AD181" s="136" t="inlineStr">
        <is>
          <t>&lt; 10</t>
        </is>
      </c>
      <c r="AE181" s="136" t="inlineStr">
        <is>
          <t>Absent</t>
        </is>
      </c>
      <c r="AF181" s="136" t="inlineStr">
        <is>
          <t>Absent</t>
        </is>
      </c>
      <c r="AG181" s="130" t="inlineStr">
        <is>
          <t>✓</t>
        </is>
      </c>
      <c r="AH181" s="128" t="inlineStr">
        <is>
          <t>ND</t>
        </is>
      </c>
      <c r="AI181" s="136" t="inlineStr">
        <is>
          <t>&lt; 2</t>
        </is>
      </c>
      <c r="AJ181" s="136" t="inlineStr">
        <is>
          <t>ND</t>
        </is>
      </c>
      <c r="AK181" s="130" t="inlineStr">
        <is>
          <t>✓</t>
        </is>
      </c>
      <c r="AL181" s="128" t="inlineStr">
        <is>
          <t>0.026</t>
        </is>
      </c>
      <c r="AM181" s="136" t="inlineStr">
        <is>
          <t>0.005</t>
        </is>
      </c>
      <c r="AN181" s="136" t="inlineStr">
        <is>
          <t>0.015</t>
        </is>
      </c>
      <c r="AO181" s="136" t="inlineStr">
        <is>
          <t>0.005</t>
        </is>
      </c>
      <c r="AP181" s="130" t="inlineStr">
        <is>
          <t>✓</t>
        </is>
      </c>
      <c r="AQ181" s="128" t="inlineStr">
        <is>
          <t>≤ LOQ (all 27 compounds)</t>
        </is>
      </c>
      <c r="AR181" s="129" t="inlineStr">
        <is>
          <t>1767-2025, (11.04.2025)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318-0585-25, (14.04.2025) [IJZ-MB]</t>
        </is>
      </c>
      <c r="AG182" s="140" t="n"/>
      <c r="AH182" s="141" t="inlineStr">
        <is>
          <t>1767-2025, (11.04.2025) [IJZ]</t>
        </is>
      </c>
      <c r="AK182" s="140" t="n"/>
      <c r="AL182" s="141" t="inlineStr">
        <is>
          <t>1767-2025, (11.04.2025) [IJZ]</t>
        </is>
      </c>
      <c r="AP182" s="140" t="n"/>
      <c r="AQ182" s="139" t="n"/>
      <c r="AS182" s="142" t="n"/>
    </row>
    <row r="183" ht="17.625" customHeight="1" s="70">
      <c r="A183" s="143" t="n"/>
      <c r="B183" s="144" t="n"/>
      <c r="D183" s="145" t="n"/>
      <c r="E183" s="144" t="n"/>
      <c r="F183" s="146" t="n"/>
      <c r="G183" s="155" t="inlineStr">
        <is>
          <t>Conforms</t>
        </is>
      </c>
      <c r="H183" s="185">
        <f>IFERROR(INDEX('iCoA Register'!$B:$B,MATCH("P050102|I",'iCoA Register'!$AA:$AA,0)),"iCoA — at issue")&amp;", (05.08.2025) [PP]"</f>
        <v/>
      </c>
      <c r="I183" s="186" t="inlineStr">
        <is>
          <t>✓</t>
        </is>
      </c>
      <c r="J183" s="155" t="inlineStr">
        <is>
          <t>Conforms (ImB spec.)</t>
        </is>
      </c>
      <c r="K183" s="185" t="inlineStr">
        <is>
          <t>227-2-K-26, (11.09.2026) [FHM-K]</t>
        </is>
      </c>
      <c r="L183" s="186" t="inlineStr">
        <is>
          <t>✓</t>
        </is>
      </c>
      <c r="M183" s="187" t="inlineStr">
        <is>
          <t>28.68</t>
        </is>
      </c>
      <c r="N183" s="185" t="inlineStr">
        <is>
          <t>227-2-K-26, (11.09.2026) [FHM-K]</t>
        </is>
      </c>
      <c r="O183" s="186" t="inlineStr">
        <is>
          <t>✓</t>
        </is>
      </c>
      <c r="P183" s="188" t="inlineStr">
        <is>
          <t>&lt; LOQ</t>
        </is>
      </c>
      <c r="Q183" s="185" t="inlineStr">
        <is>
          <t>227-2-K-26, (11.09.2026) [FHM-K]</t>
        </is>
      </c>
      <c r="R183" s="186" t="inlineStr">
        <is>
          <t>✓</t>
        </is>
      </c>
      <c r="S183" s="188" t="inlineStr">
        <is>
          <t>0.25</t>
        </is>
      </c>
      <c r="T183" s="185" t="inlineStr">
        <is>
          <t>227-2-K-26, (11.09.2026) [FHM-K]</t>
        </is>
      </c>
      <c r="U183" s="186" t="inlineStr">
        <is>
          <t>✓</t>
        </is>
      </c>
      <c r="V183" s="145" t="n"/>
      <c r="W183" s="144" t="n"/>
      <c r="X183" s="146" t="n"/>
      <c r="Y183" s="145" t="n"/>
      <c r="Z183" s="144" t="n"/>
      <c r="AA183" s="146" t="n"/>
      <c r="AB183" s="155" t="inlineStr">
        <is>
          <t>5.2 × 10³</t>
        </is>
      </c>
      <c r="AC183" s="156" t="inlineStr">
        <is>
          <t>8.8 × 10³</t>
        </is>
      </c>
      <c r="AD183" s="156" t="inlineStr">
        <is>
          <t>&lt; 10</t>
        </is>
      </c>
      <c r="AE183" s="156" t="inlineStr">
        <is>
          <t>Absent</t>
        </is>
      </c>
      <c r="AF183" s="156" t="inlineStr">
        <is>
          <t>Absent</t>
        </is>
      </c>
      <c r="AG183" s="186" t="inlineStr">
        <is>
          <t>✓</t>
        </is>
      </c>
      <c r="AH183" s="145" t="n"/>
      <c r="AI183" s="144" t="n"/>
      <c r="AJ183" s="144" t="n"/>
      <c r="AK183" s="146" t="n"/>
      <c r="AL183" s="145" t="n"/>
      <c r="AM183" s="144" t="n"/>
      <c r="AN183" s="144" t="n"/>
      <c r="AO183" s="144" t="n"/>
      <c r="AP183" s="146" t="n"/>
      <c r="AQ183" s="145" t="n"/>
      <c r="AR183" s="144" t="n"/>
      <c r="AS183" s="157" t="n"/>
    </row>
    <row r="184" ht="13" customHeight="1" s="70">
      <c r="A184" s="192" t="n"/>
      <c r="B184" s="193" t="n"/>
      <c r="D184" s="194" t="n"/>
      <c r="E184" s="193" t="n"/>
      <c r="F184" s="195" t="n"/>
      <c r="G184" s="194" t="n"/>
      <c r="H184" s="193" t="n"/>
      <c r="I184" s="195" t="n"/>
      <c r="J184" s="194" t="n"/>
      <c r="K184" s="193" t="n"/>
      <c r="L184" s="195" t="n"/>
      <c r="M184" s="194" t="n"/>
      <c r="N184" s="193" t="n"/>
      <c r="O184" s="195" t="n"/>
      <c r="P184" s="194" t="n"/>
      <c r="Q184" s="193" t="n"/>
      <c r="R184" s="195" t="n"/>
      <c r="S184" s="194" t="n"/>
      <c r="T184" s="193" t="n"/>
      <c r="U184" s="195" t="n"/>
      <c r="V184" s="194" t="n"/>
      <c r="W184" s="193" t="n"/>
      <c r="X184" s="195" t="n"/>
      <c r="Y184" s="194" t="n"/>
      <c r="Z184" s="193" t="n"/>
      <c r="AA184" s="195" t="n"/>
      <c r="AB184" s="210" t="inlineStr">
        <is>
          <t>319-0586-25, (14.04.2025) [IJZ-MB]</t>
        </is>
      </c>
      <c r="AC184" s="193" t="n"/>
      <c r="AD184" s="193" t="n"/>
      <c r="AE184" s="193" t="n"/>
      <c r="AF184" s="193" t="n"/>
      <c r="AG184" s="195" t="n"/>
      <c r="AH184" s="194" t="n"/>
      <c r="AI184" s="193" t="n"/>
      <c r="AJ184" s="193" t="n"/>
      <c r="AK184" s="195" t="n"/>
      <c r="AL184" s="194" t="n"/>
      <c r="AM184" s="193" t="n"/>
      <c r="AN184" s="193" t="n"/>
      <c r="AO184" s="193" t="n"/>
      <c r="AP184" s="195" t="n"/>
      <c r="AQ184" s="194" t="n"/>
      <c r="AR184" s="193" t="n"/>
      <c r="AS184" s="196" t="n"/>
    </row>
    <row r="185" ht="14" customHeight="1" s="70">
      <c r="A185" s="143" t="n"/>
      <c r="B185" s="144" t="n"/>
      <c r="D185" s="145" t="n"/>
      <c r="E185" s="144" t="n"/>
      <c r="F185" s="146" t="n"/>
      <c r="G185" s="145" t="n"/>
      <c r="H185" s="144" t="n"/>
      <c r="I185" s="146" t="n"/>
      <c r="J185" s="145" t="n"/>
      <c r="K185" s="144" t="n"/>
      <c r="L185" s="146" t="n"/>
      <c r="M185" s="145" t="n"/>
      <c r="N185" s="144" t="n"/>
      <c r="O185" s="146" t="n"/>
      <c r="P185" s="145" t="n"/>
      <c r="Q185" s="144" t="n"/>
      <c r="R185" s="146" t="n"/>
      <c r="S185" s="145" t="n"/>
      <c r="T185" s="144" t="n"/>
      <c r="U185" s="146" t="n"/>
      <c r="V185" s="145" t="n"/>
      <c r="W185" s="144" t="n"/>
      <c r="X185" s="146" t="n"/>
      <c r="Y185" s="145" t="n"/>
      <c r="Z185" s="144" t="n"/>
      <c r="AA185" s="146" t="n"/>
      <c r="AB185" s="155" t="inlineStr">
        <is>
          <t>&lt; 10</t>
        </is>
      </c>
      <c r="AC185" s="156" t="inlineStr">
        <is>
          <t>50</t>
        </is>
      </c>
      <c r="AD185" s="156" t="inlineStr">
        <is>
          <t>&lt; 10</t>
        </is>
      </c>
      <c r="AE185" s="156" t="inlineStr">
        <is>
          <t>Absent</t>
        </is>
      </c>
      <c r="AF185" s="156" t="inlineStr">
        <is>
          <t>Absent</t>
        </is>
      </c>
      <c r="AG185" s="149" t="inlineStr">
        <is>
          <t>✓</t>
        </is>
      </c>
      <c r="AH185" s="145" t="n"/>
      <c r="AI185" s="144" t="n"/>
      <c r="AJ185" s="144" t="n"/>
      <c r="AK185" s="146" t="n"/>
      <c r="AL185" s="145" t="n"/>
      <c r="AM185" s="144" t="n"/>
      <c r="AN185" s="144" t="n"/>
      <c r="AO185" s="144" t="n"/>
      <c r="AP185" s="146" t="n"/>
      <c r="AQ185" s="145" t="n"/>
      <c r="AR185" s="144" t="n"/>
      <c r="AS185" s="157" t="n"/>
    </row>
    <row r="186" ht="13"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2" t="inlineStr">
        <is>
          <t>562-1093-26, (01.09.2026) [IJZ-MB]</t>
        </is>
      </c>
      <c r="AC186" s="159" t="n"/>
      <c r="AD186" s="159" t="n"/>
      <c r="AE186" s="159" t="n"/>
      <c r="AF186" s="159" t="n"/>
      <c r="AG186" s="161" t="n"/>
      <c r="AH186" s="160" t="n"/>
      <c r="AI186" s="159" t="n"/>
      <c r="AJ186" s="159" t="n"/>
      <c r="AK186" s="161" t="n"/>
      <c r="AL186" s="160" t="n"/>
      <c r="AM186" s="159" t="n"/>
      <c r="AN186" s="159" t="n"/>
      <c r="AO186" s="159" t="n"/>
      <c r="AP186" s="161" t="n"/>
      <c r="AQ186" s="160" t="n"/>
      <c r="AR186" s="159" t="n"/>
      <c r="AS186" s="163" t="n"/>
    </row>
    <row r="187" ht="17.625" customHeight="1" s="70">
      <c r="A187" s="125" t="inlineStr">
        <is>
          <t>MB0824_05</t>
        </is>
      </c>
      <c r="B187" s="126" t="inlineStr">
        <is>
          <t>P050112</t>
        </is>
      </c>
      <c r="C187" s="127" t="inlineStr">
        <is>
          <t>✓ COMPLETE
2 testing instances
• 1 document(s) on file, not credited</t>
        </is>
      </c>
      <c r="D187" s="128" t="inlineStr">
        <is>
          <t>Conforms</t>
        </is>
      </c>
      <c r="E187" s="129">
        <f>IFERROR(INDEX('iCoA Register'!$B:$B,MATCH("P050112|I",'iCoA Register'!$AA:$AA,0)),"iCoA — at issue")&amp;", (25.08.2025) [PP]"</f>
        <v/>
      </c>
      <c r="F187" s="130" t="inlineStr">
        <is>
          <t>✓</t>
        </is>
      </c>
      <c r="G187" s="131" t="inlineStr">
        <is>
          <t>not on this certificate</t>
        </is>
      </c>
      <c r="H187" s="132" t="inlineStr">
        <is>
          <t>ППК25211, (28.07.2025) [CNP] · on file, not credited</t>
        </is>
      </c>
      <c r="I187" s="133" t="inlineStr">
        <is>
          <t>•</t>
        </is>
      </c>
      <c r="J187" s="128" t="inlineStr">
        <is>
          <t>Conforms (ImB spec.)</t>
        </is>
      </c>
      <c r="K187" s="129" t="inlineStr">
        <is>
          <t>ППК25211, (28.07.2025) [CNP]</t>
        </is>
      </c>
      <c r="L187" s="130" t="inlineStr">
        <is>
          <t>✓</t>
        </is>
      </c>
      <c r="M187" s="134" t="inlineStr">
        <is>
          <t>16.82</t>
        </is>
      </c>
      <c r="N187" s="129" t="inlineStr">
        <is>
          <t>ППК25211, (28.07.2025) [CNP]</t>
        </is>
      </c>
      <c r="O187" s="130" t="inlineStr">
        <is>
          <t>✓</t>
        </is>
      </c>
      <c r="P187" s="135" t="inlineStr">
        <is>
          <t>0.06</t>
        </is>
      </c>
      <c r="Q187" s="129" t="inlineStr">
        <is>
          <t>ППК25211, (28.07.2025) [CNP]</t>
        </is>
      </c>
      <c r="R187" s="130" t="inlineStr">
        <is>
          <t>✓</t>
        </is>
      </c>
      <c r="S187" s="135" t="inlineStr">
        <is>
          <t>0.02 ᴰ</t>
        </is>
      </c>
      <c r="T187" s="129" t="inlineStr">
        <is>
          <t>ППК25211, (28.07.2025) [CNP]</t>
        </is>
      </c>
      <c r="U187" s="130" t="inlineStr">
        <is>
          <t>✓</t>
        </is>
      </c>
      <c r="V187" s="128" t="inlineStr">
        <is>
          <t>Conforms</t>
        </is>
      </c>
      <c r="W187" s="129">
        <f>IFERROR(INDEX('iCoA Register'!$B:$B,MATCH("P050112|I",'iCoA Register'!$AA:$AA,0)),"iCoA — at issue")&amp;", (25.08.2025) [PP]"</f>
        <v/>
      </c>
      <c r="X187" s="130" t="inlineStr">
        <is>
          <t>✓</t>
        </is>
      </c>
      <c r="Y187" s="128" t="inlineStr">
        <is>
          <t>6.56</t>
        </is>
      </c>
      <c r="Z187" s="129" t="inlineStr">
        <is>
          <t>ППК25211, (28.07.2025) [CNP]</t>
        </is>
      </c>
      <c r="AA187" s="130" t="inlineStr">
        <is>
          <t>✓</t>
        </is>
      </c>
      <c r="AB187" s="128" t="inlineStr">
        <is>
          <t>3.5 × 10³</t>
        </is>
      </c>
      <c r="AC187" s="136" t="inlineStr">
        <is>
          <t>1 × 10³</t>
        </is>
      </c>
      <c r="AD187" s="136" t="inlineStr">
        <is>
          <t>&lt; 10</t>
        </is>
      </c>
      <c r="AE187" s="136" t="inlineStr">
        <is>
          <t>Absent</t>
        </is>
      </c>
      <c r="AF187" s="136" t="inlineStr">
        <is>
          <t>Absent</t>
        </is>
      </c>
      <c r="AG187" s="130" t="inlineStr">
        <is>
          <t>✓</t>
        </is>
      </c>
      <c r="AH187" s="128" t="inlineStr">
        <is>
          <t>ND</t>
        </is>
      </c>
      <c r="AI187" s="136" t="inlineStr">
        <is>
          <t>2</t>
        </is>
      </c>
      <c r="AJ187" s="136" t="inlineStr">
        <is>
          <t>ND</t>
        </is>
      </c>
      <c r="AK187" s="130" t="inlineStr">
        <is>
          <t>✓</t>
        </is>
      </c>
      <c r="AL187" s="128" t="inlineStr">
        <is>
          <t>ND</t>
        </is>
      </c>
      <c r="AM187" s="136" t="inlineStr">
        <is>
          <t>ND</t>
        </is>
      </c>
      <c r="AN187" s="136" t="inlineStr">
        <is>
          <t>0.086</t>
        </is>
      </c>
      <c r="AO187" s="136" t="inlineStr">
        <is>
          <t>0.006</t>
        </is>
      </c>
      <c r="AP187" s="130" t="inlineStr">
        <is>
          <t>✓</t>
        </is>
      </c>
      <c r="AQ187" s="128" t="inlineStr">
        <is>
          <t>ND ᴿ</t>
        </is>
      </c>
      <c r="AR187" s="129" t="inlineStr">
        <is>
          <t>3638-2025, (28.07.2025)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767-1376-25, (29.07.2025) [IJZ-MB]</t>
        </is>
      </c>
      <c r="AG188" s="140" t="n"/>
      <c r="AH188" s="141" t="inlineStr">
        <is>
          <t>3638-2025, (28.07.2025) [IJZ]</t>
        </is>
      </c>
      <c r="AK188" s="140" t="n"/>
      <c r="AL188" s="141" t="inlineStr">
        <is>
          <t>3638-2025, (28.07.2025) [IJZ]</t>
        </is>
      </c>
      <c r="AP188" s="140" t="n"/>
      <c r="AQ188" s="139" t="n"/>
      <c r="AS188" s="142" t="n"/>
    </row>
    <row r="189" ht="14" customHeight="1" s="70">
      <c r="A189" s="143" t="n"/>
      <c r="B189" s="144" t="n"/>
      <c r="D189" s="145" t="n"/>
      <c r="E189" s="144" t="n"/>
      <c r="F189" s="146" t="n"/>
      <c r="G189" s="147" t="inlineStr">
        <is>
          <t>Conforms</t>
        </is>
      </c>
      <c r="H189" s="148">
        <f>IFERROR(INDEX('iCoA Register'!$B:$B,MATCH("P050112|I",'iCoA Register'!$AA:$AA,0)),"iCoA — at issue")&amp;", (25.08.2025) [PP]"</f>
        <v/>
      </c>
      <c r="I189" s="149" t="inlineStr">
        <is>
          <t>✓</t>
        </is>
      </c>
      <c r="J189" s="145" t="n"/>
      <c r="K189" s="144" t="n"/>
      <c r="L189" s="146" t="n"/>
      <c r="M189" s="145" t="n"/>
      <c r="N189" s="144" t="n"/>
      <c r="O189" s="146" t="n"/>
      <c r="P189" s="145" t="n"/>
      <c r="Q189" s="144" t="n"/>
      <c r="R189" s="146" t="n"/>
      <c r="S189" s="145" t="n"/>
      <c r="T189" s="144" t="n"/>
      <c r="U189" s="146" t="n"/>
      <c r="V189" s="145" t="n"/>
      <c r="W189" s="144" t="n"/>
      <c r="X189" s="146" t="n"/>
      <c r="Y189" s="145" t="n"/>
      <c r="Z189" s="144" t="n"/>
      <c r="AA189" s="146" t="n"/>
      <c r="AB189" s="145" t="n"/>
      <c r="AC189" s="144" t="n"/>
      <c r="AD189" s="144" t="n"/>
      <c r="AE189" s="144" t="n"/>
      <c r="AF189" s="144" t="n"/>
      <c r="AG189" s="146" t="n"/>
      <c r="AH189" s="155" t="inlineStr">
        <is>
          <t>ND</t>
        </is>
      </c>
      <c r="AI189" s="156" t="inlineStr">
        <is>
          <t>ND</t>
        </is>
      </c>
      <c r="AJ189" s="156" t="inlineStr">
        <is>
          <t>ND</t>
        </is>
      </c>
      <c r="AK189" s="149" t="inlineStr">
        <is>
          <t>✓</t>
        </is>
      </c>
      <c r="AL189" s="145" t="n"/>
      <c r="AM189" s="144" t="n"/>
      <c r="AN189" s="144" t="n"/>
      <c r="AO189" s="144" t="n"/>
      <c r="AP189" s="146" t="n"/>
      <c r="AQ189" s="145" t="n"/>
      <c r="AR189" s="144" t="n"/>
      <c r="AS189" s="157" t="n"/>
    </row>
    <row r="190" ht="13" customHeight="1" s="70">
      <c r="A190" s="158" t="n"/>
      <c r="B190" s="159" t="n"/>
      <c r="C190" s="159" t="n"/>
      <c r="D190" s="160" t="n"/>
      <c r="E190" s="159" t="n"/>
      <c r="F190" s="161" t="n"/>
      <c r="G190" s="160" t="n"/>
      <c r="H190" s="159" t="n"/>
      <c r="I190" s="161" t="n"/>
      <c r="J190" s="160" t="n"/>
      <c r="K190" s="159" t="n"/>
      <c r="L190" s="161" t="n"/>
      <c r="M190" s="160" t="n"/>
      <c r="N190" s="159" t="n"/>
      <c r="O190" s="161" t="n"/>
      <c r="P190" s="160" t="n"/>
      <c r="Q190" s="159" t="n"/>
      <c r="R190" s="161" t="n"/>
      <c r="S190" s="160" t="n"/>
      <c r="T190" s="159" t="n"/>
      <c r="U190" s="161" t="n"/>
      <c r="V190" s="160" t="n"/>
      <c r="W190" s="159" t="n"/>
      <c r="X190" s="161" t="n"/>
      <c r="Y190" s="160" t="n"/>
      <c r="Z190" s="159" t="n"/>
      <c r="AA190" s="161" t="n"/>
      <c r="AB190" s="160" t="n"/>
      <c r="AC190" s="159" t="n"/>
      <c r="AD190" s="159" t="n"/>
      <c r="AE190" s="159" t="n"/>
      <c r="AF190" s="159" t="n"/>
      <c r="AG190" s="161" t="n"/>
      <c r="AH190" s="162" t="inlineStr">
        <is>
          <t>220-20-M-26, (11.09.2026) [FHM-M]</t>
        </is>
      </c>
      <c r="AI190" s="159" t="n"/>
      <c r="AJ190" s="159" t="n"/>
      <c r="AK190" s="161" t="n"/>
      <c r="AL190" s="160" t="n"/>
      <c r="AM190" s="159" t="n"/>
      <c r="AN190" s="159" t="n"/>
      <c r="AO190" s="159" t="n"/>
      <c r="AP190" s="161" t="n"/>
      <c r="AQ190" s="160" t="n"/>
      <c r="AR190" s="159" t="n"/>
      <c r="AS190" s="163" t="n"/>
    </row>
    <row r="191" ht="17.625" customHeight="1" s="70">
      <c r="A191" s="125" t="inlineStr">
        <is>
          <t>BSS1024_01/1</t>
        </is>
      </c>
      <c r="B191" s="126" t="inlineStr">
        <is>
          <t>P050122</t>
        </is>
      </c>
      <c r="C191" s="127" t="inlineStr">
        <is>
          <t>✓ COMPLETE
2 testing instances
• 1 document(s) on file, not credited</t>
        </is>
      </c>
      <c r="D191" s="128" t="inlineStr">
        <is>
          <t>Conforms</t>
        </is>
      </c>
      <c r="E191" s="129">
        <f>IFERROR(INDEX('iCoA Register'!$B:$B,MATCH("P050122|I",'iCoA Register'!$AA:$AA,0)),"iCoA — at issue")&amp;", (01.09.2025) [PP]"</f>
        <v/>
      </c>
      <c r="F191" s="130" t="inlineStr">
        <is>
          <t>✓</t>
        </is>
      </c>
      <c r="G191" s="131" t="inlineStr">
        <is>
          <t>not on this certificate</t>
        </is>
      </c>
      <c r="H191" s="132" t="inlineStr">
        <is>
          <t>ППК25176, (10.07.2025) [CNP] · on file, not credited</t>
        </is>
      </c>
      <c r="I191" s="133" t="inlineStr">
        <is>
          <t>•</t>
        </is>
      </c>
      <c r="J191" s="128" t="inlineStr">
        <is>
          <t>Conforms (ImB spec.)</t>
        </is>
      </c>
      <c r="K191" s="129" t="inlineStr">
        <is>
          <t>ППК25176, (10.07.2025) [CNP]</t>
        </is>
      </c>
      <c r="L191" s="130" t="inlineStr">
        <is>
          <t>✓</t>
        </is>
      </c>
      <c r="M191" s="134" t="inlineStr">
        <is>
          <t>23.42</t>
        </is>
      </c>
      <c r="N191" s="129" t="inlineStr">
        <is>
          <t>ППК25176, (10.07.2025) [CNP]</t>
        </is>
      </c>
      <c r="O191" s="130" t="inlineStr">
        <is>
          <t>✓</t>
        </is>
      </c>
      <c r="P191" s="135" t="inlineStr">
        <is>
          <t>0.06</t>
        </is>
      </c>
      <c r="Q191" s="129" t="inlineStr">
        <is>
          <t>ППК25176, (10.07.2025) [CNP]</t>
        </is>
      </c>
      <c r="R191" s="130" t="inlineStr">
        <is>
          <t>✓</t>
        </is>
      </c>
      <c r="S191" s="135" t="inlineStr">
        <is>
          <t>&lt; LOQ ᴰ</t>
        </is>
      </c>
      <c r="T191" s="129" t="inlineStr">
        <is>
          <t>ППК25176, (10.07.2025) [CNP]</t>
        </is>
      </c>
      <c r="U191" s="130" t="inlineStr">
        <is>
          <t>✓</t>
        </is>
      </c>
      <c r="V191" s="128" t="inlineStr">
        <is>
          <t>Conforms</t>
        </is>
      </c>
      <c r="W191" s="129">
        <f>IFERROR(INDEX('iCoA Register'!$B:$B,MATCH("P050122|I",'iCoA Register'!$AA:$AA,0)),"iCoA — at issue")&amp;", (01.09.2025) [PP]"</f>
        <v/>
      </c>
      <c r="X191" s="130" t="inlineStr">
        <is>
          <t>✓</t>
        </is>
      </c>
      <c r="Y191" s="128" t="inlineStr">
        <is>
          <t>6.38</t>
        </is>
      </c>
      <c r="Z191" s="129" t="inlineStr">
        <is>
          <t>ППК25176, (10.07.2025) [CNP]</t>
        </is>
      </c>
      <c r="AA191" s="130" t="inlineStr">
        <is>
          <t>✓</t>
        </is>
      </c>
      <c r="AB191" s="128" t="inlineStr">
        <is>
          <t>&lt; 10</t>
        </is>
      </c>
      <c r="AC191" s="136" t="inlineStr">
        <is>
          <t>&lt; 10</t>
        </is>
      </c>
      <c r="AD191" s="136" t="inlineStr">
        <is>
          <t>&lt; 10</t>
        </is>
      </c>
      <c r="AE191" s="136" t="inlineStr">
        <is>
          <t>Absent</t>
        </is>
      </c>
      <c r="AF191" s="136" t="inlineStr">
        <is>
          <t>Absent</t>
        </is>
      </c>
      <c r="AG191" s="130" t="inlineStr">
        <is>
          <t>✓</t>
        </is>
      </c>
      <c r="AH191" s="128" t="inlineStr">
        <is>
          <t>ND</t>
        </is>
      </c>
      <c r="AI191" s="136" t="inlineStr">
        <is>
          <t>&lt; 2</t>
        </is>
      </c>
      <c r="AJ191" s="136" t="inlineStr">
        <is>
          <t>ND</t>
        </is>
      </c>
      <c r="AK191" s="130" t="inlineStr">
        <is>
          <t>✓</t>
        </is>
      </c>
      <c r="AL191" s="128" t="inlineStr">
        <is>
          <t>ND</t>
        </is>
      </c>
      <c r="AM191" s="136" t="inlineStr">
        <is>
          <t>ND</t>
        </is>
      </c>
      <c r="AN191" s="136" t="inlineStr">
        <is>
          <t>0.112</t>
        </is>
      </c>
      <c r="AO191" s="136" t="inlineStr">
        <is>
          <t>ND</t>
        </is>
      </c>
      <c r="AP191" s="130" t="inlineStr">
        <is>
          <t>✓</t>
        </is>
      </c>
      <c r="AQ191" s="128" t="inlineStr">
        <is>
          <t>≤ LOQ (all 27 compounds)</t>
        </is>
      </c>
      <c r="AR191" s="129" t="inlineStr">
        <is>
          <t>3177-2025, (26.06.2025) [IJZ]</t>
        </is>
      </c>
      <c r="AS191" s="137" t="inlineStr">
        <is>
          <t>✓</t>
        </is>
      </c>
    </row>
    <row r="192" ht="13" customHeight="1" s="70">
      <c r="A192" s="138" t="n"/>
      <c r="D192" s="139" t="n"/>
      <c r="F192" s="140" t="n"/>
      <c r="G192" s="139" t="n"/>
      <c r="I192" s="140" t="n"/>
      <c r="J192" s="139" t="n"/>
      <c r="L192" s="140" t="n"/>
      <c r="M192" s="139" t="n"/>
      <c r="O192" s="140" t="n"/>
      <c r="P192" s="139" t="n"/>
      <c r="R192" s="140" t="n"/>
      <c r="S192" s="139" t="n"/>
      <c r="U192" s="140" t="n"/>
      <c r="V192" s="139" t="n"/>
      <c r="X192" s="140" t="n"/>
      <c r="Y192" s="139" t="n"/>
      <c r="AA192" s="140" t="n"/>
      <c r="AB192" s="141" t="inlineStr">
        <is>
          <t>626-1127-25, (02.07.2025) [IJZ-MB]</t>
        </is>
      </c>
      <c r="AG192" s="140" t="n"/>
      <c r="AH192" s="141" t="inlineStr">
        <is>
          <t>3177-2025, (26.06.2025) [IJZ]</t>
        </is>
      </c>
      <c r="AK192" s="140" t="n"/>
      <c r="AL192" s="141" t="inlineStr">
        <is>
          <t>3177-2025, (26.06.2025) [IJZ]</t>
        </is>
      </c>
      <c r="AP192" s="140" t="n"/>
      <c r="AQ192" s="139" t="n"/>
      <c r="AS192" s="142" t="n"/>
    </row>
    <row r="193" ht="17.625" customHeight="1" s="70">
      <c r="A193" s="143" t="n"/>
      <c r="B193" s="144" t="n"/>
      <c r="D193" s="145" t="n"/>
      <c r="E193" s="144" t="n"/>
      <c r="F193" s="146" t="n"/>
      <c r="G193" s="147" t="inlineStr">
        <is>
          <t>Conforms</t>
        </is>
      </c>
      <c r="H193" s="148">
        <f>IFERROR(INDEX('iCoA Register'!$B:$B,MATCH("P050122|I",'iCoA Register'!$AA:$AA,0)),"iCoA — at issue")&amp;", (01.09.2025) [PP]"</f>
        <v/>
      </c>
      <c r="I193" s="149" t="inlineStr">
        <is>
          <t>✓</t>
        </is>
      </c>
      <c r="J193" s="147" t="inlineStr">
        <is>
          <t>Conforms (ImB spec.)</t>
        </is>
      </c>
      <c r="K193" s="148" t="inlineStr">
        <is>
          <t>227-29-K-26, (11.09.2026) [FHM-K]</t>
        </is>
      </c>
      <c r="L193" s="149" t="inlineStr">
        <is>
          <t>✓</t>
        </is>
      </c>
      <c r="M193" s="150" t="inlineStr">
        <is>
          <t>26.10</t>
        </is>
      </c>
      <c r="N193" s="148" t="inlineStr">
        <is>
          <t>227-29-K-26, (11.09.2026) [FHM-K]</t>
        </is>
      </c>
      <c r="O193" s="149" t="inlineStr">
        <is>
          <t>✓</t>
        </is>
      </c>
      <c r="P193" s="151" t="inlineStr">
        <is>
          <t>&lt; LOQ</t>
        </is>
      </c>
      <c r="Q193" s="148" t="inlineStr">
        <is>
          <t>227-29-K-26, (11.09.2026) [FHM-K]</t>
        </is>
      </c>
      <c r="R193" s="149" t="inlineStr">
        <is>
          <t>✓</t>
        </is>
      </c>
      <c r="S193" s="151" t="inlineStr">
        <is>
          <t>0.20</t>
        </is>
      </c>
      <c r="T193" s="148" t="inlineStr">
        <is>
          <t>227-29-K-26, (11.09.2026) [FHM-K]</t>
        </is>
      </c>
      <c r="U193" s="149" t="inlineStr">
        <is>
          <t>✓</t>
        </is>
      </c>
      <c r="V193" s="145" t="n"/>
      <c r="W193" s="144" t="n"/>
      <c r="X193" s="146" t="n"/>
      <c r="Y193" s="145" t="n"/>
      <c r="Z193" s="144" t="n"/>
      <c r="AA193" s="146" t="n"/>
      <c r="AB193" s="155" t="inlineStr">
        <is>
          <t>10</t>
        </is>
      </c>
      <c r="AC193" s="156" t="inlineStr">
        <is>
          <t>20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561-1092-26,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OPM052501</t>
        </is>
      </c>
      <c r="B195" s="126" t="inlineStr">
        <is>
          <t>P050132</t>
        </is>
      </c>
      <c r="C195" s="171" t="inlineStr">
        <is>
          <t>✓ COMPLETE
2 testing instances
• 1 document(s) on file, not credited
✗ OUT OF SPECIFICATION: #9 TYMC</t>
        </is>
      </c>
      <c r="D195" s="128" t="inlineStr">
        <is>
          <t>Conforms</t>
        </is>
      </c>
      <c r="E195" s="129">
        <f>IFERROR(INDEX('iCoA Register'!$B:$B,MATCH("P050132|I",'iCoA Register'!$AA:$AA,0)),"iCoA — at issue")&amp;", (09.09.2025) [PP]"</f>
        <v/>
      </c>
      <c r="F195" s="130" t="inlineStr">
        <is>
          <t>✓</t>
        </is>
      </c>
      <c r="G195" s="131" t="inlineStr">
        <is>
          <t>not ingested</t>
        </is>
      </c>
      <c r="H195" s="132" t="inlineStr">
        <is>
          <t>ППК25257, (05.09.2025) [CNP] · on file, not credited</t>
        </is>
      </c>
      <c r="I195" s="133" t="inlineStr">
        <is>
          <t>•</t>
        </is>
      </c>
      <c r="J195" s="128" t="inlineStr">
        <is>
          <t>Conforms (ImB spec.) ᴿ</t>
        </is>
      </c>
      <c r="K195" s="129" t="inlineStr">
        <is>
          <t>ППК25257, (05.09.2025) [CNP]</t>
        </is>
      </c>
      <c r="L195" s="130" t="inlineStr">
        <is>
          <t>✓</t>
        </is>
      </c>
      <c r="M195" s="134" t="inlineStr">
        <is>
          <t>14.16 ᴿ</t>
        </is>
      </c>
      <c r="N195" s="129" t="inlineStr">
        <is>
          <t>ППК25257, (05.09.2025) [CNP]</t>
        </is>
      </c>
      <c r="O195" s="130" t="inlineStr">
        <is>
          <t>✓</t>
        </is>
      </c>
      <c r="P195" s="135" t="inlineStr">
        <is>
          <t>0.04 ᴿ</t>
        </is>
      </c>
      <c r="Q195" s="129" t="inlineStr">
        <is>
          <t>ППК25257, (05.09.2025) [CNP]</t>
        </is>
      </c>
      <c r="R195" s="130" t="inlineStr">
        <is>
          <t>✓</t>
        </is>
      </c>
      <c r="S195" s="215" t="inlineStr">
        <is>
          <t>not ingested</t>
        </is>
      </c>
      <c r="T195" s="216" t="inlineStr">
        <is>
          <t>ППК25257, (05.09.2025) [CNP]</t>
        </is>
      </c>
      <c r="U195" s="207" t="inlineStr">
        <is>
          <t>✗</t>
        </is>
      </c>
      <c r="V195" s="128" t="inlineStr">
        <is>
          <t>Conforms</t>
        </is>
      </c>
      <c r="W195" s="129">
        <f>IFERROR(INDEX('iCoA Register'!$B:$B,MATCH("P050132|I",'iCoA Register'!$AA:$AA,0)),"iCoA — at issue")&amp;", (09.09.2025) [PP]"</f>
        <v/>
      </c>
      <c r="X195" s="130" t="inlineStr">
        <is>
          <t>✓</t>
        </is>
      </c>
      <c r="Y195" s="128" t="inlineStr">
        <is>
          <t>8.28 ᴿ</t>
        </is>
      </c>
      <c r="Z195" s="129" t="inlineStr">
        <is>
          <t>ППК25257, (05.09.2025) [CNP]</t>
        </is>
      </c>
      <c r="AA195" s="130" t="inlineStr">
        <is>
          <t>✓</t>
        </is>
      </c>
      <c r="AB195" s="128" t="inlineStr">
        <is>
          <t>1.2 × 10⁴ ᴿ</t>
        </is>
      </c>
      <c r="AC195" s="225" t="inlineStr">
        <is>
          <t>3.3 × 10⁴ ᴿ</t>
        </is>
      </c>
      <c r="AD195" s="136" t="inlineStr">
        <is>
          <t>&lt; 10 ᴿ</t>
        </is>
      </c>
      <c r="AE195" s="136" t="inlineStr">
        <is>
          <t>Absent ᴿ</t>
        </is>
      </c>
      <c r="AF195" s="136" t="inlineStr">
        <is>
          <t>Absent ᴿ</t>
        </is>
      </c>
      <c r="AG195" s="130" t="inlineStr">
        <is>
          <t>✓</t>
        </is>
      </c>
      <c r="AH195" s="128" t="inlineStr">
        <is>
          <t>not reported</t>
        </is>
      </c>
      <c r="AI195" s="136" t="inlineStr">
        <is>
          <t>2.1 ᴿ</t>
        </is>
      </c>
      <c r="AJ195" s="136" t="inlineStr">
        <is>
          <t>not reported</t>
        </is>
      </c>
      <c r="AK195" s="130" t="inlineStr">
        <is>
          <t>✓</t>
        </is>
      </c>
      <c r="AL195" s="128" t="inlineStr">
        <is>
          <t>ND ᴿ</t>
        </is>
      </c>
      <c r="AM195" s="136" t="inlineStr">
        <is>
          <t>ND ᴿ</t>
        </is>
      </c>
      <c r="AN195" s="136" t="inlineStr">
        <is>
          <t>ND ᴿ</t>
        </is>
      </c>
      <c r="AO195" s="136" t="inlineStr">
        <is>
          <t>ND ᴿ</t>
        </is>
      </c>
      <c r="AP195" s="130" t="inlineStr">
        <is>
          <t>✓</t>
        </is>
      </c>
      <c r="AQ195" s="128" t="inlineStr">
        <is>
          <t>ND ᴿ</t>
        </is>
      </c>
      <c r="AR195" s="129" t="inlineStr">
        <is>
          <t>4157-2025, (29.08.2025)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904-1589-25, (02.09.2025) [IJZ-MB]</t>
        </is>
      </c>
      <c r="AG196" s="140" t="n"/>
      <c r="AH196" s="141" t="inlineStr">
        <is>
          <t>4157-2025, (29.08.2025) [IJZ]</t>
        </is>
      </c>
      <c r="AK196" s="140" t="n"/>
      <c r="AL196" s="141" t="inlineStr">
        <is>
          <t>4157-2025, (29.08.2025) [IJZ]</t>
        </is>
      </c>
      <c r="AP196" s="140" t="n"/>
      <c r="AQ196" s="139" t="n"/>
      <c r="AS196" s="142" t="n"/>
    </row>
    <row r="197" ht="17.625" customHeight="1" s="70">
      <c r="A197" s="143" t="n"/>
      <c r="B197" s="144" t="n"/>
      <c r="D197" s="145" t="n"/>
      <c r="E197" s="144" t="n"/>
      <c r="F197" s="146" t="n"/>
      <c r="G197" s="147" t="inlineStr">
        <is>
          <t>Conforms</t>
        </is>
      </c>
      <c r="H197" s="148">
        <f>IFERROR(INDEX('iCoA Register'!$B:$B,MATCH("P050132|I",'iCoA Register'!$AA:$AA,0)),"iCoA — at issue")&amp;", (09.09.2025) [PP]"</f>
        <v/>
      </c>
      <c r="I197" s="149" t="inlineStr">
        <is>
          <t>✓</t>
        </is>
      </c>
      <c r="J197" s="147" t="inlineStr">
        <is>
          <t>Conforms (ImB spec.)</t>
        </is>
      </c>
      <c r="K197" s="148" t="inlineStr">
        <is>
          <t>227-11-K-26, (11.09.2026) [FHM-K]</t>
        </is>
      </c>
      <c r="L197" s="149" t="inlineStr">
        <is>
          <t>✓</t>
        </is>
      </c>
      <c r="M197" s="150" t="inlineStr">
        <is>
          <t>17.83</t>
        </is>
      </c>
      <c r="N197" s="148" t="inlineStr">
        <is>
          <t>227-11-K-26, (11.09.2026) [FHM-K]</t>
        </is>
      </c>
      <c r="O197" s="149" t="inlineStr">
        <is>
          <t>✓</t>
        </is>
      </c>
      <c r="P197" s="151" t="inlineStr">
        <is>
          <t>&lt; LOQ</t>
        </is>
      </c>
      <c r="Q197" s="148" t="inlineStr">
        <is>
          <t>227-11-K-26, (11.09.2026) [FHM-K]</t>
        </is>
      </c>
      <c r="R197" s="149" t="inlineStr">
        <is>
          <t>✓</t>
        </is>
      </c>
      <c r="S197" s="151" t="inlineStr">
        <is>
          <t>&lt; LOQ</t>
        </is>
      </c>
      <c r="T197" s="148" t="inlineStr">
        <is>
          <t>227-11-K-26, (11.09.2026) [FHM-K]</t>
        </is>
      </c>
      <c r="U197" s="149" t="inlineStr">
        <is>
          <t>✓</t>
        </is>
      </c>
      <c r="V197" s="145" t="n"/>
      <c r="W197" s="144" t="n"/>
      <c r="X197" s="146" t="n"/>
      <c r="Y197" s="145" t="n"/>
      <c r="Z197" s="144" t="n"/>
      <c r="AA197" s="146" t="n"/>
      <c r="AB197" s="155" t="inlineStr">
        <is>
          <t>&lt; 10</t>
        </is>
      </c>
      <c r="AC197" s="156" t="inlineStr">
        <is>
          <t>&lt; 10</t>
        </is>
      </c>
      <c r="AD197" s="156" t="inlineStr">
        <is>
          <t>&lt; 10</t>
        </is>
      </c>
      <c r="AE197" s="156" t="inlineStr">
        <is>
          <t>Absent</t>
        </is>
      </c>
      <c r="AF197" s="156" t="inlineStr">
        <is>
          <t>Absent</t>
        </is>
      </c>
      <c r="AG197" s="149" t="inlineStr">
        <is>
          <t>✓</t>
        </is>
      </c>
      <c r="AH197" s="145" t="n"/>
      <c r="AI197" s="144" t="n"/>
      <c r="AJ197" s="144" t="n"/>
      <c r="AK197" s="146" t="n"/>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2" t="inlineStr">
        <is>
          <t>560-1091-26, (01.09.2026) [IJZ-MB]</t>
        </is>
      </c>
      <c r="AC198" s="159" t="n"/>
      <c r="AD198" s="159" t="n"/>
      <c r="AE198" s="159" t="n"/>
      <c r="AF198" s="159" t="n"/>
      <c r="AG198" s="161" t="n"/>
      <c r="AH198" s="160" t="n"/>
      <c r="AI198" s="159" t="n"/>
      <c r="AJ198" s="159" t="n"/>
      <c r="AK198" s="161" t="n"/>
      <c r="AL198" s="160" t="n"/>
      <c r="AM198" s="159" t="n"/>
      <c r="AN198" s="159" t="n"/>
      <c r="AO198" s="159" t="n"/>
      <c r="AP198" s="161" t="n"/>
      <c r="AQ198" s="160" t="n"/>
      <c r="AR198" s="159" t="n"/>
      <c r="AS198" s="163" t="n"/>
    </row>
    <row r="199" ht="21" customHeight="1" s="70">
      <c r="A199" s="125" t="inlineStr">
        <is>
          <t>GP052501</t>
        </is>
      </c>
      <c r="B199" s="126" t="inlineStr">
        <is>
          <t>P050152</t>
        </is>
      </c>
      <c r="C199" s="171" t="inlineStr">
        <is>
          <t>✓ COMPLETE
2 testing instances
• 2 document(s) on file, not credited
✗ OUT OF SPECIFICATION: #9 TYMC</t>
        </is>
      </c>
      <c r="D199" s="128" t="inlineStr">
        <is>
          <t>Conforms</t>
        </is>
      </c>
      <c r="E199" s="129">
        <f>IFERROR(INDEX('iCoA Register'!$B:$B,MATCH("P050152|I",'iCoA Register'!$AA:$AA,0)),"iCoA — at issue")&amp;", (25.09.2025) [PP]"</f>
        <v/>
      </c>
      <c r="F199" s="130" t="inlineStr">
        <is>
          <t>✓</t>
        </is>
      </c>
      <c r="G199" s="131" t="inlineStr">
        <is>
          <t>not on this certificate</t>
        </is>
      </c>
      <c r="H199" s="132" t="inlineStr">
        <is>
          <t>ППК25279, (19.09.2025) [CNP] · on file, not credited</t>
        </is>
      </c>
      <c r="I199" s="133" t="inlineStr">
        <is>
          <t>•</t>
        </is>
      </c>
      <c r="J199" s="128" t="inlineStr">
        <is>
          <t>Conforms (ImB spec.)</t>
        </is>
      </c>
      <c r="K199" s="129" t="inlineStr">
        <is>
          <t>ППК25279, (19.09.2025) [CNP]</t>
        </is>
      </c>
      <c r="L199" s="130" t="inlineStr">
        <is>
          <t>✓</t>
        </is>
      </c>
      <c r="M199" s="134" t="inlineStr">
        <is>
          <t>18.98</t>
        </is>
      </c>
      <c r="N199" s="129" t="inlineStr">
        <is>
          <t>ППК25279, (19.09.2025) [CNP]</t>
        </is>
      </c>
      <c r="O199" s="130" t="inlineStr">
        <is>
          <t>✓</t>
        </is>
      </c>
      <c r="P199" s="135" t="inlineStr">
        <is>
          <t>0.08</t>
        </is>
      </c>
      <c r="Q199" s="129" t="inlineStr">
        <is>
          <t>ППК25279, (19.09.2025) [CNP]</t>
        </is>
      </c>
      <c r="R199" s="130" t="inlineStr">
        <is>
          <t>✓</t>
        </is>
      </c>
      <c r="S199" s="135" t="inlineStr">
        <is>
          <t>0.03 ᴰ</t>
        </is>
      </c>
      <c r="T199" s="129" t="inlineStr">
        <is>
          <t>ППК25279, (19.09.2025) [CNP]</t>
        </is>
      </c>
      <c r="U199" s="130" t="inlineStr">
        <is>
          <t>✓</t>
        </is>
      </c>
      <c r="V199" s="128" t="inlineStr">
        <is>
          <t>Conforms</t>
        </is>
      </c>
      <c r="W199" s="129">
        <f>IFERROR(INDEX('iCoA Register'!$B:$B,MATCH("P050152|I",'iCoA Register'!$AA:$AA,0)),"iCoA — at issue")&amp;", (25.09.2025) [PP]"</f>
        <v/>
      </c>
      <c r="X199" s="130" t="inlineStr">
        <is>
          <t>✓</t>
        </is>
      </c>
      <c r="Y199" s="128" t="inlineStr">
        <is>
          <t>7.30</t>
        </is>
      </c>
      <c r="Z199" s="129" t="inlineStr">
        <is>
          <t>ППК25279, (19.09.2025) [CNP]</t>
        </is>
      </c>
      <c r="AA199" s="130" t="inlineStr">
        <is>
          <t>✓</t>
        </is>
      </c>
      <c r="AB199" s="128" t="inlineStr">
        <is>
          <t>2.1 × 10⁴ ᴿ</t>
        </is>
      </c>
      <c r="AC199" s="225" t="inlineStr">
        <is>
          <t>3.6 × 10⁴</t>
        </is>
      </c>
      <c r="AD199" s="136" t="inlineStr">
        <is>
          <t>&lt; 10² and &gt; 10¹</t>
        </is>
      </c>
      <c r="AE199" s="136" t="inlineStr">
        <is>
          <t>Absent</t>
        </is>
      </c>
      <c r="AF199" s="136" t="inlineStr">
        <is>
          <t>Absent</t>
        </is>
      </c>
      <c r="AG199" s="130" t="inlineStr">
        <is>
          <t>✓</t>
        </is>
      </c>
      <c r="AH199" s="128" t="inlineStr">
        <is>
          <t>ND</t>
        </is>
      </c>
      <c r="AI199" s="136" t="inlineStr">
        <is>
          <t>&lt; 2</t>
        </is>
      </c>
      <c r="AJ199" s="136" t="inlineStr">
        <is>
          <t>ND</t>
        </is>
      </c>
      <c r="AK199" s="130" t="inlineStr">
        <is>
          <t>✓</t>
        </is>
      </c>
      <c r="AL199" s="128" t="inlineStr">
        <is>
          <t>0.06</t>
        </is>
      </c>
      <c r="AM199" s="136" t="inlineStr">
        <is>
          <t>ND</t>
        </is>
      </c>
      <c r="AN199" s="136" t="inlineStr">
        <is>
          <t>ND</t>
        </is>
      </c>
      <c r="AO199" s="136" t="inlineStr">
        <is>
          <t>ND</t>
        </is>
      </c>
      <c r="AP199" s="130" t="inlineStr">
        <is>
          <t>✓</t>
        </is>
      </c>
      <c r="AQ199" s="128" t="inlineStr">
        <is>
          <t>≤ LOQ (all 29 compounds)</t>
        </is>
      </c>
      <c r="AR199" s="129" t="inlineStr">
        <is>
          <t>4348-2025, (15.09.2025)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946-1684-25, (17.09.2025) [IJZ-MB]</t>
        </is>
      </c>
      <c r="AG200" s="140" t="n"/>
      <c r="AH200" s="141" t="inlineStr">
        <is>
          <t>4348-2025, (15.09.2025) [IJZ]</t>
        </is>
      </c>
      <c r="AK200" s="140" t="n"/>
      <c r="AL200" s="141" t="inlineStr">
        <is>
          <t>4348-2025, (15.09.2025) [IJZ]</t>
        </is>
      </c>
      <c r="AP200" s="140" t="n"/>
      <c r="AQ200" s="139" t="n"/>
      <c r="AS200" s="142" t="n"/>
    </row>
    <row r="201" ht="17.625" customHeight="1" s="70">
      <c r="A201" s="143" t="n"/>
      <c r="B201" s="144" t="n"/>
      <c r="D201" s="145" t="n"/>
      <c r="E201" s="144" t="n"/>
      <c r="F201" s="146" t="n"/>
      <c r="G201" s="147" t="inlineStr">
        <is>
          <t>Conforms</t>
        </is>
      </c>
      <c r="H201" s="148">
        <f>IFERROR(INDEX('iCoA Register'!$B:$B,MATCH("P050152|I",'iCoA Register'!$AA:$AA,0)),"iCoA — at issue")&amp;", (25.09.2025) [PP]"</f>
        <v/>
      </c>
      <c r="I201" s="149" t="inlineStr">
        <is>
          <t>✓</t>
        </is>
      </c>
      <c r="J201" s="147" t="inlineStr">
        <is>
          <t>Conforms (ImB spec.) ᴿ</t>
        </is>
      </c>
      <c r="K201" s="148" t="inlineStr">
        <is>
          <t>197-10-K-26, (07.08.2026) [FHM-K]</t>
        </is>
      </c>
      <c r="L201" s="149" t="inlineStr">
        <is>
          <t>✓</t>
        </is>
      </c>
      <c r="M201" s="150" t="inlineStr">
        <is>
          <t>18.52</t>
        </is>
      </c>
      <c r="N201" s="148" t="inlineStr">
        <is>
          <t>197-10-K-26, (07.08.2026) [FHM-K]</t>
        </is>
      </c>
      <c r="O201" s="149" t="inlineStr">
        <is>
          <t>✓</t>
        </is>
      </c>
      <c r="P201" s="151" t="inlineStr">
        <is>
          <t>&lt; LOQ</t>
        </is>
      </c>
      <c r="Q201" s="148" t="inlineStr">
        <is>
          <t>197-10-K-26, (07.08.2026) [FHM-K]</t>
        </is>
      </c>
      <c r="R201" s="149" t="inlineStr">
        <is>
          <t>✓</t>
        </is>
      </c>
      <c r="S201" s="151" t="inlineStr">
        <is>
          <t>&lt; LOQ</t>
        </is>
      </c>
      <c r="T201" s="148" t="inlineStr">
        <is>
          <t>197-10-K-26, (07.08.2026) [FHM-K]</t>
        </is>
      </c>
      <c r="U201" s="149" t="inlineStr">
        <is>
          <t>✓</t>
        </is>
      </c>
      <c r="V201" s="145" t="n"/>
      <c r="W201" s="144" t="n"/>
      <c r="X201" s="146" t="n"/>
      <c r="Y201" s="152" t="inlineStr">
        <is>
          <t>not on this certificate</t>
        </is>
      </c>
      <c r="Z201" s="153" t="inlineStr">
        <is>
          <t>197-10-K-26, (07.08.2026) [FHM-K] · on file, not credited</t>
        </is>
      </c>
      <c r="AA201" s="154" t="inlineStr">
        <is>
          <t>•</t>
        </is>
      </c>
      <c r="AB201" s="145" t="n"/>
      <c r="AC201" s="144" t="n"/>
      <c r="AD201" s="144" t="n"/>
      <c r="AE201" s="144" t="n"/>
      <c r="AF201" s="144" t="n"/>
      <c r="AG201" s="146" t="n"/>
      <c r="AH201" s="155" t="inlineStr">
        <is>
          <t>ND</t>
        </is>
      </c>
      <c r="AI201" s="156" t="inlineStr">
        <is>
          <t>ND</t>
        </is>
      </c>
      <c r="AJ201" s="156" t="inlineStr">
        <is>
          <t>ND</t>
        </is>
      </c>
      <c r="AK201" s="149" t="inlineStr">
        <is>
          <t>✓</t>
        </is>
      </c>
      <c r="AL201" s="145" t="n"/>
      <c r="AM201" s="144" t="n"/>
      <c r="AN201" s="144" t="n"/>
      <c r="AO201" s="144" t="n"/>
      <c r="AP201" s="146" t="n"/>
      <c r="AQ201" s="145" t="n"/>
      <c r="AR201" s="144" t="n"/>
      <c r="AS201" s="157" t="n"/>
    </row>
    <row r="202" ht="15.375"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0" t="n"/>
      <c r="AC202" s="159" t="n"/>
      <c r="AD202" s="159" t="n"/>
      <c r="AE202" s="159" t="n"/>
      <c r="AF202" s="159" t="n"/>
      <c r="AG202" s="161" t="n"/>
      <c r="AH202" s="162" t="inlineStr">
        <is>
          <t>197-10-M-26, (10.08.2026) [FHM-M]</t>
        </is>
      </c>
      <c r="AI202" s="159" t="n"/>
      <c r="AJ202" s="159" t="n"/>
      <c r="AK202" s="161" t="n"/>
      <c r="AL202" s="160" t="n"/>
      <c r="AM202" s="159" t="n"/>
      <c r="AN202" s="159" t="n"/>
      <c r="AO202" s="159" t="n"/>
      <c r="AP202" s="161" t="n"/>
      <c r="AQ202" s="160" t="n"/>
      <c r="AR202" s="159" t="n"/>
      <c r="AS202" s="163" t="n"/>
    </row>
    <row r="203" ht="21" customHeight="1" s="70">
      <c r="A203" s="125" t="inlineStr">
        <is>
          <t>CJ052501/01</t>
        </is>
      </c>
      <c r="B203" s="126" t="inlineStr">
        <is>
          <t>P050162</t>
        </is>
      </c>
      <c r="C203" s="164" t="inlineStr">
        <is>
          <t>✓ COMPLETE
2 testing instances
• 2 document(s) on file, not credited
◐ UNDETERMINED (Ph. Eur. band): #9 TYMC</t>
        </is>
      </c>
      <c r="D203" s="128" t="inlineStr">
        <is>
          <t>Conforms</t>
        </is>
      </c>
      <c r="E203" s="129">
        <f>IFERROR(INDEX('iCoA Register'!$B:$B,MATCH("P050162|I",'iCoA Register'!$AA:$AA,0)),"iCoA — at issue")&amp;", (30.09.2025) [PP]"</f>
        <v/>
      </c>
      <c r="F203" s="130" t="inlineStr">
        <is>
          <t>✓</t>
        </is>
      </c>
      <c r="G203" s="131" t="inlineStr">
        <is>
          <t>not on this certificate</t>
        </is>
      </c>
      <c r="H203" s="132" t="inlineStr">
        <is>
          <t>ППК25280, (17.09.2025) [CNP] · on file, not credited</t>
        </is>
      </c>
      <c r="I203" s="133" t="inlineStr">
        <is>
          <t>•</t>
        </is>
      </c>
      <c r="J203" s="128" t="inlineStr">
        <is>
          <t>Conforms (ImB spec.)</t>
        </is>
      </c>
      <c r="K203" s="129" t="inlineStr">
        <is>
          <t>ППК25280, (17.09.2025) [CNP]</t>
        </is>
      </c>
      <c r="L203" s="130" t="inlineStr">
        <is>
          <t>✓</t>
        </is>
      </c>
      <c r="M203" s="134" t="inlineStr">
        <is>
          <t>20.29</t>
        </is>
      </c>
      <c r="N203" s="129" t="inlineStr">
        <is>
          <t>ППК25280, (17.09.2025) [CNP]</t>
        </is>
      </c>
      <c r="O203" s="130" t="inlineStr">
        <is>
          <t>✓</t>
        </is>
      </c>
      <c r="P203" s="135" t="inlineStr">
        <is>
          <t>0.07</t>
        </is>
      </c>
      <c r="Q203" s="129" t="inlineStr">
        <is>
          <t>ППК25280, (17.09.2025) [CNP]</t>
        </is>
      </c>
      <c r="R203" s="130" t="inlineStr">
        <is>
          <t>✓</t>
        </is>
      </c>
      <c r="S203" s="135" t="inlineStr">
        <is>
          <t>0.02 ᴰ</t>
        </is>
      </c>
      <c r="T203" s="129" t="inlineStr">
        <is>
          <t>ППК25280, (17.09.2025) [CNP]</t>
        </is>
      </c>
      <c r="U203" s="130" t="inlineStr">
        <is>
          <t>✓</t>
        </is>
      </c>
      <c r="V203" s="128" t="inlineStr">
        <is>
          <t>Conforms</t>
        </is>
      </c>
      <c r="W203" s="129">
        <f>IFERROR(INDEX('iCoA Register'!$B:$B,MATCH("P050162|I",'iCoA Register'!$AA:$AA,0)),"iCoA — at issue")&amp;", (30.09.2025) [PP]"</f>
        <v/>
      </c>
      <c r="X203" s="130" t="inlineStr">
        <is>
          <t>✓</t>
        </is>
      </c>
      <c r="Y203" s="128" t="inlineStr">
        <is>
          <t>7.93</t>
        </is>
      </c>
      <c r="Z203" s="129" t="inlineStr">
        <is>
          <t>ППК25280, (17.09.2025) [CNP]</t>
        </is>
      </c>
      <c r="AA203" s="130" t="inlineStr">
        <is>
          <t>✓</t>
        </is>
      </c>
      <c r="AB203" s="128" t="inlineStr">
        <is>
          <t>2.8 × 10⁴</t>
        </is>
      </c>
      <c r="AC203" s="217" t="inlineStr">
        <is>
          <t>1.7 × 10⁴</t>
        </is>
      </c>
      <c r="AD203" s="136" t="inlineStr">
        <is>
          <t>&lt; 10³ and &gt; 10² ᴿ</t>
        </is>
      </c>
      <c r="AE203" s="136" t="inlineStr">
        <is>
          <t>Absent</t>
        </is>
      </c>
      <c r="AF203" s="136" t="inlineStr">
        <is>
          <t>Absent</t>
        </is>
      </c>
      <c r="AG203" s="130" t="inlineStr">
        <is>
          <t>✓</t>
        </is>
      </c>
      <c r="AH203" s="128" t="inlineStr">
        <is>
          <t>ND</t>
        </is>
      </c>
      <c r="AI203" s="136" t="inlineStr">
        <is>
          <t>&lt; 2</t>
        </is>
      </c>
      <c r="AJ203" s="136" t="inlineStr">
        <is>
          <t>ND</t>
        </is>
      </c>
      <c r="AK203" s="130" t="inlineStr">
        <is>
          <t>✓</t>
        </is>
      </c>
      <c r="AL203" s="128" t="inlineStr">
        <is>
          <t>0.085</t>
        </is>
      </c>
      <c r="AM203" s="136" t="inlineStr">
        <is>
          <t>ND</t>
        </is>
      </c>
      <c r="AN203" s="136" t="inlineStr">
        <is>
          <t>ND</t>
        </is>
      </c>
      <c r="AO203" s="136" t="inlineStr">
        <is>
          <t>ND</t>
        </is>
      </c>
      <c r="AP203" s="130" t="inlineStr">
        <is>
          <t>✓</t>
        </is>
      </c>
      <c r="AQ203" s="128" t="inlineStr">
        <is>
          <t>≤ LOQ (all 24 compounds)</t>
        </is>
      </c>
      <c r="AR203" s="129" t="inlineStr">
        <is>
          <t>4350-2025, (15.09.2025)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949-1687-25, (17.09.2025) [IJZ-MB]</t>
        </is>
      </c>
      <c r="AG204" s="140" t="n"/>
      <c r="AH204" s="141" t="inlineStr">
        <is>
          <t>4350-2025, (15.09.2025) [IJZ]</t>
        </is>
      </c>
      <c r="AK204" s="140" t="n"/>
      <c r="AL204" s="141" t="inlineStr">
        <is>
          <t>4350-2025, (15.09.2025) [IJZ]</t>
        </is>
      </c>
      <c r="AP204" s="140" t="n"/>
      <c r="AQ204" s="139" t="n"/>
      <c r="AS204" s="142" t="n"/>
    </row>
    <row r="205" ht="17.625" customHeight="1" s="70">
      <c r="A205" s="143" t="n"/>
      <c r="B205" s="144" t="n"/>
      <c r="D205" s="145" t="n"/>
      <c r="E205" s="144" t="n"/>
      <c r="F205" s="146" t="n"/>
      <c r="G205" s="147" t="inlineStr">
        <is>
          <t>Conforms</t>
        </is>
      </c>
      <c r="H205" s="148">
        <f>IFERROR(INDEX('iCoA Register'!$B:$B,MATCH("P050162|I",'iCoA Register'!$AA:$AA,0)),"iCoA — at issue")&amp;", (30.09.2025) [PP]"</f>
        <v/>
      </c>
      <c r="I205" s="149" t="inlineStr">
        <is>
          <t>✓</t>
        </is>
      </c>
      <c r="J205" s="147" t="inlineStr">
        <is>
          <t>Conforms (ImB spec.) ᴿ</t>
        </is>
      </c>
      <c r="K205" s="148" t="inlineStr">
        <is>
          <t>197-3-K-26, (07.08.2026) [FHM-K]</t>
        </is>
      </c>
      <c r="L205" s="149" t="inlineStr">
        <is>
          <t>✓</t>
        </is>
      </c>
      <c r="M205" s="150" t="inlineStr">
        <is>
          <t>24.05</t>
        </is>
      </c>
      <c r="N205" s="148" t="inlineStr">
        <is>
          <t>197-3-K-26, (07.08.2026) [FHM-K]</t>
        </is>
      </c>
      <c r="O205" s="149" t="inlineStr">
        <is>
          <t>✓</t>
        </is>
      </c>
      <c r="P205" s="151" t="inlineStr">
        <is>
          <t>&lt; LOQ</t>
        </is>
      </c>
      <c r="Q205" s="148" t="inlineStr">
        <is>
          <t>197-3-K-26, (07.08.2026) [FHM-K]</t>
        </is>
      </c>
      <c r="R205" s="149" t="inlineStr">
        <is>
          <t>✓</t>
        </is>
      </c>
      <c r="S205" s="151" t="inlineStr">
        <is>
          <t>&lt; LOQ</t>
        </is>
      </c>
      <c r="T205" s="148" t="inlineStr">
        <is>
          <t>197-3-K-26, (07.08.2026) [FHM-K]</t>
        </is>
      </c>
      <c r="U205" s="149" t="inlineStr">
        <is>
          <t>✓</t>
        </is>
      </c>
      <c r="V205" s="145" t="n"/>
      <c r="W205" s="144" t="n"/>
      <c r="X205" s="146" t="n"/>
      <c r="Y205" s="152" t="inlineStr">
        <is>
          <t>not on this certificate</t>
        </is>
      </c>
      <c r="Z205" s="153" t="inlineStr">
        <is>
          <t>197-3-K-26, (07.08.2026) [FHM-K] · on file, not credited</t>
        </is>
      </c>
      <c r="AA205" s="154" t="inlineStr">
        <is>
          <t>•</t>
        </is>
      </c>
      <c r="AB205" s="145" t="n"/>
      <c r="AC205" s="144" t="n"/>
      <c r="AD205" s="144" t="n"/>
      <c r="AE205" s="144" t="n"/>
      <c r="AF205" s="144" t="n"/>
      <c r="AG205" s="146" t="n"/>
      <c r="AH205" s="155" t="inlineStr">
        <is>
          <t>ND</t>
        </is>
      </c>
      <c r="AI205" s="156" t="inlineStr">
        <is>
          <t>ND</t>
        </is>
      </c>
      <c r="AJ205" s="156" t="inlineStr">
        <is>
          <t>ND</t>
        </is>
      </c>
      <c r="AK205" s="149" t="inlineStr">
        <is>
          <t>✓</t>
        </is>
      </c>
      <c r="AL205" s="145" t="n"/>
      <c r="AM205" s="144" t="n"/>
      <c r="AN205" s="144" t="n"/>
      <c r="AO205" s="144" t="n"/>
      <c r="AP205" s="146" t="n"/>
      <c r="AQ205" s="145" t="n"/>
      <c r="AR205" s="144" t="n"/>
      <c r="AS205" s="157" t="n"/>
    </row>
    <row r="206" ht="15.375"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0" t="n"/>
      <c r="AC206" s="159" t="n"/>
      <c r="AD206" s="159" t="n"/>
      <c r="AE206" s="159" t="n"/>
      <c r="AF206" s="159" t="n"/>
      <c r="AG206" s="161" t="n"/>
      <c r="AH206" s="162" t="inlineStr">
        <is>
          <t>197-3-M-26, (10.08.2026) [FHM-M]</t>
        </is>
      </c>
      <c r="AI206" s="159" t="n"/>
      <c r="AJ206" s="159" t="n"/>
      <c r="AK206" s="161" t="n"/>
      <c r="AL206" s="160" t="n"/>
      <c r="AM206" s="159" t="n"/>
      <c r="AN206" s="159" t="n"/>
      <c r="AO206" s="159" t="n"/>
      <c r="AP206" s="161" t="n"/>
      <c r="AQ206" s="160" t="n"/>
      <c r="AR206" s="159" t="n"/>
      <c r="AS206" s="163" t="n"/>
    </row>
    <row r="207" ht="17.625" customHeight="1" s="70">
      <c r="A207" s="125" t="inlineStr">
        <is>
          <t>CJ052501/02</t>
        </is>
      </c>
      <c r="B207" s="126" t="inlineStr">
        <is>
          <t>P050172</t>
        </is>
      </c>
      <c r="C207" s="127" t="inlineStr">
        <is>
          <t>✓ COMPLETE
2 testing instances
• 1 document(s) on file, not credited</t>
        </is>
      </c>
      <c r="D207" s="128" t="inlineStr">
        <is>
          <t>Conforms</t>
        </is>
      </c>
      <c r="E207" s="129">
        <f>IFERROR(INDEX('iCoA Register'!$B:$B,MATCH("P050172|I",'iCoA Register'!$AA:$AA,0)),"iCoA — at issue")&amp;", (01.10.2025) [PP]"</f>
        <v/>
      </c>
      <c r="F207" s="130" t="inlineStr">
        <is>
          <t>✓</t>
        </is>
      </c>
      <c r="G207" s="131" t="inlineStr">
        <is>
          <t>not on this certificate</t>
        </is>
      </c>
      <c r="H207" s="132" t="inlineStr">
        <is>
          <t>ППК25281, (17.09.2025) [CNP] · on file, not credited</t>
        </is>
      </c>
      <c r="I207" s="133" t="inlineStr">
        <is>
          <t>•</t>
        </is>
      </c>
      <c r="J207" s="128" t="inlineStr">
        <is>
          <t>Conforms (ImB spec.)</t>
        </is>
      </c>
      <c r="K207" s="129" t="inlineStr">
        <is>
          <t>ППК25281, (17.09.2025) [CNP]</t>
        </is>
      </c>
      <c r="L207" s="130" t="inlineStr">
        <is>
          <t>✓</t>
        </is>
      </c>
      <c r="M207" s="134" t="inlineStr">
        <is>
          <t>14.93</t>
        </is>
      </c>
      <c r="N207" s="129" t="inlineStr">
        <is>
          <t>ППК25281, (17.09.2025) [CNP]</t>
        </is>
      </c>
      <c r="O207" s="130" t="inlineStr">
        <is>
          <t>✓</t>
        </is>
      </c>
      <c r="P207" s="135" t="inlineStr">
        <is>
          <t>0.10</t>
        </is>
      </c>
      <c r="Q207" s="129" t="inlineStr">
        <is>
          <t>ППК25281, (17.09.2025) [CNP]</t>
        </is>
      </c>
      <c r="R207" s="130" t="inlineStr">
        <is>
          <t>✓</t>
        </is>
      </c>
      <c r="S207" s="135" t="inlineStr">
        <is>
          <t>0.02 ᴰ</t>
        </is>
      </c>
      <c r="T207" s="129" t="inlineStr">
        <is>
          <t>ППК25281, (17.09.2025) [CNP]</t>
        </is>
      </c>
      <c r="U207" s="130" t="inlineStr">
        <is>
          <t>✓</t>
        </is>
      </c>
      <c r="V207" s="128" t="inlineStr">
        <is>
          <t>Conforms</t>
        </is>
      </c>
      <c r="W207" s="129">
        <f>IFERROR(INDEX('iCoA Register'!$B:$B,MATCH("P050172|I",'iCoA Register'!$AA:$AA,0)),"iCoA — at issue")&amp;", (01.10.2025) [PP]"</f>
        <v/>
      </c>
      <c r="X207" s="130" t="inlineStr">
        <is>
          <t>✓</t>
        </is>
      </c>
      <c r="Y207" s="128" t="inlineStr">
        <is>
          <t>6.63</t>
        </is>
      </c>
      <c r="Z207" s="129" t="inlineStr">
        <is>
          <t>ППК25281, (17.09.2025) [CNP]</t>
        </is>
      </c>
      <c r="AA207" s="130" t="inlineStr">
        <is>
          <t>✓</t>
        </is>
      </c>
      <c r="AB207" s="128" t="inlineStr">
        <is>
          <t>9 × 10³</t>
        </is>
      </c>
      <c r="AC207" s="136" t="inlineStr">
        <is>
          <t>6.3 × 10³</t>
        </is>
      </c>
      <c r="AD207" s="136" t="inlineStr">
        <is>
          <t>&lt; 10</t>
        </is>
      </c>
      <c r="AE207" s="136" t="inlineStr">
        <is>
          <t>Absent</t>
        </is>
      </c>
      <c r="AF207" s="136" t="inlineStr">
        <is>
          <t>Absent</t>
        </is>
      </c>
      <c r="AG207" s="130" t="inlineStr">
        <is>
          <t>✓</t>
        </is>
      </c>
      <c r="AH207" s="128" t="inlineStr">
        <is>
          <t>ND</t>
        </is>
      </c>
      <c r="AI207" s="136" t="inlineStr">
        <is>
          <t>&lt; 2</t>
        </is>
      </c>
      <c r="AJ207" s="136" t="inlineStr">
        <is>
          <t>ND</t>
        </is>
      </c>
      <c r="AK207" s="130" t="inlineStr">
        <is>
          <t>✓</t>
        </is>
      </c>
      <c r="AL207" s="128" t="inlineStr">
        <is>
          <t>0.02</t>
        </is>
      </c>
      <c r="AM207" s="136" t="inlineStr">
        <is>
          <t>ND</t>
        </is>
      </c>
      <c r="AN207" s="136" t="inlineStr">
        <is>
          <t>0.042</t>
        </is>
      </c>
      <c r="AO207" s="136" t="inlineStr">
        <is>
          <t>ND</t>
        </is>
      </c>
      <c r="AP207" s="130" t="inlineStr">
        <is>
          <t>✓</t>
        </is>
      </c>
      <c r="AQ207" s="128" t="inlineStr">
        <is>
          <t>≤ LOQ (all 29 compounds)</t>
        </is>
      </c>
      <c r="AR207" s="129" t="inlineStr">
        <is>
          <t>4349-2025,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947-1685-25, (17.09.2025) [IJZ-MB]</t>
        </is>
      </c>
      <c r="AG208" s="140" t="n"/>
      <c r="AH208" s="141" t="inlineStr">
        <is>
          <t>4349-2025, (15.09.2025) [IJZ]</t>
        </is>
      </c>
      <c r="AK208" s="140" t="n"/>
      <c r="AL208" s="141" t="inlineStr">
        <is>
          <t>4349-2025,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Register'!$B:$B,MATCH("P050172|I",'iCoA Register'!$AA:$AA,0)),"iCoA — at issue")&amp;", (01.10.2025) [PP]"</f>
        <v/>
      </c>
      <c r="I209" s="149" t="inlineStr">
        <is>
          <t>✓</t>
        </is>
      </c>
      <c r="J209" s="147" t="inlineStr">
        <is>
          <t>Conforms (ImB spec.)</t>
        </is>
      </c>
      <c r="K209" s="148" t="inlineStr">
        <is>
          <t>227-28-K-26, (11.09.2026) [FHM-K]</t>
        </is>
      </c>
      <c r="L209" s="149" t="inlineStr">
        <is>
          <t>✓</t>
        </is>
      </c>
      <c r="M209" s="150" t="inlineStr">
        <is>
          <t>21.30</t>
        </is>
      </c>
      <c r="N209" s="148" t="inlineStr">
        <is>
          <t>227-28-K-26, (11.09.2026) [FHM-K]</t>
        </is>
      </c>
      <c r="O209" s="149" t="inlineStr">
        <is>
          <t>✓</t>
        </is>
      </c>
      <c r="P209" s="151" t="inlineStr">
        <is>
          <t>&lt; LOQ</t>
        </is>
      </c>
      <c r="Q209" s="148" t="inlineStr">
        <is>
          <t>227-28-K-26, (11.09.2026) [FHM-K]</t>
        </is>
      </c>
      <c r="R209" s="149" t="inlineStr">
        <is>
          <t>✓</t>
        </is>
      </c>
      <c r="S209" s="151" t="inlineStr">
        <is>
          <t>&lt; LOQ</t>
        </is>
      </c>
      <c r="T209" s="148" t="inlineStr">
        <is>
          <t>227-28-K-26, (11.09.2026) [FHM-K]</t>
        </is>
      </c>
      <c r="U209" s="149" t="inlineStr">
        <is>
          <t>✓</t>
        </is>
      </c>
      <c r="V209" s="145" t="n"/>
      <c r="W209" s="144" t="n"/>
      <c r="X209" s="146" t="n"/>
      <c r="Y209" s="145" t="n"/>
      <c r="Z209" s="144" t="n"/>
      <c r="AA209" s="146" t="n"/>
      <c r="AB209" s="155" t="inlineStr">
        <is>
          <t>&lt; 10</t>
        </is>
      </c>
      <c r="AC209" s="156" t="inlineStr">
        <is>
          <t>&lt; 10</t>
        </is>
      </c>
      <c r="AD209" s="156" t="inlineStr">
        <is>
          <t>&lt; 10</t>
        </is>
      </c>
      <c r="AE209" s="156" t="inlineStr">
        <is>
          <t>Absent</t>
        </is>
      </c>
      <c r="AF209" s="156" t="inlineStr">
        <is>
          <t>Absent</t>
        </is>
      </c>
      <c r="AG209" s="149" t="inlineStr">
        <is>
          <t>✓</t>
        </is>
      </c>
      <c r="AH209" s="145" t="n"/>
      <c r="AI209" s="144" t="n"/>
      <c r="AJ209" s="144" t="n"/>
      <c r="AK209" s="146" t="n"/>
      <c r="AL209" s="145" t="n"/>
      <c r="AM209" s="144" t="n"/>
      <c r="AN209" s="144" t="n"/>
      <c r="AO209" s="144" t="n"/>
      <c r="AP209" s="146" t="n"/>
      <c r="AQ209" s="145" t="n"/>
      <c r="AR209" s="144" t="n"/>
      <c r="AS209" s="157" t="n"/>
    </row>
    <row r="210" ht="13"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2" t="inlineStr">
        <is>
          <t>558-1089-26, (01.09.2026) [IJZ-MB]</t>
        </is>
      </c>
      <c r="AC210" s="159" t="n"/>
      <c r="AD210" s="159" t="n"/>
      <c r="AE210" s="159" t="n"/>
      <c r="AF210" s="159" t="n"/>
      <c r="AG210" s="161" t="n"/>
      <c r="AH210" s="160" t="n"/>
      <c r="AI210" s="159" t="n"/>
      <c r="AJ210" s="159" t="n"/>
      <c r="AK210" s="161" t="n"/>
      <c r="AL210" s="160" t="n"/>
      <c r="AM210" s="159" t="n"/>
      <c r="AN210" s="159" t="n"/>
      <c r="AO210" s="159" t="n"/>
      <c r="AP210" s="161" t="n"/>
      <c r="AQ210" s="160" t="n"/>
      <c r="AR210" s="159" t="n"/>
      <c r="AS210" s="163" t="n"/>
    </row>
    <row r="211" ht="17.625" customHeight="1" s="70">
      <c r="A211" s="125" t="inlineStr">
        <is>
          <t>HPA052501</t>
        </is>
      </c>
      <c r="B211" s="126" t="inlineStr">
        <is>
          <t>P050182</t>
        </is>
      </c>
      <c r="C211" s="171" t="inlineStr">
        <is>
          <t>✓ COMPLETE
2 testing instances
• 1 document(s) on file, not credited
✗ OUT OF SPECIFICATION: #9 TYMC</t>
        </is>
      </c>
      <c r="D211" s="128" t="inlineStr">
        <is>
          <t>Conforms</t>
        </is>
      </c>
      <c r="E211" s="129">
        <f>IFERROR(INDEX('iCoA Register'!$B:$B,MATCH("P050182|I",'iCoA Register'!$AA:$AA,0)),"iCoA — at issue")&amp;", (03.10.2025) [PP]"</f>
        <v/>
      </c>
      <c r="F211" s="130" t="inlineStr">
        <is>
          <t>✓</t>
        </is>
      </c>
      <c r="G211" s="131" t="inlineStr">
        <is>
          <t>not on this certificate</t>
        </is>
      </c>
      <c r="H211" s="132" t="inlineStr">
        <is>
          <t>ППК25278, (19.09.2025) [CNP] · on file, not credited</t>
        </is>
      </c>
      <c r="I211" s="133" t="inlineStr">
        <is>
          <t>•</t>
        </is>
      </c>
      <c r="J211" s="128" t="inlineStr">
        <is>
          <t>Conforms (ImB spec.)</t>
        </is>
      </c>
      <c r="K211" s="129" t="inlineStr">
        <is>
          <t>ППК25278, (19.09.2025) [CNP]</t>
        </is>
      </c>
      <c r="L211" s="130" t="inlineStr">
        <is>
          <t>✓</t>
        </is>
      </c>
      <c r="M211" s="134" t="inlineStr">
        <is>
          <t>20.39</t>
        </is>
      </c>
      <c r="N211" s="129" t="inlineStr">
        <is>
          <t>ППК25278, (19.09.2025) [CNP]</t>
        </is>
      </c>
      <c r="O211" s="130" t="inlineStr">
        <is>
          <t>✓</t>
        </is>
      </c>
      <c r="P211" s="135" t="inlineStr">
        <is>
          <t>0.09</t>
        </is>
      </c>
      <c r="Q211" s="129" t="inlineStr">
        <is>
          <t>ППК25278, (19.09.2025) [CNP]</t>
        </is>
      </c>
      <c r="R211" s="130" t="inlineStr">
        <is>
          <t>✓</t>
        </is>
      </c>
      <c r="S211" s="135" t="inlineStr">
        <is>
          <t>0.02 ᴰ</t>
        </is>
      </c>
      <c r="T211" s="129" t="inlineStr">
        <is>
          <t>ППК25278, (19.09.2025) [CNP]</t>
        </is>
      </c>
      <c r="U211" s="130" t="inlineStr">
        <is>
          <t>✓</t>
        </is>
      </c>
      <c r="V211" s="128" t="inlineStr">
        <is>
          <t>Conforms</t>
        </is>
      </c>
      <c r="W211" s="129">
        <f>IFERROR(INDEX('iCoA Register'!$B:$B,MATCH("P050182|I",'iCoA Register'!$AA:$AA,0)),"iCoA — at issue")&amp;", (03.10.2025) [PP]"</f>
        <v/>
      </c>
      <c r="X211" s="130" t="inlineStr">
        <is>
          <t>✓</t>
        </is>
      </c>
      <c r="Y211" s="128" t="inlineStr">
        <is>
          <t>7.29</t>
        </is>
      </c>
      <c r="Z211" s="129" t="inlineStr">
        <is>
          <t>ППК25278, (19.09.2025) [CNP]</t>
        </is>
      </c>
      <c r="AA211" s="130" t="inlineStr">
        <is>
          <t>✓</t>
        </is>
      </c>
      <c r="AB211" s="128" t="inlineStr">
        <is>
          <t>2.7 × 10⁴</t>
        </is>
      </c>
      <c r="AC211" s="225" t="inlineStr">
        <is>
          <t>2.6 × 10⁴</t>
        </is>
      </c>
      <c r="AD211" s="136" t="inlineStr">
        <is>
          <t>&lt; 10</t>
        </is>
      </c>
      <c r="AE211" s="136" t="inlineStr">
        <is>
          <t>Absent</t>
        </is>
      </c>
      <c r="AF211" s="136" t="inlineStr">
        <is>
          <t>Absent</t>
        </is>
      </c>
      <c r="AG211" s="130" t="inlineStr">
        <is>
          <t>✓</t>
        </is>
      </c>
      <c r="AH211" s="128" t="inlineStr">
        <is>
          <t>ND</t>
        </is>
      </c>
      <c r="AI211" s="136" t="inlineStr">
        <is>
          <t>&lt; 2</t>
        </is>
      </c>
      <c r="AJ211" s="136" t="inlineStr">
        <is>
          <t>ND</t>
        </is>
      </c>
      <c r="AK211" s="130" t="inlineStr">
        <is>
          <t>✓</t>
        </is>
      </c>
      <c r="AL211" s="128" t="inlineStr">
        <is>
          <t>0.034</t>
        </is>
      </c>
      <c r="AM211" s="136" t="inlineStr">
        <is>
          <t>ND</t>
        </is>
      </c>
      <c r="AN211" s="136" t="inlineStr">
        <is>
          <t>ND</t>
        </is>
      </c>
      <c r="AO211" s="136" t="inlineStr">
        <is>
          <t>ND</t>
        </is>
      </c>
      <c r="AP211" s="130" t="inlineStr">
        <is>
          <t>✓</t>
        </is>
      </c>
      <c r="AQ211" s="128" t="inlineStr">
        <is>
          <t>≤ LOQ (all 24 compounds)</t>
        </is>
      </c>
      <c r="AR211" s="129" t="inlineStr">
        <is>
          <t>4352-2025,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948-1686-25, (17.09.2025) [IJZ-MB]</t>
        </is>
      </c>
      <c r="AG212" s="140" t="n"/>
      <c r="AH212" s="141" t="inlineStr">
        <is>
          <t>4352-2025, (15.09.2025) [IJZ]</t>
        </is>
      </c>
      <c r="AK212" s="140" t="n"/>
      <c r="AL212" s="141" t="inlineStr">
        <is>
          <t>4352-2025, (15.09.2025) [IJZ]</t>
        </is>
      </c>
      <c r="AP212" s="140" t="n"/>
      <c r="AQ212" s="139" t="n"/>
      <c r="AS212" s="142" t="n"/>
    </row>
    <row r="213" ht="14" customHeight="1" s="70">
      <c r="A213" s="143" t="n"/>
      <c r="B213" s="144" t="n"/>
      <c r="D213" s="145" t="n"/>
      <c r="E213" s="144" t="n"/>
      <c r="F213" s="146" t="n"/>
      <c r="G213" s="147" t="inlineStr">
        <is>
          <t>Conforms</t>
        </is>
      </c>
      <c r="H213" s="148">
        <f>IFERROR(INDEX('iCoA Register'!$B:$B,MATCH("P050182|I",'iCoA Register'!$AA:$AA,0)),"iCoA — at issue")&amp;", (03.10.2025) [PP]"</f>
        <v/>
      </c>
      <c r="I213" s="149" t="inlineStr">
        <is>
          <t>✓</t>
        </is>
      </c>
      <c r="J213" s="145" t="n"/>
      <c r="K213" s="144" t="n"/>
      <c r="L213" s="146" t="n"/>
      <c r="M213" s="145" t="n"/>
      <c r="N213" s="144" t="n"/>
      <c r="O213" s="146" t="n"/>
      <c r="P213" s="145" t="n"/>
      <c r="Q213" s="144" t="n"/>
      <c r="R213" s="146" t="n"/>
      <c r="S213" s="145" t="n"/>
      <c r="T213" s="144" t="n"/>
      <c r="U213" s="146" t="n"/>
      <c r="V213" s="145" t="n"/>
      <c r="W213" s="144" t="n"/>
      <c r="X213" s="146" t="n"/>
      <c r="Y213" s="145" t="n"/>
      <c r="Z213" s="144" t="n"/>
      <c r="AA213" s="146" t="n"/>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3"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220-15-M-26, (11.09.2026) [FHM-M]</t>
        </is>
      </c>
      <c r="AI214" s="159" t="n"/>
      <c r="AJ214" s="159" t="n"/>
      <c r="AK214" s="161" t="n"/>
      <c r="AL214" s="160" t="n"/>
      <c r="AM214" s="159" t="n"/>
      <c r="AN214" s="159" t="n"/>
      <c r="AO214" s="159" t="n"/>
      <c r="AP214" s="161" t="n"/>
      <c r="AQ214" s="160" t="n"/>
      <c r="AR214" s="159" t="n"/>
      <c r="AS214" s="163" t="n"/>
    </row>
    <row r="215" ht="30" customHeight="1" s="70">
      <c r="A215" s="125" t="inlineStr">
        <is>
          <t>BSS052501</t>
        </is>
      </c>
      <c r="B215" s="126" t="inlineStr">
        <is>
          <t>P050192</t>
        </is>
      </c>
      <c r="C215" s="164" t="inlineStr">
        <is>
          <t>⚠ 2 NO RESULT
(0 no cert / 2 cert w/o result)
3 testing instances
• 1 document(s) on file, not credited</t>
        </is>
      </c>
      <c r="D215" s="128" t="inlineStr">
        <is>
          <t>Conforms</t>
        </is>
      </c>
      <c r="E215" s="129">
        <f>IFERROR(INDEX('iCoA Register'!$B:$B,MATCH("P050192|I",'iCoA Register'!$AA:$AA,0)),"iCoA — at issue")&amp;", (10.10.2025) [PP]"</f>
        <v/>
      </c>
      <c r="F215" s="130" t="inlineStr">
        <is>
          <t>✓</t>
        </is>
      </c>
      <c r="G215" s="128" t="inlineStr">
        <is>
          <t>Conforms</t>
        </is>
      </c>
      <c r="H215" s="129">
        <f>IFERROR(INDEX('iCoA Register'!$B:$B,MATCH("P050192|I",'iCoA Register'!$AA:$AA,0)),"iCoA — at issue")&amp;", (10.10.2025) [PP]"</f>
        <v/>
      </c>
      <c r="I215" s="130" t="inlineStr">
        <is>
          <t>✓</t>
        </is>
      </c>
      <c r="J215" s="128" t="inlineStr">
        <is>
          <t>Conforms (ImB spec.)</t>
        </is>
      </c>
      <c r="K215" s="129" t="inlineStr">
        <is>
          <t>NGP-QCG-SOP-024 F3, (28.11.2025) [NGP]</t>
        </is>
      </c>
      <c r="L215" s="130" t="inlineStr">
        <is>
          <t>✓</t>
        </is>
      </c>
      <c r="M215" s="183" t="inlineStr">
        <is>
          <t>20.39 ᴿ</t>
        </is>
      </c>
      <c r="N215" s="132">
        <f>IFERROR(INDEX('iCoA Register'!$B:$B,MATCH("P050192|I",'iCoA Register'!$AA:$AA,0)),"iCoA — at issue")&amp;", (10.10.2025) [PP] · on file, not credited"</f>
        <v/>
      </c>
      <c r="O215" s="133" t="inlineStr">
        <is>
          <t>•</t>
        </is>
      </c>
      <c r="P215" s="184" t="inlineStr">
        <is>
          <t>0.11 ᴿ</t>
        </is>
      </c>
      <c r="Q215" s="132">
        <f>IFERROR(INDEX('iCoA Register'!$B:$B,MATCH("P050192|I",'iCoA Register'!$AA:$AA,0)),"iCoA — at issue")&amp;", (10.10.2025) [PP] · on file, not credited"</f>
        <v/>
      </c>
      <c r="R215" s="133" t="inlineStr">
        <is>
          <t>•</t>
        </is>
      </c>
      <c r="S215" s="215" t="inlineStr">
        <is>
          <t>held for review</t>
        </is>
      </c>
      <c r="T215" s="216" t="inlineStr">
        <is>
          <t>NGP-QCG-SOP-024 F3, (28.11.2025) [NGP]</t>
        </is>
      </c>
      <c r="U215" s="207" t="inlineStr">
        <is>
          <t>✗</t>
        </is>
      </c>
      <c r="V215" s="128" t="inlineStr">
        <is>
          <t>Conforms</t>
        </is>
      </c>
      <c r="W215" s="129">
        <f>IFERROR(INDEX('iCoA Register'!$B:$B,MATCH("P050192|I",'iCoA Register'!$AA:$AA,0)),"iCoA — at issue")&amp;", (10.10.2025) [PP]"</f>
        <v/>
      </c>
      <c r="X215" s="130" t="inlineStr">
        <is>
          <t>✓</t>
        </is>
      </c>
      <c r="Y215" s="131" t="inlineStr">
        <is>
          <t>8.60 ᴿ</t>
        </is>
      </c>
      <c r="Z215" s="132">
        <f>IFERROR(INDEX('iCoA Register'!$B:$B,MATCH("P050192|I",'iCoA Register'!$AA:$AA,0)),"iCoA — at issue")&amp;", (10.10.2025) [PP] · on file, not credited"</f>
        <v/>
      </c>
      <c r="AA215" s="133" t="inlineStr">
        <is>
          <t>•</t>
        </is>
      </c>
      <c r="AB215" s="128" t="inlineStr">
        <is>
          <t>200</t>
        </is>
      </c>
      <c r="AC215" s="136" t="inlineStr">
        <is>
          <t>200</t>
        </is>
      </c>
      <c r="AD215" s="136" t="inlineStr">
        <is>
          <t>&lt; 10² &gt; 10</t>
        </is>
      </c>
      <c r="AE215" s="136" t="inlineStr">
        <is>
          <t>Absent</t>
        </is>
      </c>
      <c r="AF215" s="136" t="inlineStr">
        <is>
          <t>Absent</t>
        </is>
      </c>
      <c r="AG215" s="130" t="inlineStr">
        <is>
          <t>✓</t>
        </is>
      </c>
      <c r="AH215" s="205" t="inlineStr">
        <is>
          <t>not on this certificate</t>
        </is>
      </c>
      <c r="AI215" s="206" t="inlineStr"/>
      <c r="AJ215" s="206" t="inlineStr"/>
      <c r="AK215" s="207" t="inlineStr">
        <is>
          <t>✗</t>
        </is>
      </c>
      <c r="AL215" s="128" t="inlineStr">
        <is>
          <t>0.024</t>
        </is>
      </c>
      <c r="AM215" s="136" t="inlineStr">
        <is>
          <t>0.004</t>
        </is>
      </c>
      <c r="AN215" s="136" t="inlineStr">
        <is>
          <t>0.025</t>
        </is>
      </c>
      <c r="AO215" s="136" t="inlineStr">
        <is>
          <t>0.0036</t>
        </is>
      </c>
      <c r="AP215" s="130" t="inlineStr">
        <is>
          <t>✓</t>
        </is>
      </c>
      <c r="AQ215" s="128" t="inlineStr">
        <is>
          <t>&lt; LOQ</t>
        </is>
      </c>
      <c r="AR215" s="129" t="inlineStr">
        <is>
          <t>10802_2845-2 EN, (17.11.2025) [DFL]</t>
        </is>
      </c>
      <c r="AS215" s="137" t="inlineStr">
        <is>
          <t>✓</t>
        </is>
      </c>
    </row>
    <row r="216" ht="21"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1157-2058-25, (24.11.2025) [IJZ-MB]</t>
        </is>
      </c>
      <c r="AG216" s="140" t="n"/>
      <c r="AH216" s="208" t="inlineStr">
        <is>
          <t>5661-2025, (01.12.2025) [IJZ]</t>
        </is>
      </c>
      <c r="AK216" s="140" t="n"/>
      <c r="AL216" s="141" t="inlineStr">
        <is>
          <t>5661-2025, (01.12.2025) [IJZ]</t>
        </is>
      </c>
      <c r="AP216" s="140" t="n"/>
      <c r="AQ216" s="139" t="n"/>
      <c r="AS216" s="142" t="n"/>
    </row>
    <row r="217" ht="17.625" customHeight="1" s="70">
      <c r="A217" s="143" t="n"/>
      <c r="B217" s="144" t="n"/>
      <c r="D217" s="145" t="n"/>
      <c r="E217" s="144" t="n"/>
      <c r="F217" s="146" t="n"/>
      <c r="G217" s="145" t="n"/>
      <c r="H217" s="144" t="n"/>
      <c r="I217" s="146" t="n"/>
      <c r="J217" s="145" t="n"/>
      <c r="K217" s="144" t="n"/>
      <c r="L217" s="146" t="n"/>
      <c r="M217" s="187" t="inlineStr">
        <is>
          <t>20.39</t>
        </is>
      </c>
      <c r="N217" s="185" t="inlineStr">
        <is>
          <t>NGP-QCG-SOP-024 F3, (28.11.2025) [NGP]</t>
        </is>
      </c>
      <c r="O217" s="186" t="inlineStr">
        <is>
          <t>✓</t>
        </is>
      </c>
      <c r="P217" s="188" t="inlineStr">
        <is>
          <t>0.11</t>
        </is>
      </c>
      <c r="Q217" s="185" t="inlineStr">
        <is>
          <t>NGP-QCG-SOP-024 F3, (28.11.2025) [NGP]</t>
        </is>
      </c>
      <c r="R217" s="186" t="inlineStr">
        <is>
          <t>✓</t>
        </is>
      </c>
      <c r="S217" s="145" t="n"/>
      <c r="T217" s="144" t="n"/>
      <c r="U217" s="146" t="n"/>
      <c r="V217" s="145" t="n"/>
      <c r="W217" s="144" t="n"/>
      <c r="X217" s="146" t="n"/>
      <c r="Y217" s="200" t="inlineStr">
        <is>
          <t>not on this certificate</t>
        </is>
      </c>
      <c r="Z217" s="201" t="inlineStr">
        <is>
          <t>NGP-QCG-SOP-024 F3, (28.11.2025) [NGP]</t>
        </is>
      </c>
      <c r="AA217" s="202" t="inlineStr">
        <is>
          <t>✗</t>
        </is>
      </c>
      <c r="AB217" s="155" t="inlineStr">
        <is>
          <t>5.4 × 10²</t>
        </is>
      </c>
      <c r="AC217" s="156" t="inlineStr">
        <is>
          <t>3.7 × 10²</t>
        </is>
      </c>
      <c r="AD217" s="156" t="inlineStr">
        <is>
          <t>&lt; 10</t>
        </is>
      </c>
      <c r="AE217" s="156" t="inlineStr">
        <is>
          <t>Absent</t>
        </is>
      </c>
      <c r="AF217" s="156" t="inlineStr">
        <is>
          <t>Absent</t>
        </is>
      </c>
      <c r="AG217" s="186" t="inlineStr">
        <is>
          <t>✓</t>
        </is>
      </c>
      <c r="AH217" s="155" t="inlineStr">
        <is>
          <t>ND *</t>
        </is>
      </c>
      <c r="AI217" s="156" t="inlineStr">
        <is>
          <t>ND</t>
        </is>
      </c>
      <c r="AJ217" s="156" t="inlineStr">
        <is>
          <t>&lt; LOQ **</t>
        </is>
      </c>
      <c r="AK217" s="186" t="inlineStr">
        <is>
          <t>✓</t>
        </is>
      </c>
      <c r="AL217" s="145" t="n"/>
      <c r="AM217" s="144" t="n"/>
      <c r="AN217" s="144" t="n"/>
      <c r="AO217" s="144" t="n"/>
      <c r="AP217" s="146" t="n"/>
      <c r="AQ217" s="155" t="inlineStr">
        <is>
          <t>&lt; LOQ</t>
        </is>
      </c>
      <c r="AR217" s="185" t="inlineStr">
        <is>
          <t>10802_2845-2 MK, (17.11.2025) [DFL]</t>
        </is>
      </c>
      <c r="AS217" s="209" t="inlineStr">
        <is>
          <t>✓</t>
        </is>
      </c>
    </row>
    <row r="218" ht="13" customHeight="1" s="70">
      <c r="A218" s="192" t="n"/>
      <c r="B218" s="193" t="n"/>
      <c r="D218" s="194" t="n"/>
      <c r="E218" s="193" t="n"/>
      <c r="F218" s="195" t="n"/>
      <c r="G218" s="194" t="n"/>
      <c r="H218" s="193" t="n"/>
      <c r="I218" s="195" t="n"/>
      <c r="J218" s="194" t="n"/>
      <c r="K218" s="193" t="n"/>
      <c r="L218" s="195" t="n"/>
      <c r="M218" s="194" t="n"/>
      <c r="N218" s="193" t="n"/>
      <c r="O218" s="195" t="n"/>
      <c r="P218" s="194" t="n"/>
      <c r="Q218" s="193" t="n"/>
      <c r="R218" s="195" t="n"/>
      <c r="S218" s="194" t="n"/>
      <c r="T218" s="193" t="n"/>
      <c r="U218" s="195" t="n"/>
      <c r="V218" s="194" t="n"/>
      <c r="W218" s="193" t="n"/>
      <c r="X218" s="195" t="n"/>
      <c r="Y218" s="194" t="n"/>
      <c r="Z218" s="193" t="n"/>
      <c r="AA218" s="195" t="n"/>
      <c r="AB218" s="210" t="inlineStr">
        <is>
          <t>548-1079-26, (31.08.2026) [IJZ-MB]</t>
        </is>
      </c>
      <c r="AC218" s="193" t="n"/>
      <c r="AD218" s="193" t="n"/>
      <c r="AE218" s="193" t="n"/>
      <c r="AF218" s="193" t="n"/>
      <c r="AG218" s="195" t="n"/>
      <c r="AH218" s="210" t="inlineStr">
        <is>
          <t>276-31-M-25, (04.12.2025) [FHM-M]</t>
        </is>
      </c>
      <c r="AI218" s="193" t="n"/>
      <c r="AJ218" s="193" t="n"/>
      <c r="AK218" s="195" t="n"/>
      <c r="AL218" s="194" t="n"/>
      <c r="AM218" s="193" t="n"/>
      <c r="AN218" s="193" t="n"/>
      <c r="AO218" s="193" t="n"/>
      <c r="AP218" s="195" t="n"/>
      <c r="AQ218" s="194" t="n"/>
      <c r="AR218" s="193" t="n"/>
      <c r="AS218" s="196" t="n"/>
    </row>
    <row r="219" ht="14" customHeight="1" s="70">
      <c r="A219" s="143" t="n"/>
      <c r="B219" s="144" t="n"/>
      <c r="D219" s="145" t="n"/>
      <c r="E219" s="144" t="n"/>
      <c r="F219" s="146" t="n"/>
      <c r="G219" s="145" t="n"/>
      <c r="H219" s="144" t="n"/>
      <c r="I219" s="146" t="n"/>
      <c r="J219" s="145" t="n"/>
      <c r="K219" s="144" t="n"/>
      <c r="L219" s="146" t="n"/>
      <c r="M219" s="145" t="n"/>
      <c r="N219" s="144" t="n"/>
      <c r="O219" s="146" t="n"/>
      <c r="P219" s="145" t="n"/>
      <c r="Q219" s="144" t="n"/>
      <c r="R219" s="146" t="n"/>
      <c r="S219" s="145" t="n"/>
      <c r="T219" s="144" t="n"/>
      <c r="U219" s="146" t="n"/>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226" t="inlineStr">
        <is>
          <t>not on this certificate</t>
        </is>
      </c>
      <c r="AR219" s="227" t="inlineStr">
        <is>
          <t>5661-2025, (01.12.2025) [IJZ]</t>
        </is>
      </c>
      <c r="AS219" s="228" t="inlineStr">
        <is>
          <t>✗</t>
        </is>
      </c>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220-2-M-26, (11.09.2026) [FHM-M]</t>
        </is>
      </c>
      <c r="AI220" s="159" t="n"/>
      <c r="AJ220" s="159" t="n"/>
      <c r="AK220" s="161" t="n"/>
      <c r="AL220" s="160" t="n"/>
      <c r="AM220" s="159" t="n"/>
      <c r="AN220" s="159" t="n"/>
      <c r="AO220" s="159" t="n"/>
      <c r="AP220" s="161" t="n"/>
      <c r="AQ220" s="160" t="n"/>
      <c r="AR220" s="159" t="n"/>
      <c r="AS220" s="163" t="n"/>
    </row>
    <row r="221" ht="21" customHeight="1" s="70">
      <c r="A221" s="125" t="inlineStr">
        <is>
          <t>GP062501</t>
        </is>
      </c>
      <c r="B221" s="126" t="inlineStr">
        <is>
          <t>P050202</t>
        </is>
      </c>
      <c r="C221" s="127" t="inlineStr">
        <is>
          <t>✓ COMPLETE
7 testing instances
• 5 document(s) on file, not credited
· stability above A.C.: #6</t>
        </is>
      </c>
      <c r="D221" s="128" t="inlineStr">
        <is>
          <t>Conforms</t>
        </is>
      </c>
      <c r="E221" s="129">
        <f>IFERROR(INDEX('iCoA Register'!$B:$B,MATCH("P050202|I",'iCoA Register'!$AA:$AA,0)),"iCoA — at issue")&amp;", (30.10.2025) [PP]"</f>
        <v/>
      </c>
      <c r="F221" s="130" t="inlineStr">
        <is>
          <t>✓</t>
        </is>
      </c>
      <c r="G221" s="128" t="inlineStr">
        <is>
          <t>Conforms</t>
        </is>
      </c>
      <c r="H221" s="129">
        <f>IFERROR(INDEX('iCoA Register'!$B:$B,MATCH("P050202|I",'iCoA Register'!$AA:$AA,0)),"iCoA — at issue")&amp;", (30.10.2025) [PP]"</f>
        <v/>
      </c>
      <c r="I221" s="130" t="inlineStr">
        <is>
          <t>✓</t>
        </is>
      </c>
      <c r="J221" s="128" t="inlineStr">
        <is>
          <t>Conforms (ImB spec.)</t>
        </is>
      </c>
      <c r="K221" s="129" t="inlineStr">
        <is>
          <t>NGP-QCG-SOP-024 F3, (28.11.2025) [NGP]</t>
        </is>
      </c>
      <c r="L221" s="130" t="inlineStr">
        <is>
          <t>✓</t>
        </is>
      </c>
      <c r="M221" s="183" t="inlineStr">
        <is>
          <t>24.89 ᴿ</t>
        </is>
      </c>
      <c r="N221" s="132">
        <f>IFERROR(INDEX('iCoA Register'!$B:$B,MATCH("P050202|I",'iCoA Register'!$AA:$AA,0)),"iCoA — at issue")&amp;", (30.10.2025) [PP] · on file, not credited"</f>
        <v/>
      </c>
      <c r="O221" s="133" t="inlineStr">
        <is>
          <t>•</t>
        </is>
      </c>
      <c r="P221" s="184" t="inlineStr">
        <is>
          <t>0.17 ᴿ</t>
        </is>
      </c>
      <c r="Q221" s="132">
        <f>IFERROR(INDEX('iCoA Register'!$B:$B,MATCH("P050202|I",'iCoA Register'!$AA:$AA,0)),"iCoA — at issue")&amp;", (30.10.2025) [PP] · on file, not credited"</f>
        <v/>
      </c>
      <c r="R221" s="133" t="inlineStr">
        <is>
          <t>•</t>
        </is>
      </c>
      <c r="S221" s="215" t="inlineStr">
        <is>
          <t>held for review</t>
        </is>
      </c>
      <c r="T221" s="216" t="inlineStr">
        <is>
          <t>NGP-QCG-SOP-024 F3, (28.11.2025) [NGP]</t>
        </is>
      </c>
      <c r="U221" s="207" t="inlineStr">
        <is>
          <t>✗</t>
        </is>
      </c>
      <c r="V221" s="128" t="inlineStr">
        <is>
          <t>Conforms</t>
        </is>
      </c>
      <c r="W221" s="129">
        <f>IFERROR(INDEX('iCoA Register'!$B:$B,MATCH("P050202|I",'iCoA Register'!$AA:$AA,0)),"iCoA — at issue")&amp;", (30.10.2025) [PP]"</f>
        <v/>
      </c>
      <c r="X221" s="130" t="inlineStr">
        <is>
          <t>✓</t>
        </is>
      </c>
      <c r="Y221" s="131" t="inlineStr">
        <is>
          <t>8.19 (avg of 4 weighings 51-1,51-2,52-1,52-2) ᴿ</t>
        </is>
      </c>
      <c r="Z221" s="132">
        <f>IFERROR(INDEX('iCoA Register'!$B:$B,MATCH("P050202|I",'iCoA Register'!$AA:$AA,0)),"iCoA — at issue")&amp;", (30.10.2025) [PP] · on file, not credited"</f>
        <v/>
      </c>
      <c r="AA221" s="133" t="inlineStr">
        <is>
          <t>•</t>
        </is>
      </c>
      <c r="AB221" s="128" t="inlineStr">
        <is>
          <t>1.3 × 10⁴</t>
        </is>
      </c>
      <c r="AC221" s="136" t="inlineStr">
        <is>
          <t>4.2 × 10³</t>
        </is>
      </c>
      <c r="AD221" s="136" t="inlineStr">
        <is>
          <t>&lt; 10³ and &gt; 10² ᴿ</t>
        </is>
      </c>
      <c r="AE221" s="136" t="inlineStr">
        <is>
          <t>Absent</t>
        </is>
      </c>
      <c r="AF221" s="136" t="inlineStr">
        <is>
          <t>Absent</t>
        </is>
      </c>
      <c r="AG221" s="130" t="inlineStr">
        <is>
          <t>✓</t>
        </is>
      </c>
      <c r="AH221" s="128" t="inlineStr">
        <is>
          <t>ND</t>
        </is>
      </c>
      <c r="AI221" s="136" t="inlineStr">
        <is>
          <t>&lt; 2</t>
        </is>
      </c>
      <c r="AJ221" s="136" t="inlineStr">
        <is>
          <t>ND</t>
        </is>
      </c>
      <c r="AK221" s="130" t="inlineStr">
        <is>
          <t>✓</t>
        </is>
      </c>
      <c r="AL221" s="128" t="inlineStr">
        <is>
          <t>0.077</t>
        </is>
      </c>
      <c r="AM221" s="136" t="inlineStr">
        <is>
          <t>0.014</t>
        </is>
      </c>
      <c r="AN221" s="136" t="inlineStr">
        <is>
          <t>0.024</t>
        </is>
      </c>
      <c r="AO221" s="136" t="inlineStr">
        <is>
          <t>0.011</t>
        </is>
      </c>
      <c r="AP221" s="130" t="inlineStr">
        <is>
          <t>✓</t>
        </is>
      </c>
      <c r="AQ221" s="128" t="inlineStr">
        <is>
          <t>≤ LOQ (all 28 compounds)</t>
        </is>
      </c>
      <c r="AR221" s="129" t="inlineStr">
        <is>
          <t>4762-2025, (08.10.2025) [IJZ]</t>
        </is>
      </c>
      <c r="AS221" s="137" t="inlineStr">
        <is>
          <t>✓</t>
        </is>
      </c>
    </row>
    <row r="222" ht="24.375"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1009-1813-25, (08.10.2025) [IJZ-MB]</t>
        </is>
      </c>
      <c r="AG222" s="140" t="n"/>
      <c r="AH222" s="141" t="inlineStr">
        <is>
          <t>4762-2025, (08.10.2025) [IJZ]</t>
        </is>
      </c>
      <c r="AK222" s="140" t="n"/>
      <c r="AL222" s="141" t="inlineStr">
        <is>
          <t>4762-2025, (08.10.2025) [IJZ]</t>
        </is>
      </c>
      <c r="AP222" s="140" t="n"/>
      <c r="AQ222" s="139" t="n"/>
      <c r="AS222" s="142" t="n"/>
    </row>
    <row r="223" ht="17.625" customHeight="1" s="70">
      <c r="A223" s="143" t="n"/>
      <c r="B223" s="144" t="n"/>
      <c r="D223" s="145" t="n"/>
      <c r="E223" s="144" t="n"/>
      <c r="F223" s="146" t="n"/>
      <c r="G223" s="189" t="inlineStr">
        <is>
          <t>not on this certificate</t>
        </is>
      </c>
      <c r="H223" s="190" t="inlineStr">
        <is>
          <t>ППК26036, (05.03.2026) [CNP] · on file, not credited</t>
        </is>
      </c>
      <c r="I223" s="191" t="inlineStr">
        <is>
          <t>•</t>
        </is>
      </c>
      <c r="J223" s="218" t="inlineStr">
        <is>
          <t>Conforms (ImB spec.)</t>
        </is>
      </c>
      <c r="K223" s="219" t="inlineStr">
        <is>
          <t>ППК26036, (05.03.2026) [CNP]</t>
        </is>
      </c>
      <c r="L223" s="220" t="inlineStr">
        <is>
          <t>✓</t>
        </is>
      </c>
      <c r="M223" s="187" t="inlineStr">
        <is>
          <t>24.89</t>
        </is>
      </c>
      <c r="N223" s="185" t="inlineStr">
        <is>
          <t>NGP-QCG-SOP-024 F3, (28.11.2025) [NGP]</t>
        </is>
      </c>
      <c r="O223" s="186" t="inlineStr">
        <is>
          <t>✓</t>
        </is>
      </c>
      <c r="P223" s="188" t="inlineStr">
        <is>
          <t>0.17</t>
        </is>
      </c>
      <c r="Q223" s="185" t="inlineStr">
        <is>
          <t>NGP-QCG-SOP-024 F3, (28.11.2025) [NGP]</t>
        </is>
      </c>
      <c r="R223" s="186" t="inlineStr">
        <is>
          <t>✓</t>
        </is>
      </c>
      <c r="S223" s="222" t="inlineStr">
        <is>
          <t>0.05 ᴰ</t>
        </is>
      </c>
      <c r="T223" s="219" t="inlineStr">
        <is>
          <t>ППК26036, (05.03.2026) [CNP]</t>
        </is>
      </c>
      <c r="U223" s="220" t="inlineStr">
        <is>
          <t>✓</t>
        </is>
      </c>
      <c r="V223" s="145" t="n"/>
      <c r="W223" s="144" t="n"/>
      <c r="X223" s="146" t="n"/>
      <c r="Y223" s="155" t="inlineStr">
        <is>
          <t>8.19</t>
        </is>
      </c>
      <c r="Z223" s="185" t="inlineStr">
        <is>
          <t>NGP-QCG-SOP-024 F3, (28.11.2025) [NGP]</t>
        </is>
      </c>
      <c r="AA223" s="186" t="inlineStr">
        <is>
          <t>✓</t>
        </is>
      </c>
      <c r="AB223" s="155" t="inlineStr">
        <is>
          <t>600</t>
        </is>
      </c>
      <c r="AC223" s="156" t="inlineStr">
        <is>
          <t>400</t>
        </is>
      </c>
      <c r="AD223" s="156" t="inlineStr">
        <is>
          <t>&lt; 10</t>
        </is>
      </c>
      <c r="AE223" s="156" t="inlineStr">
        <is>
          <t>Absent</t>
        </is>
      </c>
      <c r="AF223" s="156" t="inlineStr">
        <is>
          <t>Absent</t>
        </is>
      </c>
      <c r="AG223" s="186" t="inlineStr">
        <is>
          <t>✓</t>
        </is>
      </c>
      <c r="AH223" s="145" t="n"/>
      <c r="AI223" s="144" t="n"/>
      <c r="AJ223" s="144" t="n"/>
      <c r="AK223" s="146" t="n"/>
      <c r="AL223" s="145" t="n"/>
      <c r="AM223" s="144" t="n"/>
      <c r="AN223" s="144" t="n"/>
      <c r="AO223" s="144" t="n"/>
      <c r="AP223" s="146" t="n"/>
      <c r="AQ223" s="145" t="n"/>
      <c r="AR223" s="144" t="n"/>
      <c r="AS223" s="157" t="n"/>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1155-2056-25, (24.11.2025) [IJZ-MB]</t>
        </is>
      </c>
      <c r="AC224" s="193" t="n"/>
      <c r="AD224" s="193" t="n"/>
      <c r="AE224" s="193" t="n"/>
      <c r="AF224" s="193" t="n"/>
      <c r="AG224" s="195" t="n"/>
      <c r="AH224" s="194" t="n"/>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89" t="inlineStr">
        <is>
          <t>not on this certificate</t>
        </is>
      </c>
      <c r="H225" s="190" t="inlineStr">
        <is>
          <t>ППК26037, (05.03.2026) [CNP] · on file, not credited</t>
        </is>
      </c>
      <c r="I225" s="191" t="inlineStr">
        <is>
          <t>•</t>
        </is>
      </c>
      <c r="J225" s="218" t="inlineStr">
        <is>
          <t>Conforms (ImB spec.)</t>
        </is>
      </c>
      <c r="K225" s="219" t="inlineStr">
        <is>
          <t>ППК26037, (05.03.2026) [CNP]</t>
        </is>
      </c>
      <c r="L225" s="220" t="inlineStr">
        <is>
          <t>✓</t>
        </is>
      </c>
      <c r="M225" s="221" t="inlineStr">
        <is>
          <t>22.83</t>
        </is>
      </c>
      <c r="N225" s="219" t="inlineStr">
        <is>
          <t>ППК26036, (05.03.2026) [CNP]</t>
        </is>
      </c>
      <c r="O225" s="220" t="inlineStr">
        <is>
          <t>✓</t>
        </is>
      </c>
      <c r="P225" s="222" t="inlineStr">
        <is>
          <t>0.05</t>
        </is>
      </c>
      <c r="Q225" s="219" t="inlineStr">
        <is>
          <t>ППК26036, (05.03.2026) [CNP]</t>
        </is>
      </c>
      <c r="R225" s="220" t="inlineStr">
        <is>
          <t>✓</t>
        </is>
      </c>
      <c r="S225" s="223" t="inlineStr">
        <is>
          <t>1.09 ᴿ</t>
        </is>
      </c>
      <c r="T225" s="219" t="inlineStr">
        <is>
          <t>ППК26037, (05.03.2026) [CNP]</t>
        </is>
      </c>
      <c r="U225" s="220" t="inlineStr">
        <is>
          <t>✓</t>
        </is>
      </c>
      <c r="V225" s="145" t="n"/>
      <c r="W225" s="144" t="n"/>
      <c r="X225" s="146" t="n"/>
      <c r="Y225" s="218" t="inlineStr">
        <is>
          <t>5.83</t>
        </is>
      </c>
      <c r="Z225" s="219" t="inlineStr">
        <is>
          <t>ППК26036, (05.03.2026) [CNP]</t>
        </is>
      </c>
      <c r="AA225" s="220" t="inlineStr">
        <is>
          <t>✓</t>
        </is>
      </c>
      <c r="AB225" s="155" t="inlineStr">
        <is>
          <t>&lt; 10</t>
        </is>
      </c>
      <c r="AC225" s="156" t="inlineStr">
        <is>
          <t>&lt; 10</t>
        </is>
      </c>
      <c r="AD225" s="156" t="inlineStr">
        <is>
          <t>&lt; 10</t>
        </is>
      </c>
      <c r="AE225" s="156" t="inlineStr">
        <is>
          <t>Absent</t>
        </is>
      </c>
      <c r="AF225" s="156" t="inlineStr">
        <is>
          <t>Absent</t>
        </is>
      </c>
      <c r="AG225" s="186" t="inlineStr">
        <is>
          <t>✓</t>
        </is>
      </c>
      <c r="AH225" s="145" t="n"/>
      <c r="AI225" s="144" t="n"/>
      <c r="AJ225" s="144" t="n"/>
      <c r="AK225" s="146" t="n"/>
      <c r="AL225" s="145" t="n"/>
      <c r="AM225" s="144" t="n"/>
      <c r="AN225" s="144" t="n"/>
      <c r="AO225" s="144" t="n"/>
      <c r="AP225" s="146" t="n"/>
      <c r="AQ225" s="145" t="n"/>
      <c r="AR225" s="144" t="n"/>
      <c r="AS225" s="157" t="n"/>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557-1088-26, (01.09.2026) [IJZ-MB]</t>
        </is>
      </c>
      <c r="AC226" s="193" t="n"/>
      <c r="AD226" s="193" t="n"/>
      <c r="AE226" s="193" t="n"/>
      <c r="AF226" s="193" t="n"/>
      <c r="AG226" s="195" t="n"/>
      <c r="AH226" s="194" t="n"/>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89" t="inlineStr">
        <is>
          <t>not on this certificate</t>
        </is>
      </c>
      <c r="H227" s="190" t="inlineStr">
        <is>
          <t>ППК26057, (11.05.2026) [CNP] · on file, not credited</t>
        </is>
      </c>
      <c r="I227" s="191" t="inlineStr">
        <is>
          <t>•</t>
        </is>
      </c>
      <c r="J227" s="218" t="inlineStr">
        <is>
          <t>Conforms (ImB spec.)</t>
        </is>
      </c>
      <c r="K227" s="219" t="inlineStr">
        <is>
          <t>ППК26057, (11.05.2026) [CNP]</t>
        </is>
      </c>
      <c r="L227" s="220" t="inlineStr">
        <is>
          <t>✓</t>
        </is>
      </c>
      <c r="M227" s="221" t="inlineStr">
        <is>
          <t>18.62</t>
        </is>
      </c>
      <c r="N227" s="219" t="inlineStr">
        <is>
          <t>ППК26037, (05.03.2026) [CNP]</t>
        </is>
      </c>
      <c r="O227" s="220" t="inlineStr">
        <is>
          <t>✓</t>
        </is>
      </c>
      <c r="P227" s="222" t="inlineStr">
        <is>
          <t>0.04</t>
        </is>
      </c>
      <c r="Q227" s="219" t="inlineStr">
        <is>
          <t>ППК26037, (05.03.2026) [CNP]</t>
        </is>
      </c>
      <c r="R227" s="220" t="inlineStr">
        <is>
          <t>✓</t>
        </is>
      </c>
      <c r="S227" s="222" t="inlineStr">
        <is>
          <t>0.04 ᴰ</t>
        </is>
      </c>
      <c r="T227" s="219" t="inlineStr">
        <is>
          <t>ППК26057, (11.05.2026) [CNP]</t>
        </is>
      </c>
      <c r="U227" s="220" t="inlineStr">
        <is>
          <t>✓</t>
        </is>
      </c>
      <c r="V227" s="145" t="n"/>
      <c r="W227" s="144" t="n"/>
      <c r="X227" s="146" t="n"/>
      <c r="Y227" s="218" t="inlineStr">
        <is>
          <t>5.38</t>
        </is>
      </c>
      <c r="Z227" s="219" t="inlineStr">
        <is>
          <t>ППК26037, (05.03.2026) [CNP]</t>
        </is>
      </c>
      <c r="AA227" s="220" t="inlineStr">
        <is>
          <t>✓</t>
        </is>
      </c>
      <c r="AB227" s="145" t="n"/>
      <c r="AC227" s="144" t="n"/>
      <c r="AD227" s="144" t="n"/>
      <c r="AE227" s="144" t="n"/>
      <c r="AF227" s="144" t="n"/>
      <c r="AG227" s="146" t="n"/>
      <c r="AH227" s="145" t="n"/>
      <c r="AI227" s="144" t="n"/>
      <c r="AJ227" s="144" t="n"/>
      <c r="AK227" s="146" t="n"/>
      <c r="AL227" s="145" t="n"/>
      <c r="AM227" s="144" t="n"/>
      <c r="AN227" s="144" t="n"/>
      <c r="AO227" s="144" t="n"/>
      <c r="AP227" s="146" t="n"/>
      <c r="AQ227" s="145" t="n"/>
      <c r="AR227" s="144" t="n"/>
      <c r="AS227" s="157" t="n"/>
    </row>
    <row r="228" ht="13" customHeight="1" s="70">
      <c r="A228" s="192" t="n"/>
      <c r="B228" s="193" t="n"/>
      <c r="D228" s="194" t="n"/>
      <c r="E228" s="193" t="n"/>
      <c r="F228" s="195" t="n"/>
      <c r="G228" s="194" t="n"/>
      <c r="H228" s="193" t="n"/>
      <c r="I228" s="195" t="n"/>
      <c r="J228" s="194" t="n"/>
      <c r="K228" s="193" t="n"/>
      <c r="L228" s="195" t="n"/>
      <c r="M228" s="194" t="n"/>
      <c r="N228" s="193" t="n"/>
      <c r="O228" s="195" t="n"/>
      <c r="P228" s="194" t="n"/>
      <c r="Q228" s="193" t="n"/>
      <c r="R228" s="195" t="n"/>
      <c r="S228" s="194" t="n"/>
      <c r="T228" s="193" t="n"/>
      <c r="U228" s="195" t="n"/>
      <c r="V228" s="194" t="n"/>
      <c r="W228" s="193" t="n"/>
      <c r="X228" s="195" t="n"/>
      <c r="Y228" s="194" t="n"/>
      <c r="Z228" s="193" t="n"/>
      <c r="AA228" s="195" t="n"/>
      <c r="AB228" s="194" t="n"/>
      <c r="AC228" s="193" t="n"/>
      <c r="AD228" s="193" t="n"/>
      <c r="AE228" s="193" t="n"/>
      <c r="AF228" s="193" t="n"/>
      <c r="AG228" s="195" t="n"/>
      <c r="AH228" s="194" t="n"/>
      <c r="AI228" s="193" t="n"/>
      <c r="AJ228" s="193" t="n"/>
      <c r="AK228" s="195" t="n"/>
      <c r="AL228" s="194" t="n"/>
      <c r="AM228" s="193" t="n"/>
      <c r="AN228" s="193" t="n"/>
      <c r="AO228" s="193" t="n"/>
      <c r="AP228" s="195" t="n"/>
      <c r="AQ228" s="194" t="n"/>
      <c r="AR228" s="193" t="n"/>
      <c r="AS228" s="196" t="n"/>
    </row>
    <row r="229" ht="17.625" customHeight="1" s="70">
      <c r="A229" s="143" t="n"/>
      <c r="B229" s="144" t="n"/>
      <c r="D229" s="145" t="n"/>
      <c r="E229" s="144" t="n"/>
      <c r="F229" s="146" t="n"/>
      <c r="G229" s="189" t="inlineStr">
        <is>
          <t>not on this certificate</t>
        </is>
      </c>
      <c r="H229" s="190" t="inlineStr">
        <is>
          <t>ППК26058, (11.05.2026) [CNP] · on file, not credited</t>
        </is>
      </c>
      <c r="I229" s="191" t="inlineStr">
        <is>
          <t>•</t>
        </is>
      </c>
      <c r="J229" s="218" t="inlineStr">
        <is>
          <t>Conforms (ImB spec.)</t>
        </is>
      </c>
      <c r="K229" s="219" t="inlineStr">
        <is>
          <t>ППК26058, (11.05.2026) [CNP]</t>
        </is>
      </c>
      <c r="L229" s="220" t="inlineStr">
        <is>
          <t>✓</t>
        </is>
      </c>
      <c r="M229" s="221" t="inlineStr">
        <is>
          <t>24.51</t>
        </is>
      </c>
      <c r="N229" s="219" t="inlineStr">
        <is>
          <t>ППК26057, (11.05.2026) [CNP]</t>
        </is>
      </c>
      <c r="O229" s="220" t="inlineStr">
        <is>
          <t>✓</t>
        </is>
      </c>
      <c r="P229" s="222" t="inlineStr">
        <is>
          <t>0.05</t>
        </is>
      </c>
      <c r="Q229" s="219" t="inlineStr">
        <is>
          <t>ППК26057, (11.05.2026) [CNP]</t>
        </is>
      </c>
      <c r="R229" s="220" t="inlineStr">
        <is>
          <t>✓</t>
        </is>
      </c>
      <c r="S229" s="223" t="inlineStr">
        <is>
          <t>2.05 ᴰ</t>
        </is>
      </c>
      <c r="T229" s="219" t="inlineStr">
        <is>
          <t>ППК26058, (11.05.2026) [CNP]</t>
        </is>
      </c>
      <c r="U229" s="220" t="inlineStr">
        <is>
          <t>✓</t>
        </is>
      </c>
      <c r="V229" s="145" t="n"/>
      <c r="W229" s="144" t="n"/>
      <c r="X229" s="146" t="n"/>
      <c r="Y229" s="218" t="inlineStr">
        <is>
          <t>6.85</t>
        </is>
      </c>
      <c r="Z229" s="219" t="inlineStr">
        <is>
          <t>ППК26057, (11.05.2026) [CNP]</t>
        </is>
      </c>
      <c r="AA229" s="220" t="inlineStr">
        <is>
          <t>✓</t>
        </is>
      </c>
      <c r="AB229" s="145" t="n"/>
      <c r="AC229" s="144" t="n"/>
      <c r="AD229" s="144" t="n"/>
      <c r="AE229" s="144" t="n"/>
      <c r="AF229" s="144" t="n"/>
      <c r="AG229" s="146" t="n"/>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194" t="n"/>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45" t="n"/>
      <c r="H231" s="144" t="n"/>
      <c r="I231" s="146" t="n"/>
      <c r="J231" s="155" t="inlineStr">
        <is>
          <t>Conforms (ImB spec.)</t>
        </is>
      </c>
      <c r="K231" s="185" t="inlineStr">
        <is>
          <t>227-18-K-26, (11.09.2026) [FHM-K]</t>
        </is>
      </c>
      <c r="L231" s="186" t="inlineStr">
        <is>
          <t>✓</t>
        </is>
      </c>
      <c r="M231" s="221" t="inlineStr">
        <is>
          <t>17.05</t>
        </is>
      </c>
      <c r="N231" s="219" t="inlineStr">
        <is>
          <t>ППК26058, (11.05.2026) [CNP]</t>
        </is>
      </c>
      <c r="O231" s="220" t="inlineStr">
        <is>
          <t>✓</t>
        </is>
      </c>
      <c r="P231" s="222" t="inlineStr">
        <is>
          <t>0.03</t>
        </is>
      </c>
      <c r="Q231" s="219" t="inlineStr">
        <is>
          <t>ППК26058, (11.05.2026) [CNP]</t>
        </is>
      </c>
      <c r="R231" s="220" t="inlineStr">
        <is>
          <t>✓</t>
        </is>
      </c>
      <c r="S231" s="188" t="inlineStr">
        <is>
          <t>&lt; LOQ</t>
        </is>
      </c>
      <c r="T231" s="185" t="inlineStr">
        <is>
          <t>227-18-K-26, (11.09.2026) [FHM-K]</t>
        </is>
      </c>
      <c r="U231" s="186" t="inlineStr">
        <is>
          <t>✓</t>
        </is>
      </c>
      <c r="V231" s="145" t="n"/>
      <c r="W231" s="144" t="n"/>
      <c r="X231" s="146" t="n"/>
      <c r="Y231" s="218" t="inlineStr">
        <is>
          <t>6.60</t>
        </is>
      </c>
      <c r="Z231" s="219" t="inlineStr">
        <is>
          <t>ППК26058, (11.05.2026) [CNP]</t>
        </is>
      </c>
      <c r="AA231" s="220" t="inlineStr">
        <is>
          <t>✓</t>
        </is>
      </c>
      <c r="AB231" s="145" t="n"/>
      <c r="AC231" s="144" t="n"/>
      <c r="AD231" s="144" t="n"/>
      <c r="AE231" s="144" t="n"/>
      <c r="AF231" s="144" t="n"/>
      <c r="AG231" s="146" t="n"/>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194" t="n"/>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45" t="n"/>
      <c r="H233" s="144" t="n"/>
      <c r="I233" s="146" t="n"/>
      <c r="J233" s="145" t="n"/>
      <c r="K233" s="144" t="n"/>
      <c r="L233" s="146" t="n"/>
      <c r="M233" s="150" t="inlineStr">
        <is>
          <t>25.97</t>
        </is>
      </c>
      <c r="N233" s="148" t="inlineStr">
        <is>
          <t>227-18-K-26, (11.09.2026) [FHM-K]</t>
        </is>
      </c>
      <c r="O233" s="149" t="inlineStr">
        <is>
          <t>✓</t>
        </is>
      </c>
      <c r="P233" s="151" t="inlineStr">
        <is>
          <t>&lt; LOQ</t>
        </is>
      </c>
      <c r="Q233" s="148" t="inlineStr">
        <is>
          <t>227-18-K-26, (11.09.2026) [FHM-K]</t>
        </is>
      </c>
      <c r="R233" s="149" t="inlineStr">
        <is>
          <t>✓</t>
        </is>
      </c>
      <c r="S233" s="145" t="n"/>
      <c r="T233" s="144" t="n"/>
      <c r="U233" s="146" t="n"/>
      <c r="V233" s="145" t="n"/>
      <c r="W233" s="144" t="n"/>
      <c r="X233" s="146" t="n"/>
      <c r="Y233" s="145" t="n"/>
      <c r="Z233" s="144" t="n"/>
      <c r="AA233" s="146" t="n"/>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58" t="n"/>
      <c r="B234" s="159" t="n"/>
      <c r="C234" s="159" t="n"/>
      <c r="D234" s="160" t="n"/>
      <c r="E234" s="159" t="n"/>
      <c r="F234" s="161" t="n"/>
      <c r="G234" s="160" t="n"/>
      <c r="H234" s="159" t="n"/>
      <c r="I234" s="161" t="n"/>
      <c r="J234" s="160" t="n"/>
      <c r="K234" s="159" t="n"/>
      <c r="L234" s="161" t="n"/>
      <c r="M234" s="160" t="n"/>
      <c r="N234" s="159" t="n"/>
      <c r="O234" s="161" t="n"/>
      <c r="P234" s="160" t="n"/>
      <c r="Q234" s="159" t="n"/>
      <c r="R234" s="161" t="n"/>
      <c r="S234" s="160" t="n"/>
      <c r="T234" s="159" t="n"/>
      <c r="U234" s="161" t="n"/>
      <c r="V234" s="160" t="n"/>
      <c r="W234" s="159" t="n"/>
      <c r="X234" s="161" t="n"/>
      <c r="Y234" s="160" t="n"/>
      <c r="Z234" s="159" t="n"/>
      <c r="AA234" s="161" t="n"/>
      <c r="AB234" s="160" t="n"/>
      <c r="AC234" s="159" t="n"/>
      <c r="AD234" s="159" t="n"/>
      <c r="AE234" s="159" t="n"/>
      <c r="AF234" s="159" t="n"/>
      <c r="AG234" s="161" t="n"/>
      <c r="AH234" s="160" t="n"/>
      <c r="AI234" s="159" t="n"/>
      <c r="AJ234" s="159" t="n"/>
      <c r="AK234" s="161" t="n"/>
      <c r="AL234" s="160" t="n"/>
      <c r="AM234" s="159" t="n"/>
      <c r="AN234" s="159" t="n"/>
      <c r="AO234" s="159" t="n"/>
      <c r="AP234" s="161" t="n"/>
      <c r="AQ234" s="160" t="n"/>
      <c r="AR234" s="159" t="n"/>
      <c r="AS234" s="163" t="n"/>
    </row>
    <row r="235" ht="21" customHeight="1" s="70">
      <c r="A235" s="125" t="inlineStr">
        <is>
          <t>CJ062501/2</t>
        </is>
      </c>
      <c r="B235" s="126" t="inlineStr">
        <is>
          <t>P050212</t>
        </is>
      </c>
      <c r="C235" s="171" t="inlineStr">
        <is>
          <t>✓ COMPLETE
2 testing instances
• 2 document(s) on file, not credited
✗ OUT OF SPECIFICATION: #9 TYMC</t>
        </is>
      </c>
      <c r="D235" s="128" t="inlineStr">
        <is>
          <t>Conforms</t>
        </is>
      </c>
      <c r="E235" s="129">
        <f>IFERROR(INDEX('iCoA Register'!$B:$B,MATCH("P050212|I",'iCoA Register'!$AA:$AA,0)),"iCoA — at issue")&amp;", (18.11.2025) [PP]"</f>
        <v/>
      </c>
      <c r="F235" s="130" t="inlineStr">
        <is>
          <t>✓</t>
        </is>
      </c>
      <c r="G235" s="131" t="inlineStr">
        <is>
          <t>not on this certificate</t>
        </is>
      </c>
      <c r="H235" s="132" t="inlineStr">
        <is>
          <t>ППК25322, (23.10.2025) [CNP] · on file, not credited</t>
        </is>
      </c>
      <c r="I235" s="133" t="inlineStr">
        <is>
          <t>•</t>
        </is>
      </c>
      <c r="J235" s="128" t="inlineStr">
        <is>
          <t>Conforms (ImB spec.)</t>
        </is>
      </c>
      <c r="K235" s="129" t="inlineStr">
        <is>
          <t>ППК25322, (23.10.2025) [CNP]</t>
        </is>
      </c>
      <c r="L235" s="130" t="inlineStr">
        <is>
          <t>✓</t>
        </is>
      </c>
      <c r="M235" s="134" t="inlineStr">
        <is>
          <t>16.56</t>
        </is>
      </c>
      <c r="N235" s="129" t="inlineStr">
        <is>
          <t>ППК25322, (23.10.2025) [CNP]</t>
        </is>
      </c>
      <c r="O235" s="130" t="inlineStr">
        <is>
          <t>✓</t>
        </is>
      </c>
      <c r="P235" s="135" t="inlineStr">
        <is>
          <t>0.14</t>
        </is>
      </c>
      <c r="Q235" s="129" t="inlineStr">
        <is>
          <t>ППК25322, (23.10.2025) [CNP]</t>
        </is>
      </c>
      <c r="R235" s="130" t="inlineStr">
        <is>
          <t>✓</t>
        </is>
      </c>
      <c r="S235" s="135" t="inlineStr">
        <is>
          <t>&lt; LOQ ᴰ</t>
        </is>
      </c>
      <c r="T235" s="129" t="inlineStr">
        <is>
          <t>ППК25322, (23.10.2025) [CNP]</t>
        </is>
      </c>
      <c r="U235" s="130" t="inlineStr">
        <is>
          <t>✓</t>
        </is>
      </c>
      <c r="V235" s="128" t="inlineStr">
        <is>
          <t>Conforms</t>
        </is>
      </c>
      <c r="W235" s="129">
        <f>IFERROR(INDEX('iCoA Register'!$B:$B,MATCH("P050212|I",'iCoA Register'!$AA:$AA,0)),"iCoA — at issue")&amp;", (18.11.2025) [PP]"</f>
        <v/>
      </c>
      <c r="X235" s="130" t="inlineStr">
        <is>
          <t>✓</t>
        </is>
      </c>
      <c r="Y235" s="128" t="inlineStr">
        <is>
          <t>6.70</t>
        </is>
      </c>
      <c r="Z235" s="129" t="inlineStr">
        <is>
          <t>ППК25322, (23.10.2025) [CNP]</t>
        </is>
      </c>
      <c r="AA235" s="130" t="inlineStr">
        <is>
          <t>✓</t>
        </is>
      </c>
      <c r="AB235" s="128" t="inlineStr">
        <is>
          <t>2.2 × 10⁴</t>
        </is>
      </c>
      <c r="AC235" s="225" t="inlineStr">
        <is>
          <t>4.9 × 10⁴</t>
        </is>
      </c>
      <c r="AD235" s="136" t="inlineStr">
        <is>
          <t>&lt; 10⁴ and &gt; 10³</t>
        </is>
      </c>
      <c r="AE235" s="136" t="inlineStr">
        <is>
          <t>Absent</t>
        </is>
      </c>
      <c r="AF235" s="136" t="inlineStr">
        <is>
          <t>Absent</t>
        </is>
      </c>
      <c r="AG235" s="130" t="inlineStr">
        <is>
          <t>✓</t>
        </is>
      </c>
      <c r="AH235" s="128" t="inlineStr">
        <is>
          <t>ND</t>
        </is>
      </c>
      <c r="AI235" s="136" t="inlineStr">
        <is>
          <t>&lt; 2</t>
        </is>
      </c>
      <c r="AJ235" s="136" t="inlineStr">
        <is>
          <t>ND</t>
        </is>
      </c>
      <c r="AK235" s="130" t="inlineStr">
        <is>
          <t>✓</t>
        </is>
      </c>
      <c r="AL235" s="128" t="inlineStr">
        <is>
          <t>0.026</t>
        </is>
      </c>
      <c r="AM235" s="136" t="inlineStr">
        <is>
          <t>0.002</t>
        </is>
      </c>
      <c r="AN235" s="136" t="inlineStr">
        <is>
          <t>0.011</t>
        </is>
      </c>
      <c r="AO235" s="136" t="inlineStr">
        <is>
          <t>0.012</t>
        </is>
      </c>
      <c r="AP235" s="130" t="inlineStr">
        <is>
          <t>✓</t>
        </is>
      </c>
      <c r="AQ235" s="128" t="inlineStr">
        <is>
          <t>≤ LOQ (all 28 compounds)</t>
        </is>
      </c>
      <c r="AR235" s="129" t="inlineStr">
        <is>
          <t>4908-2025, (24.10.2025) [IJZ]</t>
        </is>
      </c>
      <c r="AS235" s="137" t="inlineStr">
        <is>
          <t>✓</t>
        </is>
      </c>
    </row>
    <row r="236" ht="13" customHeight="1" s="70">
      <c r="A236" s="138" t="n"/>
      <c r="D236" s="139" t="n"/>
      <c r="F236" s="140" t="n"/>
      <c r="G236" s="139" t="n"/>
      <c r="I236" s="140" t="n"/>
      <c r="J236" s="139" t="n"/>
      <c r="L236" s="140" t="n"/>
      <c r="M236" s="139" t="n"/>
      <c r="O236" s="140" t="n"/>
      <c r="P236" s="139" t="n"/>
      <c r="R236" s="140" t="n"/>
      <c r="S236" s="139" t="n"/>
      <c r="U236" s="140" t="n"/>
      <c r="V236" s="139" t="n"/>
      <c r="X236" s="140" t="n"/>
      <c r="Y236" s="139" t="n"/>
      <c r="AA236" s="140" t="n"/>
      <c r="AB236" s="141" t="inlineStr">
        <is>
          <t>1032-1851-25, (17.10.2025) [IJZ-MB]</t>
        </is>
      </c>
      <c r="AG236" s="140" t="n"/>
      <c r="AH236" s="141" t="inlineStr">
        <is>
          <t>4908-2025, (24.10.2025) [IJZ]</t>
        </is>
      </c>
      <c r="AK236" s="140" t="n"/>
      <c r="AL236" s="141" t="inlineStr">
        <is>
          <t>4908-2025, (24.10.2025) [IJZ]</t>
        </is>
      </c>
      <c r="AP236" s="140" t="n"/>
      <c r="AQ236" s="139" t="n"/>
      <c r="AS236" s="142" t="n"/>
    </row>
    <row r="237" ht="17.625" customHeight="1" s="70">
      <c r="A237" s="143" t="n"/>
      <c r="B237" s="144" t="n"/>
      <c r="D237" s="145" t="n"/>
      <c r="E237" s="144" t="n"/>
      <c r="F237" s="146" t="n"/>
      <c r="G237" s="147" t="inlineStr">
        <is>
          <t>Conforms</t>
        </is>
      </c>
      <c r="H237" s="148">
        <f>IFERROR(INDEX('iCoA Register'!$B:$B,MATCH("P050212|I",'iCoA Register'!$AA:$AA,0)),"iCoA — at issue")&amp;", (18.11.2025) [PP]"</f>
        <v/>
      </c>
      <c r="I237" s="149" t="inlineStr">
        <is>
          <t>✓</t>
        </is>
      </c>
      <c r="J237" s="147" t="inlineStr">
        <is>
          <t>Conforms (ImB spec.) ᴿ</t>
        </is>
      </c>
      <c r="K237" s="148" t="inlineStr">
        <is>
          <t>197-4-K-26, (07.08.2026) [FHM-K]</t>
        </is>
      </c>
      <c r="L237" s="149" t="inlineStr">
        <is>
          <t>✓</t>
        </is>
      </c>
      <c r="M237" s="150" t="inlineStr">
        <is>
          <t>18.91</t>
        </is>
      </c>
      <c r="N237" s="148" t="inlineStr">
        <is>
          <t>197-4-K-26, (07.08.2026) [FHM-K]</t>
        </is>
      </c>
      <c r="O237" s="149" t="inlineStr">
        <is>
          <t>✓</t>
        </is>
      </c>
      <c r="P237" s="151" t="inlineStr">
        <is>
          <t>&lt; LOQ</t>
        </is>
      </c>
      <c r="Q237" s="148" t="inlineStr">
        <is>
          <t>197-4-K-26, (07.08.2026) [FHM-K]</t>
        </is>
      </c>
      <c r="R237" s="149" t="inlineStr">
        <is>
          <t>✓</t>
        </is>
      </c>
      <c r="S237" s="151" t="inlineStr">
        <is>
          <t>&lt; LOQ</t>
        </is>
      </c>
      <c r="T237" s="148" t="inlineStr">
        <is>
          <t>197-4-K-26, (07.08.2026) [FHM-K]</t>
        </is>
      </c>
      <c r="U237" s="149" t="inlineStr">
        <is>
          <t>✓</t>
        </is>
      </c>
      <c r="V237" s="145" t="n"/>
      <c r="W237" s="144" t="n"/>
      <c r="X237" s="146" t="n"/>
      <c r="Y237" s="152" t="inlineStr">
        <is>
          <t>not on this certificate</t>
        </is>
      </c>
      <c r="Z237" s="153" t="inlineStr">
        <is>
          <t>197-4-K-26, (07.08.2026) [FHM-K] · on file, not credited</t>
        </is>
      </c>
      <c r="AA237" s="154" t="inlineStr">
        <is>
          <t>•</t>
        </is>
      </c>
      <c r="AB237" s="145" t="n"/>
      <c r="AC237" s="144" t="n"/>
      <c r="AD237" s="144" t="n"/>
      <c r="AE237" s="144" t="n"/>
      <c r="AF237" s="144" t="n"/>
      <c r="AG237" s="146" t="n"/>
      <c r="AH237" s="155" t="inlineStr">
        <is>
          <t>ND</t>
        </is>
      </c>
      <c r="AI237" s="156" t="inlineStr">
        <is>
          <t>ND</t>
        </is>
      </c>
      <c r="AJ237" s="156" t="inlineStr">
        <is>
          <t>ND</t>
        </is>
      </c>
      <c r="AK237" s="149" t="inlineStr">
        <is>
          <t>✓</t>
        </is>
      </c>
      <c r="AL237" s="145" t="n"/>
      <c r="AM237" s="144" t="n"/>
      <c r="AN237" s="144" t="n"/>
      <c r="AO237" s="144" t="n"/>
      <c r="AP237" s="146" t="n"/>
      <c r="AQ237" s="145" t="n"/>
      <c r="AR237" s="144" t="n"/>
      <c r="AS237" s="157" t="n"/>
    </row>
    <row r="238" ht="15.375" customHeight="1" s="70">
      <c r="A238" s="158" t="n"/>
      <c r="B238" s="159" t="n"/>
      <c r="C238" s="159" t="n"/>
      <c r="D238" s="160" t="n"/>
      <c r="E238" s="159" t="n"/>
      <c r="F238" s="161" t="n"/>
      <c r="G238" s="160" t="n"/>
      <c r="H238" s="159" t="n"/>
      <c r="I238" s="161" t="n"/>
      <c r="J238" s="160" t="n"/>
      <c r="K238" s="159" t="n"/>
      <c r="L238" s="161" t="n"/>
      <c r="M238" s="160" t="n"/>
      <c r="N238" s="159" t="n"/>
      <c r="O238" s="161" t="n"/>
      <c r="P238" s="160" t="n"/>
      <c r="Q238" s="159" t="n"/>
      <c r="R238" s="161" t="n"/>
      <c r="S238" s="160" t="n"/>
      <c r="T238" s="159" t="n"/>
      <c r="U238" s="161" t="n"/>
      <c r="V238" s="160" t="n"/>
      <c r="W238" s="159" t="n"/>
      <c r="X238" s="161" t="n"/>
      <c r="Y238" s="160" t="n"/>
      <c r="Z238" s="159" t="n"/>
      <c r="AA238" s="161" t="n"/>
      <c r="AB238" s="160" t="n"/>
      <c r="AC238" s="159" t="n"/>
      <c r="AD238" s="159" t="n"/>
      <c r="AE238" s="159" t="n"/>
      <c r="AF238" s="159" t="n"/>
      <c r="AG238" s="161" t="n"/>
      <c r="AH238" s="162" t="inlineStr">
        <is>
          <t>197-4-M-26, (10.08.2026) [FHM-M]</t>
        </is>
      </c>
      <c r="AI238" s="159" t="n"/>
      <c r="AJ238" s="159" t="n"/>
      <c r="AK238" s="161" t="n"/>
      <c r="AL238" s="160" t="n"/>
      <c r="AM238" s="159" t="n"/>
      <c r="AN238" s="159" t="n"/>
      <c r="AO238" s="159" t="n"/>
      <c r="AP238" s="161" t="n"/>
      <c r="AQ238" s="160" t="n"/>
      <c r="AR238" s="159" t="n"/>
      <c r="AS238" s="163" t="n"/>
    </row>
    <row r="239" ht="17.625" customHeight="1" s="70">
      <c r="A239" s="125" t="inlineStr">
        <is>
          <t>CJ062501/1</t>
        </is>
      </c>
      <c r="B239" s="126" t="inlineStr">
        <is>
          <t>P050222</t>
        </is>
      </c>
      <c r="C239" s="127" t="inlineStr">
        <is>
          <t>✓ COMPLETE
2 testing instances
• 1 document(s) on file, not credited</t>
        </is>
      </c>
      <c r="D239" s="128" t="inlineStr">
        <is>
          <t>Conforms</t>
        </is>
      </c>
      <c r="E239" s="129">
        <f>IFERROR(INDEX('iCoA Register'!$B:$B,MATCH("P050222|I",'iCoA Register'!$AA:$AA,0)),"iCoA — at issue")&amp;", (24.11.2025) [PP]"</f>
        <v/>
      </c>
      <c r="F239" s="130" t="inlineStr">
        <is>
          <t>✓</t>
        </is>
      </c>
      <c r="G239" s="131" t="inlineStr">
        <is>
          <t>not on this certificate</t>
        </is>
      </c>
      <c r="H239" s="132" t="inlineStr">
        <is>
          <t>ППК25321, (23.10.2025) [CNP] · on file, not credited</t>
        </is>
      </c>
      <c r="I239" s="133" t="inlineStr">
        <is>
          <t>•</t>
        </is>
      </c>
      <c r="J239" s="128" t="inlineStr">
        <is>
          <t>Conforms (ImB spec.)</t>
        </is>
      </c>
      <c r="K239" s="129" t="inlineStr">
        <is>
          <t>ППК25321, (23.10.2025) [CNP]</t>
        </is>
      </c>
      <c r="L239" s="130" t="inlineStr">
        <is>
          <t>✓</t>
        </is>
      </c>
      <c r="M239" s="134" t="inlineStr">
        <is>
          <t>21.51</t>
        </is>
      </c>
      <c r="N239" s="129" t="inlineStr">
        <is>
          <t>ППК25321, (23.10.2025) [CNP]</t>
        </is>
      </c>
      <c r="O239" s="130" t="inlineStr">
        <is>
          <t>✓</t>
        </is>
      </c>
      <c r="P239" s="135" t="inlineStr">
        <is>
          <t>0.07</t>
        </is>
      </c>
      <c r="Q239" s="129" t="inlineStr">
        <is>
          <t>ППК25321, (23.10.2025) [CNP]</t>
        </is>
      </c>
      <c r="R239" s="130" t="inlineStr">
        <is>
          <t>✓</t>
        </is>
      </c>
      <c r="S239" s="135" t="inlineStr">
        <is>
          <t>0.02 ᴰ</t>
        </is>
      </c>
      <c r="T239" s="129" t="inlineStr">
        <is>
          <t>ППК25321, (23.10.2025) [CNP]</t>
        </is>
      </c>
      <c r="U239" s="130" t="inlineStr">
        <is>
          <t>✓</t>
        </is>
      </c>
      <c r="V239" s="128" t="inlineStr">
        <is>
          <t>Conforms</t>
        </is>
      </c>
      <c r="W239" s="129">
        <f>IFERROR(INDEX('iCoA Register'!$B:$B,MATCH("P050222|I",'iCoA Register'!$AA:$AA,0)),"iCoA — at issue")&amp;", (24.11.2025) [PP]"</f>
        <v/>
      </c>
      <c r="X239" s="130" t="inlineStr">
        <is>
          <t>✓</t>
        </is>
      </c>
      <c r="Y239" s="128" t="inlineStr">
        <is>
          <t>7.77</t>
        </is>
      </c>
      <c r="Z239" s="129" t="inlineStr">
        <is>
          <t>ППК25321, (23.10.2025) [CNP]</t>
        </is>
      </c>
      <c r="AA239" s="130" t="inlineStr">
        <is>
          <t>✓</t>
        </is>
      </c>
      <c r="AB239" s="128" t="inlineStr">
        <is>
          <t>&lt; 10</t>
        </is>
      </c>
      <c r="AC239" s="136" t="inlineStr">
        <is>
          <t>20</t>
        </is>
      </c>
      <c r="AD239" s="136" t="inlineStr">
        <is>
          <t>&lt; 10</t>
        </is>
      </c>
      <c r="AE239" s="136" t="inlineStr">
        <is>
          <t>Absent</t>
        </is>
      </c>
      <c r="AF239" s="136" t="inlineStr">
        <is>
          <t>Absent</t>
        </is>
      </c>
      <c r="AG239" s="130" t="inlineStr">
        <is>
          <t>✓</t>
        </is>
      </c>
      <c r="AH239" s="128" t="inlineStr">
        <is>
          <t>ND</t>
        </is>
      </c>
      <c r="AI239" s="136" t="inlineStr">
        <is>
          <t>&lt; 2</t>
        </is>
      </c>
      <c r="AJ239" s="136" t="inlineStr">
        <is>
          <t>ND</t>
        </is>
      </c>
      <c r="AK239" s="130" t="inlineStr">
        <is>
          <t>✓</t>
        </is>
      </c>
      <c r="AL239" s="128" t="inlineStr">
        <is>
          <t>0.037</t>
        </is>
      </c>
      <c r="AM239" s="136" t="inlineStr">
        <is>
          <t>0.002</t>
        </is>
      </c>
      <c r="AN239" s="136" t="inlineStr">
        <is>
          <t>0.027</t>
        </is>
      </c>
      <c r="AO239" s="136" t="inlineStr">
        <is>
          <t>0.017</t>
        </is>
      </c>
      <c r="AP239" s="130" t="inlineStr">
        <is>
          <t>✓</t>
        </is>
      </c>
      <c r="AQ239" s="128" t="inlineStr">
        <is>
          <t>≤ LOQ (all 29 compounds)</t>
        </is>
      </c>
      <c r="AR239" s="129" t="inlineStr">
        <is>
          <t>4907-2025, (24.10.2025) [IJZ]</t>
        </is>
      </c>
      <c r="AS239" s="137" t="inlineStr">
        <is>
          <t>✓</t>
        </is>
      </c>
    </row>
    <row r="240" ht="13" customHeight="1" s="70">
      <c r="A240" s="138" t="n"/>
      <c r="D240" s="139" t="n"/>
      <c r="F240" s="140" t="n"/>
      <c r="G240" s="139" t="n"/>
      <c r="I240" s="140" t="n"/>
      <c r="J240" s="139" t="n"/>
      <c r="L240" s="140" t="n"/>
      <c r="M240" s="139" t="n"/>
      <c r="O240" s="140" t="n"/>
      <c r="P240" s="139" t="n"/>
      <c r="R240" s="140" t="n"/>
      <c r="S240" s="139" t="n"/>
      <c r="U240" s="140" t="n"/>
      <c r="V240" s="139" t="n"/>
      <c r="X240" s="140" t="n"/>
      <c r="Y240" s="139" t="n"/>
      <c r="AA240" s="140" t="n"/>
      <c r="AB240" s="141" t="inlineStr">
        <is>
          <t>1217-2168-25, (01.12.2025) [IJZ-MB]</t>
        </is>
      </c>
      <c r="AG240" s="140" t="n"/>
      <c r="AH240" s="141" t="inlineStr">
        <is>
          <t>4907-2025, (24.10.2025) [IJZ]</t>
        </is>
      </c>
      <c r="AK240" s="140" t="n"/>
      <c r="AL240" s="141" t="inlineStr">
        <is>
          <t>4907-2025, (24.10.2025) [IJZ]</t>
        </is>
      </c>
      <c r="AP240" s="140" t="n"/>
      <c r="AQ240" s="139" t="n"/>
      <c r="AS240" s="142" t="n"/>
    </row>
    <row r="241" ht="14" customHeight="1" s="70">
      <c r="A241" s="143" t="n"/>
      <c r="B241" s="144" t="n"/>
      <c r="D241" s="145" t="n"/>
      <c r="E241" s="144" t="n"/>
      <c r="F241" s="146" t="n"/>
      <c r="G241" s="147" t="inlineStr">
        <is>
          <t>Conforms</t>
        </is>
      </c>
      <c r="H241" s="148">
        <f>IFERROR(INDEX('iCoA Register'!$B:$B,MATCH("P050222|I",'iCoA Register'!$AA:$AA,0)),"iCoA — at issue")&amp;", (24.11.2025) [PP]"</f>
        <v/>
      </c>
      <c r="I241" s="149" t="inlineStr">
        <is>
          <t>✓</t>
        </is>
      </c>
      <c r="J241" s="145" t="n"/>
      <c r="K241" s="144" t="n"/>
      <c r="L241" s="146" t="n"/>
      <c r="M241" s="145" t="n"/>
      <c r="N241" s="144" t="n"/>
      <c r="O241" s="146" t="n"/>
      <c r="P241" s="145" t="n"/>
      <c r="Q241" s="144" t="n"/>
      <c r="R241" s="146" t="n"/>
      <c r="S241" s="145" t="n"/>
      <c r="T241" s="144" t="n"/>
      <c r="U241" s="146" t="n"/>
      <c r="V241" s="145" t="n"/>
      <c r="W241" s="144" t="n"/>
      <c r="X241" s="146" t="n"/>
      <c r="Y241" s="145" t="n"/>
      <c r="Z241" s="144" t="n"/>
      <c r="AA241" s="146" t="n"/>
      <c r="AB241" s="145" t="n"/>
      <c r="AC241" s="144" t="n"/>
      <c r="AD241" s="144" t="n"/>
      <c r="AE241" s="144" t="n"/>
      <c r="AF241" s="144" t="n"/>
      <c r="AG241" s="146" t="n"/>
      <c r="AH241" s="155" t="inlineStr">
        <is>
          <t>ND</t>
        </is>
      </c>
      <c r="AI241" s="156" t="inlineStr">
        <is>
          <t>ND</t>
        </is>
      </c>
      <c r="AJ241" s="156" t="inlineStr">
        <is>
          <t>ND</t>
        </is>
      </c>
      <c r="AK241" s="149" t="inlineStr">
        <is>
          <t>✓</t>
        </is>
      </c>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2" t="inlineStr">
        <is>
          <t>220-3-M-26, (11.09.2026) [FHM-M]</t>
        </is>
      </c>
      <c r="AI242" s="159" t="n"/>
      <c r="AJ242" s="159" t="n"/>
      <c r="AK242" s="161" t="n"/>
      <c r="AL242" s="160" t="n"/>
      <c r="AM242" s="159" t="n"/>
      <c r="AN242" s="159" t="n"/>
      <c r="AO242" s="159" t="n"/>
      <c r="AP242" s="161" t="n"/>
      <c r="AQ242" s="160" t="n"/>
      <c r="AR242" s="159" t="n"/>
      <c r="AS242" s="163" t="n"/>
    </row>
    <row r="243" ht="17.625" customHeight="1" s="70">
      <c r="A243" s="125" t="inlineStr">
        <is>
          <t>CJ072501</t>
        </is>
      </c>
      <c r="B243" s="126" t="inlineStr">
        <is>
          <t>P050252</t>
        </is>
      </c>
      <c r="C243" s="127" t="inlineStr">
        <is>
          <t>✓ COMPLETE
2 testing instances
• 1 document(s) on file, not credited</t>
        </is>
      </c>
      <c r="D243" s="128" t="inlineStr">
        <is>
          <t>Conforms</t>
        </is>
      </c>
      <c r="E243" s="129">
        <f>IFERROR(INDEX('iCoA Register'!$B:$B,MATCH("P050252|I",'iCoA Register'!$AA:$AA,0)),"iCoA — at issue")&amp;", (27.11.2025) [PP]"</f>
        <v/>
      </c>
      <c r="F243" s="130" t="inlineStr">
        <is>
          <t>✓</t>
        </is>
      </c>
      <c r="G243" s="128" t="inlineStr">
        <is>
          <t>Conforms</t>
        </is>
      </c>
      <c r="H243" s="129">
        <f>IFERROR(INDEX('iCoA Register'!$B:$B,MATCH("P050252|I",'iCoA Register'!$AA:$AA,0)),"iCoA — at issue")&amp;", (27.11.2025) [PP]"</f>
        <v/>
      </c>
      <c r="I243" s="130" t="inlineStr">
        <is>
          <t>✓</t>
        </is>
      </c>
      <c r="J243" s="128" t="inlineStr">
        <is>
          <t>Conforms (ImB spec.)</t>
        </is>
      </c>
      <c r="K243" s="129" t="inlineStr">
        <is>
          <t>ППК25367, (28.11.2025) [CNP]</t>
        </is>
      </c>
      <c r="L243" s="130" t="inlineStr">
        <is>
          <t>✓</t>
        </is>
      </c>
      <c r="M243" s="134" t="inlineStr">
        <is>
          <t>23.70</t>
        </is>
      </c>
      <c r="N243" s="129" t="inlineStr">
        <is>
          <t>ППК25367, (28.11.2025) [CNP]</t>
        </is>
      </c>
      <c r="O243" s="130" t="inlineStr">
        <is>
          <t>✓</t>
        </is>
      </c>
      <c r="P243" s="135" t="inlineStr">
        <is>
          <t>0.09</t>
        </is>
      </c>
      <c r="Q243" s="129" t="inlineStr">
        <is>
          <t>ППК25367, (28.11.2025) [CNP]</t>
        </is>
      </c>
      <c r="R243" s="130" t="inlineStr">
        <is>
          <t>✓</t>
        </is>
      </c>
      <c r="S243" s="135" t="inlineStr">
        <is>
          <t>&lt; LOQ ᴰ</t>
        </is>
      </c>
      <c r="T243" s="129" t="inlineStr">
        <is>
          <t>ППК25367, (28.11.2025) [CNP]</t>
        </is>
      </c>
      <c r="U243" s="130" t="inlineStr">
        <is>
          <t>✓</t>
        </is>
      </c>
      <c r="V243" s="128" t="inlineStr">
        <is>
          <t>Conforms</t>
        </is>
      </c>
      <c r="W243" s="129">
        <f>IFERROR(INDEX('iCoA Register'!$B:$B,MATCH("P050252|I",'iCoA Register'!$AA:$AA,0)),"iCoA — at issue")&amp;", (27.11.2025) [PP]"</f>
        <v/>
      </c>
      <c r="X243" s="130" t="inlineStr">
        <is>
          <t>✓</t>
        </is>
      </c>
      <c r="Y243" s="128" t="inlineStr">
        <is>
          <t>8.22</t>
        </is>
      </c>
      <c r="Z243" s="129" t="inlineStr">
        <is>
          <t>ППК25367, (28.11.2025) [CNP]</t>
        </is>
      </c>
      <c r="AA243" s="130" t="inlineStr">
        <is>
          <t>✓</t>
        </is>
      </c>
      <c r="AB243" s="128" t="inlineStr">
        <is>
          <t>4.5 × 10³</t>
        </is>
      </c>
      <c r="AC243" s="136" t="inlineStr">
        <is>
          <t>3.5 × 10³</t>
        </is>
      </c>
      <c r="AD243" s="136" t="inlineStr">
        <is>
          <t>&lt; 10</t>
        </is>
      </c>
      <c r="AE243" s="136" t="inlineStr">
        <is>
          <t>Absent</t>
        </is>
      </c>
      <c r="AF243" s="136" t="inlineStr">
        <is>
          <t>Absent</t>
        </is>
      </c>
      <c r="AG243" s="130" t="inlineStr">
        <is>
          <t>✓</t>
        </is>
      </c>
      <c r="AH243" s="128" t="inlineStr">
        <is>
          <t>ND</t>
        </is>
      </c>
      <c r="AI243" s="136" t="inlineStr">
        <is>
          <t>&lt; 2</t>
        </is>
      </c>
      <c r="AJ243" s="136" t="inlineStr">
        <is>
          <t>ND</t>
        </is>
      </c>
      <c r="AK243" s="130" t="inlineStr">
        <is>
          <t>✓</t>
        </is>
      </c>
      <c r="AL243" s="128" t="inlineStr">
        <is>
          <t>0.013</t>
        </is>
      </c>
      <c r="AM243" s="136" t="inlineStr">
        <is>
          <t>0.004</t>
        </is>
      </c>
      <c r="AN243" s="136" t="inlineStr">
        <is>
          <t>0.011</t>
        </is>
      </c>
      <c r="AO243" s="136" t="inlineStr">
        <is>
          <t>0.002</t>
        </is>
      </c>
      <c r="AP243" s="130" t="inlineStr">
        <is>
          <t>✓</t>
        </is>
      </c>
      <c r="AQ243" s="128" t="inlineStr">
        <is>
          <t>ND</t>
        </is>
      </c>
      <c r="AR243" s="129" t="inlineStr">
        <is>
          <t>5697-2025, (02.12.2025)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1218-2169-25, (01.12.2025) [IJZ-MB]</t>
        </is>
      </c>
      <c r="AG244" s="140" t="n"/>
      <c r="AH244" s="141" t="inlineStr">
        <is>
          <t>5697-2025, (02.12.2025) [IJZ]</t>
        </is>
      </c>
      <c r="AK244" s="140" t="n"/>
      <c r="AL244" s="141" t="inlineStr">
        <is>
          <t>5697-2025, (02.12.2025) [IJZ]</t>
        </is>
      </c>
      <c r="AP244" s="140" t="n"/>
      <c r="AQ244" s="139" t="n"/>
      <c r="AS244" s="142" t="n"/>
    </row>
    <row r="245" ht="17.625" customHeight="1" s="70">
      <c r="A245" s="143" t="n"/>
      <c r="B245" s="144" t="n"/>
      <c r="D245" s="145" t="n"/>
      <c r="E245" s="144" t="n"/>
      <c r="F245" s="146" t="n"/>
      <c r="G245" s="152" t="inlineStr">
        <is>
          <t>not on this certificate</t>
        </is>
      </c>
      <c r="H245" s="153" t="inlineStr">
        <is>
          <t>ППК25367, (28.11.2025) [CNP] · on file, not credited</t>
        </is>
      </c>
      <c r="I245" s="154" t="inlineStr">
        <is>
          <t>•</t>
        </is>
      </c>
      <c r="J245" s="147" t="inlineStr">
        <is>
          <t>Conforms (ImB spec.)</t>
        </is>
      </c>
      <c r="K245" s="148" t="inlineStr">
        <is>
          <t>227-27-K-26, (11.09.2026) [FHM-K]</t>
        </is>
      </c>
      <c r="L245" s="149" t="inlineStr">
        <is>
          <t>✓</t>
        </is>
      </c>
      <c r="M245" s="150" t="inlineStr">
        <is>
          <t>28.18</t>
        </is>
      </c>
      <c r="N245" s="148" t="inlineStr">
        <is>
          <t>227-27-K-26, (11.09.2026) [FHM-K]</t>
        </is>
      </c>
      <c r="O245" s="149" t="inlineStr">
        <is>
          <t>✓</t>
        </is>
      </c>
      <c r="P245" s="151" t="inlineStr">
        <is>
          <t>&lt; LOQ</t>
        </is>
      </c>
      <c r="Q245" s="148" t="inlineStr">
        <is>
          <t>227-27-K-26, (11.09.2026) [FHM-K]</t>
        </is>
      </c>
      <c r="R245" s="149" t="inlineStr">
        <is>
          <t>✓</t>
        </is>
      </c>
      <c r="S245" s="151" t="inlineStr">
        <is>
          <t>&lt; LOQ</t>
        </is>
      </c>
      <c r="T245" s="148" t="inlineStr">
        <is>
          <t>227-27-K-26, (11.09.2026) [FHM-K]</t>
        </is>
      </c>
      <c r="U245" s="149" t="inlineStr">
        <is>
          <t>✓</t>
        </is>
      </c>
      <c r="V245" s="145" t="n"/>
      <c r="W245" s="144" t="n"/>
      <c r="X245" s="146" t="n"/>
      <c r="Y245" s="145" t="n"/>
      <c r="Z245" s="144" t="n"/>
      <c r="AA245" s="146" t="n"/>
      <c r="AB245" s="155" t="inlineStr">
        <is>
          <t>&lt; 10</t>
        </is>
      </c>
      <c r="AC245" s="156" t="inlineStr">
        <is>
          <t>&lt; 10</t>
        </is>
      </c>
      <c r="AD245" s="156" t="inlineStr">
        <is>
          <t>&lt; 10</t>
        </is>
      </c>
      <c r="AE245" s="156" t="inlineStr">
        <is>
          <t>Absent</t>
        </is>
      </c>
      <c r="AF245" s="156" t="inlineStr">
        <is>
          <t>Absent</t>
        </is>
      </c>
      <c r="AG245" s="149" t="inlineStr">
        <is>
          <t>✓</t>
        </is>
      </c>
      <c r="AH245" s="145" t="n"/>
      <c r="AI245" s="144" t="n"/>
      <c r="AJ245" s="144" t="n"/>
      <c r="AK245" s="146" t="n"/>
      <c r="AL245" s="145" t="n"/>
      <c r="AM245" s="144" t="n"/>
      <c r="AN245" s="144" t="n"/>
      <c r="AO245" s="144" t="n"/>
      <c r="AP245" s="146" t="n"/>
      <c r="AQ245" s="145" t="n"/>
      <c r="AR245" s="144" t="n"/>
      <c r="AS245" s="157" t="n"/>
    </row>
    <row r="246" ht="13"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2" t="inlineStr">
        <is>
          <t>556-1087-26, (01.09.2026) [IJZ-MB]</t>
        </is>
      </c>
      <c r="AC246" s="159" t="n"/>
      <c r="AD246" s="159" t="n"/>
      <c r="AE246" s="159" t="n"/>
      <c r="AF246" s="159" t="n"/>
      <c r="AG246" s="161" t="n"/>
      <c r="AH246" s="160" t="n"/>
      <c r="AI246" s="159" t="n"/>
      <c r="AJ246" s="159" t="n"/>
      <c r="AK246" s="161" t="n"/>
      <c r="AL246" s="160" t="n"/>
      <c r="AM246" s="159" t="n"/>
      <c r="AN246" s="159" t="n"/>
      <c r="AO246" s="159" t="n"/>
      <c r="AP246" s="161" t="n"/>
      <c r="AQ246" s="160" t="n"/>
      <c r="AR246" s="159" t="n"/>
      <c r="AS246" s="163" t="n"/>
    </row>
    <row r="247" ht="17.625" customHeight="1" s="70">
      <c r="A247" s="125" t="inlineStr">
        <is>
          <t>WC072501</t>
        </is>
      </c>
      <c r="B247" s="126" t="inlineStr">
        <is>
          <t>P050262</t>
        </is>
      </c>
      <c r="C247" s="127" t="inlineStr">
        <is>
          <t>✓ COMPLETE
2 testing instances
• 1 document(s) on file, not credited</t>
        </is>
      </c>
      <c r="D247" s="128" t="inlineStr">
        <is>
          <t>Conforms</t>
        </is>
      </c>
      <c r="E247" s="129">
        <f>IFERROR(INDEX('iCoA Register'!$B:$B,MATCH("P050262|I",'iCoA Register'!$AA:$AA,0)),"iCoA — at issue")&amp;", (01.12.2025) [PP]"</f>
        <v/>
      </c>
      <c r="F247" s="130" t="inlineStr">
        <is>
          <t>✓</t>
        </is>
      </c>
      <c r="G247" s="131" t="inlineStr">
        <is>
          <t>not on this certificate</t>
        </is>
      </c>
      <c r="H247" s="132" t="inlineStr">
        <is>
          <t>ППК25369, (28.11.2025) [CNP] · on file, not credited</t>
        </is>
      </c>
      <c r="I247" s="133" t="inlineStr">
        <is>
          <t>•</t>
        </is>
      </c>
      <c r="J247" s="128" t="inlineStr">
        <is>
          <t>Conforms (ImB spec.)</t>
        </is>
      </c>
      <c r="K247" s="129" t="inlineStr">
        <is>
          <t>ППК25369, (28.11.2025) [CNP]</t>
        </is>
      </c>
      <c r="L247" s="130" t="inlineStr">
        <is>
          <t>✓</t>
        </is>
      </c>
      <c r="M247" s="134" t="inlineStr">
        <is>
          <t>22.11</t>
        </is>
      </c>
      <c r="N247" s="129" t="inlineStr">
        <is>
          <t>ППК25369, (28.11.2025) [CNP]</t>
        </is>
      </c>
      <c r="O247" s="130" t="inlineStr">
        <is>
          <t>✓</t>
        </is>
      </c>
      <c r="P247" s="135" t="inlineStr">
        <is>
          <t>0.06</t>
        </is>
      </c>
      <c r="Q247" s="129" t="inlineStr">
        <is>
          <t>ППК25369, (28.11.2025) [CNP]</t>
        </is>
      </c>
      <c r="R247" s="130" t="inlineStr">
        <is>
          <t>✓</t>
        </is>
      </c>
      <c r="S247" s="135" t="inlineStr">
        <is>
          <t>0.01 ᴰ</t>
        </is>
      </c>
      <c r="T247" s="129" t="inlineStr">
        <is>
          <t>ППК25369, (28.11.2025) [CNP]</t>
        </is>
      </c>
      <c r="U247" s="130" t="inlineStr">
        <is>
          <t>✓</t>
        </is>
      </c>
      <c r="V247" s="128" t="inlineStr">
        <is>
          <t>Conforms</t>
        </is>
      </c>
      <c r="W247" s="129">
        <f>IFERROR(INDEX('iCoA Register'!$B:$B,MATCH("P050262|I",'iCoA Register'!$AA:$AA,0)),"iCoA — at issue")&amp;", (01.12.2025) [PP]"</f>
        <v/>
      </c>
      <c r="X247" s="130" t="inlineStr">
        <is>
          <t>✓</t>
        </is>
      </c>
      <c r="Y247" s="128" t="inlineStr">
        <is>
          <t>8.94</t>
        </is>
      </c>
      <c r="Z247" s="129" t="inlineStr">
        <is>
          <t>ППК25369, (28.11.2025) [CNP]</t>
        </is>
      </c>
      <c r="AA247" s="130" t="inlineStr">
        <is>
          <t>✓</t>
        </is>
      </c>
      <c r="AB247" s="128" t="inlineStr">
        <is>
          <t>100</t>
        </is>
      </c>
      <c r="AC247" s="136" t="inlineStr">
        <is>
          <t>90</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0.023</t>
        </is>
      </c>
      <c r="AM247" s="136" t="inlineStr">
        <is>
          <t>0.005</t>
        </is>
      </c>
      <c r="AN247" s="136" t="inlineStr">
        <is>
          <t>0.006</t>
        </is>
      </c>
      <c r="AO247" s="136" t="inlineStr">
        <is>
          <t>0.01</t>
        </is>
      </c>
      <c r="AP247" s="130" t="inlineStr">
        <is>
          <t>✓</t>
        </is>
      </c>
      <c r="AQ247" s="128" t="inlineStr">
        <is>
          <t>≤ LOQ (all 29 compounds)</t>
        </is>
      </c>
      <c r="AR247" s="129" t="inlineStr">
        <is>
          <t>5699-2025, (02.12.2025)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1221-2172-25, (01.12.2025) [IJZ-MB]</t>
        </is>
      </c>
      <c r="AG248" s="140" t="n"/>
      <c r="AH248" s="141" t="inlineStr">
        <is>
          <t>5699-2025, (02.12.2025) [IJZ]</t>
        </is>
      </c>
      <c r="AK248" s="140" t="n"/>
      <c r="AL248" s="141" t="inlineStr">
        <is>
          <t>5699-2025, (02.12.2025) [IJZ]</t>
        </is>
      </c>
      <c r="AP248" s="140" t="n"/>
      <c r="AQ248" s="139" t="n"/>
      <c r="AS248" s="142" t="n"/>
    </row>
    <row r="249" ht="17.625" customHeight="1" s="70">
      <c r="A249" s="143" t="n"/>
      <c r="B249" s="144" t="n"/>
      <c r="D249" s="145" t="n"/>
      <c r="E249" s="144" t="n"/>
      <c r="F249" s="146" t="n"/>
      <c r="G249" s="147" t="inlineStr">
        <is>
          <t>Conforms</t>
        </is>
      </c>
      <c r="H249" s="148">
        <f>IFERROR(INDEX('iCoA Register'!$B:$B,MATCH("P050262|I",'iCoA Register'!$AA:$AA,0)),"iCoA — at issue")&amp;", (01.12.2025) [PP]"</f>
        <v/>
      </c>
      <c r="I249" s="149" t="inlineStr">
        <is>
          <t>✓</t>
        </is>
      </c>
      <c r="J249" s="147" t="inlineStr">
        <is>
          <t>Conforms (ImB spec.)</t>
        </is>
      </c>
      <c r="K249" s="148" t="inlineStr">
        <is>
          <t>227-3-K-26, (11.09.2026) [FHM-K]</t>
        </is>
      </c>
      <c r="L249" s="149" t="inlineStr">
        <is>
          <t>✓</t>
        </is>
      </c>
      <c r="M249" s="150" t="inlineStr">
        <is>
          <t>25.37</t>
        </is>
      </c>
      <c r="N249" s="148" t="inlineStr">
        <is>
          <t>227-3-K-26, (11.09.2026) [FHM-K]</t>
        </is>
      </c>
      <c r="O249" s="149" t="inlineStr">
        <is>
          <t>✓</t>
        </is>
      </c>
      <c r="P249" s="151" t="inlineStr">
        <is>
          <t>&lt; LOQ</t>
        </is>
      </c>
      <c r="Q249" s="148" t="inlineStr">
        <is>
          <t>227-3-K-26, (11.09.2026) [FHM-K]</t>
        </is>
      </c>
      <c r="R249" s="149" t="inlineStr">
        <is>
          <t>✓</t>
        </is>
      </c>
      <c r="S249" s="151" t="inlineStr">
        <is>
          <t>&lt; LOQ</t>
        </is>
      </c>
      <c r="T249" s="148" t="inlineStr">
        <is>
          <t>227-3-K-26, (11.09.2026) [FHM-K]</t>
        </is>
      </c>
      <c r="U249" s="149" t="inlineStr">
        <is>
          <t>✓</t>
        </is>
      </c>
      <c r="V249" s="145" t="n"/>
      <c r="W249" s="144" t="n"/>
      <c r="X249" s="146" t="n"/>
      <c r="Y249" s="145" t="n"/>
      <c r="Z249" s="144" t="n"/>
      <c r="AA249" s="146" t="n"/>
      <c r="AB249" s="155" t="inlineStr">
        <is>
          <t>&lt; 10</t>
        </is>
      </c>
      <c r="AC249" s="156" t="inlineStr">
        <is>
          <t>&lt; 10</t>
        </is>
      </c>
      <c r="AD249" s="156" t="inlineStr">
        <is>
          <t>&lt; 10</t>
        </is>
      </c>
      <c r="AE249" s="156" t="inlineStr">
        <is>
          <t>Absent</t>
        </is>
      </c>
      <c r="AF249" s="156" t="inlineStr">
        <is>
          <t>Absent</t>
        </is>
      </c>
      <c r="AG249" s="149" t="inlineStr">
        <is>
          <t>✓</t>
        </is>
      </c>
      <c r="AH249" s="145" t="n"/>
      <c r="AI249" s="144" t="n"/>
      <c r="AJ249" s="144" t="n"/>
      <c r="AK249" s="146" t="n"/>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2" t="inlineStr">
        <is>
          <t>555-1086-26, (01.09.2026) [IJZ-MB]</t>
        </is>
      </c>
      <c r="AC250" s="159" t="n"/>
      <c r="AD250" s="159" t="n"/>
      <c r="AE250" s="159" t="n"/>
      <c r="AF250" s="159" t="n"/>
      <c r="AG250" s="161" t="n"/>
      <c r="AH250" s="160" t="n"/>
      <c r="AI250" s="159" t="n"/>
      <c r="AJ250" s="159" t="n"/>
      <c r="AK250" s="161" t="n"/>
      <c r="AL250" s="160" t="n"/>
      <c r="AM250" s="159" t="n"/>
      <c r="AN250" s="159" t="n"/>
      <c r="AO250" s="159" t="n"/>
      <c r="AP250" s="161" t="n"/>
      <c r="AQ250" s="160" t="n"/>
      <c r="AR250" s="159" t="n"/>
      <c r="AS250" s="163" t="n"/>
    </row>
    <row r="251" ht="21" customHeight="1" s="70">
      <c r="A251" s="125" t="inlineStr">
        <is>
          <t>PM072501</t>
        </is>
      </c>
      <c r="B251" s="126" t="inlineStr">
        <is>
          <t>P050272</t>
        </is>
      </c>
      <c r="C251" s="127" t="inlineStr">
        <is>
          <t>✓ COMPLETE
2 testing instances
• 1 document(s) on file, not credited</t>
        </is>
      </c>
      <c r="D251" s="128" t="inlineStr">
        <is>
          <t>Conforms</t>
        </is>
      </c>
      <c r="E251" s="129">
        <f>IFERROR(INDEX('iCoA Register'!$B:$B,MATCH("P050272|I",'iCoA Register'!$AA:$AA,0)),"iCoA — at issue")&amp;", (02.12.2025) [PP]"</f>
        <v/>
      </c>
      <c r="F251" s="130" t="inlineStr">
        <is>
          <t>✓</t>
        </is>
      </c>
      <c r="G251" s="131" t="inlineStr">
        <is>
          <t>not ingested</t>
        </is>
      </c>
      <c r="H251" s="132" t="inlineStr">
        <is>
          <t>ППК25368, (28.11.2025) [CNP] · on file, not credited</t>
        </is>
      </c>
      <c r="I251" s="133" t="inlineStr">
        <is>
          <t>•</t>
        </is>
      </c>
      <c r="J251" s="128" t="inlineStr">
        <is>
          <t>Conforms (ImB spec.) ᴿ</t>
        </is>
      </c>
      <c r="K251" s="129" t="inlineStr">
        <is>
          <t>ППК25368, (28.11.2025) [CNP]</t>
        </is>
      </c>
      <c r="L251" s="130" t="inlineStr">
        <is>
          <t>✓</t>
        </is>
      </c>
      <c r="M251" s="134" t="inlineStr">
        <is>
          <t>10.01 ᴿ</t>
        </is>
      </c>
      <c r="N251" s="129" t="inlineStr">
        <is>
          <t>ППК25368, (28.11.2025) [CNP]</t>
        </is>
      </c>
      <c r="O251" s="130" t="inlineStr">
        <is>
          <t>✓</t>
        </is>
      </c>
      <c r="P251" s="135" t="inlineStr">
        <is>
          <t>0.04 ᴿ</t>
        </is>
      </c>
      <c r="Q251" s="129" t="inlineStr">
        <is>
          <t>ППК25368, (28.11.2025) [CNP]</t>
        </is>
      </c>
      <c r="R251" s="130" t="inlineStr">
        <is>
          <t>✓</t>
        </is>
      </c>
      <c r="S251" s="215" t="inlineStr">
        <is>
          <t>not ingested</t>
        </is>
      </c>
      <c r="T251" s="216" t="inlineStr">
        <is>
          <t>ППК25368, (28.11.2025) [CNP]</t>
        </is>
      </c>
      <c r="U251" s="207" t="inlineStr">
        <is>
          <t>✗</t>
        </is>
      </c>
      <c r="V251" s="128" t="inlineStr">
        <is>
          <t>Conforms</t>
        </is>
      </c>
      <c r="W251" s="129">
        <f>IFERROR(INDEX('iCoA Register'!$B:$B,MATCH("P050272|I",'iCoA Register'!$AA:$AA,0)),"iCoA — at issue")&amp;", (02.12.2025) [PP]"</f>
        <v/>
      </c>
      <c r="X251" s="130" t="inlineStr">
        <is>
          <t>✓</t>
        </is>
      </c>
      <c r="Y251" s="128" t="inlineStr">
        <is>
          <t>9.52 ᴿ</t>
        </is>
      </c>
      <c r="Z251" s="129" t="inlineStr">
        <is>
          <t>ППК25368, (28.11.2025) [CNP]</t>
        </is>
      </c>
      <c r="AA251" s="130" t="inlineStr">
        <is>
          <t>✓</t>
        </is>
      </c>
      <c r="AB251" s="128" t="inlineStr">
        <is>
          <t>110 ᴿ</t>
        </is>
      </c>
      <c r="AC251" s="136" t="inlineStr">
        <is>
          <t>200 ᴿ</t>
        </is>
      </c>
      <c r="AD251" s="136" t="inlineStr">
        <is>
          <t>&lt; 10 ᴿ</t>
        </is>
      </c>
      <c r="AE251" s="136" t="inlineStr">
        <is>
          <t>Absent ᴿ</t>
        </is>
      </c>
      <c r="AF251" s="136" t="inlineStr">
        <is>
          <t>Absent ᴿ</t>
        </is>
      </c>
      <c r="AG251" s="130" t="inlineStr">
        <is>
          <t>✓</t>
        </is>
      </c>
      <c r="AH251" s="128" t="inlineStr">
        <is>
          <t>not reported</t>
        </is>
      </c>
      <c r="AI251" s="136" t="inlineStr">
        <is>
          <t>&lt; 2 ᴿ</t>
        </is>
      </c>
      <c r="AJ251" s="136" t="inlineStr">
        <is>
          <t>not reported</t>
        </is>
      </c>
      <c r="AK251" s="130" t="inlineStr">
        <is>
          <t>✓</t>
        </is>
      </c>
      <c r="AL251" s="128" t="inlineStr">
        <is>
          <t>0.021 ᴿ</t>
        </is>
      </c>
      <c r="AM251" s="136" t="inlineStr">
        <is>
          <t>0.001 ᴿ</t>
        </is>
      </c>
      <c r="AN251" s="136" t="inlineStr">
        <is>
          <t>0.012 ᴿ</t>
        </is>
      </c>
      <c r="AO251" s="136" t="inlineStr">
        <is>
          <t>0.003 ᴿ</t>
        </is>
      </c>
      <c r="AP251" s="130" t="inlineStr">
        <is>
          <t>✓</t>
        </is>
      </c>
      <c r="AQ251" s="128" t="inlineStr">
        <is>
          <t>ND ᴿ</t>
        </is>
      </c>
      <c r="AR251" s="129" t="inlineStr">
        <is>
          <t>5698-2025,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1220-2171-25, (01.12.2025) [IJZ-MB]</t>
        </is>
      </c>
      <c r="AG252" s="140" t="n"/>
      <c r="AH252" s="141" t="inlineStr">
        <is>
          <t>5698-2025, (02.12.2025) [IJZ]</t>
        </is>
      </c>
      <c r="AK252" s="140" t="n"/>
      <c r="AL252" s="141" t="inlineStr">
        <is>
          <t>5698-2025, (02.12.2025) [IJZ]</t>
        </is>
      </c>
      <c r="AP252" s="140" t="n"/>
      <c r="AQ252" s="139" t="n"/>
      <c r="AS252" s="142" t="n"/>
    </row>
    <row r="253" ht="17.625" customHeight="1" s="70">
      <c r="A253" s="143" t="n"/>
      <c r="B253" s="144" t="n"/>
      <c r="D253" s="145" t="n"/>
      <c r="E253" s="144" t="n"/>
      <c r="F253" s="146" t="n"/>
      <c r="G253" s="147" t="inlineStr">
        <is>
          <t>Conforms</t>
        </is>
      </c>
      <c r="H253" s="148">
        <f>IFERROR(INDEX('iCoA Register'!$B:$B,MATCH("P050272|I",'iCoA Register'!$AA:$AA,0)),"iCoA — at issue")&amp;", (02.12.2025) [PP]"</f>
        <v/>
      </c>
      <c r="I253" s="149" t="inlineStr">
        <is>
          <t>✓</t>
        </is>
      </c>
      <c r="J253" s="147" t="inlineStr">
        <is>
          <t>Conforms (ImB spec.)</t>
        </is>
      </c>
      <c r="K253" s="148" t="inlineStr">
        <is>
          <t>227-9-K-26, (11.09.2026) [FHM-K]</t>
        </is>
      </c>
      <c r="L253" s="149" t="inlineStr">
        <is>
          <t>✓</t>
        </is>
      </c>
      <c r="M253" s="150" t="inlineStr">
        <is>
          <t>12.77</t>
        </is>
      </c>
      <c r="N253" s="148" t="inlineStr">
        <is>
          <t>227-9-K-26, (11.09.2026) [FHM-K]</t>
        </is>
      </c>
      <c r="O253" s="149" t="inlineStr">
        <is>
          <t>✓</t>
        </is>
      </c>
      <c r="P253" s="151" t="inlineStr">
        <is>
          <t>&lt; LOQ</t>
        </is>
      </c>
      <c r="Q253" s="148" t="inlineStr">
        <is>
          <t>227-9-K-26, (11.09.2026) [FHM-K]</t>
        </is>
      </c>
      <c r="R253" s="149" t="inlineStr">
        <is>
          <t>✓</t>
        </is>
      </c>
      <c r="S253" s="151" t="inlineStr">
        <is>
          <t>&lt; LOQ</t>
        </is>
      </c>
      <c r="T253" s="148" t="inlineStr">
        <is>
          <t>227-9-K-26,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554-1085-26,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17.625" customHeight="1" s="70">
      <c r="A255" s="125" t="inlineStr">
        <is>
          <t>CLE072501</t>
        </is>
      </c>
      <c r="B255" s="126" t="inlineStr">
        <is>
          <t>P050282</t>
        </is>
      </c>
      <c r="C255" s="127" t="inlineStr">
        <is>
          <t>✓ COMPLETE
2 testing instances
• 1 document(s) on file, not credited</t>
        </is>
      </c>
      <c r="D255" s="128" t="inlineStr">
        <is>
          <t>Conforms</t>
        </is>
      </c>
      <c r="E255" s="129">
        <f>IFERROR(INDEX('iCoA Register'!$B:$B,MATCH("P050282|I",'iCoA Register'!$AA:$AA,0)),"iCoA — at issue")&amp;", (03.12.2025) [PP]"</f>
        <v/>
      </c>
      <c r="F255" s="130" t="inlineStr">
        <is>
          <t>✓</t>
        </is>
      </c>
      <c r="G255" s="131" t="inlineStr">
        <is>
          <t>not on this certificate</t>
        </is>
      </c>
      <c r="H255" s="132" t="inlineStr">
        <is>
          <t>ППК25370, (28.11.2025) [CNP] · on file, not credited</t>
        </is>
      </c>
      <c r="I255" s="133" t="inlineStr">
        <is>
          <t>•</t>
        </is>
      </c>
      <c r="J255" s="128" t="inlineStr">
        <is>
          <t>Conforms (ImB spec.)</t>
        </is>
      </c>
      <c r="K255" s="129" t="inlineStr">
        <is>
          <t>ППК25370, (28.11.2025) [CNP]</t>
        </is>
      </c>
      <c r="L255" s="130" t="inlineStr">
        <is>
          <t>✓</t>
        </is>
      </c>
      <c r="M255" s="134" t="inlineStr">
        <is>
          <t>8.02</t>
        </is>
      </c>
      <c r="N255" s="129" t="inlineStr">
        <is>
          <t>ППК25370, (28.11.2025) [CNP]</t>
        </is>
      </c>
      <c r="O255" s="130" t="inlineStr">
        <is>
          <t>✓</t>
        </is>
      </c>
      <c r="P255" s="135" t="inlineStr">
        <is>
          <t>0.04</t>
        </is>
      </c>
      <c r="Q255" s="129" t="inlineStr">
        <is>
          <t>ППК25370, (28.11.2025) [CNP]</t>
        </is>
      </c>
      <c r="R255" s="130" t="inlineStr">
        <is>
          <t>✓</t>
        </is>
      </c>
      <c r="S255" s="135" t="inlineStr">
        <is>
          <t>&lt; LOQ ᴰ</t>
        </is>
      </c>
      <c r="T255" s="129" t="inlineStr">
        <is>
          <t>ППК25370, (28.11.2025) [CNP]</t>
        </is>
      </c>
      <c r="U255" s="130" t="inlineStr">
        <is>
          <t>✓</t>
        </is>
      </c>
      <c r="V255" s="128" t="inlineStr">
        <is>
          <t>Conforms</t>
        </is>
      </c>
      <c r="W255" s="129">
        <f>IFERROR(INDEX('iCoA Register'!$B:$B,MATCH("P050282|I",'iCoA Register'!$AA:$AA,0)),"iCoA — at issue")&amp;", (03.12.2025) [PP]"</f>
        <v/>
      </c>
      <c r="X255" s="130" t="inlineStr">
        <is>
          <t>✓</t>
        </is>
      </c>
      <c r="Y255" s="128" t="inlineStr">
        <is>
          <t>9.68</t>
        </is>
      </c>
      <c r="Z255" s="129" t="inlineStr">
        <is>
          <t>ППК25370, (28.11.2025) [CNP]</t>
        </is>
      </c>
      <c r="AA255" s="130" t="inlineStr">
        <is>
          <t>✓</t>
        </is>
      </c>
      <c r="AB255" s="128" t="inlineStr">
        <is>
          <t>&lt; 10</t>
        </is>
      </c>
      <c r="AC255" s="136" t="inlineStr">
        <is>
          <t>&lt; 10</t>
        </is>
      </c>
      <c r="AD255" s="136" t="inlineStr">
        <is>
          <t>&lt; 10</t>
        </is>
      </c>
      <c r="AE255" s="136" t="inlineStr">
        <is>
          <t>Absent</t>
        </is>
      </c>
      <c r="AF255" s="136" t="inlineStr">
        <is>
          <t>Absent</t>
        </is>
      </c>
      <c r="AG255" s="130" t="inlineStr">
        <is>
          <t>✓</t>
        </is>
      </c>
      <c r="AH255" s="128" t="inlineStr">
        <is>
          <t>ND</t>
        </is>
      </c>
      <c r="AI255" s="136" t="inlineStr">
        <is>
          <t>2.2</t>
        </is>
      </c>
      <c r="AJ255" s="136" t="inlineStr">
        <is>
          <t>ND</t>
        </is>
      </c>
      <c r="AK255" s="130" t="inlineStr">
        <is>
          <t>✓</t>
        </is>
      </c>
      <c r="AL255" s="128" t="inlineStr">
        <is>
          <t>0.032</t>
        </is>
      </c>
      <c r="AM255" s="136" t="inlineStr">
        <is>
          <t>0.002</t>
        </is>
      </c>
      <c r="AN255" s="136" t="inlineStr">
        <is>
          <t>0.013</t>
        </is>
      </c>
      <c r="AO255" s="136" t="inlineStr">
        <is>
          <t>0.021</t>
        </is>
      </c>
      <c r="AP255" s="130" t="inlineStr">
        <is>
          <t>✓</t>
        </is>
      </c>
      <c r="AQ255" s="128" t="inlineStr">
        <is>
          <t>≤ LOQ (all 27 compounds)</t>
        </is>
      </c>
      <c r="AR255" s="129" t="inlineStr">
        <is>
          <t>5700-2025,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1219-2170-25, (01.12.2025) [IJZ-MB]</t>
        </is>
      </c>
      <c r="AG256" s="140" t="n"/>
      <c r="AH256" s="141" t="inlineStr">
        <is>
          <t>5700-2025, (02.12.2025) [IJZ]</t>
        </is>
      </c>
      <c r="AK256" s="140" t="n"/>
      <c r="AL256" s="141" t="inlineStr">
        <is>
          <t>5700-2025, (02.12.2025) [IJZ]</t>
        </is>
      </c>
      <c r="AP256" s="140" t="n"/>
      <c r="AQ256" s="139" t="n"/>
      <c r="AS256" s="142" t="n"/>
    </row>
    <row r="257" ht="14" customHeight="1" s="70">
      <c r="A257" s="143" t="n"/>
      <c r="B257" s="144" t="n"/>
      <c r="D257" s="145" t="n"/>
      <c r="E257" s="144" t="n"/>
      <c r="F257" s="146" t="n"/>
      <c r="G257" s="147" t="inlineStr">
        <is>
          <t>Conforms</t>
        </is>
      </c>
      <c r="H257" s="148">
        <f>IFERROR(INDEX('iCoA Register'!$B:$B,MATCH("P050282|I",'iCoA Register'!$AA:$AA,0)),"iCoA — at issue")&amp;", (03.12.2025) [PP]"</f>
        <v/>
      </c>
      <c r="I257" s="149" t="inlineStr">
        <is>
          <t>✓</t>
        </is>
      </c>
      <c r="J257" s="145" t="n"/>
      <c r="K257" s="144" t="n"/>
      <c r="L257" s="146" t="n"/>
      <c r="M257" s="145" t="n"/>
      <c r="N257" s="144" t="n"/>
      <c r="O257" s="146" t="n"/>
      <c r="P257" s="145" t="n"/>
      <c r="Q257" s="144" t="n"/>
      <c r="R257" s="146" t="n"/>
      <c r="S257" s="145" t="n"/>
      <c r="T257" s="144" t="n"/>
      <c r="U257" s="146" t="n"/>
      <c r="V257" s="145" t="n"/>
      <c r="W257" s="144" t="n"/>
      <c r="X257" s="146" t="n"/>
      <c r="Y257" s="145" t="n"/>
      <c r="Z257" s="144" t="n"/>
      <c r="AA257" s="146" t="n"/>
      <c r="AB257" s="145" t="n"/>
      <c r="AC257" s="144" t="n"/>
      <c r="AD257" s="144" t="n"/>
      <c r="AE257" s="144" t="n"/>
      <c r="AF257" s="144" t="n"/>
      <c r="AG257" s="146" t="n"/>
      <c r="AH257" s="155" t="inlineStr">
        <is>
          <t>ND</t>
        </is>
      </c>
      <c r="AI257" s="156" t="inlineStr">
        <is>
          <t>ND</t>
        </is>
      </c>
      <c r="AJ257" s="156" t="inlineStr">
        <is>
          <t>ND</t>
        </is>
      </c>
      <c r="AK257" s="149" t="inlineStr">
        <is>
          <t>✓</t>
        </is>
      </c>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0" t="n"/>
      <c r="AC258" s="159" t="n"/>
      <c r="AD258" s="159" t="n"/>
      <c r="AE258" s="159" t="n"/>
      <c r="AF258" s="159" t="n"/>
      <c r="AG258" s="161" t="n"/>
      <c r="AH258" s="162" t="inlineStr">
        <is>
          <t>220-7-M-26, (11.09.2026) [FHM-M]</t>
        </is>
      </c>
      <c r="AI258" s="159" t="n"/>
      <c r="AJ258" s="159" t="n"/>
      <c r="AK258" s="161" t="n"/>
      <c r="AL258" s="160" t="n"/>
      <c r="AM258" s="159" t="n"/>
      <c r="AN258" s="159" t="n"/>
      <c r="AO258" s="159" t="n"/>
      <c r="AP258" s="161" t="n"/>
      <c r="AQ258" s="160" t="n"/>
      <c r="AR258" s="159" t="n"/>
      <c r="AS258" s="163" t="n"/>
    </row>
    <row r="259" ht="17.625" customHeight="1" s="70">
      <c r="A259" s="125" t="inlineStr">
        <is>
          <t>GP072501/1</t>
        </is>
      </c>
      <c r="B259" s="126" t="inlineStr">
        <is>
          <t>P050292</t>
        </is>
      </c>
      <c r="C259" s="127" t="inlineStr">
        <is>
          <t>✓ COMPLETE
2 testing instances
• 1 document(s) on file, not credited</t>
        </is>
      </c>
      <c r="D259" s="128" t="inlineStr">
        <is>
          <t>Conforms</t>
        </is>
      </c>
      <c r="E259" s="129">
        <f>IFERROR(INDEX('iCoA Register'!$B:$B,MATCH("P050292|I",'iCoA Register'!$AA:$AA,0)),"iCoA — at issue")&amp;", (15.12.2025) [PP]"</f>
        <v/>
      </c>
      <c r="F259" s="130" t="inlineStr">
        <is>
          <t>✓</t>
        </is>
      </c>
      <c r="G259" s="131" t="inlineStr">
        <is>
          <t>not on this certificate</t>
        </is>
      </c>
      <c r="H259" s="132" t="inlineStr">
        <is>
          <t>ППК25378, (12.12.2025) [CNP] · on file, not credited</t>
        </is>
      </c>
      <c r="I259" s="133" t="inlineStr">
        <is>
          <t>•</t>
        </is>
      </c>
      <c r="J259" s="128" t="inlineStr">
        <is>
          <t>Conforms (ImB spec.)</t>
        </is>
      </c>
      <c r="K259" s="129" t="inlineStr">
        <is>
          <t>ППК25378, (12.12.2025) [CNP]</t>
        </is>
      </c>
      <c r="L259" s="130" t="inlineStr">
        <is>
          <t>✓</t>
        </is>
      </c>
      <c r="M259" s="134" t="inlineStr">
        <is>
          <t>21.36</t>
        </is>
      </c>
      <c r="N259" s="129" t="inlineStr">
        <is>
          <t>ППК25378, (12.12.2025) [CNP]</t>
        </is>
      </c>
      <c r="O259" s="130" t="inlineStr">
        <is>
          <t>✓</t>
        </is>
      </c>
      <c r="P259" s="135" t="inlineStr">
        <is>
          <t>0.11</t>
        </is>
      </c>
      <c r="Q259" s="129" t="inlineStr">
        <is>
          <t>ППК25378, (12.12.2025) [CNP]</t>
        </is>
      </c>
      <c r="R259" s="130" t="inlineStr">
        <is>
          <t>✓</t>
        </is>
      </c>
      <c r="S259" s="135" t="inlineStr">
        <is>
          <t>0.02 ᴰ</t>
        </is>
      </c>
      <c r="T259" s="129" t="inlineStr">
        <is>
          <t>ППК25378, (12.12.2025) [CNP]</t>
        </is>
      </c>
      <c r="U259" s="130" t="inlineStr">
        <is>
          <t>✓</t>
        </is>
      </c>
      <c r="V259" s="128" t="inlineStr">
        <is>
          <t>Conforms</t>
        </is>
      </c>
      <c r="W259" s="129">
        <f>IFERROR(INDEX('iCoA Register'!$B:$B,MATCH("P050292|I",'iCoA Register'!$AA:$AA,0)),"iCoA — at issue")&amp;", (15.12.2025) [PP]"</f>
        <v/>
      </c>
      <c r="X259" s="130" t="inlineStr">
        <is>
          <t>✓</t>
        </is>
      </c>
      <c r="Y259" s="128" t="inlineStr">
        <is>
          <t>6.62</t>
        </is>
      </c>
      <c r="Z259" s="129" t="inlineStr">
        <is>
          <t>ППК25378, (12.12.2025) [CNP]</t>
        </is>
      </c>
      <c r="AA259" s="130" t="inlineStr">
        <is>
          <t>✓</t>
        </is>
      </c>
      <c r="AB259" s="128" t="inlineStr">
        <is>
          <t>6 × 10³</t>
        </is>
      </c>
      <c r="AC259" s="136" t="inlineStr">
        <is>
          <t>6.5 × 10³</t>
        </is>
      </c>
      <c r="AD259" s="136" t="inlineStr">
        <is>
          <t>&lt; 10</t>
        </is>
      </c>
      <c r="AE259" s="136" t="inlineStr">
        <is>
          <t>Absent</t>
        </is>
      </c>
      <c r="AF259" s="136" t="inlineStr">
        <is>
          <t>Absent</t>
        </is>
      </c>
      <c r="AG259" s="130" t="inlineStr">
        <is>
          <t>✓</t>
        </is>
      </c>
      <c r="AH259" s="128" t="inlineStr">
        <is>
          <t>ND</t>
        </is>
      </c>
      <c r="AI259" s="136" t="inlineStr">
        <is>
          <t>&lt; 2</t>
        </is>
      </c>
      <c r="AJ259" s="136" t="inlineStr">
        <is>
          <t>ND</t>
        </is>
      </c>
      <c r="AK259" s="130" t="inlineStr">
        <is>
          <t>✓</t>
        </is>
      </c>
      <c r="AL259" s="128" t="inlineStr">
        <is>
          <t>0.028</t>
        </is>
      </c>
      <c r="AM259" s="136" t="inlineStr">
        <is>
          <t>0.003</t>
        </is>
      </c>
      <c r="AN259" s="136" t="inlineStr">
        <is>
          <t>0.03</t>
        </is>
      </c>
      <c r="AO259" s="136" t="inlineStr">
        <is>
          <t>0.025</t>
        </is>
      </c>
      <c r="AP259" s="130" t="inlineStr">
        <is>
          <t>✓</t>
        </is>
      </c>
      <c r="AQ259" s="128" t="inlineStr">
        <is>
          <t>≤ LOQ (all 28 compounds)</t>
        </is>
      </c>
      <c r="AR259" s="129" t="inlineStr">
        <is>
          <t>5886-2025, (12.12.2025)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1228-2194-25, (05.12.2025) [IJZ-MB]</t>
        </is>
      </c>
      <c r="AG260" s="140" t="n"/>
      <c r="AH260" s="141" t="inlineStr">
        <is>
          <t>5886-2025, (12.12.2025) [IJZ]</t>
        </is>
      </c>
      <c r="AK260" s="140" t="n"/>
      <c r="AL260" s="141" t="inlineStr">
        <is>
          <t>5886-2025, (12.12.2025)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Register'!$B:$B,MATCH("P050292|I",'iCoA Register'!$AA:$AA,0)),"iCoA — at issue")&amp;", (15.12.2025) [PP]"</f>
        <v/>
      </c>
      <c r="I261" s="149" t="inlineStr">
        <is>
          <t>✓</t>
        </is>
      </c>
      <c r="J261" s="147" t="inlineStr">
        <is>
          <t>Conforms (ImB spec.)</t>
        </is>
      </c>
      <c r="K261" s="148" t="inlineStr">
        <is>
          <t>227-17-K-26, (11.09.2026) [FHM-K]</t>
        </is>
      </c>
      <c r="L261" s="149" t="inlineStr">
        <is>
          <t>✓</t>
        </is>
      </c>
      <c r="M261" s="150" t="inlineStr">
        <is>
          <t>26.54</t>
        </is>
      </c>
      <c r="N261" s="148" t="inlineStr">
        <is>
          <t>227-17-K-26, (11.09.2026) [FHM-K]</t>
        </is>
      </c>
      <c r="O261" s="149" t="inlineStr">
        <is>
          <t>✓</t>
        </is>
      </c>
      <c r="P261" s="151" t="inlineStr">
        <is>
          <t>&lt; LOQ</t>
        </is>
      </c>
      <c r="Q261" s="148" t="inlineStr">
        <is>
          <t>227-17-K-26, (11.09.2026) [FHM-K]</t>
        </is>
      </c>
      <c r="R261" s="149" t="inlineStr">
        <is>
          <t>✓</t>
        </is>
      </c>
      <c r="S261" s="151" t="inlineStr">
        <is>
          <t>&lt; LOQ</t>
        </is>
      </c>
      <c r="T261" s="148" t="inlineStr">
        <is>
          <t>227-17-K-26,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553-1084-26,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17.625" customHeight="1" s="70">
      <c r="A263" s="125" t="inlineStr">
        <is>
          <t>GP072501/2</t>
        </is>
      </c>
      <c r="B263" s="126" t="inlineStr">
        <is>
          <t>P050302</t>
        </is>
      </c>
      <c r="C263" s="127" t="inlineStr">
        <is>
          <t>✓ COMPLETE
2 testing instances
• 1 document(s) on file, not credited</t>
        </is>
      </c>
      <c r="D263" s="128" t="inlineStr">
        <is>
          <t>Conforms</t>
        </is>
      </c>
      <c r="E263" s="129">
        <f>IFERROR(INDEX('iCoA Register'!$B:$B,MATCH("P050302|I",'iCoA Register'!$AA:$AA,0)),"iCoA — at issue")&amp;", (22.12.2025) [PP]"</f>
        <v/>
      </c>
      <c r="F263" s="130" t="inlineStr">
        <is>
          <t>✓</t>
        </is>
      </c>
      <c r="G263" s="131" t="inlineStr">
        <is>
          <t>not on this certificate</t>
        </is>
      </c>
      <c r="H263" s="132" t="inlineStr">
        <is>
          <t>ППК25379, (12.12.2025) [CNP] · on file, not credited</t>
        </is>
      </c>
      <c r="I263" s="133" t="inlineStr">
        <is>
          <t>•</t>
        </is>
      </c>
      <c r="J263" s="128" t="inlineStr">
        <is>
          <t>Conforms (ImB spec.)</t>
        </is>
      </c>
      <c r="K263" s="129" t="inlineStr">
        <is>
          <t>ППК25379, (12.12.2025) [CNP]</t>
        </is>
      </c>
      <c r="L263" s="130" t="inlineStr">
        <is>
          <t>✓</t>
        </is>
      </c>
      <c r="M263" s="134" t="inlineStr">
        <is>
          <t>19.81</t>
        </is>
      </c>
      <c r="N263" s="129" t="inlineStr">
        <is>
          <t>ППК25379, (12.12.2025) [CNP]</t>
        </is>
      </c>
      <c r="O263" s="130" t="inlineStr">
        <is>
          <t>✓</t>
        </is>
      </c>
      <c r="P263" s="135" t="inlineStr">
        <is>
          <t>0.10</t>
        </is>
      </c>
      <c r="Q263" s="129" t="inlineStr">
        <is>
          <t>ППК25379, (12.12.2025) [CNP]</t>
        </is>
      </c>
      <c r="R263" s="130" t="inlineStr">
        <is>
          <t>✓</t>
        </is>
      </c>
      <c r="S263" s="135" t="inlineStr">
        <is>
          <t>0.03 ᴰ</t>
        </is>
      </c>
      <c r="T263" s="129" t="inlineStr">
        <is>
          <t>ППК25379, (12.12.2025) [CNP]</t>
        </is>
      </c>
      <c r="U263" s="130" t="inlineStr">
        <is>
          <t>✓</t>
        </is>
      </c>
      <c r="V263" s="128" t="inlineStr">
        <is>
          <t>Conforms</t>
        </is>
      </c>
      <c r="W263" s="129">
        <f>IFERROR(INDEX('iCoA Register'!$B:$B,MATCH("P050302|I",'iCoA Register'!$AA:$AA,0)),"iCoA — at issue")&amp;", (22.12.2025) [PP]"</f>
        <v/>
      </c>
      <c r="X263" s="130" t="inlineStr">
        <is>
          <t>✓</t>
        </is>
      </c>
      <c r="Y263" s="128" t="inlineStr">
        <is>
          <t>7.41</t>
        </is>
      </c>
      <c r="Z263" s="129" t="inlineStr">
        <is>
          <t>ППК25379, (12.12.2025) [CNP]</t>
        </is>
      </c>
      <c r="AA263" s="130" t="inlineStr">
        <is>
          <t>✓</t>
        </is>
      </c>
      <c r="AB263" s="128" t="inlineStr">
        <is>
          <t>2 × 10²</t>
        </is>
      </c>
      <c r="AC263" s="136" t="inlineStr">
        <is>
          <t>3 × 10²</t>
        </is>
      </c>
      <c r="AD263" s="136" t="inlineStr">
        <is>
          <t>&lt; 10</t>
        </is>
      </c>
      <c r="AE263" s="136" t="inlineStr">
        <is>
          <t>Absent</t>
        </is>
      </c>
      <c r="AF263" s="136" t="inlineStr">
        <is>
          <t>Absent</t>
        </is>
      </c>
      <c r="AG263" s="130" t="inlineStr">
        <is>
          <t>✓</t>
        </is>
      </c>
      <c r="AH263" s="128" t="inlineStr">
        <is>
          <t>ND</t>
        </is>
      </c>
      <c r="AI263" s="136" t="inlineStr">
        <is>
          <t>&lt; 2</t>
        </is>
      </c>
      <c r="AJ263" s="136" t="inlineStr">
        <is>
          <t>ND</t>
        </is>
      </c>
      <c r="AK263" s="130" t="inlineStr">
        <is>
          <t>✓</t>
        </is>
      </c>
      <c r="AL263" s="128" t="inlineStr">
        <is>
          <t>0.017</t>
        </is>
      </c>
      <c r="AM263" s="136" t="inlineStr">
        <is>
          <t>0.0028</t>
        </is>
      </c>
      <c r="AN263" s="136" t="inlineStr">
        <is>
          <t>0.02</t>
        </is>
      </c>
      <c r="AO263" s="136" t="inlineStr">
        <is>
          <t>0.019</t>
        </is>
      </c>
      <c r="AP263" s="130" t="inlineStr">
        <is>
          <t>✓</t>
        </is>
      </c>
      <c r="AQ263" s="128" t="inlineStr">
        <is>
          <t>≤ LOQ (all 29 compounds)</t>
        </is>
      </c>
      <c r="AR263" s="129" t="inlineStr">
        <is>
          <t>5887-2025, (12.12.2025)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1229-2195-25, (05.12.2025) [IJZ-MB]</t>
        </is>
      </c>
      <c r="AG264" s="140" t="n"/>
      <c r="AH264" s="141" t="inlineStr">
        <is>
          <t>5887-2025, (12.12.2025) [IJZ]</t>
        </is>
      </c>
      <c r="AK264" s="140" t="n"/>
      <c r="AL264" s="141" t="inlineStr">
        <is>
          <t>5887-2025, (12.12.2025) [IJZ]</t>
        </is>
      </c>
      <c r="AP264" s="140" t="n"/>
      <c r="AQ264" s="139" t="n"/>
      <c r="AS264" s="142" t="n"/>
    </row>
    <row r="265" ht="14" customHeight="1" s="70">
      <c r="A265" s="143" t="n"/>
      <c r="B265" s="144" t="n"/>
      <c r="D265" s="145" t="n"/>
      <c r="E265" s="144" t="n"/>
      <c r="F265" s="146" t="n"/>
      <c r="G265" s="147" t="inlineStr">
        <is>
          <t>Conforms</t>
        </is>
      </c>
      <c r="H265" s="148">
        <f>IFERROR(INDEX('iCoA Register'!$B:$B,MATCH("P050302|I",'iCoA Register'!$AA:$AA,0)),"iCoA — at issue")&amp;", (22.12.2025) [PP]"</f>
        <v/>
      </c>
      <c r="I265" s="149" t="inlineStr">
        <is>
          <t>✓</t>
        </is>
      </c>
      <c r="J265" s="145" t="n"/>
      <c r="K265" s="144" t="n"/>
      <c r="L265" s="146" t="n"/>
      <c r="M265" s="145" t="n"/>
      <c r="N265" s="144" t="n"/>
      <c r="O265" s="146" t="n"/>
      <c r="P265" s="145" t="n"/>
      <c r="Q265" s="144" t="n"/>
      <c r="R265" s="146" t="n"/>
      <c r="S265" s="145" t="n"/>
      <c r="T265" s="144" t="n"/>
      <c r="U265" s="146" t="n"/>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220-10-M-26, (11.09.2026) [FHM-M]</t>
        </is>
      </c>
      <c r="AI266" s="159" t="n"/>
      <c r="AJ266" s="159" t="n"/>
      <c r="AK266" s="161" t="n"/>
      <c r="AL266" s="160" t="n"/>
      <c r="AM266" s="159" t="n"/>
      <c r="AN266" s="159" t="n"/>
      <c r="AO266" s="159" t="n"/>
      <c r="AP266" s="161" t="n"/>
      <c r="AQ266" s="160" t="n"/>
      <c r="AR266" s="159" t="n"/>
      <c r="AS266" s="163" t="n"/>
    </row>
    <row r="267" ht="21" customHeight="1" s="70">
      <c r="A267" s="125" t="inlineStr">
        <is>
          <t>GP082501/1</t>
        </is>
      </c>
      <c r="B267" s="126" t="inlineStr">
        <is>
          <t>P050312</t>
        </is>
      </c>
      <c r="C267" s="127" t="inlineStr">
        <is>
          <t>✓ COMPLETE
2 testing instances
• 1 document(s) on file, not credited</t>
        </is>
      </c>
      <c r="D267" s="128" t="inlineStr">
        <is>
          <t>Conforms</t>
        </is>
      </c>
      <c r="E267" s="129">
        <f>IFERROR(INDEX('iCoA Register'!$B:$B,MATCH("P050312|I",'iCoA Register'!$AA:$AA,0)),"iCoA — at issue")&amp;", (23.12.2025) [PP]"</f>
        <v/>
      </c>
      <c r="F267" s="130" t="inlineStr">
        <is>
          <t>✓</t>
        </is>
      </c>
      <c r="G267" s="131" t="inlineStr">
        <is>
          <t>not on this certificate</t>
        </is>
      </c>
      <c r="H267" s="132" t="inlineStr">
        <is>
          <t>ППК25380, (12.12.2025) [CNP] · on file, not credited</t>
        </is>
      </c>
      <c r="I267" s="133" t="inlineStr">
        <is>
          <t>•</t>
        </is>
      </c>
      <c r="J267" s="128" t="inlineStr">
        <is>
          <t>Conforms (ImB spec.)</t>
        </is>
      </c>
      <c r="K267" s="129" t="inlineStr">
        <is>
          <t>ППК25380, (12.12.2025) [CNP]</t>
        </is>
      </c>
      <c r="L267" s="130" t="inlineStr">
        <is>
          <t>✓</t>
        </is>
      </c>
      <c r="M267" s="134" t="inlineStr">
        <is>
          <t>21.29</t>
        </is>
      </c>
      <c r="N267" s="129" t="inlineStr">
        <is>
          <t>ППК25380, (12.12.2025) [CNP]</t>
        </is>
      </c>
      <c r="O267" s="130" t="inlineStr">
        <is>
          <t>✓</t>
        </is>
      </c>
      <c r="P267" s="135" t="inlineStr">
        <is>
          <t>0.08</t>
        </is>
      </c>
      <c r="Q267" s="129" t="inlineStr">
        <is>
          <t>ППК25380, (12.12.2025) [CNP]</t>
        </is>
      </c>
      <c r="R267" s="130" t="inlineStr">
        <is>
          <t>✓</t>
        </is>
      </c>
      <c r="S267" s="135" t="inlineStr">
        <is>
          <t>0.03 ᴰ</t>
        </is>
      </c>
      <c r="T267" s="129" t="inlineStr">
        <is>
          <t>ППК25380, (12.12.2025) [CNP]</t>
        </is>
      </c>
      <c r="U267" s="130" t="inlineStr">
        <is>
          <t>✓</t>
        </is>
      </c>
      <c r="V267" s="128" t="inlineStr">
        <is>
          <t>Conforms</t>
        </is>
      </c>
      <c r="W267" s="129">
        <f>IFERROR(INDEX('iCoA Register'!$B:$B,MATCH("P050312|I",'iCoA Register'!$AA:$AA,0)),"iCoA — at issue")&amp;", (23.12.2025) [PP]"</f>
        <v/>
      </c>
      <c r="X267" s="130" t="inlineStr">
        <is>
          <t>✓</t>
        </is>
      </c>
      <c r="Y267" s="128" t="inlineStr">
        <is>
          <t>6.29</t>
        </is>
      </c>
      <c r="Z267" s="129" t="inlineStr">
        <is>
          <t>ППК25380, (12.12.2025) [CNP]</t>
        </is>
      </c>
      <c r="AA267" s="130" t="inlineStr">
        <is>
          <t>✓</t>
        </is>
      </c>
      <c r="AB267" s="128" t="inlineStr">
        <is>
          <t>4.3 × 10²</t>
        </is>
      </c>
      <c r="AC267" s="136" t="inlineStr">
        <is>
          <t>1 × 10³</t>
        </is>
      </c>
      <c r="AD267" s="136" t="inlineStr">
        <is>
          <t>&lt; 10³ and &gt; 10² ᴿ</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0.014</t>
        </is>
      </c>
      <c r="AM267" s="136" t="inlineStr">
        <is>
          <t>0.003</t>
        </is>
      </c>
      <c r="AN267" s="136" t="inlineStr">
        <is>
          <t>0.02</t>
        </is>
      </c>
      <c r="AO267" s="136" t="inlineStr">
        <is>
          <t>0.017</t>
        </is>
      </c>
      <c r="AP267" s="130" t="inlineStr">
        <is>
          <t>✓</t>
        </is>
      </c>
      <c r="AQ267" s="128" t="inlineStr">
        <is>
          <t>≤ LOQ (all 28 compounds)</t>
        </is>
      </c>
      <c r="AR267" s="129" t="inlineStr">
        <is>
          <t>5888-2025,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1226-2192-25, (05.12.2025) [IJZ-MB]</t>
        </is>
      </c>
      <c r="AG268" s="140" t="n"/>
      <c r="AH268" s="141" t="inlineStr">
        <is>
          <t>5888-2025, (12.12.2025) [IJZ]</t>
        </is>
      </c>
      <c r="AK268" s="140" t="n"/>
      <c r="AL268" s="141" t="inlineStr">
        <is>
          <t>5888-2025, (12.12.2025) [IJZ]</t>
        </is>
      </c>
      <c r="AP268" s="140" t="n"/>
      <c r="AQ268" s="139" t="n"/>
      <c r="AS268" s="142" t="n"/>
    </row>
    <row r="269" ht="14" customHeight="1" s="70">
      <c r="A269" s="143" t="n"/>
      <c r="B269" s="144" t="n"/>
      <c r="D269" s="145" t="n"/>
      <c r="E269" s="144" t="n"/>
      <c r="F269" s="146" t="n"/>
      <c r="G269" s="147" t="inlineStr">
        <is>
          <t>Conforms</t>
        </is>
      </c>
      <c r="H269" s="148">
        <f>IFERROR(INDEX('iCoA Register'!$B:$B,MATCH("P050312|I",'iCoA Register'!$AA:$AA,0)),"iCoA — at issue")&amp;", (23.12.2025) [PP]"</f>
        <v/>
      </c>
      <c r="I269" s="149" t="inlineStr">
        <is>
          <t>✓</t>
        </is>
      </c>
      <c r="J269" s="145" t="n"/>
      <c r="K269" s="144" t="n"/>
      <c r="L269" s="146" t="n"/>
      <c r="M269" s="145" t="n"/>
      <c r="N269" s="144" t="n"/>
      <c r="O269" s="146" t="n"/>
      <c r="P269" s="145" t="n"/>
      <c r="Q269" s="144" t="n"/>
      <c r="R269" s="146" t="n"/>
      <c r="S269" s="145" t="n"/>
      <c r="T269" s="144" t="n"/>
      <c r="U269" s="146" t="n"/>
      <c r="V269" s="145" t="n"/>
      <c r="W269" s="144" t="n"/>
      <c r="X269" s="146" t="n"/>
      <c r="Y269" s="145" t="n"/>
      <c r="Z269" s="144" t="n"/>
      <c r="AA269" s="146" t="n"/>
      <c r="AB269" s="145" t="n"/>
      <c r="AC269" s="144" t="n"/>
      <c r="AD269" s="144" t="n"/>
      <c r="AE269" s="144" t="n"/>
      <c r="AF269" s="144" t="n"/>
      <c r="AG269" s="146" t="n"/>
      <c r="AH269" s="155" t="inlineStr">
        <is>
          <t>ND</t>
        </is>
      </c>
      <c r="AI269" s="156" t="inlineStr">
        <is>
          <t>ND</t>
        </is>
      </c>
      <c r="AJ269" s="156" t="inlineStr">
        <is>
          <t>ND</t>
        </is>
      </c>
      <c r="AK269" s="149" t="inlineStr">
        <is>
          <t>✓</t>
        </is>
      </c>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0" t="n"/>
      <c r="AC270" s="159" t="n"/>
      <c r="AD270" s="159" t="n"/>
      <c r="AE270" s="159" t="n"/>
      <c r="AF270" s="159" t="n"/>
      <c r="AG270" s="161" t="n"/>
      <c r="AH270" s="162" t="inlineStr">
        <is>
          <t>220-12-M-26, (11.09.2026) [FHM-M]</t>
        </is>
      </c>
      <c r="AI270" s="159" t="n"/>
      <c r="AJ270" s="159" t="n"/>
      <c r="AK270" s="161" t="n"/>
      <c r="AL270" s="160" t="n"/>
      <c r="AM270" s="159" t="n"/>
      <c r="AN270" s="159" t="n"/>
      <c r="AO270" s="159" t="n"/>
      <c r="AP270" s="161" t="n"/>
      <c r="AQ270" s="160" t="n"/>
      <c r="AR270" s="159" t="n"/>
      <c r="AS270" s="163" t="n"/>
    </row>
    <row r="271" ht="21" customHeight="1" s="70">
      <c r="A271" s="125" t="inlineStr">
        <is>
          <t>GP082501/2</t>
        </is>
      </c>
      <c r="B271" s="126" t="inlineStr">
        <is>
          <t>P050322</t>
        </is>
      </c>
      <c r="C271" s="127" t="inlineStr">
        <is>
          <t>✓ COMPLETE
2 testing instances
• 2 document(s) on file, not credited</t>
        </is>
      </c>
      <c r="D271" s="128" t="inlineStr">
        <is>
          <t>Conforms</t>
        </is>
      </c>
      <c r="E271" s="129">
        <f>IFERROR(INDEX('iCoA Register'!$B:$B,MATCH("P050322|I",'iCoA Register'!$AA:$AA,0)),"iCoA — at issue")&amp;", (26.12.2025) [PP]"</f>
        <v/>
      </c>
      <c r="F271" s="130" t="inlineStr">
        <is>
          <t>✓</t>
        </is>
      </c>
      <c r="G271" s="131" t="inlineStr">
        <is>
          <t>not on this certificate</t>
        </is>
      </c>
      <c r="H271" s="132" t="inlineStr">
        <is>
          <t>ППК25381, (12.12.2025) [CNP] · on file, not credited</t>
        </is>
      </c>
      <c r="I271" s="133" t="inlineStr">
        <is>
          <t>•</t>
        </is>
      </c>
      <c r="J271" s="128" t="inlineStr">
        <is>
          <t>Conforms (ImB spec.)</t>
        </is>
      </c>
      <c r="K271" s="129" t="inlineStr">
        <is>
          <t>ППК25381, (12.12.2025) [CNP]</t>
        </is>
      </c>
      <c r="L271" s="130" t="inlineStr">
        <is>
          <t>✓</t>
        </is>
      </c>
      <c r="M271" s="134" t="inlineStr">
        <is>
          <t>14.83</t>
        </is>
      </c>
      <c r="N271" s="129" t="inlineStr">
        <is>
          <t>ППК25381, (12.12.2025) [CNP]</t>
        </is>
      </c>
      <c r="O271" s="130" t="inlineStr">
        <is>
          <t>✓</t>
        </is>
      </c>
      <c r="P271" s="135" t="inlineStr">
        <is>
          <t>0.11</t>
        </is>
      </c>
      <c r="Q271" s="129" t="inlineStr">
        <is>
          <t>ППК25381, (12.12.2025) [CNP]</t>
        </is>
      </c>
      <c r="R271" s="130" t="inlineStr">
        <is>
          <t>✓</t>
        </is>
      </c>
      <c r="S271" s="135" t="inlineStr">
        <is>
          <t>0.02 ᴰ</t>
        </is>
      </c>
      <c r="T271" s="129" t="inlineStr">
        <is>
          <t>ППК25381, (12.12.2025) [CNP]</t>
        </is>
      </c>
      <c r="U271" s="130" t="inlineStr">
        <is>
          <t>✓</t>
        </is>
      </c>
      <c r="V271" s="128" t="inlineStr">
        <is>
          <t>Conforms</t>
        </is>
      </c>
      <c r="W271" s="129">
        <f>IFERROR(INDEX('iCoA Register'!$B:$B,MATCH("P050322|I",'iCoA Register'!$AA:$AA,0)),"iCoA — at issue")&amp;", (26.12.2025) [PP]"</f>
        <v/>
      </c>
      <c r="X271" s="130" t="inlineStr">
        <is>
          <t>✓</t>
        </is>
      </c>
      <c r="Y271" s="128" t="inlineStr">
        <is>
          <t>6.88</t>
        </is>
      </c>
      <c r="Z271" s="129" t="inlineStr">
        <is>
          <t>ППК25381, (12.12.2025) [CNP]</t>
        </is>
      </c>
      <c r="AA271" s="130" t="inlineStr">
        <is>
          <t>✓</t>
        </is>
      </c>
      <c r="AB271" s="128" t="inlineStr">
        <is>
          <t>3.2 × 10³</t>
        </is>
      </c>
      <c r="AC271" s="136" t="inlineStr">
        <is>
          <t>5.8 × 10³</t>
        </is>
      </c>
      <c r="AD271" s="136" t="inlineStr">
        <is>
          <t>&lt; 10⁴ and &gt; 10³</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0.013</t>
        </is>
      </c>
      <c r="AM271" s="136" t="inlineStr">
        <is>
          <t>0.003</t>
        </is>
      </c>
      <c r="AN271" s="136" t="inlineStr">
        <is>
          <t>0.02</t>
        </is>
      </c>
      <c r="AO271" s="136" t="inlineStr">
        <is>
          <t>0.016</t>
        </is>
      </c>
      <c r="AP271" s="130" t="inlineStr">
        <is>
          <t>✓</t>
        </is>
      </c>
      <c r="AQ271" s="128" t="inlineStr">
        <is>
          <t>≤ LOQ (all 29 compounds)</t>
        </is>
      </c>
      <c r="AR271" s="129" t="inlineStr">
        <is>
          <t>5889-2025,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1227-2193-25, (05.12.2025) [IJZ-MB]</t>
        </is>
      </c>
      <c r="AG272" s="140" t="n"/>
      <c r="AH272" s="141" t="inlineStr">
        <is>
          <t>5889-2025, (12.12.2025) [IJZ]</t>
        </is>
      </c>
      <c r="AK272" s="140" t="n"/>
      <c r="AL272" s="141" t="inlineStr">
        <is>
          <t>5889-2025,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Register'!$B:$B,MATCH("P050322|I",'iCoA Register'!$AA:$AA,0)),"iCoA — at issue")&amp;", (26.12.2025) [PP]"</f>
        <v/>
      </c>
      <c r="I273" s="149" t="inlineStr">
        <is>
          <t>✓</t>
        </is>
      </c>
      <c r="J273" s="147" t="inlineStr">
        <is>
          <t>Conforms (ImB spec.) ᴿ</t>
        </is>
      </c>
      <c r="K273" s="148" t="inlineStr">
        <is>
          <t>197-12-K-26, (07.08.2026) [FHM-K]</t>
        </is>
      </c>
      <c r="L273" s="149" t="inlineStr">
        <is>
          <t>✓</t>
        </is>
      </c>
      <c r="M273" s="150" t="inlineStr">
        <is>
          <t>15.70</t>
        </is>
      </c>
      <c r="N273" s="148" t="inlineStr">
        <is>
          <t>197-12-K-26, (07.08.2026) [FHM-K]</t>
        </is>
      </c>
      <c r="O273" s="149" t="inlineStr">
        <is>
          <t>✓</t>
        </is>
      </c>
      <c r="P273" s="151" t="inlineStr">
        <is>
          <t>&lt; LOQ</t>
        </is>
      </c>
      <c r="Q273" s="148" t="inlineStr">
        <is>
          <t>197-12-K-26, (07.08.2026) [FHM-K]</t>
        </is>
      </c>
      <c r="R273" s="149" t="inlineStr">
        <is>
          <t>✓</t>
        </is>
      </c>
      <c r="S273" s="151" t="inlineStr">
        <is>
          <t>&lt; LOQ</t>
        </is>
      </c>
      <c r="T273" s="148" t="inlineStr">
        <is>
          <t>197-12-K-26, (07.08.2026) [FHM-K]</t>
        </is>
      </c>
      <c r="U273" s="149" t="inlineStr">
        <is>
          <t>✓</t>
        </is>
      </c>
      <c r="V273" s="145" t="n"/>
      <c r="W273" s="144" t="n"/>
      <c r="X273" s="146" t="n"/>
      <c r="Y273" s="152" t="inlineStr">
        <is>
          <t>not on this certificate</t>
        </is>
      </c>
      <c r="Z273" s="153" t="inlineStr">
        <is>
          <t>197-12-K-26, (07.08.2026) [FHM-K] · on file, not credited</t>
        </is>
      </c>
      <c r="AA273" s="154" t="inlineStr">
        <is>
          <t>•</t>
        </is>
      </c>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5.375"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197-12-M-26, (10.08.2026) [FHM-M]</t>
        </is>
      </c>
      <c r="AI274" s="159" t="n"/>
      <c r="AJ274" s="159" t="n"/>
      <c r="AK274" s="161" t="n"/>
      <c r="AL274" s="160" t="n"/>
      <c r="AM274" s="159" t="n"/>
      <c r="AN274" s="159" t="n"/>
      <c r="AO274" s="159" t="n"/>
      <c r="AP274" s="161" t="n"/>
      <c r="AQ274" s="160" t="n"/>
      <c r="AR274" s="159" t="n"/>
      <c r="AS274" s="163" t="n"/>
    </row>
    <row r="275" ht="17.625" customHeight="1" s="70">
      <c r="A275" s="125" t="inlineStr">
        <is>
          <t>WC082501</t>
        </is>
      </c>
      <c r="B275" s="126" t="inlineStr">
        <is>
          <t>P060012</t>
        </is>
      </c>
      <c r="C275" s="127" t="inlineStr">
        <is>
          <t>✓ COMPLETE
2 testing instances
• 1 document(s) on file, not credited</t>
        </is>
      </c>
      <c r="D275" s="128" t="inlineStr">
        <is>
          <t>Conforms</t>
        </is>
      </c>
      <c r="E275" s="129">
        <f>IFERROR(INDEX('iCoA Register'!$B:$B,MATCH("P060012|I",'iCoA Register'!$AA:$AA,0)),"iCoA — at issue")&amp;", (13.01.2026) [PP]"</f>
        <v/>
      </c>
      <c r="F275" s="130" t="inlineStr">
        <is>
          <t>✓</t>
        </is>
      </c>
      <c r="G275" s="128" t="inlineStr">
        <is>
          <t>Conforms</t>
        </is>
      </c>
      <c r="H275" s="129">
        <f>IFERROR(INDEX('iCoA Register'!$B:$B,MATCH("P060012|I",'iCoA Register'!$AA:$AA,0)),"iCoA — at issue")&amp;", (13.01.2026) [PP]"</f>
        <v/>
      </c>
      <c r="I275" s="130" t="inlineStr">
        <is>
          <t>✓</t>
        </is>
      </c>
      <c r="J275" s="128" t="inlineStr">
        <is>
          <t>Conforms (ImB spec.)</t>
        </is>
      </c>
      <c r="K275" s="129" t="inlineStr">
        <is>
          <t>ППК26001, (21.01.2026) [CNP]</t>
        </is>
      </c>
      <c r="L275" s="130" t="inlineStr">
        <is>
          <t>✓</t>
        </is>
      </c>
      <c r="M275" s="134" t="inlineStr">
        <is>
          <t>21.67</t>
        </is>
      </c>
      <c r="N275" s="129" t="inlineStr">
        <is>
          <t>ППК26001, (21.01.2026) [CNP]</t>
        </is>
      </c>
      <c r="O275" s="130" t="inlineStr">
        <is>
          <t>✓</t>
        </is>
      </c>
      <c r="P275" s="135" t="inlineStr">
        <is>
          <t>0.08</t>
        </is>
      </c>
      <c r="Q275" s="129" t="inlineStr">
        <is>
          <t>ППК26001, (21.01.2026) [CNP]</t>
        </is>
      </c>
      <c r="R275" s="130" t="inlineStr">
        <is>
          <t>✓</t>
        </is>
      </c>
      <c r="S275" s="135" t="inlineStr">
        <is>
          <t>0.02 ᴰ</t>
        </is>
      </c>
      <c r="T275" s="129" t="inlineStr">
        <is>
          <t>ППК26001, (21.01.2026) [CNP]</t>
        </is>
      </c>
      <c r="U275" s="130" t="inlineStr">
        <is>
          <t>✓</t>
        </is>
      </c>
      <c r="V275" s="128" t="inlineStr">
        <is>
          <t>Conforms</t>
        </is>
      </c>
      <c r="W275" s="129">
        <f>IFERROR(INDEX('iCoA Register'!$B:$B,MATCH("P060012|I",'iCoA Register'!$AA:$AA,0)),"iCoA — at issue")&amp;", (13.01.2026) [PP]"</f>
        <v/>
      </c>
      <c r="X275" s="130" t="inlineStr">
        <is>
          <t>✓</t>
        </is>
      </c>
      <c r="Y275" s="128" t="inlineStr">
        <is>
          <t>7.50</t>
        </is>
      </c>
      <c r="Z275" s="129" t="inlineStr">
        <is>
          <t>ППК26001, (21.01.2026) [CNP]</t>
        </is>
      </c>
      <c r="AA275" s="130" t="inlineStr">
        <is>
          <t>✓</t>
        </is>
      </c>
      <c r="AB275" s="128" t="inlineStr">
        <is>
          <t>10</t>
        </is>
      </c>
      <c r="AC275" s="136" t="inlineStr">
        <is>
          <t>30</t>
        </is>
      </c>
      <c r="AD275" s="136" t="inlineStr">
        <is>
          <t>&lt; 10</t>
        </is>
      </c>
      <c r="AE275" s="136" t="inlineStr">
        <is>
          <t>Absent</t>
        </is>
      </c>
      <c r="AF275" s="136" t="inlineStr">
        <is>
          <t>Absent</t>
        </is>
      </c>
      <c r="AG275" s="130" t="inlineStr">
        <is>
          <t>✓</t>
        </is>
      </c>
      <c r="AH275" s="128" t="inlineStr">
        <is>
          <t>ND</t>
        </is>
      </c>
      <c r="AI275" s="136" t="inlineStr">
        <is>
          <t>&lt; 2</t>
        </is>
      </c>
      <c r="AJ275" s="136" t="inlineStr">
        <is>
          <t>ND</t>
        </is>
      </c>
      <c r="AK275" s="130" t="inlineStr">
        <is>
          <t>✓</t>
        </is>
      </c>
      <c r="AL275" s="128" t="inlineStr">
        <is>
          <t>ND</t>
        </is>
      </c>
      <c r="AM275" s="136" t="inlineStr">
        <is>
          <t>ND</t>
        </is>
      </c>
      <c r="AN275" s="136" t="inlineStr">
        <is>
          <t>ND</t>
        </is>
      </c>
      <c r="AO275" s="136" t="inlineStr">
        <is>
          <t>ND</t>
        </is>
      </c>
      <c r="AP275" s="130" t="inlineStr">
        <is>
          <t>✓</t>
        </is>
      </c>
      <c r="AQ275" s="128" t="inlineStr">
        <is>
          <t>≤ LOQ (all 29 compounds)</t>
        </is>
      </c>
      <c r="AR275" s="129" t="inlineStr">
        <is>
          <t>80-2026, (02.02.2026)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3-0006-26, (20.01.2026) [IJZ-MB]</t>
        </is>
      </c>
      <c r="AG276" s="140" t="n"/>
      <c r="AH276" s="141" t="inlineStr">
        <is>
          <t>80-2026, (02.02.2026) [IJZ]</t>
        </is>
      </c>
      <c r="AK276" s="140" t="n"/>
      <c r="AL276" s="141" t="inlineStr">
        <is>
          <t>80-2026, (02.02.2026) [IJZ]</t>
        </is>
      </c>
      <c r="AP276" s="140" t="n"/>
      <c r="AQ276" s="139" t="n"/>
      <c r="AS276" s="142" t="n"/>
    </row>
    <row r="277" ht="14" customHeight="1" s="70">
      <c r="A277" s="143" t="n"/>
      <c r="B277" s="144" t="n"/>
      <c r="D277" s="145" t="n"/>
      <c r="E277" s="144" t="n"/>
      <c r="F277" s="146" t="n"/>
      <c r="G277" s="152" t="inlineStr">
        <is>
          <t>not on this certificate</t>
        </is>
      </c>
      <c r="H277" s="153" t="inlineStr">
        <is>
          <t>ППК26001, (21.01.2026) [CNP] · on file, not credited</t>
        </is>
      </c>
      <c r="I277" s="154" t="inlineStr">
        <is>
          <t>•</t>
        </is>
      </c>
      <c r="J277" s="145" t="n"/>
      <c r="K277" s="144" t="n"/>
      <c r="L277" s="146" t="n"/>
      <c r="M277" s="145" t="n"/>
      <c r="N277" s="144" t="n"/>
      <c r="O277" s="146" t="n"/>
      <c r="P277" s="145" t="n"/>
      <c r="Q277" s="144" t="n"/>
      <c r="R277" s="146" t="n"/>
      <c r="S277" s="145" t="n"/>
      <c r="T277" s="144" t="n"/>
      <c r="U277" s="146" t="n"/>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220-28-M-26, (11.09.2026) [FHM-M]</t>
        </is>
      </c>
      <c r="AI278" s="159" t="n"/>
      <c r="AJ278" s="159" t="n"/>
      <c r="AK278" s="161" t="n"/>
      <c r="AL278" s="160" t="n"/>
      <c r="AM278" s="159" t="n"/>
      <c r="AN278" s="159" t="n"/>
      <c r="AO278" s="159" t="n"/>
      <c r="AP278" s="161" t="n"/>
      <c r="AQ278" s="160" t="n"/>
      <c r="AR278" s="159" t="n"/>
      <c r="AS278" s="163" t="n"/>
    </row>
    <row r="279" ht="17.625" customHeight="1" s="70">
      <c r="A279" s="125" t="inlineStr">
        <is>
          <t>CJ082501/1</t>
        </is>
      </c>
      <c r="B279" s="126" t="inlineStr">
        <is>
          <t>P060022</t>
        </is>
      </c>
      <c r="C279" s="127" t="inlineStr">
        <is>
          <t>✓ COMPLETE
2 testing instances
• 1 document(s) on file, not credited</t>
        </is>
      </c>
      <c r="D279" s="128" t="inlineStr">
        <is>
          <t>Conforms</t>
        </is>
      </c>
      <c r="E279" s="129">
        <f>IFERROR(INDEX('iCoA Register'!$B:$B,MATCH("P060022|I",'iCoA Register'!$AA:$AA,0)),"iCoA — at issue")&amp;", (16.01.2026) [PP]"</f>
        <v/>
      </c>
      <c r="F279" s="130" t="inlineStr">
        <is>
          <t>✓</t>
        </is>
      </c>
      <c r="G279" s="128" t="inlineStr">
        <is>
          <t>Conforms</t>
        </is>
      </c>
      <c r="H279" s="129">
        <f>IFERROR(INDEX('iCoA Register'!$B:$B,MATCH("P060022|I",'iCoA Register'!$AA:$AA,0)),"iCoA — at issue")&amp;", (16.01.2026) [PP]"</f>
        <v/>
      </c>
      <c r="I279" s="130" t="inlineStr">
        <is>
          <t>✓</t>
        </is>
      </c>
      <c r="J279" s="128" t="inlineStr">
        <is>
          <t>Conforms (ImB spec.)</t>
        </is>
      </c>
      <c r="K279" s="129" t="inlineStr">
        <is>
          <t>ППК26002, (21.01.2026) [CNP]</t>
        </is>
      </c>
      <c r="L279" s="130" t="inlineStr">
        <is>
          <t>✓</t>
        </is>
      </c>
      <c r="M279" s="134" t="inlineStr">
        <is>
          <t>24.96</t>
        </is>
      </c>
      <c r="N279" s="129" t="inlineStr">
        <is>
          <t>ППК26002, (21.01.2026) [CNP]</t>
        </is>
      </c>
      <c r="O279" s="130" t="inlineStr">
        <is>
          <t>✓</t>
        </is>
      </c>
      <c r="P279" s="135" t="inlineStr">
        <is>
          <t>0.09</t>
        </is>
      </c>
      <c r="Q279" s="129" t="inlineStr">
        <is>
          <t>ППК26002, (21.01.2026) [CNP]</t>
        </is>
      </c>
      <c r="R279" s="130" t="inlineStr">
        <is>
          <t>✓</t>
        </is>
      </c>
      <c r="S279" s="135" t="inlineStr">
        <is>
          <t>0.02 ᴰ</t>
        </is>
      </c>
      <c r="T279" s="129" t="inlineStr">
        <is>
          <t>ППК26002, (21.01.2026) [CNP]</t>
        </is>
      </c>
      <c r="U279" s="130" t="inlineStr">
        <is>
          <t>✓</t>
        </is>
      </c>
      <c r="V279" s="128" t="inlineStr">
        <is>
          <t>Conforms</t>
        </is>
      </c>
      <c r="W279" s="129">
        <f>IFERROR(INDEX('iCoA Register'!$B:$B,MATCH("P060022|I",'iCoA Register'!$AA:$AA,0)),"iCoA — at issue")&amp;", (16.01.2026) [PP]"</f>
        <v/>
      </c>
      <c r="X279" s="130" t="inlineStr">
        <is>
          <t>✓</t>
        </is>
      </c>
      <c r="Y279" s="128" t="inlineStr">
        <is>
          <t>7.21</t>
        </is>
      </c>
      <c r="Z279" s="129" t="inlineStr">
        <is>
          <t>ППК26002, (21.01.2026) [CNP]</t>
        </is>
      </c>
      <c r="AA279" s="130" t="inlineStr">
        <is>
          <t>✓</t>
        </is>
      </c>
      <c r="AB279" s="128" t="inlineStr">
        <is>
          <t>1.5 × 10²</t>
        </is>
      </c>
      <c r="AC279" s="136" t="inlineStr">
        <is>
          <t>1.3 × 10²</t>
        </is>
      </c>
      <c r="AD279" s="136" t="inlineStr">
        <is>
          <t>&lt; 10</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0.075</t>
        </is>
      </c>
      <c r="AM279" s="136" t="inlineStr">
        <is>
          <t>ND</t>
        </is>
      </c>
      <c r="AN279" s="136" t="inlineStr">
        <is>
          <t>ND</t>
        </is>
      </c>
      <c r="AO279" s="136" t="inlineStr">
        <is>
          <t>ND</t>
        </is>
      </c>
      <c r="AP279" s="130" t="inlineStr">
        <is>
          <t>✓</t>
        </is>
      </c>
      <c r="AQ279" s="128" t="inlineStr">
        <is>
          <t>≤ LOQ (all 26 compounds)</t>
        </is>
      </c>
      <c r="AR279" s="129" t="inlineStr">
        <is>
          <t>81-2026, (02.02.2026)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8-0011-26, (20.01.2026) [IJZ-MB]</t>
        </is>
      </c>
      <c r="AG280" s="140" t="n"/>
      <c r="AH280" s="141" t="inlineStr">
        <is>
          <t>81-2026, (02.02.2026) [IJZ]</t>
        </is>
      </c>
      <c r="AK280" s="140" t="n"/>
      <c r="AL280" s="141" t="inlineStr">
        <is>
          <t>81-2026, (02.02.2026) [IJZ]</t>
        </is>
      </c>
      <c r="AP280" s="140" t="n"/>
      <c r="AQ280" s="139" t="n"/>
      <c r="AS280" s="142" t="n"/>
    </row>
    <row r="281" ht="14" customHeight="1" s="70">
      <c r="A281" s="143" t="n"/>
      <c r="B281" s="144" t="n"/>
      <c r="D281" s="145" t="n"/>
      <c r="E281" s="144" t="n"/>
      <c r="F281" s="146" t="n"/>
      <c r="G281" s="152" t="inlineStr">
        <is>
          <t>not on this certificate</t>
        </is>
      </c>
      <c r="H281" s="153" t="inlineStr">
        <is>
          <t>ППК26002, (21.01.2026) [CNP] · on file, not credited</t>
        </is>
      </c>
      <c r="I281" s="154" t="inlineStr">
        <is>
          <t>•</t>
        </is>
      </c>
      <c r="J281" s="145" t="n"/>
      <c r="K281" s="144" t="n"/>
      <c r="L281" s="146" t="n"/>
      <c r="M281" s="145" t="n"/>
      <c r="N281" s="144" t="n"/>
      <c r="O281" s="146" t="n"/>
      <c r="P281" s="145" t="n"/>
      <c r="Q281" s="144" t="n"/>
      <c r="R281" s="146" t="n"/>
      <c r="S281" s="145" t="n"/>
      <c r="T281" s="144" t="n"/>
      <c r="U281" s="146" t="n"/>
      <c r="V281" s="145" t="n"/>
      <c r="W281" s="144" t="n"/>
      <c r="X281" s="146" t="n"/>
      <c r="Y281" s="145" t="n"/>
      <c r="Z281" s="144" t="n"/>
      <c r="AA281" s="146" t="n"/>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3"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220-4-M-26, (11.09.2026) [FHM-M]</t>
        </is>
      </c>
      <c r="AI282" s="159" t="n"/>
      <c r="AJ282" s="159" t="n"/>
      <c r="AK282" s="161" t="n"/>
      <c r="AL282" s="160" t="n"/>
      <c r="AM282" s="159" t="n"/>
      <c r="AN282" s="159" t="n"/>
      <c r="AO282" s="159" t="n"/>
      <c r="AP282" s="161" t="n"/>
      <c r="AQ282" s="160" t="n"/>
      <c r="AR282" s="159" t="n"/>
      <c r="AS282" s="163" t="n"/>
    </row>
    <row r="283" ht="17.625" customHeight="1" s="70">
      <c r="A283" s="125" t="inlineStr">
        <is>
          <t>CJ082501/2</t>
        </is>
      </c>
      <c r="B283" s="126" t="inlineStr">
        <is>
          <t>P060032</t>
        </is>
      </c>
      <c r="C283" s="127" t="inlineStr">
        <is>
          <t>✓ COMPLETE
2 testing instances
• 2 document(s) on file, not credited</t>
        </is>
      </c>
      <c r="D283" s="128" t="inlineStr">
        <is>
          <t>Conforms</t>
        </is>
      </c>
      <c r="E283" s="129">
        <f>IFERROR(INDEX('iCoA Register'!$B:$B,MATCH("P060032|I",'iCoA Register'!$AA:$AA,0)),"iCoA — at issue")&amp;", (29.01.2026) [PP]"</f>
        <v/>
      </c>
      <c r="F283" s="130" t="inlineStr">
        <is>
          <t>✓</t>
        </is>
      </c>
      <c r="G283" s="131" t="inlineStr">
        <is>
          <t>not on this certificate</t>
        </is>
      </c>
      <c r="H283" s="132" t="inlineStr">
        <is>
          <t>ППК26003, (21.01.2026) [CNP] · on file, not credited</t>
        </is>
      </c>
      <c r="I283" s="133" t="inlineStr">
        <is>
          <t>•</t>
        </is>
      </c>
      <c r="J283" s="128" t="inlineStr">
        <is>
          <t>Conforms (ImB spec.)</t>
        </is>
      </c>
      <c r="K283" s="129" t="inlineStr">
        <is>
          <t>ППК26003, (21.01.2026) [CNP]</t>
        </is>
      </c>
      <c r="L283" s="130" t="inlineStr">
        <is>
          <t>✓</t>
        </is>
      </c>
      <c r="M283" s="134" t="inlineStr">
        <is>
          <t>20.84</t>
        </is>
      </c>
      <c r="N283" s="129" t="inlineStr">
        <is>
          <t>ППК26003, (21.01.2026) [CNP]</t>
        </is>
      </c>
      <c r="O283" s="130" t="inlineStr">
        <is>
          <t>✓</t>
        </is>
      </c>
      <c r="P283" s="135" t="inlineStr">
        <is>
          <t>0.08</t>
        </is>
      </c>
      <c r="Q283" s="129" t="inlineStr">
        <is>
          <t>ППК26003, (21.01.2026) [CNP]</t>
        </is>
      </c>
      <c r="R283" s="130" t="inlineStr">
        <is>
          <t>✓</t>
        </is>
      </c>
      <c r="S283" s="135" t="inlineStr">
        <is>
          <t>ND ᴰ</t>
        </is>
      </c>
      <c r="T283" s="129" t="inlineStr">
        <is>
          <t>ППК26003, (21.01.2026) [CNP]</t>
        </is>
      </c>
      <c r="U283" s="130" t="inlineStr">
        <is>
          <t>✓</t>
        </is>
      </c>
      <c r="V283" s="128" t="inlineStr">
        <is>
          <t>Conforms</t>
        </is>
      </c>
      <c r="W283" s="129">
        <f>IFERROR(INDEX('iCoA Register'!$B:$B,MATCH("P060032|I",'iCoA Register'!$AA:$AA,0)),"iCoA — at issue")&amp;", (29.01.2026) [PP]"</f>
        <v/>
      </c>
      <c r="X283" s="130" t="inlineStr">
        <is>
          <t>✓</t>
        </is>
      </c>
      <c r="Y283" s="128" t="inlineStr">
        <is>
          <t>7.37</t>
        </is>
      </c>
      <c r="Z283" s="129" t="inlineStr">
        <is>
          <t>ППК26003, (21.01.2026) [CNP]</t>
        </is>
      </c>
      <c r="AA283" s="130" t="inlineStr">
        <is>
          <t>✓</t>
        </is>
      </c>
      <c r="AB283" s="128" t="inlineStr">
        <is>
          <t>9.5 × 10²</t>
        </is>
      </c>
      <c r="AC283" s="136" t="inlineStr">
        <is>
          <t>1.2 × 10³</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0.073</t>
        </is>
      </c>
      <c r="AM283" s="136" t="inlineStr">
        <is>
          <t>ND</t>
        </is>
      </c>
      <c r="AN283" s="136" t="inlineStr">
        <is>
          <t>ND</t>
        </is>
      </c>
      <c r="AO283" s="136" t="inlineStr">
        <is>
          <t>ND</t>
        </is>
      </c>
      <c r="AP283" s="130" t="inlineStr">
        <is>
          <t>✓</t>
        </is>
      </c>
      <c r="AQ283" s="128" t="inlineStr">
        <is>
          <t>≤ LOQ (all 29 compounds)</t>
        </is>
      </c>
      <c r="AR283" s="129" t="inlineStr">
        <is>
          <t>82-2026,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4-0007-26, (20.01.2026) [IJZ-MB]</t>
        </is>
      </c>
      <c r="AG284" s="140" t="n"/>
      <c r="AH284" s="141" t="inlineStr">
        <is>
          <t>82-2026, (02.02.2026) [IJZ]</t>
        </is>
      </c>
      <c r="AK284" s="140" t="n"/>
      <c r="AL284" s="141" t="inlineStr">
        <is>
          <t>82-2026, (02.02.2026) [IJZ]</t>
        </is>
      </c>
      <c r="AP284" s="140" t="n"/>
      <c r="AQ284" s="139" t="n"/>
      <c r="AS284" s="142" t="n"/>
    </row>
    <row r="285" ht="17.625" customHeight="1" s="70">
      <c r="A285" s="143" t="n"/>
      <c r="B285" s="144" t="n"/>
      <c r="D285" s="145" t="n"/>
      <c r="E285" s="144" t="n"/>
      <c r="F285" s="146" t="n"/>
      <c r="G285" s="147" t="inlineStr">
        <is>
          <t>Conforms</t>
        </is>
      </c>
      <c r="H285" s="148">
        <f>IFERROR(INDEX('iCoA Register'!$B:$B,MATCH("P060032|I",'iCoA Register'!$AA:$AA,0)),"iCoA — at issue")&amp;", (29.01.2026) [PP]"</f>
        <v/>
      </c>
      <c r="I285" s="149" t="inlineStr">
        <is>
          <t>✓</t>
        </is>
      </c>
      <c r="J285" s="147" t="inlineStr">
        <is>
          <t>Conforms (ImB spec.) ᴿ</t>
        </is>
      </c>
      <c r="K285" s="148" t="inlineStr">
        <is>
          <t>197-5-K-26, (07.08.2026) [FHM-K]</t>
        </is>
      </c>
      <c r="L285" s="149" t="inlineStr">
        <is>
          <t>✓</t>
        </is>
      </c>
      <c r="M285" s="150" t="inlineStr">
        <is>
          <t>18.29</t>
        </is>
      </c>
      <c r="N285" s="148" t="inlineStr">
        <is>
          <t>197-5-K-26, (07.08.2026) [FHM-K]</t>
        </is>
      </c>
      <c r="O285" s="149" t="inlineStr">
        <is>
          <t>✓</t>
        </is>
      </c>
      <c r="P285" s="151" t="inlineStr">
        <is>
          <t>&lt; LOQ</t>
        </is>
      </c>
      <c r="Q285" s="148" t="inlineStr">
        <is>
          <t>197-5-K-26, (07.08.2026) [FHM-K]</t>
        </is>
      </c>
      <c r="R285" s="149" t="inlineStr">
        <is>
          <t>✓</t>
        </is>
      </c>
      <c r="S285" s="151" t="inlineStr">
        <is>
          <t>&lt; LOQ</t>
        </is>
      </c>
      <c r="T285" s="148" t="inlineStr">
        <is>
          <t>197-5-K-26, (07.08.2026) [FHM-K]</t>
        </is>
      </c>
      <c r="U285" s="149" t="inlineStr">
        <is>
          <t>✓</t>
        </is>
      </c>
      <c r="V285" s="145" t="n"/>
      <c r="W285" s="144" t="n"/>
      <c r="X285" s="146" t="n"/>
      <c r="Y285" s="152" t="inlineStr">
        <is>
          <t>not on this certificate</t>
        </is>
      </c>
      <c r="Z285" s="153" t="inlineStr">
        <is>
          <t>197-5-K-26, (07.08.2026) [FHM-K] · on file, not credited</t>
        </is>
      </c>
      <c r="AA285" s="154" t="inlineStr">
        <is>
          <t>•</t>
        </is>
      </c>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5.375"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197-5-M-26, (10.08.2026) [FHM-M]</t>
        </is>
      </c>
      <c r="AI286" s="159" t="n"/>
      <c r="AJ286" s="159" t="n"/>
      <c r="AK286" s="161" t="n"/>
      <c r="AL286" s="160" t="n"/>
      <c r="AM286" s="159" t="n"/>
      <c r="AN286" s="159" t="n"/>
      <c r="AO286" s="159" t="n"/>
      <c r="AP286" s="161" t="n"/>
      <c r="AQ286" s="160" t="n"/>
      <c r="AR286" s="159" t="n"/>
      <c r="AS286" s="163" t="n"/>
    </row>
    <row r="287" ht="21" customHeight="1" s="70">
      <c r="A287" s="125" t="inlineStr">
        <is>
          <t>OPM092501</t>
        </is>
      </c>
      <c r="B287" s="126" t="inlineStr">
        <is>
          <t>P060042</t>
        </is>
      </c>
      <c r="C287" s="127" t="inlineStr">
        <is>
          <t>✓ COMPLETE
2 testing instances
• 1 document(s) on file, not credited</t>
        </is>
      </c>
      <c r="D287" s="128" t="inlineStr">
        <is>
          <t>Conforms</t>
        </is>
      </c>
      <c r="E287" s="129">
        <f>IFERROR(INDEX('iCoA Register'!$B:$B,MATCH("P060042|I",'iCoA Register'!$AA:$AA,0)),"iCoA — at issue")&amp;", (29.01.2026) [PP]"</f>
        <v/>
      </c>
      <c r="F287" s="130" t="inlineStr">
        <is>
          <t>✓</t>
        </is>
      </c>
      <c r="G287" s="131" t="inlineStr">
        <is>
          <t>not on this certificate</t>
        </is>
      </c>
      <c r="H287" s="132" t="inlineStr">
        <is>
          <t>ППК26008, (21.01.2026) [CNP] · on file, not credited</t>
        </is>
      </c>
      <c r="I287" s="133" t="inlineStr">
        <is>
          <t>•</t>
        </is>
      </c>
      <c r="J287" s="128" t="inlineStr">
        <is>
          <t>Conforms (ImB spec.)</t>
        </is>
      </c>
      <c r="K287" s="129" t="inlineStr">
        <is>
          <t>ППК26008, (21.01.2026) [CNP]</t>
        </is>
      </c>
      <c r="L287" s="130" t="inlineStr">
        <is>
          <t>✓</t>
        </is>
      </c>
      <c r="M287" s="134" t="inlineStr">
        <is>
          <t>9.43</t>
        </is>
      </c>
      <c r="N287" s="129" t="inlineStr">
        <is>
          <t>ППК26008, (21.01.2026) [CNP]</t>
        </is>
      </c>
      <c r="O287" s="130" t="inlineStr">
        <is>
          <t>✓</t>
        </is>
      </c>
      <c r="P287" s="135" t="inlineStr">
        <is>
          <t>0.04</t>
        </is>
      </c>
      <c r="Q287" s="129" t="inlineStr">
        <is>
          <t>ППК26008, (21.01.2026) [CNP]</t>
        </is>
      </c>
      <c r="R287" s="130" t="inlineStr">
        <is>
          <t>✓</t>
        </is>
      </c>
      <c r="S287" s="135" t="inlineStr">
        <is>
          <t>ND ᴰ</t>
        </is>
      </c>
      <c r="T287" s="129" t="inlineStr">
        <is>
          <t>ППК26008, (21.01.2026) [CNP]</t>
        </is>
      </c>
      <c r="U287" s="130" t="inlineStr">
        <is>
          <t>✓</t>
        </is>
      </c>
      <c r="V287" s="128" t="inlineStr">
        <is>
          <t>Conforms</t>
        </is>
      </c>
      <c r="W287" s="129">
        <f>IFERROR(INDEX('iCoA Register'!$B:$B,MATCH("P060042|I",'iCoA Register'!$AA:$AA,0)),"iCoA — at issue")&amp;", (29.01.2026) [PP]"</f>
        <v/>
      </c>
      <c r="X287" s="130" t="inlineStr">
        <is>
          <t>✓</t>
        </is>
      </c>
      <c r="Y287" s="128" t="inlineStr">
        <is>
          <t>7.85</t>
        </is>
      </c>
      <c r="Z287" s="129" t="inlineStr">
        <is>
          <t>ППК26008, (21.01.2026) [CNP]</t>
        </is>
      </c>
      <c r="AA287" s="130" t="inlineStr">
        <is>
          <t>✓</t>
        </is>
      </c>
      <c r="AB287" s="128" t="inlineStr">
        <is>
          <t>10</t>
        </is>
      </c>
      <c r="AC287" s="136" t="inlineStr">
        <is>
          <t>10</t>
        </is>
      </c>
      <c r="AD287" s="136" t="inlineStr">
        <is>
          <t>&lt; 10² and &gt; 10</t>
        </is>
      </c>
      <c r="AE287" s="136" t="inlineStr">
        <is>
          <t>Absent</t>
        </is>
      </c>
      <c r="AF287" s="136" t="inlineStr">
        <is>
          <t>Absent</t>
        </is>
      </c>
      <c r="AG287" s="130" t="inlineStr">
        <is>
          <t>✓</t>
        </is>
      </c>
      <c r="AH287" s="128" t="inlineStr">
        <is>
          <t>ND</t>
        </is>
      </c>
      <c r="AI287" s="136" t="inlineStr">
        <is>
          <t>2.2</t>
        </is>
      </c>
      <c r="AJ287" s="136" t="inlineStr">
        <is>
          <t>ND</t>
        </is>
      </c>
      <c r="AK287" s="130" t="inlineStr">
        <is>
          <t>✓</t>
        </is>
      </c>
      <c r="AL287" s="128" t="inlineStr">
        <is>
          <t>0.022</t>
        </is>
      </c>
      <c r="AM287" s="136" t="inlineStr">
        <is>
          <t>ND</t>
        </is>
      </c>
      <c r="AN287" s="136" t="inlineStr">
        <is>
          <t>ND</t>
        </is>
      </c>
      <c r="AO287" s="136" t="inlineStr">
        <is>
          <t>ND</t>
        </is>
      </c>
      <c r="AP287" s="130" t="inlineStr">
        <is>
          <t>✓</t>
        </is>
      </c>
      <c r="AQ287" s="128" t="inlineStr">
        <is>
          <t>≤ LOQ (all 29 compounds)</t>
        </is>
      </c>
      <c r="AR287" s="129" t="inlineStr">
        <is>
          <t>87-2026, (03.02.2026)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2-0005-26, (20.01.2026) [IJZ-MB]</t>
        </is>
      </c>
      <c r="AG288" s="140" t="n"/>
      <c r="AH288" s="141" t="inlineStr">
        <is>
          <t>87-2026, (03.02.2026) [IJZ]</t>
        </is>
      </c>
      <c r="AK288" s="140" t="n"/>
      <c r="AL288" s="141" t="inlineStr">
        <is>
          <t>87-2026, (03.02.2026) [IJZ]</t>
        </is>
      </c>
      <c r="AP288" s="140" t="n"/>
      <c r="AQ288" s="139" t="n"/>
      <c r="AS288" s="142" t="n"/>
    </row>
    <row r="289" ht="14" customHeight="1" s="70">
      <c r="A289" s="143" t="n"/>
      <c r="B289" s="144" t="n"/>
      <c r="D289" s="145" t="n"/>
      <c r="E289" s="144" t="n"/>
      <c r="F289" s="146" t="n"/>
      <c r="G289" s="147" t="inlineStr">
        <is>
          <t>Conforms</t>
        </is>
      </c>
      <c r="H289" s="148">
        <f>IFERROR(INDEX('iCoA Register'!$B:$B,MATCH("P060042|I",'iCoA Register'!$AA:$AA,0)),"iCoA — at issue")&amp;", (29.01.2026) [PP]"</f>
        <v/>
      </c>
      <c r="I289" s="149" t="inlineStr">
        <is>
          <t>✓</t>
        </is>
      </c>
      <c r="J289" s="145" t="n"/>
      <c r="K289" s="144" t="n"/>
      <c r="L289" s="146" t="n"/>
      <c r="M289" s="145" t="n"/>
      <c r="N289" s="144" t="n"/>
      <c r="O289" s="146" t="n"/>
      <c r="P289" s="145" t="n"/>
      <c r="Q289" s="144" t="n"/>
      <c r="R289" s="146" t="n"/>
      <c r="S289" s="145" t="n"/>
      <c r="T289" s="144" t="n"/>
      <c r="U289" s="146" t="n"/>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220-22-M-26, (11.09.2026) [FHM-M]</t>
        </is>
      </c>
      <c r="AI290" s="159" t="n"/>
      <c r="AJ290" s="159" t="n"/>
      <c r="AK290" s="161" t="n"/>
      <c r="AL290" s="160" t="n"/>
      <c r="AM290" s="159" t="n"/>
      <c r="AN290" s="159" t="n"/>
      <c r="AO290" s="159" t="n"/>
      <c r="AP290" s="161" t="n"/>
      <c r="AQ290" s="160" t="n"/>
      <c r="AR290" s="159" t="n"/>
      <c r="AS290" s="163" t="n"/>
    </row>
    <row r="291" ht="17.625" customHeight="1" s="70">
      <c r="A291" s="125" t="inlineStr">
        <is>
          <t>AB092501</t>
        </is>
      </c>
      <c r="B291" s="126" t="inlineStr">
        <is>
          <t>P060052</t>
        </is>
      </c>
      <c r="C291" s="127" t="inlineStr">
        <is>
          <t>✓ COMPLETE
2 testing instances
• 1 document(s) on file, not credited</t>
        </is>
      </c>
      <c r="D291" s="128" t="inlineStr">
        <is>
          <t>Conforms</t>
        </is>
      </c>
      <c r="E291" s="129">
        <f>IFERROR(INDEX('iCoA Register'!$B:$B,MATCH("P060052|I",'iCoA Register'!$AA:$AA,0)),"iCoA — at issue")&amp;", (30.01.2026) [PP]"</f>
        <v/>
      </c>
      <c r="F291" s="130" t="inlineStr">
        <is>
          <t>✓</t>
        </is>
      </c>
      <c r="G291" s="131" t="inlineStr">
        <is>
          <t>not on this certificate</t>
        </is>
      </c>
      <c r="H291" s="132" t="inlineStr">
        <is>
          <t>ППК26005, (21.01.2026) [CNP] · on file, not credited</t>
        </is>
      </c>
      <c r="I291" s="133" t="inlineStr">
        <is>
          <t>•</t>
        </is>
      </c>
      <c r="J291" s="128" t="inlineStr">
        <is>
          <t>Conforms (ImB spec.)</t>
        </is>
      </c>
      <c r="K291" s="129" t="inlineStr">
        <is>
          <t>ППК26005, (21.01.2026) [CNP]</t>
        </is>
      </c>
      <c r="L291" s="130" t="inlineStr">
        <is>
          <t>✓</t>
        </is>
      </c>
      <c r="M291" s="134" t="inlineStr">
        <is>
          <t>16.93</t>
        </is>
      </c>
      <c r="N291" s="129" t="inlineStr">
        <is>
          <t>ППК26005, (21.01.2026) [CNP]</t>
        </is>
      </c>
      <c r="O291" s="130" t="inlineStr">
        <is>
          <t>✓</t>
        </is>
      </c>
      <c r="P291" s="135" t="inlineStr">
        <is>
          <t>0.07</t>
        </is>
      </c>
      <c r="Q291" s="129" t="inlineStr">
        <is>
          <t>ППК26005, (21.01.2026) [CNP]</t>
        </is>
      </c>
      <c r="R291" s="130" t="inlineStr">
        <is>
          <t>✓</t>
        </is>
      </c>
      <c r="S291" s="135" t="inlineStr">
        <is>
          <t>ND ᴰ</t>
        </is>
      </c>
      <c r="T291" s="129" t="inlineStr">
        <is>
          <t>ППК26005, (21.01.2026) [CNP]</t>
        </is>
      </c>
      <c r="U291" s="130" t="inlineStr">
        <is>
          <t>✓</t>
        </is>
      </c>
      <c r="V291" s="128" t="inlineStr">
        <is>
          <t>Conforms</t>
        </is>
      </c>
      <c r="W291" s="129">
        <f>IFERROR(INDEX('iCoA Register'!$B:$B,MATCH("P060052|I",'iCoA Register'!$AA:$AA,0)),"iCoA — at issue")&amp;", (30.01.2026) [PP]"</f>
        <v/>
      </c>
      <c r="X291" s="130" t="inlineStr">
        <is>
          <t>✓</t>
        </is>
      </c>
      <c r="Y291" s="128" t="inlineStr">
        <is>
          <t>6.77</t>
        </is>
      </c>
      <c r="Z291" s="129" t="inlineStr">
        <is>
          <t>ППК26005, (21.01.2026) [CNP]</t>
        </is>
      </c>
      <c r="AA291" s="130" t="inlineStr">
        <is>
          <t>✓</t>
        </is>
      </c>
      <c r="AB291" s="128" t="inlineStr">
        <is>
          <t>&lt; 10</t>
        </is>
      </c>
      <c r="AC291" s="136" t="inlineStr">
        <is>
          <t>&lt; 10</t>
        </is>
      </c>
      <c r="AD291" s="136" t="inlineStr">
        <is>
          <t>&lt; 10</t>
        </is>
      </c>
      <c r="AE291" s="136" t="inlineStr">
        <is>
          <t>Absent</t>
        </is>
      </c>
      <c r="AF291" s="136" t="inlineStr">
        <is>
          <t>Absent</t>
        </is>
      </c>
      <c r="AG291" s="130" t="inlineStr">
        <is>
          <t>✓</t>
        </is>
      </c>
      <c r="AH291" s="128" t="inlineStr">
        <is>
          <t>ND</t>
        </is>
      </c>
      <c r="AI291" s="136" t="inlineStr">
        <is>
          <t>&lt; 2</t>
        </is>
      </c>
      <c r="AJ291" s="136" t="inlineStr">
        <is>
          <t>ND</t>
        </is>
      </c>
      <c r="AK291" s="130" t="inlineStr">
        <is>
          <t>✓</t>
        </is>
      </c>
      <c r="AL291" s="128" t="inlineStr">
        <is>
          <t>0.05</t>
        </is>
      </c>
      <c r="AM291" s="136" t="inlineStr">
        <is>
          <t>ND</t>
        </is>
      </c>
      <c r="AN291" s="136" t="inlineStr">
        <is>
          <t>ND</t>
        </is>
      </c>
      <c r="AO291" s="136" t="inlineStr">
        <is>
          <t>0.003</t>
        </is>
      </c>
      <c r="AP291" s="130" t="inlineStr">
        <is>
          <t>✓</t>
        </is>
      </c>
      <c r="AQ291" s="128" t="inlineStr">
        <is>
          <t>≤ LOQ (all 29 compounds)</t>
        </is>
      </c>
      <c r="AR291" s="129" t="inlineStr">
        <is>
          <t>84-2026,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7-0010-26, (20.01.2026) [IJZ-MB]</t>
        </is>
      </c>
      <c r="AG292" s="140" t="n"/>
      <c r="AH292" s="141" t="inlineStr">
        <is>
          <t>84-2026, (02.02.2026) [IJZ]</t>
        </is>
      </c>
      <c r="AK292" s="140" t="n"/>
      <c r="AL292" s="141" t="inlineStr">
        <is>
          <t>84-2026,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Register'!$B:$B,MATCH("P060052|I",'iCoA Register'!$AA:$AA,0)),"iCoA — at issue")&amp;", (30.01.2026) [PP]"</f>
        <v/>
      </c>
      <c r="I293" s="149" t="inlineStr">
        <is>
          <t>✓</t>
        </is>
      </c>
      <c r="J293" s="147" t="inlineStr">
        <is>
          <t>Conforms (ImB spec.)</t>
        </is>
      </c>
      <c r="K293" s="148" t="inlineStr">
        <is>
          <t>227-30-K-26, (11.09.2026) [FHM-K]</t>
        </is>
      </c>
      <c r="L293" s="149" t="inlineStr">
        <is>
          <t>✓</t>
        </is>
      </c>
      <c r="M293" s="150" t="inlineStr">
        <is>
          <t>22.97</t>
        </is>
      </c>
      <c r="N293" s="148" t="inlineStr">
        <is>
          <t>227-30-K-26, (11.09.2026) [FHM-K]</t>
        </is>
      </c>
      <c r="O293" s="149" t="inlineStr">
        <is>
          <t>✓</t>
        </is>
      </c>
      <c r="P293" s="151" t="inlineStr">
        <is>
          <t>&lt; LOQ</t>
        </is>
      </c>
      <c r="Q293" s="148" t="inlineStr">
        <is>
          <t>227-30-K-26, (11.09.2026) [FHM-K]</t>
        </is>
      </c>
      <c r="R293" s="149" t="inlineStr">
        <is>
          <t>✓</t>
        </is>
      </c>
      <c r="S293" s="151" t="inlineStr">
        <is>
          <t>&lt; LOQ</t>
        </is>
      </c>
      <c r="T293" s="148" t="inlineStr">
        <is>
          <t>227-30-K-26, (11.09.2026) [FHM-K]</t>
        </is>
      </c>
      <c r="U293" s="149" t="inlineStr">
        <is>
          <t>✓</t>
        </is>
      </c>
      <c r="V293" s="145" t="n"/>
      <c r="W293" s="144" t="n"/>
      <c r="X293" s="146" t="n"/>
      <c r="Y293" s="145" t="n"/>
      <c r="Z293" s="144" t="n"/>
      <c r="AA293" s="146" t="n"/>
      <c r="AB293" s="155" t="inlineStr">
        <is>
          <t>&lt; 10</t>
        </is>
      </c>
      <c r="AC293" s="156" t="inlineStr">
        <is>
          <t>&lt; 10</t>
        </is>
      </c>
      <c r="AD293" s="156" t="inlineStr">
        <is>
          <t>&lt; 10</t>
        </is>
      </c>
      <c r="AE293" s="156" t="inlineStr">
        <is>
          <t>Absent</t>
        </is>
      </c>
      <c r="AF293" s="156" t="inlineStr">
        <is>
          <t>Absent</t>
        </is>
      </c>
      <c r="AG293" s="149" t="inlineStr">
        <is>
          <t>✓</t>
        </is>
      </c>
      <c r="AH293" s="145" t="n"/>
      <c r="AI293" s="144" t="n"/>
      <c r="AJ293" s="144" t="n"/>
      <c r="AK293" s="146" t="n"/>
      <c r="AL293" s="145" t="n"/>
      <c r="AM293" s="144" t="n"/>
      <c r="AN293" s="144" t="n"/>
      <c r="AO293" s="144" t="n"/>
      <c r="AP293" s="146" t="n"/>
      <c r="AQ293" s="145" t="n"/>
      <c r="AR293" s="144" t="n"/>
      <c r="AS293" s="157" t="n"/>
    </row>
    <row r="294" ht="13"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2" t="inlineStr">
        <is>
          <t>552-1083-26, (01.09.2026) [IJZ-MB]</t>
        </is>
      </c>
      <c r="AC294" s="159" t="n"/>
      <c r="AD294" s="159" t="n"/>
      <c r="AE294" s="159" t="n"/>
      <c r="AF294" s="159" t="n"/>
      <c r="AG294" s="161" t="n"/>
      <c r="AH294" s="160" t="n"/>
      <c r="AI294" s="159" t="n"/>
      <c r="AJ294" s="159" t="n"/>
      <c r="AK294" s="161" t="n"/>
      <c r="AL294" s="160" t="n"/>
      <c r="AM294" s="159" t="n"/>
      <c r="AN294" s="159" t="n"/>
      <c r="AO294" s="159" t="n"/>
      <c r="AP294" s="161" t="n"/>
      <c r="AQ294" s="160" t="n"/>
      <c r="AR294" s="159" t="n"/>
      <c r="AS294" s="163" t="n"/>
    </row>
    <row r="295" ht="17.625" customHeight="1" s="70">
      <c r="A295" s="125" t="inlineStr">
        <is>
          <t>PM092501</t>
        </is>
      </c>
      <c r="B295" s="126" t="inlineStr">
        <is>
          <t>P060062</t>
        </is>
      </c>
      <c r="C295" s="127" t="inlineStr">
        <is>
          <t>✓ COMPLETE
2 testing instances
• 2 document(s) on file, not credited</t>
        </is>
      </c>
      <c r="D295" s="128" t="inlineStr">
        <is>
          <t>Conforms</t>
        </is>
      </c>
      <c r="E295" s="129">
        <f>IFERROR(INDEX('iCoA Register'!$B:$B,MATCH("P060062|I",'iCoA Register'!$AA:$AA,0)),"iCoA — at issue")&amp;", (30.01.2026) [PP]"</f>
        <v/>
      </c>
      <c r="F295" s="130" t="inlineStr">
        <is>
          <t>✓</t>
        </is>
      </c>
      <c r="G295" s="131" t="inlineStr">
        <is>
          <t>not on this certificate</t>
        </is>
      </c>
      <c r="H295" s="132" t="inlineStr">
        <is>
          <t>ППК26004, (21.01.2026) [CNP] · on file, not credited</t>
        </is>
      </c>
      <c r="I295" s="133" t="inlineStr">
        <is>
          <t>•</t>
        </is>
      </c>
      <c r="J295" s="128" t="inlineStr">
        <is>
          <t>Conforms (ImB spec.) ᴿ</t>
        </is>
      </c>
      <c r="K295" s="129" t="inlineStr">
        <is>
          <t>ППК26004, (21.01.2026) [CNP]</t>
        </is>
      </c>
      <c r="L295" s="130" t="inlineStr">
        <is>
          <t>✓</t>
        </is>
      </c>
      <c r="M295" s="134" t="inlineStr">
        <is>
          <t>14.06 ᴿ</t>
        </is>
      </c>
      <c r="N295" s="129" t="inlineStr">
        <is>
          <t>ППК26004, (21.01.2026) [CNP]</t>
        </is>
      </c>
      <c r="O295" s="130" t="inlineStr">
        <is>
          <t>✓</t>
        </is>
      </c>
      <c r="P295" s="135" t="inlineStr">
        <is>
          <t>0.05</t>
        </is>
      </c>
      <c r="Q295" s="129" t="inlineStr">
        <is>
          <t>ППК26004, (21.01.2026) [CNP]</t>
        </is>
      </c>
      <c r="R295" s="130" t="inlineStr">
        <is>
          <t>✓</t>
        </is>
      </c>
      <c r="S295" s="135" t="inlineStr">
        <is>
          <t>&lt; LOQ ᴰ</t>
        </is>
      </c>
      <c r="T295" s="129" t="inlineStr">
        <is>
          <t>ППК26004, (21.01.2026) [CNP]</t>
        </is>
      </c>
      <c r="U295" s="130" t="inlineStr">
        <is>
          <t>✓</t>
        </is>
      </c>
      <c r="V295" s="128" t="inlineStr">
        <is>
          <t>Conforms</t>
        </is>
      </c>
      <c r="W295" s="129">
        <f>IFERROR(INDEX('iCoA Register'!$B:$B,MATCH("P060062|I",'iCoA Register'!$AA:$AA,0)),"iCoA — at issue")&amp;", (30.01.2026) [PP]"</f>
        <v/>
      </c>
      <c r="X295" s="130" t="inlineStr">
        <is>
          <t>✓</t>
        </is>
      </c>
      <c r="Y295" s="128" t="inlineStr">
        <is>
          <t>7.97</t>
        </is>
      </c>
      <c r="Z295" s="129" t="inlineStr">
        <is>
          <t>ППК26004, (21.01.2026) [CNP]</t>
        </is>
      </c>
      <c r="AA295" s="130" t="inlineStr">
        <is>
          <t>✓</t>
        </is>
      </c>
      <c r="AB295" s="128" t="inlineStr">
        <is>
          <t>2 × 10³</t>
        </is>
      </c>
      <c r="AC295" s="136" t="inlineStr">
        <is>
          <t>2.2 × 10³</t>
        </is>
      </c>
      <c r="AD295" s="136" t="inlineStr">
        <is>
          <t>&lt; 10</t>
        </is>
      </c>
      <c r="AE295" s="136" t="inlineStr">
        <is>
          <t>Absent</t>
        </is>
      </c>
      <c r="AF295" s="136" t="inlineStr">
        <is>
          <t>Absent</t>
        </is>
      </c>
      <c r="AG295" s="130" t="inlineStr">
        <is>
          <t>✓</t>
        </is>
      </c>
      <c r="AH295" s="128" t="inlineStr">
        <is>
          <t>ND</t>
        </is>
      </c>
      <c r="AI295" s="136" t="inlineStr">
        <is>
          <t>&lt; 2</t>
        </is>
      </c>
      <c r="AJ295" s="136" t="inlineStr">
        <is>
          <t>ND</t>
        </is>
      </c>
      <c r="AK295" s="130" t="inlineStr">
        <is>
          <t>✓</t>
        </is>
      </c>
      <c r="AL295" s="128" t="inlineStr">
        <is>
          <t>0.03</t>
        </is>
      </c>
      <c r="AM295" s="136" t="inlineStr">
        <is>
          <t>ND</t>
        </is>
      </c>
      <c r="AN295" s="136" t="inlineStr">
        <is>
          <t>ND</t>
        </is>
      </c>
      <c r="AO295" s="136" t="inlineStr">
        <is>
          <t>ND</t>
        </is>
      </c>
      <c r="AP295" s="130" t="inlineStr">
        <is>
          <t>✓</t>
        </is>
      </c>
      <c r="AQ295" s="128" t="inlineStr">
        <is>
          <t>≤ LOQ (all 28 compounds)</t>
        </is>
      </c>
      <c r="AR295" s="129" t="inlineStr">
        <is>
          <t>83-2026, (02.02.2026)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6-0009-26, (20.01.2026) [IJZ-MB]</t>
        </is>
      </c>
      <c r="AG296" s="140" t="n"/>
      <c r="AH296" s="141" t="inlineStr">
        <is>
          <t>83-2026, (02.02.2026) [IJZ]</t>
        </is>
      </c>
      <c r="AK296" s="140" t="n"/>
      <c r="AL296" s="141" t="inlineStr">
        <is>
          <t>83-2026, (02.02.2026)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Register'!$B:$B,MATCH("P060062|I",'iCoA Register'!$AA:$AA,0)),"iCoA — at issue")&amp;", (30.01.2026) [PP]"</f>
        <v/>
      </c>
      <c r="I297" s="149" t="inlineStr">
        <is>
          <t>✓</t>
        </is>
      </c>
      <c r="J297" s="147" t="inlineStr">
        <is>
          <t>Conforms (ImB spec.)</t>
        </is>
      </c>
      <c r="K297" s="148" t="inlineStr">
        <is>
          <t>197-20-K-26, (07.08.2026) [FHM-K]</t>
        </is>
      </c>
      <c r="L297" s="149" t="inlineStr">
        <is>
          <t>✓</t>
        </is>
      </c>
      <c r="M297" s="150" t="inlineStr">
        <is>
          <t>12.25</t>
        </is>
      </c>
      <c r="N297" s="148" t="inlineStr">
        <is>
          <t>197-20-K-26, (07.08.2026) [FHM-K]</t>
        </is>
      </c>
      <c r="O297" s="149" t="inlineStr">
        <is>
          <t>✓</t>
        </is>
      </c>
      <c r="P297" s="151" t="inlineStr">
        <is>
          <t>&lt; LOQ</t>
        </is>
      </c>
      <c r="Q297" s="148" t="inlineStr">
        <is>
          <t>197-20-K-26, (07.08.2026) [FHM-K]</t>
        </is>
      </c>
      <c r="R297" s="149" t="inlineStr">
        <is>
          <t>✓</t>
        </is>
      </c>
      <c r="S297" s="151" t="inlineStr">
        <is>
          <t>&lt; LOQ</t>
        </is>
      </c>
      <c r="T297" s="148" t="inlineStr">
        <is>
          <t>197-20-K-26, (07.08.2026) [FHM-K]</t>
        </is>
      </c>
      <c r="U297" s="149" t="inlineStr">
        <is>
          <t>✓</t>
        </is>
      </c>
      <c r="V297" s="145" t="n"/>
      <c r="W297" s="144" t="n"/>
      <c r="X297" s="146" t="n"/>
      <c r="Y297" s="152" t="inlineStr">
        <is>
          <t>not on this certificate</t>
        </is>
      </c>
      <c r="Z297" s="153" t="inlineStr">
        <is>
          <t>197-20-K-26, (07.08.2026) [FHM-K] · on file, not credited</t>
        </is>
      </c>
      <c r="AA297" s="154" t="inlineStr">
        <is>
          <t>•</t>
        </is>
      </c>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5.375"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197-20-M-26, (10.08.2026) [FHM-M]</t>
        </is>
      </c>
      <c r="AI298" s="159" t="n"/>
      <c r="AJ298" s="159" t="n"/>
      <c r="AK298" s="161" t="n"/>
      <c r="AL298" s="160" t="n"/>
      <c r="AM298" s="159" t="n"/>
      <c r="AN298" s="159" t="n"/>
      <c r="AO298" s="159" t="n"/>
      <c r="AP298" s="161" t="n"/>
      <c r="AQ298" s="160" t="n"/>
      <c r="AR298" s="159" t="n"/>
      <c r="AS298" s="163" t="n"/>
    </row>
    <row r="299" ht="17.625" customHeight="1" s="70">
      <c r="A299" s="125" t="inlineStr">
        <is>
          <t>CJ092501</t>
        </is>
      </c>
      <c r="B299" s="126" t="inlineStr">
        <is>
          <t>P060072</t>
        </is>
      </c>
      <c r="C299" s="127" t="inlineStr">
        <is>
          <t>✓ COMPLETE
2 testing instances
• 1 document(s) on file, not credited</t>
        </is>
      </c>
      <c r="D299" s="128" t="inlineStr">
        <is>
          <t>Conforms</t>
        </is>
      </c>
      <c r="E299" s="129">
        <f>IFERROR(INDEX('iCoA Register'!$B:$B,MATCH("P060072|I",'iCoA Register'!$AA:$AA,0)),"iCoA — at issue")&amp;", (02.02.2026) [PP]"</f>
        <v/>
      </c>
      <c r="F299" s="130" t="inlineStr">
        <is>
          <t>✓</t>
        </is>
      </c>
      <c r="G299" s="131" t="inlineStr">
        <is>
          <t>not on this certificate</t>
        </is>
      </c>
      <c r="H299" s="132" t="inlineStr">
        <is>
          <t>ППК26007, (21.01.2026) [CNP] · on file, not credited</t>
        </is>
      </c>
      <c r="I299" s="133" t="inlineStr">
        <is>
          <t>•</t>
        </is>
      </c>
      <c r="J299" s="128" t="inlineStr">
        <is>
          <t>Conforms (ImB spec.)</t>
        </is>
      </c>
      <c r="K299" s="129" t="inlineStr">
        <is>
          <t>ППК26007, (21.01.2026) [CNP]</t>
        </is>
      </c>
      <c r="L299" s="130" t="inlineStr">
        <is>
          <t>✓</t>
        </is>
      </c>
      <c r="M299" s="134" t="inlineStr">
        <is>
          <t>22.30</t>
        </is>
      </c>
      <c r="N299" s="129" t="inlineStr">
        <is>
          <t>ППК26007, (21.01.2026) [CNP]</t>
        </is>
      </c>
      <c r="O299" s="130" t="inlineStr">
        <is>
          <t>✓</t>
        </is>
      </c>
      <c r="P299" s="135" t="inlineStr">
        <is>
          <t>0.10</t>
        </is>
      </c>
      <c r="Q299" s="129" t="inlineStr">
        <is>
          <t>ППК26007, (21.01.2026) [CNP]</t>
        </is>
      </c>
      <c r="R299" s="130" t="inlineStr">
        <is>
          <t>✓</t>
        </is>
      </c>
      <c r="S299" s="135" t="inlineStr">
        <is>
          <t>ND ᴰ</t>
        </is>
      </c>
      <c r="T299" s="129" t="inlineStr">
        <is>
          <t>ППК26007, (21.01.2026) [CNP]</t>
        </is>
      </c>
      <c r="U299" s="130" t="inlineStr">
        <is>
          <t>✓</t>
        </is>
      </c>
      <c r="V299" s="128" t="inlineStr">
        <is>
          <t>Conforms</t>
        </is>
      </c>
      <c r="W299" s="129">
        <f>IFERROR(INDEX('iCoA Register'!$B:$B,MATCH("P060072|I",'iCoA Register'!$AA:$AA,0)),"iCoA — at issue")&amp;", (02.02.2026) [PP]"</f>
        <v/>
      </c>
      <c r="X299" s="130" t="inlineStr">
        <is>
          <t>✓</t>
        </is>
      </c>
      <c r="Y299" s="128" t="inlineStr">
        <is>
          <t>7.64</t>
        </is>
      </c>
      <c r="Z299" s="129" t="inlineStr">
        <is>
          <t>ППК26007,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ND</t>
        </is>
      </c>
      <c r="AI299" s="136" t="inlineStr">
        <is>
          <t>&lt; 2</t>
        </is>
      </c>
      <c r="AJ299" s="136" t="inlineStr">
        <is>
          <t>ND</t>
        </is>
      </c>
      <c r="AK299" s="130" t="inlineStr">
        <is>
          <t>✓</t>
        </is>
      </c>
      <c r="AL299" s="128" t="inlineStr">
        <is>
          <t>0.04</t>
        </is>
      </c>
      <c r="AM299" s="136" t="inlineStr">
        <is>
          <t>ND</t>
        </is>
      </c>
      <c r="AN299" s="136" t="inlineStr">
        <is>
          <t>ND</t>
        </is>
      </c>
      <c r="AO299" s="136" t="inlineStr">
        <is>
          <t>0.004</t>
        </is>
      </c>
      <c r="AP299" s="130" t="inlineStr">
        <is>
          <t>✓</t>
        </is>
      </c>
      <c r="AQ299" s="128" t="inlineStr">
        <is>
          <t>≤ LOQ (all 29 compounds)</t>
        </is>
      </c>
      <c r="AR299" s="129" t="inlineStr">
        <is>
          <t>86-2026,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10-0013-26, (20.01.2026) [IJZ-MB]</t>
        </is>
      </c>
      <c r="AG300" s="140" t="n"/>
      <c r="AH300" s="141" t="inlineStr">
        <is>
          <t>86-2026, (02.02.2026) [IJZ]</t>
        </is>
      </c>
      <c r="AK300" s="140" t="n"/>
      <c r="AL300" s="141" t="inlineStr">
        <is>
          <t>86-2026, (02.02.2026) [IJZ]</t>
        </is>
      </c>
      <c r="AP300" s="140" t="n"/>
      <c r="AQ300" s="139" t="n"/>
      <c r="AS300" s="142" t="n"/>
    </row>
    <row r="301" ht="14" customHeight="1" s="70">
      <c r="A301" s="143" t="n"/>
      <c r="B301" s="144" t="n"/>
      <c r="D301" s="145" t="n"/>
      <c r="E301" s="144" t="n"/>
      <c r="F301" s="146" t="n"/>
      <c r="G301" s="147" t="inlineStr">
        <is>
          <t>Conforms</t>
        </is>
      </c>
      <c r="H301" s="148">
        <f>IFERROR(INDEX('iCoA Register'!$B:$B,MATCH("P060072|I",'iCoA Register'!$AA:$AA,0)),"iCoA — at issue")&amp;", (02.02.2026) [PP]"</f>
        <v/>
      </c>
      <c r="I301" s="149" t="inlineStr">
        <is>
          <t>✓</t>
        </is>
      </c>
      <c r="J301" s="145" t="n"/>
      <c r="K301" s="144" t="n"/>
      <c r="L301" s="146" t="n"/>
      <c r="M301" s="145" t="n"/>
      <c r="N301" s="144" t="n"/>
      <c r="O301" s="146" t="n"/>
      <c r="P301" s="145" t="n"/>
      <c r="Q301" s="144" t="n"/>
      <c r="R301" s="146" t="n"/>
      <c r="S301" s="145" t="n"/>
      <c r="T301" s="144" t="n"/>
      <c r="U301" s="146" t="n"/>
      <c r="V301" s="145" t="n"/>
      <c r="W301" s="144" t="n"/>
      <c r="X301" s="146" t="n"/>
      <c r="Y301" s="145" t="n"/>
      <c r="Z301" s="144" t="n"/>
      <c r="AA301" s="146" t="n"/>
      <c r="AB301" s="145" t="n"/>
      <c r="AC301" s="144" t="n"/>
      <c r="AD301" s="144" t="n"/>
      <c r="AE301" s="144" t="n"/>
      <c r="AF301" s="144" t="n"/>
      <c r="AG301" s="146" t="n"/>
      <c r="AH301" s="155" t="inlineStr">
        <is>
          <t>ND</t>
        </is>
      </c>
      <c r="AI301" s="156" t="inlineStr">
        <is>
          <t>ND</t>
        </is>
      </c>
      <c r="AJ301" s="156" t="inlineStr">
        <is>
          <t>ND</t>
        </is>
      </c>
      <c r="AK301" s="149" t="inlineStr">
        <is>
          <t>✓</t>
        </is>
      </c>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0" t="n"/>
      <c r="AC302" s="159" t="n"/>
      <c r="AD302" s="159" t="n"/>
      <c r="AE302" s="159" t="n"/>
      <c r="AF302" s="159" t="n"/>
      <c r="AG302" s="161" t="n"/>
      <c r="AH302" s="162" t="inlineStr">
        <is>
          <t>220-5-M-26, (11.09.2026) [FHM-M]</t>
        </is>
      </c>
      <c r="AI302" s="159" t="n"/>
      <c r="AJ302" s="159" t="n"/>
      <c r="AK302" s="161" t="n"/>
      <c r="AL302" s="160" t="n"/>
      <c r="AM302" s="159" t="n"/>
      <c r="AN302" s="159" t="n"/>
      <c r="AO302" s="159" t="n"/>
      <c r="AP302" s="161" t="n"/>
      <c r="AQ302" s="160" t="n"/>
      <c r="AR302" s="159" t="n"/>
      <c r="AS302" s="163" t="n"/>
    </row>
    <row r="303" ht="17.625" customHeight="1" s="70">
      <c r="A303" s="125" t="inlineStr">
        <is>
          <t>SJ0925021</t>
        </is>
      </c>
      <c r="B303" s="126" t="inlineStr">
        <is>
          <t>P060082</t>
        </is>
      </c>
      <c r="C303" s="127" t="inlineStr">
        <is>
          <t>✓ COMPLETE
2 testing instances
• 1 document(s) on file, not credited</t>
        </is>
      </c>
      <c r="D303" s="128" t="inlineStr">
        <is>
          <t>Conforms</t>
        </is>
      </c>
      <c r="E303" s="129">
        <f>IFERROR(INDEX('iCoA Register'!$B:$B,MATCH("P060082|I",'iCoA Register'!$AA:$AA,0)),"iCoA — at issue")&amp;", (02.02.2026) [PP]"</f>
        <v/>
      </c>
      <c r="F303" s="130" t="inlineStr">
        <is>
          <t>✓</t>
        </is>
      </c>
      <c r="G303" s="131" t="inlineStr">
        <is>
          <t>not on this certificate</t>
        </is>
      </c>
      <c r="H303" s="132" t="inlineStr">
        <is>
          <t>ППК26006, (21.01.2026) [CNP] · on file, not credited</t>
        </is>
      </c>
      <c r="I303" s="133" t="inlineStr">
        <is>
          <t>•</t>
        </is>
      </c>
      <c r="J303" s="128" t="inlineStr">
        <is>
          <t>Conforms (ImB spec.)</t>
        </is>
      </c>
      <c r="K303" s="129" t="inlineStr">
        <is>
          <t>ППК26006, (21.01.2026) [CNP]</t>
        </is>
      </c>
      <c r="L303" s="130" t="inlineStr">
        <is>
          <t>✓</t>
        </is>
      </c>
      <c r="M303" s="134" t="inlineStr">
        <is>
          <t>10.96</t>
        </is>
      </c>
      <c r="N303" s="129" t="inlineStr">
        <is>
          <t>ППК26006, (21.01.2026) [CNP]</t>
        </is>
      </c>
      <c r="O303" s="130" t="inlineStr">
        <is>
          <t>✓</t>
        </is>
      </c>
      <c r="P303" s="135" t="inlineStr">
        <is>
          <t>0.07</t>
        </is>
      </c>
      <c r="Q303" s="129" t="inlineStr">
        <is>
          <t>ППК26006, (21.01.2026) [CNP]</t>
        </is>
      </c>
      <c r="R303" s="130" t="inlineStr">
        <is>
          <t>✓</t>
        </is>
      </c>
      <c r="S303" s="135" t="inlineStr">
        <is>
          <t>&lt; LOQ ᴰ</t>
        </is>
      </c>
      <c r="T303" s="129" t="inlineStr">
        <is>
          <t>ППК26006, (21.01.2026) [CNP]</t>
        </is>
      </c>
      <c r="U303" s="130" t="inlineStr">
        <is>
          <t>✓</t>
        </is>
      </c>
      <c r="V303" s="128" t="inlineStr">
        <is>
          <t>Conforms</t>
        </is>
      </c>
      <c r="W303" s="129">
        <f>IFERROR(INDEX('iCoA Register'!$B:$B,MATCH("P060082|I",'iCoA Register'!$AA:$AA,0)),"iCoA — at issue")&amp;", (02.02.2026) [PP]"</f>
        <v/>
      </c>
      <c r="X303" s="130" t="inlineStr">
        <is>
          <t>✓</t>
        </is>
      </c>
      <c r="Y303" s="128" t="inlineStr">
        <is>
          <t>8.68</t>
        </is>
      </c>
      <c r="Z303" s="129" t="inlineStr">
        <is>
          <t>ППК26006, (21.01.2026) [CNP]</t>
        </is>
      </c>
      <c r="AA303" s="130" t="inlineStr">
        <is>
          <t>✓</t>
        </is>
      </c>
      <c r="AB303" s="128" t="inlineStr">
        <is>
          <t>&lt; 10</t>
        </is>
      </c>
      <c r="AC303" s="136" t="inlineStr">
        <is>
          <t>&lt; 10</t>
        </is>
      </c>
      <c r="AD303" s="136" t="inlineStr">
        <is>
          <t>10</t>
        </is>
      </c>
      <c r="AE303" s="136" t="inlineStr">
        <is>
          <t>Absent</t>
        </is>
      </c>
      <c r="AF303" s="136" t="inlineStr">
        <is>
          <t>Absent</t>
        </is>
      </c>
      <c r="AG303" s="130" t="inlineStr">
        <is>
          <t>✓</t>
        </is>
      </c>
      <c r="AH303" s="128" t="inlineStr">
        <is>
          <t>ND</t>
        </is>
      </c>
      <c r="AI303" s="136" t="inlineStr">
        <is>
          <t>2</t>
        </is>
      </c>
      <c r="AJ303" s="136" t="inlineStr">
        <is>
          <t>ND</t>
        </is>
      </c>
      <c r="AK303" s="130" t="inlineStr">
        <is>
          <t>✓</t>
        </is>
      </c>
      <c r="AL303" s="128" t="inlineStr">
        <is>
          <t>0.08</t>
        </is>
      </c>
      <c r="AM303" s="136" t="inlineStr">
        <is>
          <t>ND</t>
        </is>
      </c>
      <c r="AN303" s="136" t="inlineStr">
        <is>
          <t>ND</t>
        </is>
      </c>
      <c r="AO303" s="136" t="inlineStr">
        <is>
          <t>0.003</t>
        </is>
      </c>
      <c r="AP303" s="130" t="inlineStr">
        <is>
          <t>✓</t>
        </is>
      </c>
      <c r="AQ303" s="128" t="inlineStr">
        <is>
          <t>≤ LOQ (all 29 compounds)</t>
        </is>
      </c>
      <c r="AR303" s="129" t="inlineStr">
        <is>
          <t>85-2026,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9-0012-26, (20.01.2026) [IJZ-MB]</t>
        </is>
      </c>
      <c r="AG304" s="140" t="n"/>
      <c r="AH304" s="141" t="inlineStr">
        <is>
          <t>85-2026, (02.02.2026) [IJZ]</t>
        </is>
      </c>
      <c r="AK304" s="140" t="n"/>
      <c r="AL304" s="141" t="inlineStr">
        <is>
          <t>85-2026, (02.02.2026) [IJZ]</t>
        </is>
      </c>
      <c r="AP304" s="140" t="n"/>
      <c r="AQ304" s="139" t="n"/>
      <c r="AS304" s="142" t="n"/>
    </row>
    <row r="305" ht="14" customHeight="1" s="70">
      <c r="A305" s="143" t="n"/>
      <c r="B305" s="144" t="n"/>
      <c r="D305" s="145" t="n"/>
      <c r="E305" s="144" t="n"/>
      <c r="F305" s="146" t="n"/>
      <c r="G305" s="147" t="inlineStr">
        <is>
          <t>Conforms</t>
        </is>
      </c>
      <c r="H305" s="148">
        <f>IFERROR(INDEX('iCoA Register'!$B:$B,MATCH("P060082|I",'iCoA Register'!$AA:$AA,0)),"iCoA — at issue")&amp;", (02.02.2026) [PP]"</f>
        <v/>
      </c>
      <c r="I305" s="149" t="inlineStr">
        <is>
          <t>✓</t>
        </is>
      </c>
      <c r="J305" s="145" t="n"/>
      <c r="K305" s="144" t="n"/>
      <c r="L305" s="146" t="n"/>
      <c r="M305" s="145" t="n"/>
      <c r="N305" s="144" t="n"/>
      <c r="O305" s="146" t="n"/>
      <c r="P305" s="145" t="n"/>
      <c r="Q305" s="144" t="n"/>
      <c r="R305" s="146" t="n"/>
      <c r="S305" s="145" t="n"/>
      <c r="T305" s="144" t="n"/>
      <c r="U305" s="146" t="n"/>
      <c r="V305" s="145" t="n"/>
      <c r="W305" s="144" t="n"/>
      <c r="X305" s="146" t="n"/>
      <c r="Y305" s="145" t="n"/>
      <c r="Z305" s="144" t="n"/>
      <c r="AA305" s="146" t="n"/>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3"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220-27-M-26, (11.09.2026) [FHM-M]</t>
        </is>
      </c>
      <c r="AI306" s="159" t="n"/>
      <c r="AJ306" s="159" t="n"/>
      <c r="AK306" s="161" t="n"/>
      <c r="AL306" s="160" t="n"/>
      <c r="AM306" s="159" t="n"/>
      <c r="AN306" s="159" t="n"/>
      <c r="AO306" s="159" t="n"/>
      <c r="AP306" s="161" t="n"/>
      <c r="AQ306" s="160" t="n"/>
      <c r="AR306" s="159" t="n"/>
      <c r="AS306" s="163" t="n"/>
    </row>
    <row r="307" ht="21" customHeight="1" s="70">
      <c r="A307" s="125" t="inlineStr">
        <is>
          <t>GP092501</t>
        </is>
      </c>
      <c r="B307" s="126" t="inlineStr">
        <is>
          <t>P060092</t>
        </is>
      </c>
      <c r="C307" s="127" t="inlineStr">
        <is>
          <t>✓ COMPLETE
2 testing instances
• 1 document(s) on file, not credited</t>
        </is>
      </c>
      <c r="D307" s="128" t="inlineStr">
        <is>
          <t>Conforms</t>
        </is>
      </c>
      <c r="E307" s="129">
        <f>IFERROR(INDEX('iCoA Register'!$B:$B,MATCH("P060092|I",'iCoA Register'!$AA:$AA,0)),"iCoA — at issue")&amp;", (03.02.2026) [PP]"</f>
        <v/>
      </c>
      <c r="F307" s="130" t="inlineStr">
        <is>
          <t>✓</t>
        </is>
      </c>
      <c r="G307" s="131" t="inlineStr">
        <is>
          <t>not on this certificate</t>
        </is>
      </c>
      <c r="H307" s="132" t="inlineStr">
        <is>
          <t>ППК26009, (21.01.2026) [CNP] · on file, not credited</t>
        </is>
      </c>
      <c r="I307" s="133" t="inlineStr">
        <is>
          <t>•</t>
        </is>
      </c>
      <c r="J307" s="128" t="inlineStr">
        <is>
          <t>Conforms (ImB spec.)</t>
        </is>
      </c>
      <c r="K307" s="129" t="inlineStr">
        <is>
          <t>ППК26009, (21.01.2026) [CNP]</t>
        </is>
      </c>
      <c r="L307" s="130" t="inlineStr">
        <is>
          <t>✓</t>
        </is>
      </c>
      <c r="M307" s="134" t="inlineStr">
        <is>
          <t>25.73</t>
        </is>
      </c>
      <c r="N307" s="129" t="inlineStr">
        <is>
          <t>ППК26009, (21.01.2026) [CNP]</t>
        </is>
      </c>
      <c r="O307" s="130" t="inlineStr">
        <is>
          <t>✓</t>
        </is>
      </c>
      <c r="P307" s="135" t="inlineStr">
        <is>
          <t>0.11</t>
        </is>
      </c>
      <c r="Q307" s="129" t="inlineStr">
        <is>
          <t>ППК26009, (21.01.2026) [CNP]</t>
        </is>
      </c>
      <c r="R307" s="130" t="inlineStr">
        <is>
          <t>✓</t>
        </is>
      </c>
      <c r="S307" s="135" t="inlineStr">
        <is>
          <t>0.02 ᴰ</t>
        </is>
      </c>
      <c r="T307" s="129" t="inlineStr">
        <is>
          <t>ППК26009, (21.01.2026) [CNP]</t>
        </is>
      </c>
      <c r="U307" s="130" t="inlineStr">
        <is>
          <t>✓</t>
        </is>
      </c>
      <c r="V307" s="128" t="inlineStr">
        <is>
          <t>Conforms</t>
        </is>
      </c>
      <c r="W307" s="129">
        <f>IFERROR(INDEX('iCoA Register'!$B:$B,MATCH("P060092|I",'iCoA Register'!$AA:$AA,0)),"iCoA — at issue")&amp;", (03.02.2026) [PP]"</f>
        <v/>
      </c>
      <c r="X307" s="130" t="inlineStr">
        <is>
          <t>✓</t>
        </is>
      </c>
      <c r="Y307" s="128" t="inlineStr">
        <is>
          <t>6.91</t>
        </is>
      </c>
      <c r="Z307" s="129" t="inlineStr">
        <is>
          <t>ППК26009, (21.01.2026) [CNP]</t>
        </is>
      </c>
      <c r="AA307" s="130" t="inlineStr">
        <is>
          <t>✓</t>
        </is>
      </c>
      <c r="AB307" s="128" t="inlineStr">
        <is>
          <t>&lt; 1 × 10²</t>
        </is>
      </c>
      <c r="AC307" s="136" t="inlineStr">
        <is>
          <t>&lt; 10</t>
        </is>
      </c>
      <c r="AD307" s="136" t="inlineStr">
        <is>
          <t>&lt; 10² and &gt; 10</t>
        </is>
      </c>
      <c r="AE307" s="136" t="inlineStr">
        <is>
          <t>Absent</t>
        </is>
      </c>
      <c r="AF307" s="136" t="inlineStr">
        <is>
          <t>Absent</t>
        </is>
      </c>
      <c r="AG307" s="130" t="inlineStr">
        <is>
          <t>✓</t>
        </is>
      </c>
      <c r="AH307" s="128" t="inlineStr">
        <is>
          <t>ND</t>
        </is>
      </c>
      <c r="AI307" s="136" t="inlineStr">
        <is>
          <t>&lt; 2</t>
        </is>
      </c>
      <c r="AJ307" s="136" t="inlineStr">
        <is>
          <t>ND</t>
        </is>
      </c>
      <c r="AK307" s="130" t="inlineStr">
        <is>
          <t>✓</t>
        </is>
      </c>
      <c r="AL307" s="128" t="inlineStr">
        <is>
          <t>0.022</t>
        </is>
      </c>
      <c r="AM307" s="136" t="inlineStr">
        <is>
          <t>ND</t>
        </is>
      </c>
      <c r="AN307" s="136" t="inlineStr">
        <is>
          <t>ND</t>
        </is>
      </c>
      <c r="AO307" s="136" t="inlineStr">
        <is>
          <t>0.007</t>
        </is>
      </c>
      <c r="AP307" s="130" t="inlineStr">
        <is>
          <t>✓</t>
        </is>
      </c>
      <c r="AQ307" s="128" t="inlineStr">
        <is>
          <t>≤ LOQ (all 29 compounds)</t>
        </is>
      </c>
      <c r="AR307" s="129" t="inlineStr">
        <is>
          <t>88-2026, (03.02.2026)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5-0008-26, (20.01.2026) [IJZ-MB]</t>
        </is>
      </c>
      <c r="AG308" s="140" t="n"/>
      <c r="AH308" s="141" t="inlineStr">
        <is>
          <t>88-2026, (03.02.2026) [IJZ]</t>
        </is>
      </c>
      <c r="AK308" s="140" t="n"/>
      <c r="AL308" s="141" t="inlineStr">
        <is>
          <t>88-2026, (03.02.2026) [IJZ]</t>
        </is>
      </c>
      <c r="AP308" s="140" t="n"/>
      <c r="AQ308" s="139" t="n"/>
      <c r="AS308" s="142" t="n"/>
    </row>
    <row r="309" ht="14" customHeight="1" s="70">
      <c r="A309" s="143" t="n"/>
      <c r="B309" s="144" t="n"/>
      <c r="D309" s="145" t="n"/>
      <c r="E309" s="144" t="n"/>
      <c r="F309" s="146" t="n"/>
      <c r="G309" s="147" t="inlineStr">
        <is>
          <t>Conforms</t>
        </is>
      </c>
      <c r="H309" s="148">
        <f>IFERROR(INDEX('iCoA Register'!$B:$B,MATCH("P060092|I",'iCoA Register'!$AA:$AA,0)),"iCoA — at issue")&amp;", (03.02.2026) [PP]"</f>
        <v/>
      </c>
      <c r="I309" s="149" t="inlineStr">
        <is>
          <t>✓</t>
        </is>
      </c>
      <c r="J309" s="145" t="n"/>
      <c r="K309" s="144" t="n"/>
      <c r="L309" s="146" t="n"/>
      <c r="M309" s="145" t="n"/>
      <c r="N309" s="144" t="n"/>
      <c r="O309" s="146" t="n"/>
      <c r="P309" s="145" t="n"/>
      <c r="Q309" s="144" t="n"/>
      <c r="R309" s="146" t="n"/>
      <c r="S309" s="145" t="n"/>
      <c r="T309" s="144" t="n"/>
      <c r="U309" s="146" t="n"/>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220-13-M-26, (11.09.2026) [FHM-M]</t>
        </is>
      </c>
      <c r="AI310" s="159" t="n"/>
      <c r="AJ310" s="159" t="n"/>
      <c r="AK310" s="161" t="n"/>
      <c r="AL310" s="160" t="n"/>
      <c r="AM310" s="159" t="n"/>
      <c r="AN310" s="159" t="n"/>
      <c r="AO310" s="159" t="n"/>
      <c r="AP310" s="161" t="n"/>
      <c r="AQ310" s="160" t="n"/>
      <c r="AR310" s="159" t="n"/>
      <c r="AS310" s="163" t="n"/>
    </row>
    <row r="311" ht="21" customHeight="1" s="70">
      <c r="A311" s="125" t="inlineStr">
        <is>
          <t>CC012601/1</t>
        </is>
      </c>
      <c r="B311" s="126" t="inlineStr">
        <is>
          <t>P060332</t>
        </is>
      </c>
      <c r="C311" s="171" t="inlineStr">
        <is>
          <t>✗ 4 NO RESULT
(4 no cert / 0 cert w/o result)
• 1 document(s) on file, not credited</t>
        </is>
      </c>
      <c r="D311" s="172" t="inlineStr">
        <is>
          <t>Conforms</t>
        </is>
      </c>
      <c r="E311" s="173">
        <f>IFERROR(INDEX('iCoA Register'!$B:$B,MATCH("P060332|I",'iCoA Register'!$AA:$AA,0)),"iCoA — at issue")&amp;", (22.05.2026) [PP]"</f>
        <v/>
      </c>
      <c r="F311" s="174" t="inlineStr">
        <is>
          <t>✓</t>
        </is>
      </c>
      <c r="G311" s="172" t="inlineStr">
        <is>
          <t>Conforms</t>
        </is>
      </c>
      <c r="H311" s="173">
        <f>IFERROR(INDEX('iCoA Register'!$B:$B,MATCH("P060332|I",'iCoA Register'!$AA:$AA,0)),"iCoA — at issue")&amp;", (22.05.2026) [PP]"</f>
        <v/>
      </c>
      <c r="I311" s="174" t="inlineStr">
        <is>
          <t>✓</t>
        </is>
      </c>
      <c r="J311" s="172" t="inlineStr">
        <is>
          <t>Conforms (ImB spec.) ᴿ</t>
        </is>
      </c>
      <c r="K311" s="173" t="inlineStr">
        <is>
          <t>197-6-K-26, (07.08.2026) [FHM-K]</t>
        </is>
      </c>
      <c r="L311" s="174" t="inlineStr">
        <is>
          <t>✓</t>
        </is>
      </c>
      <c r="M311" s="175" t="inlineStr">
        <is>
          <t>17.67</t>
        </is>
      </c>
      <c r="N311" s="173" t="inlineStr">
        <is>
          <t>197-6-K-26, (07.08.2026) [FHM-K]</t>
        </is>
      </c>
      <c r="O311" s="174" t="inlineStr">
        <is>
          <t>✓</t>
        </is>
      </c>
      <c r="P311" s="176" t="inlineStr">
        <is>
          <t>&lt; LOQ</t>
        </is>
      </c>
      <c r="Q311" s="173" t="inlineStr">
        <is>
          <t>197-6-K-26, (07.08.2026) [FHM-K]</t>
        </is>
      </c>
      <c r="R311" s="174" t="inlineStr">
        <is>
          <t>✓</t>
        </is>
      </c>
      <c r="S311" s="176" t="inlineStr">
        <is>
          <t>&lt; LOQ</t>
        </is>
      </c>
      <c r="T311" s="173" t="inlineStr">
        <is>
          <t>197-6-K-26, (07.08.2026) [FHM-K]</t>
        </is>
      </c>
      <c r="U311" s="174" t="inlineStr">
        <is>
          <t>✓</t>
        </is>
      </c>
      <c r="V311" s="172" t="inlineStr">
        <is>
          <t>Conforms</t>
        </is>
      </c>
      <c r="W311" s="173">
        <f>IFERROR(INDEX('iCoA Register'!$B:$B,MATCH("P060332|I",'iCoA Register'!$AA:$AA,0)),"iCoA — at issue")&amp;", (22.05.2026) [PP]"</f>
        <v/>
      </c>
      <c r="X311" s="174" t="inlineStr">
        <is>
          <t>✓</t>
        </is>
      </c>
      <c r="Y311" s="229" t="inlineStr">
        <is>
          <t>not on this certificate</t>
        </is>
      </c>
      <c r="Z311" s="230" t="inlineStr">
        <is>
          <t>197-6-K-26, (07.08.2026) [FHM-K] · on file, not credited</t>
        </is>
      </c>
      <c r="AA311" s="231" t="inlineStr">
        <is>
          <t>•</t>
        </is>
      </c>
      <c r="AB311" s="165" t="inlineStr">
        <is>
          <t>— MISSING —</t>
        </is>
      </c>
      <c r="AC311" s="166" t="inlineStr">
        <is>
          <t>— MISSING —</t>
        </is>
      </c>
      <c r="AD311" s="166" t="inlineStr">
        <is>
          <t>— MISSING —</t>
        </is>
      </c>
      <c r="AE311" s="166" t="inlineStr">
        <is>
          <t>— MISSING —</t>
        </is>
      </c>
      <c r="AF311" s="166" t="inlineStr">
        <is>
          <t>— MISSING —</t>
        </is>
      </c>
      <c r="AG311" s="178" t="inlineStr">
        <is>
          <t>✗</t>
        </is>
      </c>
      <c r="AH311" s="128" t="inlineStr">
        <is>
          <t>ND</t>
        </is>
      </c>
      <c r="AI311" s="136" t="inlineStr">
        <is>
          <t>ND</t>
        </is>
      </c>
      <c r="AJ311" s="136" t="inlineStr">
        <is>
          <t>ND</t>
        </is>
      </c>
      <c r="AK311" s="174" t="inlineStr">
        <is>
          <t>✓</t>
        </is>
      </c>
      <c r="AL311" s="165" t="inlineStr">
        <is>
          <t>— MISSING —</t>
        </is>
      </c>
      <c r="AM311" s="166" t="inlineStr">
        <is>
          <t>— MISSING —</t>
        </is>
      </c>
      <c r="AN311" s="166" t="inlineStr">
        <is>
          <t>— MISSING —</t>
        </is>
      </c>
      <c r="AO311" s="166" t="inlineStr">
        <is>
          <t>— MISSING —</t>
        </is>
      </c>
      <c r="AP311" s="178" t="inlineStr">
        <is>
          <t>✗</t>
        </is>
      </c>
      <c r="AQ311" s="179" t="inlineStr">
        <is>
          <t>— MISSING —</t>
        </is>
      </c>
      <c r="AR311" s="180" t="inlineStr">
        <is>
          <t>— no certificate —</t>
        </is>
      </c>
      <c r="AS311" s="181" t="inlineStr">
        <is>
          <t>✗</t>
        </is>
      </c>
    </row>
    <row r="312" ht="15.375"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82" t="inlineStr">
        <is>
          <t>— no certificate —</t>
        </is>
      </c>
      <c r="AC312" s="159" t="n"/>
      <c r="AD312" s="159" t="n"/>
      <c r="AE312" s="159" t="n"/>
      <c r="AF312" s="159" t="n"/>
      <c r="AG312" s="161" t="n"/>
      <c r="AH312" s="162" t="inlineStr">
        <is>
          <t>197-6-M-26, (10.08.2026) [FHM-M]</t>
        </is>
      </c>
      <c r="AI312" s="159" t="n"/>
      <c r="AJ312" s="159" t="n"/>
      <c r="AK312" s="161" t="n"/>
      <c r="AL312" s="182" t="inlineStr">
        <is>
          <t>— no certificate —</t>
        </is>
      </c>
      <c r="AM312" s="159" t="n"/>
      <c r="AN312" s="159" t="n"/>
      <c r="AO312" s="159" t="n"/>
      <c r="AP312" s="161" t="n"/>
      <c r="AQ312" s="160" t="n"/>
      <c r="AR312" s="159" t="n"/>
      <c r="AS312" s="163" t="n"/>
    </row>
    <row r="313" ht="21" customHeight="1" s="70">
      <c r="A313" s="125" t="inlineStr">
        <is>
          <t>FB012602*</t>
        </is>
      </c>
      <c r="B313" s="126" t="inlineStr">
        <is>
          <t>P060352</t>
        </is>
      </c>
      <c r="C313" s="171" t="inlineStr">
        <is>
          <t>✗ 4 NO RESULT
(4 no cert / 0 cert w/o result)
• 1 document(s) on file, not credited</t>
        </is>
      </c>
      <c r="D313" s="172" t="inlineStr">
        <is>
          <t>Conforms</t>
        </is>
      </c>
      <c r="E313" s="173">
        <f>IFERROR(INDEX('iCoA Register'!$B:$B,MATCH("P060352|I",'iCoA Register'!$AA:$AA,0)),"iCoA — at issue")&amp;", (23.05.2026) [PP]"</f>
        <v/>
      </c>
      <c r="F313" s="174" t="inlineStr">
        <is>
          <t>✓</t>
        </is>
      </c>
      <c r="G313" s="172" t="inlineStr">
        <is>
          <t>Conforms</t>
        </is>
      </c>
      <c r="H313" s="173">
        <f>IFERROR(INDEX('iCoA Register'!$B:$B,MATCH("P060352|I",'iCoA Register'!$AA:$AA,0)),"iCoA — at issue")&amp;", (23.05.2026) [PP]"</f>
        <v/>
      </c>
      <c r="I313" s="174" t="inlineStr">
        <is>
          <t>✓</t>
        </is>
      </c>
      <c r="J313" s="172" t="inlineStr">
        <is>
          <t>Conforms (ImB spec.) ᴿ</t>
        </is>
      </c>
      <c r="K313" s="173" t="inlineStr">
        <is>
          <t>197-7-K-26, (07.08.2026) [FHM-K]</t>
        </is>
      </c>
      <c r="L313" s="174" t="inlineStr">
        <is>
          <t>✓</t>
        </is>
      </c>
      <c r="M313" s="175" t="inlineStr">
        <is>
          <t>18.86</t>
        </is>
      </c>
      <c r="N313" s="173" t="inlineStr">
        <is>
          <t>197-7-K-26, (07.08.2026) [FHM-K]</t>
        </is>
      </c>
      <c r="O313" s="174" t="inlineStr">
        <is>
          <t>✓</t>
        </is>
      </c>
      <c r="P313" s="176" t="inlineStr">
        <is>
          <t>0.22</t>
        </is>
      </c>
      <c r="Q313" s="173" t="inlineStr">
        <is>
          <t>197-7-K-26, (07.08.2026) [FHM-K]</t>
        </is>
      </c>
      <c r="R313" s="174" t="inlineStr">
        <is>
          <t>✓</t>
        </is>
      </c>
      <c r="S313" s="176" t="inlineStr">
        <is>
          <t>&lt; LOQ</t>
        </is>
      </c>
      <c r="T313" s="173" t="inlineStr">
        <is>
          <t>197-7-K-26, (07.08.2026) [FHM-K]</t>
        </is>
      </c>
      <c r="U313" s="174" t="inlineStr">
        <is>
          <t>✓</t>
        </is>
      </c>
      <c r="V313" s="172" t="inlineStr">
        <is>
          <t>Conforms</t>
        </is>
      </c>
      <c r="W313" s="173">
        <f>IFERROR(INDEX('iCoA Register'!$B:$B,MATCH("P060352|I",'iCoA Register'!$AA:$AA,0)),"iCoA — at issue")&amp;", (23.05.2026) [PP]"</f>
        <v/>
      </c>
      <c r="X313" s="174" t="inlineStr">
        <is>
          <t>✓</t>
        </is>
      </c>
      <c r="Y313" s="229" t="inlineStr">
        <is>
          <t>not on this certificate</t>
        </is>
      </c>
      <c r="Z313" s="230" t="inlineStr">
        <is>
          <t>197-7-K-26, (07.08.2026) [FHM-K] · on file, not credited</t>
        </is>
      </c>
      <c r="AA313" s="231" t="inlineStr">
        <is>
          <t>•</t>
        </is>
      </c>
      <c r="AB313" s="165" t="inlineStr">
        <is>
          <t>— MISSING —</t>
        </is>
      </c>
      <c r="AC313" s="166" t="inlineStr">
        <is>
          <t>— MISSING —</t>
        </is>
      </c>
      <c r="AD313" s="166" t="inlineStr">
        <is>
          <t>— MISSING —</t>
        </is>
      </c>
      <c r="AE313" s="166" t="inlineStr">
        <is>
          <t>— MISSING —</t>
        </is>
      </c>
      <c r="AF313" s="166" t="inlineStr">
        <is>
          <t>— MISSING —</t>
        </is>
      </c>
      <c r="AG313" s="178" t="inlineStr">
        <is>
          <t>✗</t>
        </is>
      </c>
      <c r="AH313" s="128" t="inlineStr">
        <is>
          <t>ND</t>
        </is>
      </c>
      <c r="AI313" s="136" t="inlineStr">
        <is>
          <t>ND</t>
        </is>
      </c>
      <c r="AJ313" s="136" t="inlineStr">
        <is>
          <t>ND</t>
        </is>
      </c>
      <c r="AK313" s="174" t="inlineStr">
        <is>
          <t>✓</t>
        </is>
      </c>
      <c r="AL313" s="165" t="inlineStr">
        <is>
          <t>— MISSING —</t>
        </is>
      </c>
      <c r="AM313" s="166" t="inlineStr">
        <is>
          <t>— MISSING —</t>
        </is>
      </c>
      <c r="AN313" s="166" t="inlineStr">
        <is>
          <t>— MISSING —</t>
        </is>
      </c>
      <c r="AO313" s="166" t="inlineStr">
        <is>
          <t>— MISSING —</t>
        </is>
      </c>
      <c r="AP313" s="178" t="inlineStr">
        <is>
          <t>✗</t>
        </is>
      </c>
      <c r="AQ313" s="179" t="inlineStr">
        <is>
          <t>— MISSING —</t>
        </is>
      </c>
      <c r="AR313" s="180" t="inlineStr">
        <is>
          <t>— no certificate —</t>
        </is>
      </c>
      <c r="AS313" s="181" t="inlineStr">
        <is>
          <t>✗</t>
        </is>
      </c>
    </row>
    <row r="314" ht="15.375"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82" t="inlineStr">
        <is>
          <t>— no certificate —</t>
        </is>
      </c>
      <c r="AC314" s="159" t="n"/>
      <c r="AD314" s="159" t="n"/>
      <c r="AE314" s="159" t="n"/>
      <c r="AF314" s="159" t="n"/>
      <c r="AG314" s="161" t="n"/>
      <c r="AH314" s="162" t="inlineStr">
        <is>
          <t>197-7-M-26, (10.08.2026) [FHM-M]</t>
        </is>
      </c>
      <c r="AI314" s="159" t="n"/>
      <c r="AJ314" s="159" t="n"/>
      <c r="AK314" s="161" t="n"/>
      <c r="AL314" s="182" t="inlineStr">
        <is>
          <t>— no certificate —</t>
        </is>
      </c>
      <c r="AM314" s="159" t="n"/>
      <c r="AN314" s="159" t="n"/>
      <c r="AO314" s="159" t="n"/>
      <c r="AP314" s="161" t="n"/>
      <c r="AQ314" s="160" t="n"/>
      <c r="AR314" s="159" t="n"/>
      <c r="AS314" s="163" t="n"/>
    </row>
    <row r="315" ht="21" customHeight="1" s="70">
      <c r="A315" s="125" t="inlineStr">
        <is>
          <t>SCR012603</t>
        </is>
      </c>
      <c r="B315" s="126" t="inlineStr">
        <is>
          <t>P060382</t>
        </is>
      </c>
      <c r="C315" s="171" t="inlineStr">
        <is>
          <t>✗ 4 NO RESULT
(4 no cert / 0 cert w/o result)
• 1 document(s) on file, not credited</t>
        </is>
      </c>
      <c r="D315" s="172" t="inlineStr">
        <is>
          <t>Conforms</t>
        </is>
      </c>
      <c r="E315" s="173">
        <f>IFERROR(INDEX('iCoA Register'!$B:$B,MATCH("P060382|I",'iCoA Register'!$AA:$AA,0)),"iCoA — at issue")&amp;", (25.05.2026) [PP]"</f>
        <v/>
      </c>
      <c r="F315" s="174" t="inlineStr">
        <is>
          <t>✓</t>
        </is>
      </c>
      <c r="G315" s="172" t="inlineStr">
        <is>
          <t>Conforms</t>
        </is>
      </c>
      <c r="H315" s="173">
        <f>IFERROR(INDEX('iCoA Register'!$B:$B,MATCH("P060382|I",'iCoA Register'!$AA:$AA,0)),"iCoA — at issue")&amp;", (25.05.2026) [PP]"</f>
        <v/>
      </c>
      <c r="I315" s="174" t="inlineStr">
        <is>
          <t>✓</t>
        </is>
      </c>
      <c r="J315" s="172" t="inlineStr">
        <is>
          <t>Conforms (ImB spec.) ᴿ</t>
        </is>
      </c>
      <c r="K315" s="173" t="inlineStr">
        <is>
          <t>197-21-K-26, (07.08.2026) [FHM-K]</t>
        </is>
      </c>
      <c r="L315" s="174" t="inlineStr">
        <is>
          <t>✓</t>
        </is>
      </c>
      <c r="M315" s="175" t="inlineStr">
        <is>
          <t>17.84</t>
        </is>
      </c>
      <c r="N315" s="173" t="inlineStr">
        <is>
          <t>197-21-K-26, (07.08.2026) [FHM-K]</t>
        </is>
      </c>
      <c r="O315" s="174" t="inlineStr">
        <is>
          <t>✓</t>
        </is>
      </c>
      <c r="P315" s="176" t="inlineStr">
        <is>
          <t>&lt; LOQ</t>
        </is>
      </c>
      <c r="Q315" s="173" t="inlineStr">
        <is>
          <t>197-21-K-26, (07.08.2026) [FHM-K]</t>
        </is>
      </c>
      <c r="R315" s="174" t="inlineStr">
        <is>
          <t>✓</t>
        </is>
      </c>
      <c r="S315" s="176" t="inlineStr">
        <is>
          <t>&lt; LOQ</t>
        </is>
      </c>
      <c r="T315" s="173" t="inlineStr">
        <is>
          <t>197-21-K-26, (07.08.2026) [FHM-K]</t>
        </is>
      </c>
      <c r="U315" s="174" t="inlineStr">
        <is>
          <t>✓</t>
        </is>
      </c>
      <c r="V315" s="172" t="inlineStr">
        <is>
          <t>Conforms</t>
        </is>
      </c>
      <c r="W315" s="173">
        <f>IFERROR(INDEX('iCoA Register'!$B:$B,MATCH("P060382|I",'iCoA Register'!$AA:$AA,0)),"iCoA — at issue")&amp;", (25.05.2026) [PP]"</f>
        <v/>
      </c>
      <c r="X315" s="174" t="inlineStr">
        <is>
          <t>✓</t>
        </is>
      </c>
      <c r="Y315" s="229" t="inlineStr">
        <is>
          <t>not on this certificate</t>
        </is>
      </c>
      <c r="Z315" s="230" t="inlineStr">
        <is>
          <t>197-21-K-26, (07.08.2026) [FHM-K] · on file, not credited</t>
        </is>
      </c>
      <c r="AA315" s="231" t="inlineStr">
        <is>
          <t>•</t>
        </is>
      </c>
      <c r="AB315" s="165" t="inlineStr">
        <is>
          <t>— MISSING —</t>
        </is>
      </c>
      <c r="AC315" s="166" t="inlineStr">
        <is>
          <t>— MISSING —</t>
        </is>
      </c>
      <c r="AD315" s="166" t="inlineStr">
        <is>
          <t>— MISSING —</t>
        </is>
      </c>
      <c r="AE315" s="166" t="inlineStr">
        <is>
          <t>— MISSING —</t>
        </is>
      </c>
      <c r="AF315" s="166" t="inlineStr">
        <is>
          <t>— MISSING —</t>
        </is>
      </c>
      <c r="AG315" s="178" t="inlineStr">
        <is>
          <t>✗</t>
        </is>
      </c>
      <c r="AH315" s="128" t="inlineStr">
        <is>
          <t>ND</t>
        </is>
      </c>
      <c r="AI315" s="136" t="inlineStr">
        <is>
          <t>ND</t>
        </is>
      </c>
      <c r="AJ315" s="136" t="inlineStr">
        <is>
          <t>ND</t>
        </is>
      </c>
      <c r="AK315" s="174" t="inlineStr">
        <is>
          <t>✓</t>
        </is>
      </c>
      <c r="AL315" s="165" t="inlineStr">
        <is>
          <t>— MISSING —</t>
        </is>
      </c>
      <c r="AM315" s="166" t="inlineStr">
        <is>
          <t>— MISSING —</t>
        </is>
      </c>
      <c r="AN315" s="166" t="inlineStr">
        <is>
          <t>— MISSING —</t>
        </is>
      </c>
      <c r="AO315" s="166" t="inlineStr">
        <is>
          <t>— MISSING —</t>
        </is>
      </c>
      <c r="AP315" s="178" t="inlineStr">
        <is>
          <t>✗</t>
        </is>
      </c>
      <c r="AQ315" s="179" t="inlineStr">
        <is>
          <t>— MISSING —</t>
        </is>
      </c>
      <c r="AR315" s="180" t="inlineStr">
        <is>
          <t>— no certificate —</t>
        </is>
      </c>
      <c r="AS315" s="181" t="inlineStr">
        <is>
          <t>✗</t>
        </is>
      </c>
    </row>
    <row r="316" ht="15.375"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82" t="inlineStr">
        <is>
          <t>— no certificate —</t>
        </is>
      </c>
      <c r="AC316" s="159" t="n"/>
      <c r="AD316" s="159" t="n"/>
      <c r="AE316" s="159" t="n"/>
      <c r="AF316" s="159" t="n"/>
      <c r="AG316" s="161" t="n"/>
      <c r="AH316" s="162" t="inlineStr">
        <is>
          <t>197-21-M-26, (10.08.2026) [FHM-M]</t>
        </is>
      </c>
      <c r="AI316" s="159" t="n"/>
      <c r="AJ316" s="159" t="n"/>
      <c r="AK316" s="161" t="n"/>
      <c r="AL316" s="182" t="inlineStr">
        <is>
          <t>— no certificate —</t>
        </is>
      </c>
      <c r="AM316" s="159" t="n"/>
      <c r="AN316" s="159" t="n"/>
      <c r="AO316" s="159" t="n"/>
      <c r="AP316" s="161" t="n"/>
      <c r="AQ316" s="160" t="n"/>
      <c r="AR316" s="159" t="n"/>
      <c r="AS316" s="163" t="n"/>
    </row>
    <row r="317" ht="21" customHeight="1" s="70">
      <c r="A317" s="125" t="inlineStr">
        <is>
          <t>— not recorded — (P160012)</t>
        </is>
      </c>
      <c r="B317" s="126" t="inlineStr">
        <is>
          <t>P160012</t>
        </is>
      </c>
      <c r="C317" s="171" t="inlineStr">
        <is>
          <t>✗ 4 NO RESULT
(4 no cert / 0 cert w/o result)</t>
        </is>
      </c>
      <c r="D317" s="172" t="inlineStr">
        <is>
          <t>Conforms</t>
        </is>
      </c>
      <c r="E317" s="173" t="inlineStr">
        <is>
          <t>ППК26117, (06.07.2026) [CNP]</t>
        </is>
      </c>
      <c r="F317" s="174" t="inlineStr">
        <is>
          <t>✓</t>
        </is>
      </c>
      <c r="G317" s="172" t="inlineStr">
        <is>
          <t>Conforms</t>
        </is>
      </c>
      <c r="H317" s="173" t="inlineStr">
        <is>
          <t>ППК26117, (06.07.2026) [CNP]</t>
        </is>
      </c>
      <c r="I317" s="174" t="inlineStr">
        <is>
          <t>✓</t>
        </is>
      </c>
      <c r="J317" s="172" t="inlineStr">
        <is>
          <t>Conforms (ImB spec.)</t>
        </is>
      </c>
      <c r="K317" s="173" t="inlineStr">
        <is>
          <t>ППК26117, (06.07.2026) [CNP]</t>
        </is>
      </c>
      <c r="L317" s="174" t="inlineStr">
        <is>
          <t>✓</t>
        </is>
      </c>
      <c r="M317" s="175" t="inlineStr">
        <is>
          <t>26.32</t>
        </is>
      </c>
      <c r="N317" s="173" t="inlineStr">
        <is>
          <t>ППК26117, (06.07.2026) [CNP]</t>
        </is>
      </c>
      <c r="O317" s="174" t="inlineStr">
        <is>
          <t>✓</t>
        </is>
      </c>
      <c r="P317" s="176" t="inlineStr">
        <is>
          <t>0.15</t>
        </is>
      </c>
      <c r="Q317" s="173" t="inlineStr">
        <is>
          <t>ППК26117, (06.07.2026) [CNP]</t>
        </is>
      </c>
      <c r="R317" s="174" t="inlineStr">
        <is>
          <t>✓</t>
        </is>
      </c>
      <c r="S317" s="176" t="inlineStr">
        <is>
          <t>0.09</t>
        </is>
      </c>
      <c r="T317" s="173" t="inlineStr">
        <is>
          <t>ППК26117, (06.07.2026) [CNP]</t>
        </is>
      </c>
      <c r="U317" s="174" t="inlineStr">
        <is>
          <t>✓</t>
        </is>
      </c>
      <c r="V317" s="172" t="inlineStr">
        <is>
          <t>0.42 % (Conforms)</t>
        </is>
      </c>
      <c r="W317" s="173" t="inlineStr">
        <is>
          <t>ППК26117, (06.07.2026) [CNP]</t>
        </is>
      </c>
      <c r="X317" s="174" t="inlineStr">
        <is>
          <t>✓</t>
        </is>
      </c>
      <c r="Y317" s="172" t="inlineStr">
        <is>
          <t>6.31</t>
        </is>
      </c>
      <c r="Z317" s="173" t="inlineStr">
        <is>
          <t>ППК26117, (06.07.2026) [CNP]</t>
        </is>
      </c>
      <c r="AA317" s="174"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65" t="inlineStr">
        <is>
          <t>— MISSING —</t>
        </is>
      </c>
      <c r="AI317" s="166" t="inlineStr">
        <is>
          <t>— MISSING —</t>
        </is>
      </c>
      <c r="AJ317" s="166" t="inlineStr">
        <is>
          <t>— MISSING —</t>
        </is>
      </c>
      <c r="AK317" s="178"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82" t="inlineStr">
        <is>
          <t>— no certificate —</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 not recorded — (P160022)</t>
        </is>
      </c>
      <c r="B319" s="126" t="inlineStr">
        <is>
          <t>P160022</t>
        </is>
      </c>
      <c r="C319" s="171" t="inlineStr">
        <is>
          <t>✗ 4 NO RESULT
(4 no cert / 0 cert w/o result)</t>
        </is>
      </c>
      <c r="D319" s="172" t="inlineStr">
        <is>
          <t>Conforms</t>
        </is>
      </c>
      <c r="E319" s="173" t="inlineStr">
        <is>
          <t>ППК26118, (06.07.2026) [CNP]</t>
        </is>
      </c>
      <c r="F319" s="174" t="inlineStr">
        <is>
          <t>✓</t>
        </is>
      </c>
      <c r="G319" s="172" t="inlineStr">
        <is>
          <t>Conforms</t>
        </is>
      </c>
      <c r="H319" s="173" t="inlineStr">
        <is>
          <t>ППК26118, (06.07.2026) [CNP]</t>
        </is>
      </c>
      <c r="I319" s="174" t="inlineStr">
        <is>
          <t>✓</t>
        </is>
      </c>
      <c r="J319" s="172" t="inlineStr">
        <is>
          <t>Conforms (ImB spec.)</t>
        </is>
      </c>
      <c r="K319" s="173" t="inlineStr">
        <is>
          <t>ППК26118, (06.07.2026) [CNP]</t>
        </is>
      </c>
      <c r="L319" s="174" t="inlineStr">
        <is>
          <t>✓</t>
        </is>
      </c>
      <c r="M319" s="175" t="inlineStr">
        <is>
          <t>25.72</t>
        </is>
      </c>
      <c r="N319" s="173" t="inlineStr">
        <is>
          <t>ППК26118, (06.07.2026) [CNP]</t>
        </is>
      </c>
      <c r="O319" s="174" t="inlineStr">
        <is>
          <t>✓</t>
        </is>
      </c>
      <c r="P319" s="176" t="inlineStr">
        <is>
          <t>0.15</t>
        </is>
      </c>
      <c r="Q319" s="173" t="inlineStr">
        <is>
          <t>ППК26118, (06.07.2026) [CNP]</t>
        </is>
      </c>
      <c r="R319" s="174" t="inlineStr">
        <is>
          <t>✓</t>
        </is>
      </c>
      <c r="S319" s="176" t="inlineStr">
        <is>
          <t>0.10</t>
        </is>
      </c>
      <c r="T319" s="173" t="inlineStr">
        <is>
          <t>ППК26118, (06.07.2026) [CNP]</t>
        </is>
      </c>
      <c r="U319" s="174" t="inlineStr">
        <is>
          <t>✓</t>
        </is>
      </c>
      <c r="V319" s="172" t="inlineStr">
        <is>
          <t>Conforms (no value printed)</t>
        </is>
      </c>
      <c r="W319" s="173" t="inlineStr">
        <is>
          <t>ППК26118, (06.07.2026) [CNP]</t>
        </is>
      </c>
      <c r="X319" s="174" t="inlineStr">
        <is>
          <t>✓</t>
        </is>
      </c>
      <c r="Y319" s="172" t="inlineStr">
        <is>
          <t>6.67</t>
        </is>
      </c>
      <c r="Z319" s="173" t="inlineStr">
        <is>
          <t>ППК26118, (06.07.2026) [CNP]</t>
        </is>
      </c>
      <c r="AA319" s="174"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65" t="inlineStr">
        <is>
          <t>— MISSING —</t>
        </is>
      </c>
      <c r="AI319" s="166" t="inlineStr">
        <is>
          <t>— MISSING —</t>
        </is>
      </c>
      <c r="AJ319" s="166" t="inlineStr">
        <is>
          <t>— MISSING —</t>
        </is>
      </c>
      <c r="AK319" s="178"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82" t="inlineStr">
        <is>
          <t>— no certificate —</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 not recorded — (P160032)</t>
        </is>
      </c>
      <c r="B321" s="126" t="inlineStr">
        <is>
          <t>P160032</t>
        </is>
      </c>
      <c r="C321" s="171" t="inlineStr">
        <is>
          <t>✗ 4 NO RESULT
(4 no cert / 0 cert w/o result)</t>
        </is>
      </c>
      <c r="D321" s="172" t="inlineStr">
        <is>
          <t>Conforms</t>
        </is>
      </c>
      <c r="E321" s="173" t="inlineStr">
        <is>
          <t>ППК26119, (06.07.2026) [CNP]</t>
        </is>
      </c>
      <c r="F321" s="174" t="inlineStr">
        <is>
          <t>✓</t>
        </is>
      </c>
      <c r="G321" s="172" t="inlineStr">
        <is>
          <t>Conforms</t>
        </is>
      </c>
      <c r="H321" s="173" t="inlineStr">
        <is>
          <t>ППК26119, (06.07.2026) [CNP]</t>
        </is>
      </c>
      <c r="I321" s="174" t="inlineStr">
        <is>
          <t>✓</t>
        </is>
      </c>
      <c r="J321" s="172" t="inlineStr">
        <is>
          <t>Conforms (ImB spec.)</t>
        </is>
      </c>
      <c r="K321" s="173" t="inlineStr">
        <is>
          <t>ППК26119, (06.07.2026) [CNP]</t>
        </is>
      </c>
      <c r="L321" s="174" t="inlineStr">
        <is>
          <t>✓</t>
        </is>
      </c>
      <c r="M321" s="175" t="inlineStr">
        <is>
          <t>24.78</t>
        </is>
      </c>
      <c r="N321" s="173" t="inlineStr">
        <is>
          <t>ППК26119, (06.07.2026) [CNP]</t>
        </is>
      </c>
      <c r="O321" s="174" t="inlineStr">
        <is>
          <t>✓</t>
        </is>
      </c>
      <c r="P321" s="176" t="inlineStr">
        <is>
          <t>0.06</t>
        </is>
      </c>
      <c r="Q321" s="173" t="inlineStr">
        <is>
          <t>ППК26119, (06.07.2026) [CNP]</t>
        </is>
      </c>
      <c r="R321" s="174" t="inlineStr">
        <is>
          <t>✓</t>
        </is>
      </c>
      <c r="S321" s="176" t="inlineStr">
        <is>
          <t>0.08</t>
        </is>
      </c>
      <c r="T321" s="173" t="inlineStr">
        <is>
          <t>ППК26119, (06.07.2026) [CNP]</t>
        </is>
      </c>
      <c r="U321" s="174" t="inlineStr">
        <is>
          <t>✓</t>
        </is>
      </c>
      <c r="V321" s="172" t="inlineStr">
        <is>
          <t>Conforms (no value printed)</t>
        </is>
      </c>
      <c r="W321" s="173" t="inlineStr">
        <is>
          <t>ППК26119, (06.07.2026) [CNP]</t>
        </is>
      </c>
      <c r="X321" s="174" t="inlineStr">
        <is>
          <t>✓</t>
        </is>
      </c>
      <c r="Y321" s="172" t="inlineStr">
        <is>
          <t>6.78</t>
        </is>
      </c>
      <c r="Z321" s="173" t="inlineStr">
        <is>
          <t>ППК26119, (06.07.2026) [CNP]</t>
        </is>
      </c>
      <c r="AA321" s="174"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65" t="inlineStr">
        <is>
          <t>— MISSING —</t>
        </is>
      </c>
      <c r="AI321" s="166" t="inlineStr">
        <is>
          <t>— MISSING —</t>
        </is>
      </c>
      <c r="AJ321" s="166" t="inlineStr">
        <is>
          <t>— MISSING —</t>
        </is>
      </c>
      <c r="AK321" s="178"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82" t="inlineStr">
        <is>
          <t>— no certificate —</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PM112501</t>
        </is>
      </c>
      <c r="B323" s="126" t="inlineStr">
        <is>
          <t>P060232</t>
        </is>
      </c>
      <c r="C323" s="164" t="inlineStr">
        <is>
          <t>⚠ 3 NO RESULT
(3 no cert / 0 cert w/o result)
2 testing instances
• 1 document(s) on file, not credited</t>
        </is>
      </c>
      <c r="D323" s="128" t="inlineStr">
        <is>
          <t>Conforms</t>
        </is>
      </c>
      <c r="E323" s="129">
        <f>IFERROR(INDEX('iCoA Register'!$B:$B,MATCH("P060232|I",'iCoA Register'!$AA:$AA,0)),"iCoA — at issue")&amp;", (27.04.2026) [PP]"</f>
        <v/>
      </c>
      <c r="F323" s="130" t="inlineStr">
        <is>
          <t>✓</t>
        </is>
      </c>
      <c r="G323" s="131" t="inlineStr">
        <is>
          <t>not on this certificate</t>
        </is>
      </c>
      <c r="H323" s="132" t="inlineStr">
        <is>
          <t>ППК26030, (05.03.2026) [CNP] · on file, not credited</t>
        </is>
      </c>
      <c r="I323" s="133" t="inlineStr">
        <is>
          <t>•</t>
        </is>
      </c>
      <c r="J323" s="128" t="inlineStr">
        <is>
          <t>Conforms (ImB spec.)</t>
        </is>
      </c>
      <c r="K323" s="129" t="inlineStr">
        <is>
          <t>ППК26030, (05.03.2026) [CNP]</t>
        </is>
      </c>
      <c r="L323" s="130" t="inlineStr">
        <is>
          <t>✓</t>
        </is>
      </c>
      <c r="M323" s="134" t="inlineStr">
        <is>
          <t>13.33</t>
        </is>
      </c>
      <c r="N323" s="129" t="inlineStr">
        <is>
          <t>ППК26030, (05.03.2026) [CNP]</t>
        </is>
      </c>
      <c r="O323" s="130" t="inlineStr">
        <is>
          <t>✓</t>
        </is>
      </c>
      <c r="P323" s="135" t="inlineStr">
        <is>
          <t>0.03</t>
        </is>
      </c>
      <c r="Q323" s="129" t="inlineStr">
        <is>
          <t>ППК26030, (05.03.2026) [CNP]</t>
        </is>
      </c>
      <c r="R323" s="130" t="inlineStr">
        <is>
          <t>✓</t>
        </is>
      </c>
      <c r="S323" s="135" t="inlineStr">
        <is>
          <t>0.01 ᴰ</t>
        </is>
      </c>
      <c r="T323" s="129" t="inlineStr">
        <is>
          <t>ППК26030, (05.03.2026) [CNP]</t>
        </is>
      </c>
      <c r="U323" s="130" t="inlineStr">
        <is>
          <t>✓</t>
        </is>
      </c>
      <c r="V323" s="128" t="inlineStr">
        <is>
          <t>Conforms</t>
        </is>
      </c>
      <c r="W323" s="129">
        <f>IFERROR(INDEX('iCoA Register'!$B:$B,MATCH("P060232|I",'iCoA Register'!$AA:$AA,0)),"iCoA — at issue")&amp;", (27.04.2026) [PP]"</f>
        <v/>
      </c>
      <c r="X323" s="130" t="inlineStr">
        <is>
          <t>✓</t>
        </is>
      </c>
      <c r="Y323" s="128" t="inlineStr">
        <is>
          <t>8.61</t>
        </is>
      </c>
      <c r="Z323" s="129" t="inlineStr">
        <is>
          <t>ППК26030, (05.03.2026) [CNP]</t>
        </is>
      </c>
      <c r="AA323" s="130" t="inlineStr">
        <is>
          <t>✓</t>
        </is>
      </c>
      <c r="AB323" s="165" t="inlineStr">
        <is>
          <t>— MISSING —</t>
        </is>
      </c>
      <c r="AC323" s="166" t="inlineStr">
        <is>
          <t>— MISSING —</t>
        </is>
      </c>
      <c r="AD323" s="166" t="inlineStr">
        <is>
          <t>— MISSING —</t>
        </is>
      </c>
      <c r="AE323" s="166" t="inlineStr">
        <is>
          <t>— MISSING —</t>
        </is>
      </c>
      <c r="AF323" s="166" t="inlineStr">
        <is>
          <t>— MISSING —</t>
        </is>
      </c>
      <c r="AG323" s="167" t="inlineStr">
        <is>
          <t>✗</t>
        </is>
      </c>
      <c r="AH323" s="128" t="inlineStr">
        <is>
          <t>ND</t>
        </is>
      </c>
      <c r="AI323" s="136" t="inlineStr">
        <is>
          <t>ND</t>
        </is>
      </c>
      <c r="AJ323" s="136" t="inlineStr">
        <is>
          <t>ND</t>
        </is>
      </c>
      <c r="AK323" s="130" t="inlineStr">
        <is>
          <t>✓</t>
        </is>
      </c>
      <c r="AL323" s="165" t="inlineStr">
        <is>
          <t>— MISSING —</t>
        </is>
      </c>
      <c r="AM323" s="166" t="inlineStr">
        <is>
          <t>— MISSING —</t>
        </is>
      </c>
      <c r="AN323" s="166" t="inlineStr">
        <is>
          <t>— MISSING —</t>
        </is>
      </c>
      <c r="AO323" s="166" t="inlineStr">
        <is>
          <t>— MISSING —</t>
        </is>
      </c>
      <c r="AP323" s="167" t="inlineStr">
        <is>
          <t>✗</t>
        </is>
      </c>
      <c r="AQ323" s="165" t="inlineStr">
        <is>
          <t>— MISSING —</t>
        </is>
      </c>
      <c r="AR323" s="168" t="inlineStr">
        <is>
          <t>— no certificate —</t>
        </is>
      </c>
      <c r="AS323" s="169" t="inlineStr">
        <is>
          <t>✗</t>
        </is>
      </c>
    </row>
    <row r="324" ht="13" customHeight="1" s="70">
      <c r="A324" s="138" t="n"/>
      <c r="D324" s="139" t="n"/>
      <c r="F324" s="140" t="n"/>
      <c r="G324" s="139" t="n"/>
      <c r="I324" s="140" t="n"/>
      <c r="J324" s="139" t="n"/>
      <c r="L324" s="140" t="n"/>
      <c r="M324" s="139" t="n"/>
      <c r="O324" s="140" t="n"/>
      <c r="P324" s="139" t="n"/>
      <c r="R324" s="140" t="n"/>
      <c r="S324" s="139" t="n"/>
      <c r="U324" s="140" t="n"/>
      <c r="V324" s="139" t="n"/>
      <c r="X324" s="140" t="n"/>
      <c r="Y324" s="139" t="n"/>
      <c r="AA324" s="140" t="n"/>
      <c r="AB324" s="170" t="inlineStr">
        <is>
          <t>— no certificate —</t>
        </is>
      </c>
      <c r="AG324" s="140" t="n"/>
      <c r="AH324" s="141" t="inlineStr">
        <is>
          <t>220-24-M-26, (11.09.2026) [FHM-M]</t>
        </is>
      </c>
      <c r="AK324" s="140" t="n"/>
      <c r="AL324" s="170" t="inlineStr">
        <is>
          <t>— no certificate —</t>
        </is>
      </c>
      <c r="AP324" s="140" t="n"/>
      <c r="AQ324" s="139" t="n"/>
      <c r="AS324" s="142" t="n"/>
    </row>
    <row r="325" ht="14" customHeight="1" s="70">
      <c r="A325" s="143" t="n"/>
      <c r="B325" s="144" t="n"/>
      <c r="D325" s="145" t="n"/>
      <c r="E325" s="144" t="n"/>
      <c r="F325" s="146" t="n"/>
      <c r="G325" s="147" t="inlineStr">
        <is>
          <t>Conforms</t>
        </is>
      </c>
      <c r="H325" s="148">
        <f>IFERROR(INDEX('iCoA Register'!$B:$B,MATCH("P060232|I",'iCoA Register'!$AA:$AA,0)),"iCoA — at issue")&amp;", (27.04.2026) [PP]"</f>
        <v/>
      </c>
      <c r="I325" s="149" t="inlineStr">
        <is>
          <t>✓</t>
        </is>
      </c>
      <c r="J325" s="145" t="n"/>
      <c r="K325" s="144" t="n"/>
      <c r="L325" s="146" t="n"/>
      <c r="M325" s="145" t="n"/>
      <c r="N325" s="144" t="n"/>
      <c r="O325" s="146" t="n"/>
      <c r="P325" s="145" t="n"/>
      <c r="Q325" s="144" t="n"/>
      <c r="R325" s="146" t="n"/>
      <c r="S325" s="145" t="n"/>
      <c r="T325" s="144" t="n"/>
      <c r="U325" s="146" t="n"/>
      <c r="V325" s="145" t="n"/>
      <c r="W325" s="144" t="n"/>
      <c r="X325" s="146" t="n"/>
      <c r="Y325" s="145" t="n"/>
      <c r="Z325" s="144" t="n"/>
      <c r="AA325" s="146" t="n"/>
      <c r="AB325" s="145" t="n"/>
      <c r="AC325" s="144" t="n"/>
      <c r="AD325" s="144" t="n"/>
      <c r="AE325" s="144" t="n"/>
      <c r="AF325" s="144" t="n"/>
      <c r="AG325" s="146" t="n"/>
      <c r="AH325" s="145" t="n"/>
      <c r="AI325" s="144" t="n"/>
      <c r="AJ325" s="144" t="n"/>
      <c r="AK325" s="146" t="n"/>
      <c r="AL325" s="145" t="n"/>
      <c r="AM325" s="144" t="n"/>
      <c r="AN325" s="144" t="n"/>
      <c r="AO325" s="144" t="n"/>
      <c r="AP325" s="146" t="n"/>
      <c r="AQ325" s="145" t="n"/>
      <c r="AR325" s="144" t="n"/>
      <c r="AS325" s="157" t="n"/>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60" t="n"/>
      <c r="AC326" s="159" t="n"/>
      <c r="AD326" s="159" t="n"/>
      <c r="AE326" s="159" t="n"/>
      <c r="AF326" s="159" t="n"/>
      <c r="AG326" s="161" t="n"/>
      <c r="AH326" s="160" t="n"/>
      <c r="AI326" s="159" t="n"/>
      <c r="AJ326" s="159" t="n"/>
      <c r="AK326" s="161" t="n"/>
      <c r="AL326" s="160" t="n"/>
      <c r="AM326" s="159" t="n"/>
      <c r="AN326" s="159" t="n"/>
      <c r="AO326" s="159" t="n"/>
      <c r="AP326" s="161" t="n"/>
      <c r="AQ326" s="160" t="n"/>
      <c r="AR326" s="159" t="n"/>
      <c r="AS326" s="163" t="n"/>
    </row>
    <row r="327" ht="21" customHeight="1" s="70">
      <c r="A327" s="125" t="inlineStr">
        <is>
          <t>SCR022601</t>
        </is>
      </c>
      <c r="B327" s="126" t="inlineStr">
        <is>
          <t>P060442</t>
        </is>
      </c>
      <c r="C327" s="164" t="inlineStr">
        <is>
          <t>⚠ 3 NO RESULT
(3 no cert / 0 cert w/o result)
2 testing instances</t>
        </is>
      </c>
      <c r="D327" s="128" t="inlineStr">
        <is>
          <t>Conforms ᴿ</t>
        </is>
      </c>
      <c r="E327" s="129" t="inlineStr">
        <is>
          <t>ППК26116, (06.07.2026) [CNP]</t>
        </is>
      </c>
      <c r="F327" s="130" t="inlineStr">
        <is>
          <t>✓</t>
        </is>
      </c>
      <c r="G327" s="128" t="inlineStr">
        <is>
          <t>Conforms ᴿ</t>
        </is>
      </c>
      <c r="H327" s="129" t="inlineStr">
        <is>
          <t>ППК26116, (06.07.2026) [CNP]</t>
        </is>
      </c>
      <c r="I327" s="130" t="inlineStr">
        <is>
          <t>✓</t>
        </is>
      </c>
      <c r="J327" s="128" t="inlineStr">
        <is>
          <t>Conforms (ImB spec.) ᴿ</t>
        </is>
      </c>
      <c r="K327" s="129" t="inlineStr">
        <is>
          <t>ППК26116, (06.07.2026) [CNP]</t>
        </is>
      </c>
      <c r="L327" s="130" t="inlineStr">
        <is>
          <t>✓</t>
        </is>
      </c>
      <c r="M327" s="134" t="inlineStr">
        <is>
          <t>21.92 ᴿ</t>
        </is>
      </c>
      <c r="N327" s="129" t="inlineStr">
        <is>
          <t>ППК26116, (06.07.2026) [CNP]</t>
        </is>
      </c>
      <c r="O327" s="130" t="inlineStr">
        <is>
          <t>✓</t>
        </is>
      </c>
      <c r="P327" s="135" t="inlineStr">
        <is>
          <t>0.19 ᴿ</t>
        </is>
      </c>
      <c r="Q327" s="129" t="inlineStr">
        <is>
          <t>ППК26116, (06.07.2026) [CNP]</t>
        </is>
      </c>
      <c r="R327" s="130" t="inlineStr">
        <is>
          <t>✓</t>
        </is>
      </c>
      <c r="S327" s="135" t="inlineStr">
        <is>
          <t>0.06 ᴿ</t>
        </is>
      </c>
      <c r="T327" s="129" t="inlineStr">
        <is>
          <t>ППК26116, (06.07.2026) [CNP]</t>
        </is>
      </c>
      <c r="U327" s="130" t="inlineStr">
        <is>
          <t>✓</t>
        </is>
      </c>
      <c r="V327" s="128" t="inlineStr">
        <is>
          <t>Conforms ᴿ</t>
        </is>
      </c>
      <c r="W327" s="129" t="inlineStr">
        <is>
          <t>ППК26116, (06.07.2026) [CNP]</t>
        </is>
      </c>
      <c r="X327" s="130" t="inlineStr">
        <is>
          <t>✓</t>
        </is>
      </c>
      <c r="Y327" s="128" t="inlineStr">
        <is>
          <t>7.06 ᴿ</t>
        </is>
      </c>
      <c r="Z327" s="129" t="inlineStr">
        <is>
          <t>ППК26116, (06.07.2026) [CNP]</t>
        </is>
      </c>
      <c r="AA327" s="130" t="inlineStr">
        <is>
          <t>✓</t>
        </is>
      </c>
      <c r="AB327" s="128" t="inlineStr">
        <is>
          <t>1.7 × 10³</t>
        </is>
      </c>
      <c r="AC327" s="136" t="inlineStr">
        <is>
          <t>5.6 × 10²</t>
        </is>
      </c>
      <c r="AD327" s="136" t="inlineStr">
        <is>
          <t>&lt; 10</t>
        </is>
      </c>
      <c r="AE327" s="136" t="inlineStr">
        <is>
          <t>Absent</t>
        </is>
      </c>
      <c r="AF327" s="136" t="inlineStr">
        <is>
          <t>Absent</t>
        </is>
      </c>
      <c r="AG327" s="130" t="inlineStr">
        <is>
          <t>✓</t>
        </is>
      </c>
      <c r="AH327" s="165" t="inlineStr">
        <is>
          <t>— MISSING —</t>
        </is>
      </c>
      <c r="AI327" s="166" t="inlineStr">
        <is>
          <t>— MISSING —</t>
        </is>
      </c>
      <c r="AJ327" s="166" t="inlineStr">
        <is>
          <t>— MISSING —</t>
        </is>
      </c>
      <c r="AK327" s="167" t="inlineStr">
        <is>
          <t>✗</t>
        </is>
      </c>
      <c r="AL327" s="165" t="inlineStr">
        <is>
          <t>— MISSING —</t>
        </is>
      </c>
      <c r="AM327" s="166" t="inlineStr">
        <is>
          <t>— MISSING —</t>
        </is>
      </c>
      <c r="AN327" s="166" t="inlineStr">
        <is>
          <t>— MISSING —</t>
        </is>
      </c>
      <c r="AO327" s="166" t="inlineStr">
        <is>
          <t>— MISSING —</t>
        </is>
      </c>
      <c r="AP327" s="167" t="inlineStr">
        <is>
          <t>✗</t>
        </is>
      </c>
      <c r="AQ327" s="165" t="inlineStr">
        <is>
          <t>— MISSING —</t>
        </is>
      </c>
      <c r="AR327" s="168" t="inlineStr">
        <is>
          <t>— no certificate —</t>
        </is>
      </c>
      <c r="AS327" s="169" t="inlineStr">
        <is>
          <t>✗</t>
        </is>
      </c>
    </row>
    <row r="328" ht="13" customHeight="1" s="70">
      <c r="A328" s="138" t="n"/>
      <c r="D328" s="139" t="n"/>
      <c r="F328" s="140" t="n"/>
      <c r="G328" s="139" t="n"/>
      <c r="I328" s="140" t="n"/>
      <c r="J328" s="139" t="n"/>
      <c r="L328" s="140" t="n"/>
      <c r="M328" s="139" t="n"/>
      <c r="O328" s="140" t="n"/>
      <c r="P328" s="139" t="n"/>
      <c r="R328" s="140" t="n"/>
      <c r="S328" s="139" t="n"/>
      <c r="U328" s="140" t="n"/>
      <c r="V328" s="139" t="n"/>
      <c r="X328" s="140" t="n"/>
      <c r="Y328" s="139" t="n"/>
      <c r="AA328" s="140" t="n"/>
      <c r="AB328" s="141" t="inlineStr">
        <is>
          <t>536-1067-26, (31.08.2026) [IJZ-MB]</t>
        </is>
      </c>
      <c r="AG328" s="140" t="n"/>
      <c r="AH328" s="170" t="inlineStr">
        <is>
          <t>— no certificate —</t>
        </is>
      </c>
      <c r="AK328" s="140" t="n"/>
      <c r="AL328" s="170" t="inlineStr">
        <is>
          <t>— no certificate —</t>
        </is>
      </c>
      <c r="AP328" s="140" t="n"/>
      <c r="AQ328" s="139" t="n"/>
      <c r="AS328" s="142" t="n"/>
    </row>
    <row r="329" ht="17.625" customHeight="1" s="70">
      <c r="A329" s="143" t="n"/>
      <c r="B329" s="144" t="n"/>
      <c r="D329" s="145" t="n"/>
      <c r="E329" s="144" t="n"/>
      <c r="F329" s="146" t="n"/>
      <c r="G329" s="145" t="n"/>
      <c r="H329" s="144" t="n"/>
      <c r="I329" s="146" t="n"/>
      <c r="J329" s="147" t="inlineStr">
        <is>
          <t>Conforms (ImB spec.)</t>
        </is>
      </c>
      <c r="K329" s="148" t="inlineStr">
        <is>
          <t>227-7-K-26, (11.09.2026) [FHM-K]</t>
        </is>
      </c>
      <c r="L329" s="149" t="inlineStr">
        <is>
          <t>✓</t>
        </is>
      </c>
      <c r="M329" s="150" t="inlineStr">
        <is>
          <t>16.68</t>
        </is>
      </c>
      <c r="N329" s="148" t="inlineStr">
        <is>
          <t>227-7-K-26, (11.09.2026) [FHM-K]</t>
        </is>
      </c>
      <c r="O329" s="149" t="inlineStr">
        <is>
          <t>✓</t>
        </is>
      </c>
      <c r="P329" s="151" t="inlineStr">
        <is>
          <t>&lt; LOQ</t>
        </is>
      </c>
      <c r="Q329" s="148" t="inlineStr">
        <is>
          <t>227-7-K-26, (11.09.2026) [FHM-K]</t>
        </is>
      </c>
      <c r="R329" s="149" t="inlineStr">
        <is>
          <t>✓</t>
        </is>
      </c>
      <c r="S329" s="151" t="inlineStr">
        <is>
          <t>&lt; LOQ</t>
        </is>
      </c>
      <c r="T329" s="148" t="inlineStr">
        <is>
          <t>227-7-K-26, (11.09.2026) [FHM-K]</t>
        </is>
      </c>
      <c r="U329" s="149" t="inlineStr">
        <is>
          <t>✓</t>
        </is>
      </c>
      <c r="V329" s="145" t="n"/>
      <c r="W329" s="144" t="n"/>
      <c r="X329" s="146" t="n"/>
      <c r="Y329" s="145" t="n"/>
      <c r="Z329" s="144" t="n"/>
      <c r="AA329" s="146" t="n"/>
      <c r="AB329" s="145" t="n"/>
      <c r="AC329" s="144" t="n"/>
      <c r="AD329" s="144" t="n"/>
      <c r="AE329" s="144" t="n"/>
      <c r="AF329" s="144" t="n"/>
      <c r="AG329" s="146" t="n"/>
      <c r="AH329" s="145" t="n"/>
      <c r="AI329" s="144" t="n"/>
      <c r="AJ329" s="144" t="n"/>
      <c r="AK329" s="146" t="n"/>
      <c r="AL329" s="145" t="n"/>
      <c r="AM329" s="144" t="n"/>
      <c r="AN329" s="144" t="n"/>
      <c r="AO329" s="144" t="n"/>
      <c r="AP329" s="146" t="n"/>
      <c r="AQ329" s="145" t="n"/>
      <c r="AR329" s="144" t="n"/>
      <c r="AS329" s="157" t="n"/>
    </row>
    <row r="330" ht="13"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60" t="n"/>
      <c r="AC330" s="159" t="n"/>
      <c r="AD330" s="159" t="n"/>
      <c r="AE330" s="159" t="n"/>
      <c r="AF330" s="159" t="n"/>
      <c r="AG330" s="161" t="n"/>
      <c r="AH330" s="160" t="n"/>
      <c r="AI330" s="159" t="n"/>
      <c r="AJ330" s="159" t="n"/>
      <c r="AK330" s="161" t="n"/>
      <c r="AL330" s="160" t="n"/>
      <c r="AM330" s="159" t="n"/>
      <c r="AN330" s="159" t="n"/>
      <c r="AO330" s="159" t="n"/>
      <c r="AP330" s="161" t="n"/>
      <c r="AQ330" s="160" t="n"/>
      <c r="AR330" s="159" t="n"/>
      <c r="AS330" s="163" t="n"/>
    </row>
    <row r="331" ht="21" customHeight="1" s="70">
      <c r="A331" s="125" t="inlineStr">
        <is>
          <t>SCR112501</t>
        </is>
      </c>
      <c r="B331" s="126" t="inlineStr">
        <is>
          <t>P060282</t>
        </is>
      </c>
      <c r="C331" s="127" t="inlineStr">
        <is>
          <t>✓ COMPLETE
2 testing instances
• 1 document(s) on file, not credited</t>
        </is>
      </c>
      <c r="D331" s="128" t="inlineStr">
        <is>
          <t>Conforms</t>
        </is>
      </c>
      <c r="E331" s="129">
        <f>IFERROR(INDEX('iCoA Register'!$B:$B,MATCH("P060282|I",'iCoA Register'!$AA:$AA,0)),"iCoA — at issue")&amp;", (18.05.2026) [PP]"</f>
        <v/>
      </c>
      <c r="F331" s="130" t="inlineStr">
        <is>
          <t>✓</t>
        </is>
      </c>
      <c r="G331" s="131" t="inlineStr">
        <is>
          <t>not on this certificate</t>
        </is>
      </c>
      <c r="H331" s="132" t="inlineStr">
        <is>
          <t>ППК26069, (11.05.2026) [CNP] · on file, not credited</t>
        </is>
      </c>
      <c r="I331" s="133" t="inlineStr">
        <is>
          <t>•</t>
        </is>
      </c>
      <c r="J331" s="128" t="inlineStr">
        <is>
          <t>Conforms (ImB spec.)</t>
        </is>
      </c>
      <c r="K331" s="129" t="inlineStr">
        <is>
          <t>ППК26069, (11.05.2026) [CNP]</t>
        </is>
      </c>
      <c r="L331" s="130" t="inlineStr">
        <is>
          <t>✓</t>
        </is>
      </c>
      <c r="M331" s="134" t="inlineStr">
        <is>
          <t>17.13</t>
        </is>
      </c>
      <c r="N331" s="129" t="inlineStr">
        <is>
          <t>ППК26069, (11.05.2026) [CNP]</t>
        </is>
      </c>
      <c r="O331" s="130" t="inlineStr">
        <is>
          <t>✓</t>
        </is>
      </c>
      <c r="P331" s="135" t="inlineStr">
        <is>
          <t>0.04</t>
        </is>
      </c>
      <c r="Q331" s="129" t="inlineStr">
        <is>
          <t>ППК26069, (11.05.2026) [CNP]</t>
        </is>
      </c>
      <c r="R331" s="130" t="inlineStr">
        <is>
          <t>✓</t>
        </is>
      </c>
      <c r="S331" s="135" t="inlineStr">
        <is>
          <t>&lt; LOQ ᴰ</t>
        </is>
      </c>
      <c r="T331" s="129" t="inlineStr">
        <is>
          <t>ППК26069, (11.05.2026) [CNP]</t>
        </is>
      </c>
      <c r="U331" s="130" t="inlineStr">
        <is>
          <t>✓</t>
        </is>
      </c>
      <c r="V331" s="128" t="inlineStr">
        <is>
          <t>Conforms</t>
        </is>
      </c>
      <c r="W331" s="129">
        <f>IFERROR(INDEX('iCoA Register'!$B:$B,MATCH("P060282|I",'iCoA Register'!$AA:$AA,0)),"iCoA — at issue")&amp;", (18.05.2026) [PP]"</f>
        <v/>
      </c>
      <c r="X331" s="130" t="inlineStr">
        <is>
          <t>✓</t>
        </is>
      </c>
      <c r="Y331" s="128" t="inlineStr">
        <is>
          <t>6.84</t>
        </is>
      </c>
      <c r="Z331" s="129" t="inlineStr">
        <is>
          <t>ППК26069, (11.05.2026) [CNP]</t>
        </is>
      </c>
      <c r="AA331" s="130" t="inlineStr">
        <is>
          <t>✓</t>
        </is>
      </c>
      <c r="AB331" s="128" t="inlineStr">
        <is>
          <t>2.3 × 10³</t>
        </is>
      </c>
      <c r="AC331" s="136" t="inlineStr">
        <is>
          <t>4.3 × 10³</t>
        </is>
      </c>
      <c r="AD331" s="136" t="inlineStr">
        <is>
          <t>not reported</t>
        </is>
      </c>
      <c r="AE331" s="136" t="inlineStr">
        <is>
          <t>Absent</t>
        </is>
      </c>
      <c r="AF331" s="136" t="inlineStr">
        <is>
          <t>Absent</t>
        </is>
      </c>
      <c r="AG331" s="130" t="inlineStr">
        <is>
          <t>✓</t>
        </is>
      </c>
      <c r="AH331" s="128" t="inlineStr">
        <is>
          <t>ND</t>
        </is>
      </c>
      <c r="AI331" s="136" t="inlineStr">
        <is>
          <t>&lt; 2</t>
        </is>
      </c>
      <c r="AJ331" s="136" t="inlineStr">
        <is>
          <t>ND</t>
        </is>
      </c>
      <c r="AK331" s="130" t="inlineStr">
        <is>
          <t>✓</t>
        </is>
      </c>
      <c r="AL331" s="128" t="inlineStr">
        <is>
          <t>0.0299</t>
        </is>
      </c>
      <c r="AM331" s="136" t="inlineStr">
        <is>
          <t>0.0136</t>
        </is>
      </c>
      <c r="AN331" s="136" t="inlineStr">
        <is>
          <t>0.0154</t>
        </is>
      </c>
      <c r="AO331" s="136" t="inlineStr">
        <is>
          <t>0.017</t>
        </is>
      </c>
      <c r="AP331" s="130" t="inlineStr">
        <is>
          <t>✓</t>
        </is>
      </c>
      <c r="AQ331" s="128" t="inlineStr">
        <is>
          <t>≤ LOQ (all 27 compounds)</t>
        </is>
      </c>
      <c r="AR331" s="129" t="inlineStr">
        <is>
          <t>2360-2026, (29.04.2026) [IJZ]</t>
        </is>
      </c>
      <c r="AS331" s="137"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41" t="inlineStr">
        <is>
          <t>305-0549-26, (28.04.2026) [IJZ-MB]</t>
        </is>
      </c>
      <c r="AG332" s="140" t="n"/>
      <c r="AH332" s="141" t="inlineStr">
        <is>
          <t>2360-2026, (29.04.2026) [IJZ]</t>
        </is>
      </c>
      <c r="AK332" s="140" t="n"/>
      <c r="AL332" s="141" t="inlineStr">
        <is>
          <t>2360-2026, (29.04.2026) [IJZ]</t>
        </is>
      </c>
      <c r="AP332" s="140" t="n"/>
      <c r="AQ332" s="139" t="n"/>
      <c r="AS332" s="142" t="n"/>
    </row>
    <row r="333" ht="14" customHeight="1" s="70">
      <c r="A333" s="143" t="n"/>
      <c r="B333" s="144" t="n"/>
      <c r="D333" s="145" t="n"/>
      <c r="E333" s="144" t="n"/>
      <c r="F333" s="146" t="n"/>
      <c r="G333" s="147" t="inlineStr">
        <is>
          <t>Conforms</t>
        </is>
      </c>
      <c r="H333" s="148">
        <f>IFERROR(INDEX('iCoA Register'!$B:$B,MATCH("P060282|I",'iCoA Register'!$AA:$AA,0)),"iCoA — at issue")&amp;", (18.05.2026) [PP]"</f>
        <v/>
      </c>
      <c r="I333" s="149" t="inlineStr">
        <is>
          <t>✓</t>
        </is>
      </c>
      <c r="J333" s="145" t="n"/>
      <c r="K333" s="144" t="n"/>
      <c r="L333" s="146" t="n"/>
      <c r="M333" s="145" t="n"/>
      <c r="N333" s="144" t="n"/>
      <c r="O333" s="146" t="n"/>
      <c r="P333" s="145" t="n"/>
      <c r="Q333" s="144" t="n"/>
      <c r="R333" s="146" t="n"/>
      <c r="S333" s="145" t="n"/>
      <c r="T333" s="144" t="n"/>
      <c r="U333" s="146" t="n"/>
      <c r="V333" s="145" t="n"/>
      <c r="W333" s="144" t="n"/>
      <c r="X333" s="146" t="n"/>
      <c r="Y333" s="145" t="n"/>
      <c r="Z333" s="144" t="n"/>
      <c r="AA333" s="146" t="n"/>
      <c r="AB333" s="145" t="n"/>
      <c r="AC333" s="144" t="n"/>
      <c r="AD333" s="144" t="n"/>
      <c r="AE333" s="144" t="n"/>
      <c r="AF333" s="144" t="n"/>
      <c r="AG333" s="146" t="n"/>
      <c r="AH333" s="155" t="inlineStr">
        <is>
          <t>ND</t>
        </is>
      </c>
      <c r="AI333" s="156" t="inlineStr">
        <is>
          <t>ND</t>
        </is>
      </c>
      <c r="AJ333" s="156" t="inlineStr">
        <is>
          <t>ND</t>
        </is>
      </c>
      <c r="AK333" s="149" t="inlineStr">
        <is>
          <t>✓</t>
        </is>
      </c>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2" t="inlineStr">
        <is>
          <t>220-26-M-26, (11.09.2026) [FHM-M]</t>
        </is>
      </c>
      <c r="AI334" s="159" t="n"/>
      <c r="AJ334" s="159" t="n"/>
      <c r="AK334" s="161" t="n"/>
      <c r="AL334" s="160" t="n"/>
      <c r="AM334" s="159" t="n"/>
      <c r="AN334" s="159" t="n"/>
      <c r="AO334" s="159" t="n"/>
      <c r="AP334" s="161" t="n"/>
      <c r="AQ334" s="160" t="n"/>
      <c r="AR334" s="159" t="n"/>
      <c r="AS334" s="163" t="n"/>
    </row>
    <row r="335" ht="21" customHeight="1" s="70">
      <c r="A335" s="125" t="inlineStr">
        <is>
          <t>SJ102501</t>
        </is>
      </c>
      <c r="B335" s="126" t="inlineStr">
        <is>
          <t>P060162</t>
        </is>
      </c>
      <c r="C335" s="164" t="inlineStr">
        <is>
          <t>⚠ 3 NO RESULT
(3 no cert / 0 cert w/o result)
3 testing instances
• 2 document(s) on file, not credited</t>
        </is>
      </c>
      <c r="D335" s="128" t="inlineStr">
        <is>
          <t>Conforms</t>
        </is>
      </c>
      <c r="E335" s="129">
        <f>IFERROR(INDEX('iCoA Register'!$B:$B,MATCH("P060162|I",'iCoA Register'!$AA:$AA,0)),"iCoA — at issue")&amp;", (09.03.2026) [PP]"</f>
        <v/>
      </c>
      <c r="F335" s="130" t="inlineStr">
        <is>
          <t>✓</t>
        </is>
      </c>
      <c r="G335" s="128" t="inlineStr">
        <is>
          <t>Conforms</t>
        </is>
      </c>
      <c r="H335" s="129">
        <f>IFERROR(INDEX('iCoA Register'!$B:$B,MATCH("P060162|I",'iCoA Register'!$AA:$AA,0)),"iCoA — at issue")&amp;", (09.03.2026) [PP]"</f>
        <v/>
      </c>
      <c r="I335" s="130" t="inlineStr">
        <is>
          <t>✓</t>
        </is>
      </c>
      <c r="J335" s="131" t="inlineStr">
        <is>
          <t>not on this certificate</t>
        </is>
      </c>
      <c r="K335" s="132" t="inlineStr">
        <is>
          <t>051-3-LoD-26, (02.03.2026) [FHM-K] · on file, not credited</t>
        </is>
      </c>
      <c r="L335" s="133" t="inlineStr">
        <is>
          <t>•</t>
        </is>
      </c>
      <c r="M335" s="183" t="inlineStr">
        <is>
          <t>not on this certificate</t>
        </is>
      </c>
      <c r="N335" s="132" t="inlineStr">
        <is>
          <t>051-3-LoD-26, (02.03.2026) [FHM-K] · on file, not credited</t>
        </is>
      </c>
      <c r="O335" s="133" t="inlineStr">
        <is>
          <t>•</t>
        </is>
      </c>
      <c r="P335" s="184" t="inlineStr">
        <is>
          <t>not on this certificate</t>
        </is>
      </c>
      <c r="Q335" s="132" t="inlineStr">
        <is>
          <t>051-3-LoD-26, (02.03.2026) [FHM-K] · on file, not credited</t>
        </is>
      </c>
      <c r="R335" s="133" t="inlineStr">
        <is>
          <t>•</t>
        </is>
      </c>
      <c r="S335" s="184" t="inlineStr">
        <is>
          <t>not on this certificate</t>
        </is>
      </c>
      <c r="T335" s="132" t="inlineStr">
        <is>
          <t>051-3-LoD-26, (02.03.2026) [FHM-K] · on file, not credited</t>
        </is>
      </c>
      <c r="U335" s="133" t="inlineStr">
        <is>
          <t>•</t>
        </is>
      </c>
      <c r="V335" s="128" t="inlineStr">
        <is>
          <t>Conforms</t>
        </is>
      </c>
      <c r="W335" s="129">
        <f>IFERROR(INDEX('iCoA Register'!$B:$B,MATCH("P060162|I",'iCoA Register'!$AA:$AA,0)),"iCoA — at issue")&amp;", (09.03.2026) [PP]"</f>
        <v/>
      </c>
      <c r="X335" s="130" t="inlineStr">
        <is>
          <t>✓</t>
        </is>
      </c>
      <c r="Y335" s="128" t="inlineStr">
        <is>
          <t>7.8</t>
        </is>
      </c>
      <c r="Z335" s="129" t="inlineStr">
        <is>
          <t>051-3-LoD-26, (02.03.2026) [FHM-K]</t>
        </is>
      </c>
      <c r="AA335" s="130" t="inlineStr">
        <is>
          <t>✓</t>
        </is>
      </c>
      <c r="AB335" s="128" t="inlineStr">
        <is>
          <t>5.2 × 10²</t>
        </is>
      </c>
      <c r="AC335" s="136" t="inlineStr">
        <is>
          <t>4.3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21"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549-1080-26,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55" t="inlineStr">
        <is>
          <t>Conforms (ImB spec.) ᴿ</t>
        </is>
      </c>
      <c r="K337" s="185" t="inlineStr">
        <is>
          <t>051-3-K-26, (04.03.2026) [FHM-K]</t>
        </is>
      </c>
      <c r="L337" s="186" t="inlineStr">
        <is>
          <t>✓</t>
        </is>
      </c>
      <c r="M337" s="187" t="inlineStr">
        <is>
          <t>11.20</t>
        </is>
      </c>
      <c r="N337" s="185" t="inlineStr">
        <is>
          <t>051-3-K-26, (04.03.2026) [FHM-K]</t>
        </is>
      </c>
      <c r="O337" s="186" t="inlineStr">
        <is>
          <t>✓</t>
        </is>
      </c>
      <c r="P337" s="188" t="inlineStr">
        <is>
          <t>&lt; LOQ**</t>
        </is>
      </c>
      <c r="Q337" s="185" t="inlineStr">
        <is>
          <t>051-3-K-26, (04.03.2026) [FHM-K]</t>
        </is>
      </c>
      <c r="R337" s="186" t="inlineStr">
        <is>
          <t>✓</t>
        </is>
      </c>
      <c r="S337" s="188" t="inlineStr">
        <is>
          <t>&lt; LOQ**</t>
        </is>
      </c>
      <c r="T337" s="185" t="inlineStr">
        <is>
          <t>051-3-K-26, (04.03.2026) [FHM-K]</t>
        </is>
      </c>
      <c r="U337" s="186" t="inlineStr">
        <is>
          <t>✓</t>
        </is>
      </c>
      <c r="V337" s="145" t="n"/>
      <c r="W337" s="144" t="n"/>
      <c r="X337" s="146" t="n"/>
      <c r="Y337" s="189" t="inlineStr">
        <is>
          <t>not on this certificate</t>
        </is>
      </c>
      <c r="Z337" s="190" t="inlineStr">
        <is>
          <t>051-3-K-26, (04.03.2026) [FHM-K] · on file, not credited</t>
        </is>
      </c>
      <c r="AA337" s="191" t="inlineStr">
        <is>
          <t>•</t>
        </is>
      </c>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5.375" customHeight="1" s="70">
      <c r="A338" s="192" t="n"/>
      <c r="B338" s="193" t="n"/>
      <c r="D338" s="194" t="n"/>
      <c r="E338" s="193" t="n"/>
      <c r="F338" s="195" t="n"/>
      <c r="G338" s="194" t="n"/>
      <c r="H338" s="193" t="n"/>
      <c r="I338" s="195" t="n"/>
      <c r="J338" s="194" t="n"/>
      <c r="K338" s="193" t="n"/>
      <c r="L338" s="195" t="n"/>
      <c r="M338" s="194" t="n"/>
      <c r="N338" s="193" t="n"/>
      <c r="O338" s="195" t="n"/>
      <c r="P338" s="194" t="n"/>
      <c r="Q338" s="193" t="n"/>
      <c r="R338" s="195" t="n"/>
      <c r="S338" s="194" t="n"/>
      <c r="T338" s="193" t="n"/>
      <c r="U338" s="195" t="n"/>
      <c r="V338" s="194" t="n"/>
      <c r="W338" s="193" t="n"/>
      <c r="X338" s="195" t="n"/>
      <c r="Y338" s="194" t="n"/>
      <c r="Z338" s="193" t="n"/>
      <c r="AA338" s="195" t="n"/>
      <c r="AB338" s="194" t="n"/>
      <c r="AC338" s="193" t="n"/>
      <c r="AD338" s="193" t="n"/>
      <c r="AE338" s="193" t="n"/>
      <c r="AF338" s="193" t="n"/>
      <c r="AG338" s="195" t="n"/>
      <c r="AH338" s="194" t="n"/>
      <c r="AI338" s="193" t="n"/>
      <c r="AJ338" s="193" t="n"/>
      <c r="AK338" s="195" t="n"/>
      <c r="AL338" s="194" t="n"/>
      <c r="AM338" s="193" t="n"/>
      <c r="AN338" s="193" t="n"/>
      <c r="AO338" s="193" t="n"/>
      <c r="AP338" s="195" t="n"/>
      <c r="AQ338" s="194" t="n"/>
      <c r="AR338" s="193" t="n"/>
      <c r="AS338" s="196" t="n"/>
    </row>
    <row r="339" ht="17.625" customHeight="1" s="70">
      <c r="A339" s="143" t="n"/>
      <c r="B339" s="144" t="n"/>
      <c r="D339" s="145" t="n"/>
      <c r="E339" s="144" t="n"/>
      <c r="F339" s="146" t="n"/>
      <c r="G339" s="145" t="n"/>
      <c r="H339" s="144" t="n"/>
      <c r="I339" s="146" t="n"/>
      <c r="J339" s="147" t="inlineStr">
        <is>
          <t>Conforms (ImB spec.)</t>
        </is>
      </c>
      <c r="K339" s="148" t="inlineStr">
        <is>
          <t>227-6-K-26, (11.09.2026) [FHM-K]</t>
        </is>
      </c>
      <c r="L339" s="149" t="inlineStr">
        <is>
          <t>✓</t>
        </is>
      </c>
      <c r="M339" s="150" t="inlineStr">
        <is>
          <t>10.61</t>
        </is>
      </c>
      <c r="N339" s="148" t="inlineStr">
        <is>
          <t>227-6-K-26, (11.09.2026) [FHM-K]</t>
        </is>
      </c>
      <c r="O339" s="149" t="inlineStr">
        <is>
          <t>✓</t>
        </is>
      </c>
      <c r="P339" s="151" t="inlineStr">
        <is>
          <t>&lt; LOQ</t>
        </is>
      </c>
      <c r="Q339" s="148" t="inlineStr">
        <is>
          <t>227-6-K-26, (11.09.2026) [FHM-K]</t>
        </is>
      </c>
      <c r="R339" s="149" t="inlineStr">
        <is>
          <t>✓</t>
        </is>
      </c>
      <c r="S339" s="151" t="inlineStr">
        <is>
          <t>&lt; LOQ</t>
        </is>
      </c>
      <c r="T339" s="148" t="inlineStr">
        <is>
          <t>227-6-K-26, (11.09.2026) [FHM-K]</t>
        </is>
      </c>
      <c r="U339" s="149" t="inlineStr">
        <is>
          <t>✓</t>
        </is>
      </c>
      <c r="V339" s="145" t="n"/>
      <c r="W339" s="144" t="n"/>
      <c r="X339" s="146" t="n"/>
      <c r="Y339" s="145" t="n"/>
      <c r="Z339" s="144" t="n"/>
      <c r="AA339" s="146" t="n"/>
      <c r="AB339" s="145" t="n"/>
      <c r="AC339" s="144" t="n"/>
      <c r="AD339" s="144" t="n"/>
      <c r="AE339" s="144" t="n"/>
      <c r="AF339" s="144" t="n"/>
      <c r="AG339" s="146" t="n"/>
      <c r="AH339" s="145" t="n"/>
      <c r="AI339" s="144" t="n"/>
      <c r="AJ339" s="144" t="n"/>
      <c r="AK339" s="146" t="n"/>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0" t="n"/>
      <c r="AI340" s="159" t="n"/>
      <c r="AJ340" s="159" t="n"/>
      <c r="AK340" s="161" t="n"/>
      <c r="AL340" s="160" t="n"/>
      <c r="AM340" s="159" t="n"/>
      <c r="AN340" s="159" t="n"/>
      <c r="AO340" s="159" t="n"/>
      <c r="AP340" s="161" t="n"/>
      <c r="AQ340" s="160" t="n"/>
      <c r="AR340" s="159" t="n"/>
      <c r="AS340" s="163" t="n"/>
    </row>
    <row r="341" ht="21" customHeight="1" s="70">
      <c r="A341" s="125" t="inlineStr">
        <is>
          <t>SJ112501</t>
        </is>
      </c>
      <c r="B341" s="126" t="inlineStr">
        <is>
          <t>P060192</t>
        </is>
      </c>
      <c r="C341" s="171" t="inlineStr">
        <is>
          <t>✗ 4 NO RESULT
(4 no cert / 0 cert w/o result)
3 testing instances
• 2 document(s) on file, not credited</t>
        </is>
      </c>
      <c r="D341" s="128" t="inlineStr">
        <is>
          <t>Conforms</t>
        </is>
      </c>
      <c r="E341" s="129">
        <f>IFERROR(INDEX('iCoA Register'!$B:$B,MATCH("P060192|I",'iCoA Register'!$AA:$AA,0)),"iCoA — at issue")&amp;", (31.03.2026) [PP]"</f>
        <v/>
      </c>
      <c r="F341" s="130" t="inlineStr">
        <is>
          <t>✓</t>
        </is>
      </c>
      <c r="G341" s="128" t="inlineStr">
        <is>
          <t>Conforms</t>
        </is>
      </c>
      <c r="H341" s="129">
        <f>IFERROR(INDEX('iCoA Register'!$B:$B,MATCH("P060192|I",'iCoA Register'!$AA:$AA,0)),"iCoA — at issue")&amp;", (31.03.2026) [PP]"</f>
        <v/>
      </c>
      <c r="I341" s="130" t="inlineStr">
        <is>
          <t>✓</t>
        </is>
      </c>
      <c r="J341" s="131" t="inlineStr">
        <is>
          <t>not on this certificate</t>
        </is>
      </c>
      <c r="K341" s="132" t="inlineStr">
        <is>
          <t>051-2-LoD-26, (02.03.2026) [FHM-K] · on file, not credited</t>
        </is>
      </c>
      <c r="L341" s="133" t="inlineStr">
        <is>
          <t>•</t>
        </is>
      </c>
      <c r="M341" s="183" t="inlineStr">
        <is>
          <t>not on this certificate</t>
        </is>
      </c>
      <c r="N341" s="132" t="inlineStr">
        <is>
          <t>051-2-LoD-26, (02.03.2026) [FHM-K] · on file, not credited</t>
        </is>
      </c>
      <c r="O341" s="133" t="inlineStr">
        <is>
          <t>•</t>
        </is>
      </c>
      <c r="P341" s="184" t="inlineStr">
        <is>
          <t>not on this certificate</t>
        </is>
      </c>
      <c r="Q341" s="132" t="inlineStr">
        <is>
          <t>051-2-LoD-26, (02.03.2026) [FHM-K] · on file, not credited</t>
        </is>
      </c>
      <c r="R341" s="133" t="inlineStr">
        <is>
          <t>•</t>
        </is>
      </c>
      <c r="S341" s="184" t="inlineStr">
        <is>
          <t>not on this certificate</t>
        </is>
      </c>
      <c r="T341" s="132" t="inlineStr">
        <is>
          <t>051-2-LoD-26, (02.03.2026) [FHM-K] · on file, not credited</t>
        </is>
      </c>
      <c r="U341" s="133" t="inlineStr">
        <is>
          <t>•</t>
        </is>
      </c>
      <c r="V341" s="128" t="inlineStr">
        <is>
          <t>Conforms</t>
        </is>
      </c>
      <c r="W341" s="129">
        <f>IFERROR(INDEX('iCoA Register'!$B:$B,MATCH("P060192|I",'iCoA Register'!$AA:$AA,0)),"iCoA — at issue")&amp;", (31.03.2026) [PP]"</f>
        <v/>
      </c>
      <c r="X341" s="130" t="inlineStr">
        <is>
          <t>✓</t>
        </is>
      </c>
      <c r="Y341" s="128" t="inlineStr">
        <is>
          <t>6.7</t>
        </is>
      </c>
      <c r="Z341" s="129" t="inlineStr">
        <is>
          <t>051-2-LoD-26, (02.03.2026) [FHM-K]</t>
        </is>
      </c>
      <c r="AA341" s="130" t="inlineStr">
        <is>
          <t>✓</t>
        </is>
      </c>
      <c r="AB341" s="165" t="inlineStr">
        <is>
          <t>— MISSING —</t>
        </is>
      </c>
      <c r="AC341" s="166" t="inlineStr">
        <is>
          <t>— MISSING —</t>
        </is>
      </c>
      <c r="AD341" s="166" t="inlineStr">
        <is>
          <t>— MISSING —</t>
        </is>
      </c>
      <c r="AE341" s="166" t="inlineStr">
        <is>
          <t>— MISSING —</t>
        </is>
      </c>
      <c r="AF341" s="166" t="inlineStr">
        <is>
          <t>— MISSING —</t>
        </is>
      </c>
      <c r="AG341" s="167"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70" t="inlineStr">
        <is>
          <t>— no certificate —</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051-2-K-26, (04.03.2026) [FHM-K]</t>
        </is>
      </c>
      <c r="L343" s="186" t="inlineStr">
        <is>
          <t>✓</t>
        </is>
      </c>
      <c r="M343" s="187" t="inlineStr">
        <is>
          <t>9.20</t>
        </is>
      </c>
      <c r="N343" s="185" t="inlineStr">
        <is>
          <t>051-2-K-26, (04.03.2026) [FHM-K]</t>
        </is>
      </c>
      <c r="O343" s="186" t="inlineStr">
        <is>
          <t>✓</t>
        </is>
      </c>
      <c r="P343" s="188" t="inlineStr">
        <is>
          <t>&lt; LOQ**</t>
        </is>
      </c>
      <c r="Q343" s="185" t="inlineStr">
        <is>
          <t>051-2-K-26, (04.03.2026) [FHM-K]</t>
        </is>
      </c>
      <c r="R343" s="186" t="inlineStr">
        <is>
          <t>✓</t>
        </is>
      </c>
      <c r="S343" s="188" t="inlineStr">
        <is>
          <t>&lt; LOQ**</t>
        </is>
      </c>
      <c r="T343" s="185" t="inlineStr">
        <is>
          <t>051-2-K-26, (04.03.2026) [FHM-K]</t>
        </is>
      </c>
      <c r="U343" s="186" t="inlineStr">
        <is>
          <t>✓</t>
        </is>
      </c>
      <c r="V343" s="145" t="n"/>
      <c r="W343" s="144" t="n"/>
      <c r="X343" s="146" t="n"/>
      <c r="Y343" s="189" t="inlineStr">
        <is>
          <t>not on this certificate</t>
        </is>
      </c>
      <c r="Z343" s="190" t="inlineStr">
        <is>
          <t>051-2-K-26,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227-5-K-26, (11.09.2026) [FHM-K]</t>
        </is>
      </c>
      <c r="L345" s="149" t="inlineStr">
        <is>
          <t>✓</t>
        </is>
      </c>
      <c r="M345" s="150" t="inlineStr">
        <is>
          <t>11.27</t>
        </is>
      </c>
      <c r="N345" s="148" t="inlineStr">
        <is>
          <t>227-5-K-26, (11.09.2026) [FHM-K]</t>
        </is>
      </c>
      <c r="O345" s="149" t="inlineStr">
        <is>
          <t>✓</t>
        </is>
      </c>
      <c r="P345" s="151" t="inlineStr">
        <is>
          <t>&lt; LOQ</t>
        </is>
      </c>
      <c r="Q345" s="148" t="inlineStr">
        <is>
          <t>227-5-K-26, (11.09.2026) [FHM-K]</t>
        </is>
      </c>
      <c r="R345" s="149" t="inlineStr">
        <is>
          <t>✓</t>
        </is>
      </c>
      <c r="S345" s="151" t="inlineStr">
        <is>
          <t>&lt; LOQ</t>
        </is>
      </c>
      <c r="T345" s="148" t="inlineStr">
        <is>
          <t>227-5-K-26,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BSS1024_01/2</t>
        </is>
      </c>
      <c r="B347" s="126" t="inlineStr">
        <is>
          <t>P050142</t>
        </is>
      </c>
      <c r="C347" s="171" t="inlineStr">
        <is>
          <t>✗ 4 NO RESULT
(4 no cert / 0 cert w/o result)</t>
        </is>
      </c>
      <c r="D347" s="172" t="inlineStr">
        <is>
          <t>Conforms</t>
        </is>
      </c>
      <c r="E347" s="173">
        <f>IFERROR(INDEX('iCoA Register'!$B:$B,MATCH("P050142|I",'iCoA Register'!$AA:$AA,0)),"iCoA — at issue")&amp;", (30.09.2025) [PP]"</f>
        <v/>
      </c>
      <c r="F347" s="174" t="inlineStr">
        <is>
          <t>✓</t>
        </is>
      </c>
      <c r="G347" s="172" t="inlineStr">
        <is>
          <t>Conforms</t>
        </is>
      </c>
      <c r="H347" s="173">
        <f>IFERROR(INDEX('iCoA Register'!$B:$B,MATCH("P050142|I",'iCoA Register'!$AA:$AA,0)),"iCoA — at issue")&amp;", (30.09.2025) [PP]"</f>
        <v/>
      </c>
      <c r="I347" s="174" t="inlineStr">
        <is>
          <t>✓</t>
        </is>
      </c>
      <c r="J347" s="172" t="inlineStr">
        <is>
          <t>Conforms (ImB spec.)</t>
        </is>
      </c>
      <c r="K347" s="173" t="inlineStr">
        <is>
          <t>227-1-K-26, (11.09.2026) [FHM-K]</t>
        </is>
      </c>
      <c r="L347" s="174" t="inlineStr">
        <is>
          <t>✓</t>
        </is>
      </c>
      <c r="M347" s="175" t="inlineStr">
        <is>
          <t>26.69</t>
        </is>
      </c>
      <c r="N347" s="173" t="inlineStr">
        <is>
          <t>227-1-K-26, (11.09.2026) [FHM-K]</t>
        </is>
      </c>
      <c r="O347" s="174" t="inlineStr">
        <is>
          <t>✓</t>
        </is>
      </c>
      <c r="P347" s="176" t="inlineStr">
        <is>
          <t>&lt; LOQ</t>
        </is>
      </c>
      <c r="Q347" s="173" t="inlineStr">
        <is>
          <t>227-1-K-26, (11.09.2026) [FHM-K]</t>
        </is>
      </c>
      <c r="R347" s="174" t="inlineStr">
        <is>
          <t>✓</t>
        </is>
      </c>
      <c r="S347" s="176" t="inlineStr">
        <is>
          <t>&lt; LOQ</t>
        </is>
      </c>
      <c r="T347" s="173" t="inlineStr">
        <is>
          <t>227-1-K-26, (11.09.2026) [FHM-K]</t>
        </is>
      </c>
      <c r="U347" s="174" t="inlineStr">
        <is>
          <t>✓</t>
        </is>
      </c>
      <c r="V347" s="172" t="inlineStr">
        <is>
          <t>Conforms</t>
        </is>
      </c>
      <c r="W347" s="173">
        <f>IFERROR(INDEX('iCoA Register'!$B:$B,MATCH("P050142|I",'iCoA Register'!$AA:$AA,0)),"iCoA — at issue")&amp;", (30.09.2025) [PP]"</f>
        <v/>
      </c>
      <c r="X347" s="174" t="inlineStr">
        <is>
          <t>✓</t>
        </is>
      </c>
      <c r="Y347" s="179" t="inlineStr">
        <is>
          <t>— MISSING —</t>
        </is>
      </c>
      <c r="Z347" s="180" t="inlineStr">
        <is>
          <t>— no certificate —</t>
        </is>
      </c>
      <c r="AA347" s="178" t="inlineStr">
        <is>
          <t>✗</t>
        </is>
      </c>
      <c r="AB347" s="128" t="inlineStr">
        <is>
          <t>&lt; 10</t>
        </is>
      </c>
      <c r="AC347" s="136" t="inlineStr">
        <is>
          <t>&lt; 10</t>
        </is>
      </c>
      <c r="AD347" s="136" t="inlineStr">
        <is>
          <t>&lt; 10</t>
        </is>
      </c>
      <c r="AE347" s="136" t="inlineStr">
        <is>
          <t>Absent</t>
        </is>
      </c>
      <c r="AF347" s="136" t="inlineStr">
        <is>
          <t>Absent</t>
        </is>
      </c>
      <c r="AG347" s="174" t="inlineStr">
        <is>
          <t>✓</t>
        </is>
      </c>
      <c r="AH347" s="165" t="inlineStr">
        <is>
          <t>— MISSING —</t>
        </is>
      </c>
      <c r="AI347" s="166" t="inlineStr">
        <is>
          <t>— MISSING —</t>
        </is>
      </c>
      <c r="AJ347" s="166" t="inlineStr">
        <is>
          <t>— MISSING —</t>
        </is>
      </c>
      <c r="AK347" s="178" t="inlineStr">
        <is>
          <t>✗</t>
        </is>
      </c>
      <c r="AL347" s="165" t="inlineStr">
        <is>
          <t>— MISSING —</t>
        </is>
      </c>
      <c r="AM347" s="166" t="inlineStr">
        <is>
          <t>— MISSING —</t>
        </is>
      </c>
      <c r="AN347" s="166" t="inlineStr">
        <is>
          <t>— MISSING —</t>
        </is>
      </c>
      <c r="AO347" s="166" t="inlineStr">
        <is>
          <t>— MISSING —</t>
        </is>
      </c>
      <c r="AP347" s="178" t="inlineStr">
        <is>
          <t>✗</t>
        </is>
      </c>
      <c r="AQ347" s="179" t="inlineStr">
        <is>
          <t>— MISSING —</t>
        </is>
      </c>
      <c r="AR347" s="180" t="inlineStr">
        <is>
          <t>— no certificate —</t>
        </is>
      </c>
      <c r="AS347" s="181" t="inlineStr">
        <is>
          <t>✗</t>
        </is>
      </c>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2" t="inlineStr">
        <is>
          <t>559-1090-26, (01.09.2026) [IJZ-MB]</t>
        </is>
      </c>
      <c r="AC348" s="159" t="n"/>
      <c r="AD348" s="159" t="n"/>
      <c r="AE348" s="159" t="n"/>
      <c r="AF348" s="159" t="n"/>
      <c r="AG348" s="161" t="n"/>
      <c r="AH348" s="182" t="inlineStr">
        <is>
          <t>— no certificate —</t>
        </is>
      </c>
      <c r="AI348" s="159" t="n"/>
      <c r="AJ348" s="159" t="n"/>
      <c r="AK348" s="161" t="n"/>
      <c r="AL348" s="182" t="inlineStr">
        <is>
          <t>— no certificate —</t>
        </is>
      </c>
      <c r="AM348" s="159" t="n"/>
      <c r="AN348" s="159" t="n"/>
      <c r="AO348" s="159" t="n"/>
      <c r="AP348" s="161" t="n"/>
      <c r="AQ348" s="160" t="n"/>
      <c r="AR348" s="159" t="n"/>
      <c r="AS348" s="163" t="n"/>
    </row>
    <row r="349" ht="21" customHeight="1" s="70">
      <c r="A349" s="125" t="inlineStr">
        <is>
          <t>WED102501</t>
        </is>
      </c>
      <c r="B349" s="126" t="inlineStr">
        <is>
          <t>P060102</t>
        </is>
      </c>
      <c r="C349" s="171" t="inlineStr">
        <is>
          <t>✗ 4 NO RESULT
(4 no cert / 0 cert w/o result)</t>
        </is>
      </c>
      <c r="D349" s="172" t="inlineStr">
        <is>
          <t>Conforms</t>
        </is>
      </c>
      <c r="E349" s="173">
        <f>IFERROR(INDEX('iCoA Register'!$B:$B,MATCH("P060102|I",'iCoA Register'!$AA:$AA,0)),"iCoA — at issue")&amp;", (16.02.2026) [PP]"</f>
        <v/>
      </c>
      <c r="F349" s="174" t="inlineStr">
        <is>
          <t>✓</t>
        </is>
      </c>
      <c r="G349" s="172" t="inlineStr">
        <is>
          <t>Conforms</t>
        </is>
      </c>
      <c r="H349" s="173">
        <f>IFERROR(INDEX('iCoA Register'!$B:$B,MATCH("P060102|I",'iCoA Register'!$AA:$AA,0)),"iCoA — at issue")&amp;", (16.02.2026) [PP]"</f>
        <v/>
      </c>
      <c r="I349" s="174" t="inlineStr">
        <is>
          <t>✓</t>
        </is>
      </c>
      <c r="J349" s="172" t="inlineStr">
        <is>
          <t>Conforms (ImB spec.)</t>
        </is>
      </c>
      <c r="K349" s="173" t="inlineStr">
        <is>
          <t>227-4-K-26, (11.09.2026) [FHM-K]</t>
        </is>
      </c>
      <c r="L349" s="174" t="inlineStr">
        <is>
          <t>✓</t>
        </is>
      </c>
      <c r="M349" s="175" t="inlineStr">
        <is>
          <t>25.15</t>
        </is>
      </c>
      <c r="N349" s="173" t="inlineStr">
        <is>
          <t>227-4-K-26, (11.09.2026) [FHM-K]</t>
        </is>
      </c>
      <c r="O349" s="174" t="inlineStr">
        <is>
          <t>✓</t>
        </is>
      </c>
      <c r="P349" s="176" t="inlineStr">
        <is>
          <t>&lt; LOQ</t>
        </is>
      </c>
      <c r="Q349" s="173" t="inlineStr">
        <is>
          <t>227-4-K-26, (11.09.2026) [FHM-K]</t>
        </is>
      </c>
      <c r="R349" s="174" t="inlineStr">
        <is>
          <t>✓</t>
        </is>
      </c>
      <c r="S349" s="176" t="inlineStr">
        <is>
          <t>&lt; LOQ</t>
        </is>
      </c>
      <c r="T349" s="173" t="inlineStr">
        <is>
          <t>227-4-K-26, (11.09.2026) [FHM-K]</t>
        </is>
      </c>
      <c r="U349" s="174" t="inlineStr">
        <is>
          <t>✓</t>
        </is>
      </c>
      <c r="V349" s="172" t="inlineStr">
        <is>
          <t>Conforms</t>
        </is>
      </c>
      <c r="W349" s="173">
        <f>IFERROR(INDEX('iCoA Register'!$B:$B,MATCH("P060102|I",'iCoA Register'!$AA:$AA,0)),"iCoA — at issue")&amp;", (16.02.2026) [PP]"</f>
        <v/>
      </c>
      <c r="X349" s="174" t="inlineStr">
        <is>
          <t>✓</t>
        </is>
      </c>
      <c r="Y349" s="179" t="inlineStr">
        <is>
          <t>— MISSING —</t>
        </is>
      </c>
      <c r="Z349" s="180" t="inlineStr">
        <is>
          <t>— no certificate —</t>
        </is>
      </c>
      <c r="AA349" s="178" t="inlineStr">
        <is>
          <t>✗</t>
        </is>
      </c>
      <c r="AB349" s="128" t="inlineStr">
        <is>
          <t>&lt; 10</t>
        </is>
      </c>
      <c r="AC349" s="136" t="inlineStr">
        <is>
          <t>&lt; 10</t>
        </is>
      </c>
      <c r="AD349" s="136" t="inlineStr">
        <is>
          <t>&lt; 10</t>
        </is>
      </c>
      <c r="AE349" s="136" t="inlineStr">
        <is>
          <t>Absent</t>
        </is>
      </c>
      <c r="AF349" s="136" t="inlineStr">
        <is>
          <t>Absent</t>
        </is>
      </c>
      <c r="AG349" s="174" t="inlineStr">
        <is>
          <t>✓</t>
        </is>
      </c>
      <c r="AH349" s="165" t="inlineStr">
        <is>
          <t>— MISSING —</t>
        </is>
      </c>
      <c r="AI349" s="166" t="inlineStr">
        <is>
          <t>— MISSING —</t>
        </is>
      </c>
      <c r="AJ349" s="166" t="inlineStr">
        <is>
          <t>— MISSING —</t>
        </is>
      </c>
      <c r="AK349" s="178" t="inlineStr">
        <is>
          <t>✗</t>
        </is>
      </c>
      <c r="AL349" s="165" t="inlineStr">
        <is>
          <t>— MISSING —</t>
        </is>
      </c>
      <c r="AM349" s="166" t="inlineStr">
        <is>
          <t>— MISSING —</t>
        </is>
      </c>
      <c r="AN349" s="166" t="inlineStr">
        <is>
          <t>— MISSING —</t>
        </is>
      </c>
      <c r="AO349" s="166" t="inlineStr">
        <is>
          <t>— MISSING —</t>
        </is>
      </c>
      <c r="AP349" s="178" t="inlineStr">
        <is>
          <t>✗</t>
        </is>
      </c>
      <c r="AQ349" s="179" t="inlineStr">
        <is>
          <t>— MISSING —</t>
        </is>
      </c>
      <c r="AR349" s="180" t="inlineStr">
        <is>
          <t>— no certificate —</t>
        </is>
      </c>
      <c r="AS349" s="181" t="inlineStr">
        <is>
          <t>✗</t>
        </is>
      </c>
    </row>
    <row r="350" ht="13" customHeight="1" s="70">
      <c r="A350" s="158" t="n"/>
      <c r="B350" s="159" t="n"/>
      <c r="C350" s="159" t="n"/>
      <c r="D350" s="160" t="n"/>
      <c r="E350" s="159" t="n"/>
      <c r="F350" s="161" t="n"/>
      <c r="G350" s="160" t="n"/>
      <c r="H350" s="159" t="n"/>
      <c r="I350" s="161" t="n"/>
      <c r="J350" s="160" t="n"/>
      <c r="K350" s="159" t="n"/>
      <c r="L350" s="161" t="n"/>
      <c r="M350" s="160" t="n"/>
      <c r="N350" s="159" t="n"/>
      <c r="O350" s="161" t="n"/>
      <c r="P350" s="160" t="n"/>
      <c r="Q350" s="159" t="n"/>
      <c r="R350" s="161" t="n"/>
      <c r="S350" s="160" t="n"/>
      <c r="T350" s="159" t="n"/>
      <c r="U350" s="161" t="n"/>
      <c r="V350" s="160" t="n"/>
      <c r="W350" s="159" t="n"/>
      <c r="X350" s="161" t="n"/>
      <c r="Y350" s="160" t="n"/>
      <c r="Z350" s="159" t="n"/>
      <c r="AA350" s="161" t="n"/>
      <c r="AB350" s="162" t="inlineStr">
        <is>
          <t>551-1082-26, (01.09.2026) [IJZ-MB]</t>
        </is>
      </c>
      <c r="AC350" s="159" t="n"/>
      <c r="AD350" s="159" t="n"/>
      <c r="AE350" s="159" t="n"/>
      <c r="AF350" s="159" t="n"/>
      <c r="AG350" s="161" t="n"/>
      <c r="AH350" s="182" t="inlineStr">
        <is>
          <t>— no certificate —</t>
        </is>
      </c>
      <c r="AI350" s="159" t="n"/>
      <c r="AJ350" s="159" t="n"/>
      <c r="AK350" s="161" t="n"/>
      <c r="AL350" s="182" t="inlineStr">
        <is>
          <t>— no certificate —</t>
        </is>
      </c>
      <c r="AM350" s="159" t="n"/>
      <c r="AN350" s="159" t="n"/>
      <c r="AO350" s="159" t="n"/>
      <c r="AP350" s="161" t="n"/>
      <c r="AQ350" s="160" t="n"/>
      <c r="AR350" s="159" t="n"/>
      <c r="AS350" s="163" t="n"/>
    </row>
    <row r="351" ht="21" customHeight="1" s="70">
      <c r="A351" s="125" t="inlineStr">
        <is>
          <t>SCR012601*</t>
        </is>
      </c>
      <c r="B351" s="126" t="inlineStr">
        <is>
          <t>P060342</t>
        </is>
      </c>
      <c r="C351" s="171" t="inlineStr">
        <is>
          <t>✗ 4 NO RESULT
(4 no cert / 0 cert w/o result)</t>
        </is>
      </c>
      <c r="D351" s="172" t="inlineStr">
        <is>
          <t>Conforms</t>
        </is>
      </c>
      <c r="E351" s="173">
        <f>IFERROR(INDEX('iCoA Register'!$B:$B,MATCH("P060342|I",'iCoA Register'!$AA:$AA,0)),"iCoA — at issue")&amp;", (25.05.2026) [PP]"</f>
        <v/>
      </c>
      <c r="F351" s="174" t="inlineStr">
        <is>
          <t>✓</t>
        </is>
      </c>
      <c r="G351" s="172" t="inlineStr">
        <is>
          <t>Conforms</t>
        </is>
      </c>
      <c r="H351" s="173">
        <f>IFERROR(INDEX('iCoA Register'!$B:$B,MATCH("P060342|I",'iCoA Register'!$AA:$AA,0)),"iCoA — at issue")&amp;", (25.05.2026) [PP]"</f>
        <v/>
      </c>
      <c r="I351" s="174" t="inlineStr">
        <is>
          <t>✓</t>
        </is>
      </c>
      <c r="J351" s="172" t="inlineStr">
        <is>
          <t>Conforms (ImB spec.)</t>
        </is>
      </c>
      <c r="K351" s="173" t="inlineStr">
        <is>
          <t>227-8-K-26, (11.09.2026) [FHM-K]</t>
        </is>
      </c>
      <c r="L351" s="174" t="inlineStr">
        <is>
          <t>✓</t>
        </is>
      </c>
      <c r="M351" s="175" t="inlineStr">
        <is>
          <t>22.40</t>
        </is>
      </c>
      <c r="N351" s="173" t="inlineStr">
        <is>
          <t>227-8-K-26, (11.09.2026) [FHM-K]</t>
        </is>
      </c>
      <c r="O351" s="174" t="inlineStr">
        <is>
          <t>✓</t>
        </is>
      </c>
      <c r="P351" s="176" t="inlineStr">
        <is>
          <t>&lt; LOQ</t>
        </is>
      </c>
      <c r="Q351" s="173" t="inlineStr">
        <is>
          <t>227-8-K-26, (11.09.2026) [FHM-K]</t>
        </is>
      </c>
      <c r="R351" s="174" t="inlineStr">
        <is>
          <t>✓</t>
        </is>
      </c>
      <c r="S351" s="176" t="inlineStr">
        <is>
          <t>&lt; LOQ</t>
        </is>
      </c>
      <c r="T351" s="173" t="inlineStr">
        <is>
          <t>227-8-K-26, (11.09.2026) [FHM-K]</t>
        </is>
      </c>
      <c r="U351" s="174" t="inlineStr">
        <is>
          <t>✓</t>
        </is>
      </c>
      <c r="V351" s="172" t="inlineStr">
        <is>
          <t>Conforms</t>
        </is>
      </c>
      <c r="W351" s="173">
        <f>IFERROR(INDEX('iCoA Register'!$B:$B,MATCH("P060342|I",'iCoA Register'!$AA:$AA,0)),"iCoA — at issue")&amp;", (25.05.2026) [PP]"</f>
        <v/>
      </c>
      <c r="X351" s="174" t="inlineStr">
        <is>
          <t>✓</t>
        </is>
      </c>
      <c r="Y351" s="179" t="inlineStr">
        <is>
          <t>— MISSING —</t>
        </is>
      </c>
      <c r="Z351" s="180" t="inlineStr">
        <is>
          <t>— no certificate —</t>
        </is>
      </c>
      <c r="AA351" s="178" t="inlineStr">
        <is>
          <t>✗</t>
        </is>
      </c>
      <c r="AB351" s="128" t="inlineStr">
        <is>
          <t>8.3 × 10³</t>
        </is>
      </c>
      <c r="AC351" s="136" t="inlineStr">
        <is>
          <t>5.3 × 10³</t>
        </is>
      </c>
      <c r="AD351" s="136" t="inlineStr">
        <is>
          <t>&lt; 10</t>
        </is>
      </c>
      <c r="AE351" s="136" t="inlineStr">
        <is>
          <t>Absent</t>
        </is>
      </c>
      <c r="AF351" s="136" t="inlineStr">
        <is>
          <t>Absent</t>
        </is>
      </c>
      <c r="AG351" s="174" t="inlineStr">
        <is>
          <t>✓</t>
        </is>
      </c>
      <c r="AH351" s="165" t="inlineStr">
        <is>
          <t>— MISSING —</t>
        </is>
      </c>
      <c r="AI351" s="166" t="inlineStr">
        <is>
          <t>— MISSING —</t>
        </is>
      </c>
      <c r="AJ351" s="166" t="inlineStr">
        <is>
          <t>— MISSING —</t>
        </is>
      </c>
      <c r="AK351" s="178" t="inlineStr">
        <is>
          <t>✗</t>
        </is>
      </c>
      <c r="AL351" s="165" t="inlineStr">
        <is>
          <t>— MISSING —</t>
        </is>
      </c>
      <c r="AM351" s="166" t="inlineStr">
        <is>
          <t>— MISSING —</t>
        </is>
      </c>
      <c r="AN351" s="166" t="inlineStr">
        <is>
          <t>— MISSING —</t>
        </is>
      </c>
      <c r="AO351" s="166" t="inlineStr">
        <is>
          <t>— MISSING —</t>
        </is>
      </c>
      <c r="AP351" s="178" t="inlineStr">
        <is>
          <t>✗</t>
        </is>
      </c>
      <c r="AQ351" s="179" t="inlineStr">
        <is>
          <t>— MISSING —</t>
        </is>
      </c>
      <c r="AR351" s="180" t="inlineStr">
        <is>
          <t>— no certificate —</t>
        </is>
      </c>
      <c r="AS351" s="181" t="inlineStr">
        <is>
          <t>✗</t>
        </is>
      </c>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2" t="inlineStr">
        <is>
          <t>539-1070-26, (31.08.2026) [IJZ-MB]</t>
        </is>
      </c>
      <c r="AC352" s="159" t="n"/>
      <c r="AD352" s="159" t="n"/>
      <c r="AE352" s="159" t="n"/>
      <c r="AF352" s="159" t="n"/>
      <c r="AG352" s="161" t="n"/>
      <c r="AH352" s="182" t="inlineStr">
        <is>
          <t>— no certificate —</t>
        </is>
      </c>
      <c r="AI352" s="159" t="n"/>
      <c r="AJ352" s="159" t="n"/>
      <c r="AK352" s="161" t="n"/>
      <c r="AL352" s="182" t="inlineStr">
        <is>
          <t>— no certificate —</t>
        </is>
      </c>
      <c r="AM352" s="159" t="n"/>
      <c r="AN352" s="159" t="n"/>
      <c r="AO352" s="159" t="n"/>
      <c r="AP352" s="161" t="n"/>
      <c r="AQ352" s="160" t="n"/>
      <c r="AR352" s="159" t="n"/>
      <c r="AS352" s="163" t="n"/>
    </row>
    <row r="353" ht="21" customHeight="1" s="70">
      <c r="A353" s="125" t="inlineStr">
        <is>
          <t>ACC102501</t>
        </is>
      </c>
      <c r="B353" s="126" t="inlineStr">
        <is>
          <t>P060122</t>
        </is>
      </c>
      <c r="C353" s="171" t="inlineStr">
        <is>
          <t>✗ 8 NO RESULT
(8 no cert / 0 cert w/o result)</t>
        </is>
      </c>
      <c r="D353" s="172" t="inlineStr">
        <is>
          <t>Conforms</t>
        </is>
      </c>
      <c r="E353" s="173">
        <f>IFERROR(INDEX('iCoA Register'!$B:$B,MATCH("P060122|I",'iCoA Register'!$AA:$AA,0)),"iCoA — at issue")&amp;", (18.02.2026) [PP]"</f>
        <v/>
      </c>
      <c r="F353" s="174" t="inlineStr">
        <is>
          <t>✓</t>
        </is>
      </c>
      <c r="G353" s="172" t="inlineStr">
        <is>
          <t>Conforms</t>
        </is>
      </c>
      <c r="H353" s="173">
        <f>IFERROR(INDEX('iCoA Register'!$B:$B,MATCH("P060122|I",'iCoA Register'!$AA:$AA,0)),"iCoA — at issue")&amp;", (18.02.2026) [PP]"</f>
        <v/>
      </c>
      <c r="I353" s="174" t="inlineStr">
        <is>
          <t>✓</t>
        </is>
      </c>
      <c r="J353" s="179" t="inlineStr">
        <is>
          <t>— MISSING —</t>
        </is>
      </c>
      <c r="K353" s="180" t="inlineStr">
        <is>
          <t>— no certificate —</t>
        </is>
      </c>
      <c r="L353" s="178" t="inlineStr">
        <is>
          <t>✗</t>
        </is>
      </c>
      <c r="M353" s="179" t="inlineStr">
        <is>
          <t>— MISSING —</t>
        </is>
      </c>
      <c r="N353" s="180" t="inlineStr">
        <is>
          <t>— no certificate —</t>
        </is>
      </c>
      <c r="O353" s="178" t="inlineStr">
        <is>
          <t>✗</t>
        </is>
      </c>
      <c r="P353" s="179" t="inlineStr">
        <is>
          <t>— MISSING —</t>
        </is>
      </c>
      <c r="Q353" s="180" t="inlineStr">
        <is>
          <t>— no certificate —</t>
        </is>
      </c>
      <c r="R353" s="178" t="inlineStr">
        <is>
          <t>✗</t>
        </is>
      </c>
      <c r="S353" s="179" t="inlineStr">
        <is>
          <t>— MISSING —</t>
        </is>
      </c>
      <c r="T353" s="180" t="inlineStr">
        <is>
          <t>— no certificate —</t>
        </is>
      </c>
      <c r="U353" s="178" t="inlineStr">
        <is>
          <t>✗</t>
        </is>
      </c>
      <c r="V353" s="172" t="inlineStr">
        <is>
          <t>Conforms</t>
        </is>
      </c>
      <c r="W353" s="173">
        <f>IFERROR(INDEX('iCoA Register'!$B:$B,MATCH("P060122|I",'iCoA Register'!$AA:$AA,0)),"iCoA — at issue")&amp;", (18.02.2026) [PP]"</f>
        <v/>
      </c>
      <c r="X353" s="174" t="inlineStr">
        <is>
          <t>✓</t>
        </is>
      </c>
      <c r="Y353" s="179" t="inlineStr">
        <is>
          <t>— MISSING —</t>
        </is>
      </c>
      <c r="Z353" s="180" t="inlineStr">
        <is>
          <t>— no certificate —</t>
        </is>
      </c>
      <c r="AA353" s="178" t="inlineStr">
        <is>
          <t>✗</t>
        </is>
      </c>
      <c r="AB353" s="165" t="inlineStr">
        <is>
          <t>— MISSING —</t>
        </is>
      </c>
      <c r="AC353" s="166" t="inlineStr">
        <is>
          <t>— MISSING —</t>
        </is>
      </c>
      <c r="AD353" s="166" t="inlineStr">
        <is>
          <t>— MISSING —</t>
        </is>
      </c>
      <c r="AE353" s="166" t="inlineStr">
        <is>
          <t>— MISSING —</t>
        </is>
      </c>
      <c r="AF353" s="166" t="inlineStr">
        <is>
          <t>— MISSING —</t>
        </is>
      </c>
      <c r="AG353" s="178" t="inlineStr">
        <is>
          <t>✗</t>
        </is>
      </c>
      <c r="AH353" s="128" t="inlineStr">
        <is>
          <t>ND</t>
        </is>
      </c>
      <c r="AI353" s="136" t="inlineStr">
        <is>
          <t>ND</t>
        </is>
      </c>
      <c r="AJ353" s="136" t="inlineStr">
        <is>
          <t>ND</t>
        </is>
      </c>
      <c r="AK353" s="174"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82" t="inlineStr">
        <is>
          <t>— no certificate —</t>
        </is>
      </c>
      <c r="AC354" s="159" t="n"/>
      <c r="AD354" s="159" t="n"/>
      <c r="AE354" s="159" t="n"/>
      <c r="AF354" s="159" t="n"/>
      <c r="AG354" s="161" t="n"/>
      <c r="AH354" s="162" t="inlineStr">
        <is>
          <t>220-1-M-26, (11.09.2026) [FHM-M]</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CF102501</t>
        </is>
      </c>
      <c r="B355" s="126" t="inlineStr">
        <is>
          <t>P060132</t>
        </is>
      </c>
      <c r="C355" s="171" t="inlineStr">
        <is>
          <t>✗ 8 NO RESULT
(8 no cert / 0 cert w/o result)</t>
        </is>
      </c>
      <c r="D355" s="172" t="inlineStr">
        <is>
          <t>Conforms</t>
        </is>
      </c>
      <c r="E355" s="173">
        <f>IFERROR(INDEX('iCoA Register'!$B:$B,MATCH("P060132|I",'iCoA Register'!$AA:$AA,0)),"iCoA — at issue")&amp;", (19.02.2026) [PP]"</f>
        <v/>
      </c>
      <c r="F355" s="174" t="inlineStr">
        <is>
          <t>✓</t>
        </is>
      </c>
      <c r="G355" s="172" t="inlineStr">
        <is>
          <t>Conforms</t>
        </is>
      </c>
      <c r="H355" s="173">
        <f>IFERROR(INDEX('iCoA Register'!$B:$B,MATCH("P060132|I",'iCoA Register'!$AA:$AA,0)),"iCoA — at issue")&amp;", (19.02.2026) [PP]"</f>
        <v/>
      </c>
      <c r="I355" s="174" t="inlineStr">
        <is>
          <t>✓</t>
        </is>
      </c>
      <c r="J355" s="179" t="inlineStr">
        <is>
          <t>— MISSING —</t>
        </is>
      </c>
      <c r="K355" s="180" t="inlineStr">
        <is>
          <t>— no certificate —</t>
        </is>
      </c>
      <c r="L355" s="178" t="inlineStr">
        <is>
          <t>✗</t>
        </is>
      </c>
      <c r="M355" s="179" t="inlineStr">
        <is>
          <t>— MISSING —</t>
        </is>
      </c>
      <c r="N355" s="180" t="inlineStr">
        <is>
          <t>— no certificate —</t>
        </is>
      </c>
      <c r="O355" s="178" t="inlineStr">
        <is>
          <t>✗</t>
        </is>
      </c>
      <c r="P355" s="179" t="inlineStr">
        <is>
          <t>— MISSING —</t>
        </is>
      </c>
      <c r="Q355" s="180" t="inlineStr">
        <is>
          <t>— no certificate —</t>
        </is>
      </c>
      <c r="R355" s="178" t="inlineStr">
        <is>
          <t>✗</t>
        </is>
      </c>
      <c r="S355" s="179" t="inlineStr">
        <is>
          <t>— MISSING —</t>
        </is>
      </c>
      <c r="T355" s="180" t="inlineStr">
        <is>
          <t>— no certificate —</t>
        </is>
      </c>
      <c r="U355" s="178" t="inlineStr">
        <is>
          <t>✗</t>
        </is>
      </c>
      <c r="V355" s="172" t="inlineStr">
        <is>
          <t>Conforms</t>
        </is>
      </c>
      <c r="W355" s="173">
        <f>IFERROR(INDEX('iCoA Register'!$B:$B,MATCH("P060132|I",'iCoA Register'!$AA:$AA,0)),"iCoA — at issue")&amp;", (19.02.2026) [PP]"</f>
        <v/>
      </c>
      <c r="X355" s="174" t="inlineStr">
        <is>
          <t>✓</t>
        </is>
      </c>
      <c r="Y355" s="179" t="inlineStr">
        <is>
          <t>— MISSING —</t>
        </is>
      </c>
      <c r="Z355" s="180" t="inlineStr">
        <is>
          <t>— no certificate —</t>
        </is>
      </c>
      <c r="AA355" s="178" t="inlineStr">
        <is>
          <t>✗</t>
        </is>
      </c>
      <c r="AB355" s="165" t="inlineStr">
        <is>
          <t>— MISSING —</t>
        </is>
      </c>
      <c r="AC355" s="166" t="inlineStr">
        <is>
          <t>— MISSING —</t>
        </is>
      </c>
      <c r="AD355" s="166" t="inlineStr">
        <is>
          <t>— MISSING —</t>
        </is>
      </c>
      <c r="AE355" s="166" t="inlineStr">
        <is>
          <t>— MISSING —</t>
        </is>
      </c>
      <c r="AF355" s="166" t="inlineStr">
        <is>
          <t>— MISSING —</t>
        </is>
      </c>
      <c r="AG355" s="178" t="inlineStr">
        <is>
          <t>✗</t>
        </is>
      </c>
      <c r="AH355" s="128" t="inlineStr">
        <is>
          <t>ND</t>
        </is>
      </c>
      <c r="AI355" s="136" t="inlineStr">
        <is>
          <t>ND</t>
        </is>
      </c>
      <c r="AJ355" s="136" t="inlineStr">
        <is>
          <t>ND</t>
        </is>
      </c>
      <c r="AK355" s="174"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82" t="inlineStr">
        <is>
          <t>— no certificate —</t>
        </is>
      </c>
      <c r="AC356" s="159" t="n"/>
      <c r="AD356" s="159" t="n"/>
      <c r="AE356" s="159" t="n"/>
      <c r="AF356" s="159" t="n"/>
      <c r="AG356" s="161" t="n"/>
      <c r="AH356" s="162" t="inlineStr">
        <is>
          <t>220-6-M-26, (11.09.2026) [FHM-M]</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PUM102501</t>
        </is>
      </c>
      <c r="B357" s="126" t="inlineStr">
        <is>
          <t>P060112</t>
        </is>
      </c>
      <c r="C357" s="171" t="inlineStr">
        <is>
          <t>✗ 8 NO RESULT
(8 no cert / 0 cert w/o result)</t>
        </is>
      </c>
      <c r="D357" s="172" t="inlineStr">
        <is>
          <t>Conforms</t>
        </is>
      </c>
      <c r="E357" s="173">
        <f>IFERROR(INDEX('iCoA Register'!$B:$B,MATCH("P060112|I",'iCoA Register'!$AA:$AA,0)),"iCoA — at issue")&amp;", (17.02.2026) [PP]"</f>
        <v/>
      </c>
      <c r="F357" s="174" t="inlineStr">
        <is>
          <t>✓</t>
        </is>
      </c>
      <c r="G357" s="172" t="inlineStr">
        <is>
          <t>Conforms</t>
        </is>
      </c>
      <c r="H357" s="173">
        <f>IFERROR(INDEX('iCoA Register'!$B:$B,MATCH("P060112|I",'iCoA Register'!$AA:$AA,0)),"iCoA — at issue")&amp;", (17.02.2026) [PP]"</f>
        <v/>
      </c>
      <c r="I357" s="174" t="inlineStr">
        <is>
          <t>✓</t>
        </is>
      </c>
      <c r="J357" s="179" t="inlineStr">
        <is>
          <t>— MISSING —</t>
        </is>
      </c>
      <c r="K357" s="180" t="inlineStr">
        <is>
          <t>— no certificate —</t>
        </is>
      </c>
      <c r="L357" s="178" t="inlineStr">
        <is>
          <t>✗</t>
        </is>
      </c>
      <c r="M357" s="179" t="inlineStr">
        <is>
          <t>— MISSING —</t>
        </is>
      </c>
      <c r="N357" s="180" t="inlineStr">
        <is>
          <t>— no certificate —</t>
        </is>
      </c>
      <c r="O357" s="178" t="inlineStr">
        <is>
          <t>✗</t>
        </is>
      </c>
      <c r="P357" s="179" t="inlineStr">
        <is>
          <t>— MISSING —</t>
        </is>
      </c>
      <c r="Q357" s="180" t="inlineStr">
        <is>
          <t>— no certificate —</t>
        </is>
      </c>
      <c r="R357" s="178" t="inlineStr">
        <is>
          <t>✗</t>
        </is>
      </c>
      <c r="S357" s="179" t="inlineStr">
        <is>
          <t>— MISSING —</t>
        </is>
      </c>
      <c r="T357" s="180" t="inlineStr">
        <is>
          <t>— no certificate —</t>
        </is>
      </c>
      <c r="U357" s="178" t="inlineStr">
        <is>
          <t>✗</t>
        </is>
      </c>
      <c r="V357" s="172" t="inlineStr">
        <is>
          <t>Conforms</t>
        </is>
      </c>
      <c r="W357" s="173">
        <f>IFERROR(INDEX('iCoA Register'!$B:$B,MATCH("P060112|I",'iCoA Register'!$AA:$AA,0)),"iCoA — at issue")&amp;", (17.02.2026) [PP]"</f>
        <v/>
      </c>
      <c r="X357" s="174" t="inlineStr">
        <is>
          <t>✓</t>
        </is>
      </c>
      <c r="Y357" s="179" t="inlineStr">
        <is>
          <t>— MISSING —</t>
        </is>
      </c>
      <c r="Z357" s="180" t="inlineStr">
        <is>
          <t>— no certificate —</t>
        </is>
      </c>
      <c r="AA357" s="178" t="inlineStr">
        <is>
          <t>✗</t>
        </is>
      </c>
      <c r="AB357" s="165" t="inlineStr">
        <is>
          <t>— MISSING —</t>
        </is>
      </c>
      <c r="AC357" s="166" t="inlineStr">
        <is>
          <t>— MISSING —</t>
        </is>
      </c>
      <c r="AD357" s="166" t="inlineStr">
        <is>
          <t>— MISSING —</t>
        </is>
      </c>
      <c r="AE357" s="166" t="inlineStr">
        <is>
          <t>— MISSING —</t>
        </is>
      </c>
      <c r="AF357" s="166" t="inlineStr">
        <is>
          <t>— MISSING —</t>
        </is>
      </c>
      <c r="AG357" s="178" t="inlineStr">
        <is>
          <t>✗</t>
        </is>
      </c>
      <c r="AH357" s="128" t="inlineStr">
        <is>
          <t>ND</t>
        </is>
      </c>
      <c r="AI357" s="136" t="inlineStr">
        <is>
          <t>ND</t>
        </is>
      </c>
      <c r="AJ357" s="136" t="inlineStr">
        <is>
          <t>ND</t>
        </is>
      </c>
      <c r="AK357" s="174"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82" t="inlineStr">
        <is>
          <t>— no certificate —</t>
        </is>
      </c>
      <c r="AC358" s="159" t="n"/>
      <c r="AD358" s="159" t="n"/>
      <c r="AE358" s="159" t="n"/>
      <c r="AF358" s="159" t="n"/>
      <c r="AG358" s="161" t="n"/>
      <c r="AH358" s="162" t="inlineStr">
        <is>
          <t>220-25-M-26, (11.09.2026) [FHM-M]</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CC012603</t>
        </is>
      </c>
      <c r="B359" s="126" t="inlineStr">
        <is>
          <t>P060372</t>
        </is>
      </c>
      <c r="C359" s="171" t="inlineStr">
        <is>
          <t>✗ 8 NO RESULT
(8 no cert / 0 cert w/o result)</t>
        </is>
      </c>
      <c r="D359" s="172" t="inlineStr">
        <is>
          <t>Conforms</t>
        </is>
      </c>
      <c r="E359" s="173">
        <f>IFERROR(INDEX('iCoA Register'!$B:$B,MATCH("P060372|I",'iCoA Register'!$AA:$AA,0)),"iCoA — at issue")&amp;", (24.05.2026) [PP]"</f>
        <v/>
      </c>
      <c r="F359" s="174" t="inlineStr">
        <is>
          <t>✓</t>
        </is>
      </c>
      <c r="G359" s="172" t="inlineStr">
        <is>
          <t>Conforms</t>
        </is>
      </c>
      <c r="H359" s="173">
        <f>IFERROR(INDEX('iCoA Register'!$B:$B,MATCH("P060372|I",'iCoA Register'!$AA:$AA,0)),"iCoA — at issue")&amp;", (24.05.2026) [PP]"</f>
        <v/>
      </c>
      <c r="I359" s="174" t="inlineStr">
        <is>
          <t>✓</t>
        </is>
      </c>
      <c r="J359" s="179" t="inlineStr">
        <is>
          <t>— MISSING —</t>
        </is>
      </c>
      <c r="K359" s="180" t="inlineStr">
        <is>
          <t>— no certificate —</t>
        </is>
      </c>
      <c r="L359" s="178" t="inlineStr">
        <is>
          <t>✗</t>
        </is>
      </c>
      <c r="M359" s="179" t="inlineStr">
        <is>
          <t>— MISSING —</t>
        </is>
      </c>
      <c r="N359" s="180" t="inlineStr">
        <is>
          <t>— no certificate —</t>
        </is>
      </c>
      <c r="O359" s="178" t="inlineStr">
        <is>
          <t>✗</t>
        </is>
      </c>
      <c r="P359" s="179" t="inlineStr">
        <is>
          <t>— MISSING —</t>
        </is>
      </c>
      <c r="Q359" s="180" t="inlineStr">
        <is>
          <t>— no certificate —</t>
        </is>
      </c>
      <c r="R359" s="178" t="inlineStr">
        <is>
          <t>✗</t>
        </is>
      </c>
      <c r="S359" s="179" t="inlineStr">
        <is>
          <t>— MISSING —</t>
        </is>
      </c>
      <c r="T359" s="180" t="inlineStr">
        <is>
          <t>— no certificate —</t>
        </is>
      </c>
      <c r="U359" s="178" t="inlineStr">
        <is>
          <t>✗</t>
        </is>
      </c>
      <c r="V359" s="172" t="inlineStr">
        <is>
          <t>Conforms</t>
        </is>
      </c>
      <c r="W359" s="173">
        <f>IFERROR(INDEX('iCoA Register'!$B:$B,MATCH("P060372|I",'iCoA Register'!$AA:$AA,0)),"iCoA — at issue")&amp;", (24.05.2026)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220-29-M-26,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JD042601</t>
        </is>
      </c>
      <c r="B361" s="126" t="inlineStr">
        <is>
          <t>P060492</t>
        </is>
      </c>
      <c r="C361" s="171" t="inlineStr">
        <is>
          <t>✗ 8 NO RESULT
(8 no cert / 0 cert w/o result)</t>
        </is>
      </c>
      <c r="D361" s="172" t="inlineStr">
        <is>
          <t>Conforms</t>
        </is>
      </c>
      <c r="E361" s="173">
        <f>IFERROR(INDEX('iCoA Register'!$B:$B,MATCH("P060492|I",'iCoA Register'!$AA:$AA,0)),"iCoA — at issue")&amp;", (13.08.2026) [PP]"</f>
        <v/>
      </c>
      <c r="F361" s="174" t="inlineStr">
        <is>
          <t>✓</t>
        </is>
      </c>
      <c r="G361" s="172" t="inlineStr">
        <is>
          <t>Conforms</t>
        </is>
      </c>
      <c r="H361" s="173">
        <f>IFERROR(INDEX('iCoA Register'!$B:$B,MATCH("P060492|I",'iCoA Register'!$AA:$AA,0)),"iCoA — at issue")&amp;", (13.08.2026) [PP]"</f>
        <v/>
      </c>
      <c r="I361" s="174" t="inlineStr">
        <is>
          <t>✓</t>
        </is>
      </c>
      <c r="J361" s="179" t="inlineStr">
        <is>
          <t>— MISSING —</t>
        </is>
      </c>
      <c r="K361" s="180" t="inlineStr">
        <is>
          <t>— no certificate —</t>
        </is>
      </c>
      <c r="L361" s="178" t="inlineStr">
        <is>
          <t>✗</t>
        </is>
      </c>
      <c r="M361" s="179" t="inlineStr">
        <is>
          <t>— MISSING —</t>
        </is>
      </c>
      <c r="N361" s="180" t="inlineStr">
        <is>
          <t>— no certificate —</t>
        </is>
      </c>
      <c r="O361" s="178" t="inlineStr">
        <is>
          <t>✗</t>
        </is>
      </c>
      <c r="P361" s="179" t="inlineStr">
        <is>
          <t>— MISSING —</t>
        </is>
      </c>
      <c r="Q361" s="180" t="inlineStr">
        <is>
          <t>— no certificate —</t>
        </is>
      </c>
      <c r="R361" s="178" t="inlineStr">
        <is>
          <t>✗</t>
        </is>
      </c>
      <c r="S361" s="179" t="inlineStr">
        <is>
          <t>— MISSING —</t>
        </is>
      </c>
      <c r="T361" s="180" t="inlineStr">
        <is>
          <t>— no certificate —</t>
        </is>
      </c>
      <c r="U361" s="178" t="inlineStr">
        <is>
          <t>✗</t>
        </is>
      </c>
      <c r="V361" s="172" t="inlineStr">
        <is>
          <t>Conforms</t>
        </is>
      </c>
      <c r="W361" s="173">
        <f>IFERROR(INDEX('iCoA Register'!$B:$B,MATCH("P060492|I",'iCoA Register'!$AA:$AA,0)),"iCoA — at issue")&amp;", (13.08.2026)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220-30-M-26,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FB042601</t>
        </is>
      </c>
      <c r="B363" s="126" t="inlineStr">
        <is>
          <t>N/A — no P batch assigned</t>
        </is>
      </c>
      <c r="C363" s="171" t="inlineStr">
        <is>
          <t>✗ 8 NO RESULT
(8 no cert / 0 cert w/o result)</t>
        </is>
      </c>
      <c r="D363" s="172" t="inlineStr">
        <is>
          <t>Conforms</t>
        </is>
      </c>
      <c r="E363" s="173">
        <f>IFERROR(INDEX('iCoA Register'!$B:$B,MATCH("FB042601|I",'iCoA Register'!$AA:$AA,0)),"iCoA — at issue")&amp;", (packaging date — to record) [PP]"</f>
        <v/>
      </c>
      <c r="F363" s="174" t="inlineStr">
        <is>
          <t>✓</t>
        </is>
      </c>
      <c r="G363" s="172" t="inlineStr">
        <is>
          <t>Conforms</t>
        </is>
      </c>
      <c r="H363" s="173">
        <f>IFERROR(INDEX('iCoA Register'!$B:$B,MATCH("FB042601|I",'iCoA Register'!$AA:$AA,0)),"iCoA — at issue")&amp;", (packaging date — to record) [PP]"</f>
        <v/>
      </c>
      <c r="I363" s="174" t="inlineStr">
        <is>
          <t>✓</t>
        </is>
      </c>
      <c r="J363" s="179" t="inlineStr">
        <is>
          <t>— MISSING —</t>
        </is>
      </c>
      <c r="K363" s="180" t="inlineStr">
        <is>
          <t>— no certificate —</t>
        </is>
      </c>
      <c r="L363" s="178" t="inlineStr">
        <is>
          <t>✗</t>
        </is>
      </c>
      <c r="M363" s="179" t="inlineStr">
        <is>
          <t>— MISSING —</t>
        </is>
      </c>
      <c r="N363" s="180" t="inlineStr">
        <is>
          <t>— no certificate —</t>
        </is>
      </c>
      <c r="O363" s="178" t="inlineStr">
        <is>
          <t>✗</t>
        </is>
      </c>
      <c r="P363" s="179" t="inlineStr">
        <is>
          <t>— MISSING —</t>
        </is>
      </c>
      <c r="Q363" s="180" t="inlineStr">
        <is>
          <t>— no certificate —</t>
        </is>
      </c>
      <c r="R363" s="178" t="inlineStr">
        <is>
          <t>✗</t>
        </is>
      </c>
      <c r="S363" s="179" t="inlineStr">
        <is>
          <t>— MISSING —</t>
        </is>
      </c>
      <c r="T363" s="180" t="inlineStr">
        <is>
          <t>— no certificate —</t>
        </is>
      </c>
      <c r="U363" s="178" t="inlineStr">
        <is>
          <t>✗</t>
        </is>
      </c>
      <c r="V363" s="172" t="inlineStr">
        <is>
          <t>Conforms</t>
        </is>
      </c>
      <c r="W363" s="173">
        <f>IFERROR(INDEX('iCoA Register'!$B:$B,MATCH("FB042601|I",'iCoA Register'!$AA:$AA,0)),"iCoA — at issue")&amp;", (packaging date — to record)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21"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220-31-M-26,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CC042601</t>
        </is>
      </c>
      <c r="B365" s="126" t="inlineStr">
        <is>
          <t>N/A — no P batch assigned</t>
        </is>
      </c>
      <c r="C365" s="171" t="inlineStr">
        <is>
          <t>✗ 8 NO RESULT
(8 no cert / 0 cert w/o result)</t>
        </is>
      </c>
      <c r="D365" s="172" t="inlineStr">
        <is>
          <t>Conforms</t>
        </is>
      </c>
      <c r="E365" s="173">
        <f>IFERROR(INDEX('iCoA Register'!$B:$B,MATCH("CC042601|I",'iCoA Register'!$AA:$AA,0)),"iCoA — at issue")&amp;", (packaging date — to record) [PP]"</f>
        <v/>
      </c>
      <c r="F365" s="174" t="inlineStr">
        <is>
          <t>✓</t>
        </is>
      </c>
      <c r="G365" s="172" t="inlineStr">
        <is>
          <t>Conforms</t>
        </is>
      </c>
      <c r="H365" s="173">
        <f>IFERROR(INDEX('iCoA Register'!$B:$B,MATCH("CC042601|I",'iCoA Register'!$AA:$AA,0)),"iCoA — at issue")&amp;", (packaging date — to record) [PP]"</f>
        <v/>
      </c>
      <c r="I365" s="174" t="inlineStr">
        <is>
          <t>✓</t>
        </is>
      </c>
      <c r="J365" s="179" t="inlineStr">
        <is>
          <t>— MISSING —</t>
        </is>
      </c>
      <c r="K365" s="180" t="inlineStr">
        <is>
          <t>— no certificate —</t>
        </is>
      </c>
      <c r="L365" s="178" t="inlineStr">
        <is>
          <t>✗</t>
        </is>
      </c>
      <c r="M365" s="179" t="inlineStr">
        <is>
          <t>— MISSING —</t>
        </is>
      </c>
      <c r="N365" s="180" t="inlineStr">
        <is>
          <t>— no certificate —</t>
        </is>
      </c>
      <c r="O365" s="178" t="inlineStr">
        <is>
          <t>✗</t>
        </is>
      </c>
      <c r="P365" s="179" t="inlineStr">
        <is>
          <t>— MISSING —</t>
        </is>
      </c>
      <c r="Q365" s="180" t="inlineStr">
        <is>
          <t>— no certificate —</t>
        </is>
      </c>
      <c r="R365" s="178" t="inlineStr">
        <is>
          <t>✗</t>
        </is>
      </c>
      <c r="S365" s="179" t="inlineStr">
        <is>
          <t>— MISSING —</t>
        </is>
      </c>
      <c r="T365" s="180" t="inlineStr">
        <is>
          <t>— no certificate —</t>
        </is>
      </c>
      <c r="U365" s="178" t="inlineStr">
        <is>
          <t>✗</t>
        </is>
      </c>
      <c r="V365" s="172" t="inlineStr">
        <is>
          <t>Conforms</t>
        </is>
      </c>
      <c r="W365" s="173">
        <f>IFERROR(INDEX('iCoA Register'!$B:$B,MATCH("CC042601|I",'iCoA Register'!$AA:$AA,0)),"iCoA — at issue")&amp;", (packaging date — to record)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21"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220-32-M-26, (11.09.2026) [FHM-M]</t>
        </is>
      </c>
      <c r="AI366" s="159" t="n"/>
      <c r="AJ366" s="159" t="n"/>
      <c r="AK366" s="161" t="n"/>
      <c r="AL366" s="182" t="inlineStr">
        <is>
          <t>— no certificate —</t>
        </is>
      </c>
      <c r="AM366" s="159" t="n"/>
      <c r="AN366" s="159" t="n"/>
      <c r="AO366" s="159" t="n"/>
      <c r="AP366" s="161" t="n"/>
      <c r="AQ366" s="160" t="n"/>
      <c r="AR366" s="159" t="n"/>
      <c r="AS366" s="163" t="n"/>
    </row>
    <row r="368" ht="62" customHeight="1" s="70">
      <c r="A368"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504">
    <mergeCell ref="M167:M168"/>
    <mergeCell ref="AP211:AP212"/>
    <mergeCell ref="M161:M162"/>
    <mergeCell ref="AQ177:AQ178"/>
    <mergeCell ref="K63:K64"/>
    <mergeCell ref="E235:E236"/>
    <mergeCell ref="AR267:AR268"/>
    <mergeCell ref="G297:G298"/>
    <mergeCell ref="AK307:AK308"/>
    <mergeCell ref="Z135:Z136"/>
    <mergeCell ref="J127:J128"/>
    <mergeCell ref="AR303:AR304"/>
    <mergeCell ref="T271:T272"/>
    <mergeCell ref="AB284:AF284"/>
    <mergeCell ref="F173:F174"/>
    <mergeCell ref="Z221:Z222"/>
    <mergeCell ref="M169:M170"/>
    <mergeCell ref="S331:S332"/>
    <mergeCell ref="AG211:AG212"/>
    <mergeCell ref="O225:O226"/>
    <mergeCell ref="G299:G300"/>
    <mergeCell ref="I57:I58"/>
    <mergeCell ref="AL10:AO10"/>
    <mergeCell ref="V215:V216"/>
    <mergeCell ref="I355:I356"/>
    <mergeCell ref="AL308:AO308"/>
    <mergeCell ref="T273:T274"/>
    <mergeCell ref="Z223:Z224"/>
    <mergeCell ref="B303:B306"/>
    <mergeCell ref="O227:O228"/>
    <mergeCell ref="AQ17:AQ18"/>
    <mergeCell ref="L209:L210"/>
    <mergeCell ref="Q143:Q144"/>
    <mergeCell ref="X279:X280"/>
    <mergeCell ref="D283:D284"/>
    <mergeCell ref="I357:I358"/>
    <mergeCell ref="J295:J296"/>
    <mergeCell ref="F13:F14"/>
    <mergeCell ref="R81:R82"/>
    <mergeCell ref="AQ203:AQ204"/>
    <mergeCell ref="AK35:AK36"/>
    <mergeCell ref="S49:S50"/>
    <mergeCell ref="K245:K246"/>
    <mergeCell ref="L211:L212"/>
    <mergeCell ref="AK333:AK334"/>
    <mergeCell ref="AH354:AJ354"/>
    <mergeCell ref="AK155:AK156"/>
    <mergeCell ref="H105:H106"/>
    <mergeCell ref="M179:M180"/>
    <mergeCell ref="A17:A20"/>
    <mergeCell ref="A235:A238"/>
    <mergeCell ref="AH22:AJ22"/>
    <mergeCell ref="U263:U264"/>
    <mergeCell ref="C291:C294"/>
    <mergeCell ref="AQ317:AQ318"/>
    <mergeCell ref="A53:A56"/>
    <mergeCell ref="M337:M338"/>
    <mergeCell ref="C341:C346"/>
    <mergeCell ref="W211:W212"/>
    <mergeCell ref="F313:F314"/>
    <mergeCell ref="AH356:AJ356"/>
    <mergeCell ref="O67:O68"/>
    <mergeCell ref="N275:N276"/>
    <mergeCell ref="M303:M304"/>
    <mergeCell ref="F349:F350"/>
    <mergeCell ref="AP135:AP136"/>
    <mergeCell ref="Y273:Y274"/>
    <mergeCell ref="Z363:Z364"/>
    <mergeCell ref="M1:U1"/>
    <mergeCell ref="Y87:Y88"/>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W235:W236"/>
    <mergeCell ref="AK25:AK26"/>
    <mergeCell ref="AH40:AJ40"/>
    <mergeCell ref="H133:H134"/>
    <mergeCell ref="AK177:AK178"/>
    <mergeCell ref="S191:S192"/>
    <mergeCell ref="Q39:Q40"/>
    <mergeCell ref="AL54:AO54"/>
    <mergeCell ref="X317:X318"/>
    <mergeCell ref="Q215:Q216"/>
    <mergeCell ref="L141:L142"/>
    <mergeCell ref="AQ247:AQ248"/>
    <mergeCell ref="AA57:AA58"/>
    <mergeCell ref="Y299:Y300"/>
    <mergeCell ref="S131:S132"/>
    <mergeCell ref="AP311:AP312"/>
    <mergeCell ref="Z83:Z84"/>
    <mergeCell ref="X319:X320"/>
    <mergeCell ref="S103:S104"/>
    <mergeCell ref="T69:T70"/>
    <mergeCell ref="Q339:Q340"/>
    <mergeCell ref="S97:S98"/>
    <mergeCell ref="U37:U38"/>
    <mergeCell ref="L143:L144"/>
    <mergeCell ref="U159:U160"/>
    <mergeCell ref="I73:I74"/>
    <mergeCell ref="N199:N200"/>
    <mergeCell ref="M233:M234"/>
    <mergeCell ref="U195:U196"/>
    <mergeCell ref="L255:L256"/>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G365:G366"/>
    <mergeCell ref="AB358:AF358"/>
    <mergeCell ref="L167:L168"/>
    <mergeCell ref="D1:L1"/>
    <mergeCell ref="Q57:Q58"/>
    <mergeCell ref="AK105:AK106"/>
    <mergeCell ref="O293:O294"/>
    <mergeCell ref="O299:O300"/>
    <mergeCell ref="S113:S114"/>
    <mergeCell ref="G155:G156"/>
    <mergeCell ref="K187:K188"/>
    <mergeCell ref="Q355:Q356"/>
    <mergeCell ref="F359:F360"/>
    <mergeCell ref="T95:T96"/>
    <mergeCell ref="L169:L170"/>
    <mergeCell ref="AB264:AF264"/>
    <mergeCell ref="AQ275:AQ276"/>
    <mergeCell ref="AS33:AS34"/>
    <mergeCell ref="N225:N226"/>
    <mergeCell ref="AK107:AK108"/>
    <mergeCell ref="S121:S122"/>
    <mergeCell ref="F299:F300"/>
    <mergeCell ref="S115:S116"/>
    <mergeCell ref="Q357:Q358"/>
    <mergeCell ref="S273:S274"/>
    <mergeCell ref="H29:H30"/>
    <mergeCell ref="T97:T98"/>
    <mergeCell ref="AL136:AO136"/>
    <mergeCell ref="G237:G238"/>
    <mergeCell ref="AS35:AS36"/>
    <mergeCell ref="N227:N228"/>
    <mergeCell ref="H363:H364"/>
    <mergeCell ref="U179:U180"/>
    <mergeCell ref="S27:S28"/>
    <mergeCell ref="U337:U338"/>
    <mergeCell ref="AP207:AP208"/>
    <mergeCell ref="K59:K60"/>
    <mergeCell ref="AL94:AO94"/>
    <mergeCell ref="J87:J88"/>
    <mergeCell ref="AR263:AR264"/>
    <mergeCell ref="P291:P292"/>
    <mergeCell ref="R49:R50"/>
    <mergeCell ref="H365:H366"/>
    <mergeCell ref="J123:J124"/>
    <mergeCell ref="AB280:AF280"/>
    <mergeCell ref="E295:E296"/>
    <mergeCell ref="U91:U92"/>
    <mergeCell ref="U339:U340"/>
    <mergeCell ref="R21:R22"/>
    <mergeCell ref="Y159:Y160"/>
    <mergeCell ref="J95:J96"/>
    <mergeCell ref="H331:H332"/>
    <mergeCell ref="J89:J90"/>
    <mergeCell ref="AH288:AJ288"/>
    <mergeCell ref="Q85:Q86"/>
    <mergeCell ref="T113:T114"/>
    <mergeCell ref="B221:B234"/>
    <mergeCell ref="B299:B302"/>
    <mergeCell ref="AK247:AK248"/>
    <mergeCell ref="AH296:AJ296"/>
    <mergeCell ref="AQ13:AQ14"/>
    <mergeCell ref="E315:E316"/>
    <mergeCell ref="L311:L312"/>
    <mergeCell ref="N69:N70"/>
    <mergeCell ref="U205:U206"/>
    <mergeCell ref="B33:B34"/>
    <mergeCell ref="V327:V328"/>
    <mergeCell ref="W151:W152"/>
    <mergeCell ref="R77:R78"/>
    <mergeCell ref="I23:I24"/>
    <mergeCell ref="O7:O8"/>
    <mergeCell ref="D3:E3"/>
    <mergeCell ref="AA129:AA130"/>
    <mergeCell ref="Z35:Z36"/>
    <mergeCell ref="I137:I138"/>
    <mergeCell ref="Y365:Y366"/>
    <mergeCell ref="A13:A16"/>
    <mergeCell ref="P133:P134"/>
    <mergeCell ref="J263:J264"/>
    <mergeCell ref="A43:A46"/>
    <mergeCell ref="AK331:AK332"/>
    <mergeCell ref="AA131:AA132"/>
    <mergeCell ref="AB10:AF10"/>
    <mergeCell ref="A135:A146"/>
    <mergeCell ref="K201:K202"/>
    <mergeCell ref="AB308:AF308"/>
    <mergeCell ref="P135:P136"/>
    <mergeCell ref="U261:U262"/>
    <mergeCell ref="AQ315:AQ316"/>
    <mergeCell ref="R191:R192"/>
    <mergeCell ref="E43:E44"/>
    <mergeCell ref="G105:G106"/>
    <mergeCell ref="V199:V200"/>
    <mergeCell ref="E341:E342"/>
    <mergeCell ref="E347:E348"/>
    <mergeCell ref="O363:O364"/>
    <mergeCell ref="K203:K204"/>
    <mergeCell ref="AG9:AG10"/>
    <mergeCell ref="Y83:Y84"/>
    <mergeCell ref="T255:T256"/>
    <mergeCell ref="R103:R104"/>
    <mergeCell ref="AR13:AR14"/>
    <mergeCell ref="G107:G108"/>
    <mergeCell ref="Z21:Z22"/>
    <mergeCell ref="AL2:AP2"/>
    <mergeCell ref="H73:H74"/>
    <mergeCell ref="I163:I164"/>
    <mergeCell ref="AQ217:AQ218"/>
    <mergeCell ref="W327:W328"/>
    <mergeCell ref="T167:T168"/>
    <mergeCell ref="AQ43:AQ44"/>
    <mergeCell ref="AS105:AS106"/>
    <mergeCell ref="L235:L236"/>
    <mergeCell ref="S231:S232"/>
    <mergeCell ref="I165:I166"/>
    <mergeCell ref="N297:N298"/>
    <mergeCell ref="AQ341:AQ342"/>
    <mergeCell ref="AA271:AA272"/>
    <mergeCell ref="AB150:AF150"/>
    <mergeCell ref="AA53:AA54"/>
    <mergeCell ref="AS107:AS108"/>
    <mergeCell ref="P57:P58"/>
    <mergeCell ref="N299:N300"/>
    <mergeCell ref="H131:H132"/>
    <mergeCell ref="K229:K230"/>
    <mergeCell ref="P355:P356"/>
    <mergeCell ref="W9:W10"/>
    <mergeCell ref="W351:W352"/>
    <mergeCell ref="E359:E360"/>
    <mergeCell ref="AP275:AP276"/>
    <mergeCell ref="AR33:AR34"/>
    <mergeCell ref="R121:R122"/>
    <mergeCell ref="P357:P358"/>
    <mergeCell ref="K283:K284"/>
    <mergeCell ref="W353:W354"/>
    <mergeCell ref="Y111:Y112"/>
    <mergeCell ref="L251:L252"/>
    <mergeCell ref="AL352:AO352"/>
    <mergeCell ref="AR35:AR36"/>
    <mergeCell ref="Z49:Z50"/>
    <mergeCell ref="R123:R124"/>
    <mergeCell ref="V283:V284"/>
    <mergeCell ref="T179:T180"/>
    <mergeCell ref="M347:M348"/>
    <mergeCell ref="L253:L254"/>
    <mergeCell ref="T39:T40"/>
    <mergeCell ref="AQ359:AQ360"/>
    <mergeCell ref="T337:T338"/>
    <mergeCell ref="W221:W222"/>
    <mergeCell ref="AK47:AK48"/>
    <mergeCell ref="B25:B28"/>
    <mergeCell ref="AS275:AS276"/>
    <mergeCell ref="AH362:AJ362"/>
    <mergeCell ref="AB18:AF18"/>
    <mergeCell ref="Z105:Z106"/>
    <mergeCell ref="G145:G146"/>
    <mergeCell ref="N141:N142"/>
    <mergeCell ref="D295:D296"/>
    <mergeCell ref="T303:T304"/>
    <mergeCell ref="T339:T340"/>
    <mergeCell ref="Q21:Q22"/>
    <mergeCell ref="X159:X160"/>
    <mergeCell ref="AS29:AS30"/>
    <mergeCell ref="I95:I96"/>
    <mergeCell ref="G331:G332"/>
    <mergeCell ref="AA195:AA196"/>
    <mergeCell ref="I209:I210"/>
    <mergeCell ref="N143:N144"/>
    <mergeCell ref="X125:X126"/>
    <mergeCell ref="T93:T94"/>
    <mergeCell ref="P199:P200"/>
    <mergeCell ref="D163:D164"/>
    <mergeCell ref="I97:I98"/>
    <mergeCell ref="T207:T208"/>
    <mergeCell ref="D321:D322"/>
    <mergeCell ref="AK63:AK64"/>
    <mergeCell ref="K311:K312"/>
    <mergeCell ref="C347:C348"/>
    <mergeCell ref="AP295:AP296"/>
    <mergeCell ref="R263:R264"/>
    <mergeCell ref="T21:T22"/>
    <mergeCell ref="V151:V152"/>
    <mergeCell ref="AS331:AS332"/>
    <mergeCell ref="D323:D324"/>
    <mergeCell ref="M217:M218"/>
    <mergeCell ref="E291:E292"/>
    <mergeCell ref="G49:G50"/>
    <mergeCell ref="AK187:AK188"/>
    <mergeCell ref="O133:O134"/>
    <mergeCell ref="W93:W94"/>
    <mergeCell ref="Y155:Y156"/>
    <mergeCell ref="G207:G208"/>
    <mergeCell ref="U335:U336"/>
    <mergeCell ref="X215:X216"/>
    <mergeCell ref="S141:S142"/>
    <mergeCell ref="AL216:AO216"/>
    <mergeCell ref="P71:P72"/>
    <mergeCell ref="H145:H146"/>
    <mergeCell ref="AK189:AK190"/>
    <mergeCell ref="AA99:AA100"/>
    <mergeCell ref="H139:H140"/>
    <mergeCell ref="J201:J202"/>
    <mergeCell ref="O135:O136"/>
    <mergeCell ref="C331:C334"/>
    <mergeCell ref="T75:T76"/>
    <mergeCell ref="Z103:Z104"/>
    <mergeCell ref="S143:S144"/>
    <mergeCell ref="S139:S140"/>
    <mergeCell ref="AH104:AJ104"/>
    <mergeCell ref="AA223:AA224"/>
    <mergeCell ref="J203:J204"/>
    <mergeCell ref="S255:S256"/>
    <mergeCell ref="K329:K330"/>
    <mergeCell ref="T235:T236"/>
    <mergeCell ref="O39:O40"/>
    <mergeCell ref="AB248:AF248"/>
    <mergeCell ref="P129:P130"/>
    <mergeCell ref="F63:F64"/>
    <mergeCell ref="AH106:AJ106"/>
    <mergeCell ref="N365:N366"/>
    <mergeCell ref="M59:M60"/>
    <mergeCell ref="U361:U362"/>
    <mergeCell ref="K295:K296"/>
    <mergeCell ref="C49:C52"/>
    <mergeCell ref="O5:O6"/>
    <mergeCell ref="S167:S168"/>
    <mergeCell ref="AP43:AP44"/>
    <mergeCell ref="X57:X58"/>
    <mergeCell ref="AR105:AR106"/>
    <mergeCell ref="P131:P132"/>
    <mergeCell ref="Z113:Z114"/>
    <mergeCell ref="R231:R232"/>
    <mergeCell ref="R187:R188"/>
    <mergeCell ref="AP347:AP348"/>
    <mergeCell ref="X355:X356"/>
    <mergeCell ref="M359:M360"/>
    <mergeCell ref="Z271:Z272"/>
    <mergeCell ref="G191:G192"/>
    <mergeCell ref="F5:F6"/>
    <mergeCell ref="AK117:AK118"/>
    <mergeCell ref="S169:S170"/>
    <mergeCell ref="AR107:AR108"/>
    <mergeCell ref="X357:X358"/>
    <mergeCell ref="AR63:AR64"/>
    <mergeCell ref="AB88:AF88"/>
    <mergeCell ref="Z115:Z116"/>
    <mergeCell ref="T251:T252"/>
    <mergeCell ref="V9:V10"/>
    <mergeCell ref="O29:O30"/>
    <mergeCell ref="G103:G104"/>
    <mergeCell ref="F311:F312"/>
    <mergeCell ref="AG13:AG14"/>
    <mergeCell ref="O65:O66"/>
    <mergeCell ref="U227:U228"/>
    <mergeCell ref="AH132:AJ132"/>
    <mergeCell ref="AB90:AF90"/>
    <mergeCell ref="A283:A286"/>
    <mergeCell ref="AL148:AO148"/>
    <mergeCell ref="T253:T254"/>
    <mergeCell ref="F125:F126"/>
    <mergeCell ref="O31:O32"/>
    <mergeCell ref="I167:I168"/>
    <mergeCell ref="J133:J134"/>
    <mergeCell ref="I161:I162"/>
    <mergeCell ref="W291:W292"/>
    <mergeCell ref="Y49:Y50"/>
    <mergeCell ref="G63:G64"/>
    <mergeCell ref="Q123:Q124"/>
    <mergeCell ref="P157:P158"/>
    <mergeCell ref="AG307:AG308"/>
    <mergeCell ref="O365:O366"/>
    <mergeCell ref="AQ155:AQ156"/>
    <mergeCell ref="AP359:AP360"/>
    <mergeCell ref="V221:V222"/>
    <mergeCell ref="AS103:AS104"/>
    <mergeCell ref="Q89:Q90"/>
    <mergeCell ref="O331:O332"/>
    <mergeCell ref="K225:K226"/>
    <mergeCell ref="L191:L192"/>
    <mergeCell ref="AA113:AA114"/>
    <mergeCell ref="E57:E58"/>
    <mergeCell ref="S187:S188"/>
    <mergeCell ref="U285:U286"/>
    <mergeCell ref="R215:R216"/>
    <mergeCell ref="E355:E356"/>
    <mergeCell ref="AR125:AR126"/>
    <mergeCell ref="C131:C134"/>
    <mergeCell ref="H95:H96"/>
    <mergeCell ref="AK139:AK140"/>
    <mergeCell ref="N79:N80"/>
    <mergeCell ref="K227:K228"/>
    <mergeCell ref="AG33:AG34"/>
    <mergeCell ref="W349:W350"/>
    <mergeCell ref="AK259:AK260"/>
    <mergeCell ref="H209:H210"/>
    <mergeCell ref="E357:E358"/>
    <mergeCell ref="M143:M144"/>
    <mergeCell ref="T279:T280"/>
    <mergeCell ref="AB108:AF108"/>
    <mergeCell ref="H97:H98"/>
    <mergeCell ref="Z45:Z46"/>
    <mergeCell ref="AG41:AG42"/>
    <mergeCell ref="N81:N82"/>
    <mergeCell ref="Z343:Z344"/>
    <mergeCell ref="AG35:AG36"/>
    <mergeCell ref="O49:O50"/>
    <mergeCell ref="AG155:AG156"/>
    <mergeCell ref="AP87:AP88"/>
    <mergeCell ref="AL132:AO132"/>
    <mergeCell ref="I179:I180"/>
    <mergeCell ref="AG193:AG194"/>
    <mergeCell ref="O207:O208"/>
    <mergeCell ref="Q263:Q264"/>
    <mergeCell ref="R87:R88"/>
    <mergeCell ref="AB20:AF20"/>
    <mergeCell ref="Z47:Z48"/>
    <mergeCell ref="J161:J162"/>
    <mergeCell ref="AB14:AF14"/>
    <mergeCell ref="U271:U272"/>
    <mergeCell ref="AQ25:AQ26"/>
    <mergeCell ref="AB318:AF318"/>
    <mergeCell ref="D291:D292"/>
    <mergeCell ref="AH176:AJ176"/>
    <mergeCell ref="R201:R202"/>
    <mergeCell ref="J275:J276"/>
    <mergeCell ref="T335:T336"/>
    <mergeCell ref="X155:X156"/>
    <mergeCell ref="AK313:AK314"/>
    <mergeCell ref="F21:F22"/>
    <mergeCell ref="M15:M16"/>
    <mergeCell ref="AH64:AJ64"/>
    <mergeCell ref="C271:C274"/>
    <mergeCell ref="V363:V364"/>
    <mergeCell ref="F355:F356"/>
    <mergeCell ref="Q19:Q20"/>
    <mergeCell ref="AH30:AJ30"/>
    <mergeCell ref="B147:B150"/>
    <mergeCell ref="AK315:AK316"/>
    <mergeCell ref="U87:U88"/>
    <mergeCell ref="S329:S330"/>
    <mergeCell ref="AP255:AP256"/>
    <mergeCell ref="F181:F182"/>
    <mergeCell ref="H237:H238"/>
    <mergeCell ref="P197:P198"/>
    <mergeCell ref="R259:R260"/>
    <mergeCell ref="AR21:AR22"/>
    <mergeCell ref="S235:S236"/>
    <mergeCell ref="U297:U298"/>
    <mergeCell ref="O129:O130"/>
    <mergeCell ref="AB38:AF38"/>
    <mergeCell ref="AR173:AR174"/>
    <mergeCell ref="L59:L60"/>
    <mergeCell ref="T19:T20"/>
    <mergeCell ref="Z187:Z188"/>
    <mergeCell ref="AL160:AO160"/>
    <mergeCell ref="B49:B52"/>
    <mergeCell ref="AG177:AG178"/>
    <mergeCell ref="AL212:AO212"/>
    <mergeCell ref="H239:H240"/>
    <mergeCell ref="R261:R262"/>
    <mergeCell ref="T317:T318"/>
    <mergeCell ref="B207:B210"/>
    <mergeCell ref="U299:U300"/>
    <mergeCell ref="W57:W58"/>
    <mergeCell ref="J5:J6"/>
    <mergeCell ref="X25:X26"/>
    <mergeCell ref="O131:O132"/>
    <mergeCell ref="AH204:AJ204"/>
    <mergeCell ref="L61:L62"/>
    <mergeCell ref="AB156:AF156"/>
    <mergeCell ref="J303:J304"/>
    <mergeCell ref="L359:L360"/>
    <mergeCell ref="B173:B176"/>
    <mergeCell ref="T319:T320"/>
    <mergeCell ref="P69:P70"/>
    <mergeCell ref="C299:C302"/>
    <mergeCell ref="Y121:Y122"/>
    <mergeCell ref="Q195:Q196"/>
    <mergeCell ref="Y115:Y116"/>
    <mergeCell ref="AH206:AJ206"/>
    <mergeCell ref="W357:W358"/>
    <mergeCell ref="N125:N126"/>
    <mergeCell ref="S251:S252"/>
    <mergeCell ref="H255:H256"/>
    <mergeCell ref="F103:F104"/>
    <mergeCell ref="AK87:AK88"/>
    <mergeCell ref="C33:C34"/>
    <mergeCell ref="AG49:AG50"/>
    <mergeCell ref="Q197:Q198"/>
    <mergeCell ref="S77:S78"/>
    <mergeCell ref="U17:U18"/>
    <mergeCell ref="AA179:AA180"/>
    <mergeCell ref="S253:S254"/>
    <mergeCell ref="L273:L274"/>
    <mergeCell ref="AR191:AR192"/>
    <mergeCell ref="Z243:Z244"/>
    <mergeCell ref="H167:H168"/>
    <mergeCell ref="AK89:AK90"/>
    <mergeCell ref="AK211:AK212"/>
    <mergeCell ref="AG105:AG106"/>
    <mergeCell ref="AS173:AS174"/>
    <mergeCell ref="O113:O114"/>
    <mergeCell ref="U141:U142"/>
    <mergeCell ref="U317:U318"/>
    <mergeCell ref="AL240:AO240"/>
    <mergeCell ref="T345:T346"/>
    <mergeCell ref="AL196:AO196"/>
    <mergeCell ref="P95:P96"/>
    <mergeCell ref="AR103:AR104"/>
    <mergeCell ref="H169:H170"/>
    <mergeCell ref="B191:B194"/>
    <mergeCell ref="J225:J226"/>
    <mergeCell ref="AL354:AO354"/>
    <mergeCell ref="AG107:AG108"/>
    <mergeCell ref="C335:C340"/>
    <mergeCell ref="W199:W200"/>
    <mergeCell ref="O273:O274"/>
    <mergeCell ref="P97:P98"/>
    <mergeCell ref="AH128:AJ128"/>
    <mergeCell ref="V51:V52"/>
    <mergeCell ref="J227:J228"/>
    <mergeCell ref="D363:D364"/>
    <mergeCell ref="F121:F122"/>
    <mergeCell ref="S279:S280"/>
    <mergeCell ref="Y263:Y264"/>
    <mergeCell ref="Q337:Q338"/>
    <mergeCell ref="AR217:AR218"/>
    <mergeCell ref="W287:W288"/>
    <mergeCell ref="Y45:Y46"/>
    <mergeCell ref="G59:G60"/>
    <mergeCell ref="L291:L292"/>
    <mergeCell ref="N49:N50"/>
    <mergeCell ref="D365:D366"/>
    <mergeCell ref="G211:G212"/>
    <mergeCell ref="N207:N208"/>
    <mergeCell ref="Q91:Q92"/>
    <mergeCell ref="U343:U344"/>
    <mergeCell ref="A347:A348"/>
    <mergeCell ref="Y47:Y48"/>
    <mergeCell ref="AA109:AA110"/>
    <mergeCell ref="Z137:Z138"/>
    <mergeCell ref="O145:O146"/>
    <mergeCell ref="AP25:AP26"/>
    <mergeCell ref="N173:N174"/>
    <mergeCell ref="P113:P114"/>
    <mergeCell ref="Z173:Z174"/>
    <mergeCell ref="I275:I276"/>
    <mergeCell ref="H309:H310"/>
    <mergeCell ref="U345:U346"/>
    <mergeCell ref="P271:P272"/>
    <mergeCell ref="R29:R30"/>
    <mergeCell ref="A349:A350"/>
    <mergeCell ref="AA111:AA112"/>
    <mergeCell ref="Z139:Z140"/>
    <mergeCell ref="A315:A316"/>
    <mergeCell ref="H311:H312"/>
    <mergeCell ref="J69:J70"/>
    <mergeCell ref="AB226:AF226"/>
    <mergeCell ref="P273:P274"/>
    <mergeCell ref="R31:R32"/>
    <mergeCell ref="B121:B124"/>
    <mergeCell ref="R329:R330"/>
    <mergeCell ref="N77:N78"/>
    <mergeCell ref="T87:T88"/>
    <mergeCell ref="AB114:AF114"/>
    <mergeCell ref="AQ267:AQ268"/>
    <mergeCell ref="E181:E182"/>
    <mergeCell ref="V35:V36"/>
    <mergeCell ref="AH276:AJ276"/>
    <mergeCell ref="U365:U366"/>
    <mergeCell ref="L133:L134"/>
    <mergeCell ref="AB106:AF106"/>
    <mergeCell ref="Q259:Q260"/>
    <mergeCell ref="AH270:AJ270"/>
    <mergeCell ref="C211:C214"/>
    <mergeCell ref="F263:F264"/>
    <mergeCell ref="R331:R332"/>
    <mergeCell ref="AQ21:AQ22"/>
    <mergeCell ref="G87:G88"/>
    <mergeCell ref="W131:W132"/>
    <mergeCell ref="Y187:Y188"/>
    <mergeCell ref="G201:G202"/>
    <mergeCell ref="G239:G240"/>
    <mergeCell ref="Q261:Q262"/>
    <mergeCell ref="I301:I302"/>
    <mergeCell ref="R85:R86"/>
    <mergeCell ref="N191:N192"/>
    <mergeCell ref="L39:L40"/>
    <mergeCell ref="AP199:AP200"/>
    <mergeCell ref="Z313:Z314"/>
    <mergeCell ref="R199:R200"/>
    <mergeCell ref="B313:B314"/>
    <mergeCell ref="AQ181:AQ182"/>
    <mergeCell ref="AR271:AR272"/>
    <mergeCell ref="AA251:AA252"/>
    <mergeCell ref="K61:K62"/>
    <mergeCell ref="Y279:Y280"/>
    <mergeCell ref="U83:U84"/>
    <mergeCell ref="I303:I304"/>
    <mergeCell ref="AK311:AK312"/>
    <mergeCell ref="P255:P256"/>
    <mergeCell ref="S319:S320"/>
    <mergeCell ref="N103:N104"/>
    <mergeCell ref="K359:K360"/>
    <mergeCell ref="G143:G144"/>
    <mergeCell ref="V65:V66"/>
    <mergeCell ref="S335:S336"/>
    <mergeCell ref="U93:U94"/>
    <mergeCell ref="D73:D74"/>
    <mergeCell ref="E163:E164"/>
    <mergeCell ref="AS239:AS240"/>
    <mergeCell ref="M125:M126"/>
    <mergeCell ref="U85:U86"/>
    <mergeCell ref="E199:E200"/>
    <mergeCell ref="S327:S328"/>
    <mergeCell ref="P167:P168"/>
    <mergeCell ref="I207:I208"/>
    <mergeCell ref="H235:H236"/>
    <mergeCell ref="J297:J298"/>
    <mergeCell ref="AG173:AG174"/>
    <mergeCell ref="Q287:Q288"/>
    <mergeCell ref="C239:C242"/>
    <mergeCell ref="Y205:Y206"/>
    <mergeCell ref="AH200:AJ200"/>
    <mergeCell ref="R225:R226"/>
    <mergeCell ref="J299:J300"/>
    <mergeCell ref="L57:L58"/>
    <mergeCell ref="AB152:AF152"/>
    <mergeCell ref="J293:J294"/>
    <mergeCell ref="AQ163:AQ164"/>
    <mergeCell ref="Y215:Y216"/>
    <mergeCell ref="L355:L356"/>
    <mergeCell ref="S351:S352"/>
    <mergeCell ref="B97:B102"/>
    <mergeCell ref="M39:M40"/>
    <mergeCell ref="AQ321:AQ322"/>
    <mergeCell ref="A359:A360"/>
    <mergeCell ref="AS255:AS256"/>
    <mergeCell ref="AQ103:AQ104"/>
    <mergeCell ref="Y117:Y118"/>
    <mergeCell ref="G169:G170"/>
    <mergeCell ref="A191:A194"/>
    <mergeCell ref="AH202:AJ202"/>
    <mergeCell ref="R227:R228"/>
    <mergeCell ref="N121:N122"/>
    <mergeCell ref="X181:X182"/>
    <mergeCell ref="L357:L358"/>
    <mergeCell ref="AK301:AK302"/>
    <mergeCell ref="U111:U112"/>
    <mergeCell ref="AK295:AK296"/>
    <mergeCell ref="O97:O98"/>
    <mergeCell ref="Q159:Q160"/>
    <mergeCell ref="V49:V50"/>
    <mergeCell ref="I227:I228"/>
    <mergeCell ref="N123:N124"/>
    <mergeCell ref="C255:C258"/>
    <mergeCell ref="P179:P180"/>
    <mergeCell ref="I347:I348"/>
    <mergeCell ref="H253:H254"/>
    <mergeCell ref="P39:P40"/>
    <mergeCell ref="P337:P338"/>
    <mergeCell ref="I235:I236"/>
    <mergeCell ref="AA177:AA178"/>
    <mergeCell ref="K291:K292"/>
    <mergeCell ref="C365:C366"/>
    <mergeCell ref="AA335:AA336"/>
    <mergeCell ref="P91:P92"/>
    <mergeCell ref="P339:P340"/>
    <mergeCell ref="M21:M22"/>
    <mergeCell ref="T159:T160"/>
    <mergeCell ref="M57:M58"/>
    <mergeCell ref="L85:L86"/>
    <mergeCell ref="K293:K294"/>
    <mergeCell ref="M355:M356"/>
    <mergeCell ref="W195:W196"/>
    <mergeCell ref="G309:G310"/>
    <mergeCell ref="AH342:AJ342"/>
    <mergeCell ref="P93:P94"/>
    <mergeCell ref="C283:C286"/>
    <mergeCell ref="E97:E98"/>
    <mergeCell ref="G153:G154"/>
    <mergeCell ref="AG63:AG64"/>
    <mergeCell ref="O115:O116"/>
    <mergeCell ref="Y259:Y260"/>
    <mergeCell ref="AA17:AA18"/>
    <mergeCell ref="P205:P206"/>
    <mergeCell ref="G311:G312"/>
    <mergeCell ref="AG221:AG222"/>
    <mergeCell ref="A121:A124"/>
    <mergeCell ref="R151:R152"/>
    <mergeCell ref="Y147:Y148"/>
    <mergeCell ref="AQ89:AQ90"/>
    <mergeCell ref="AA203:AA204"/>
    <mergeCell ref="AG187:AG188"/>
    <mergeCell ref="AA361:AA362"/>
    <mergeCell ref="K133:K134"/>
    <mergeCell ref="AR215:AR216"/>
    <mergeCell ref="U155:U156"/>
    <mergeCell ref="AA317:AA318"/>
    <mergeCell ref="Q335:Q336"/>
    <mergeCell ref="T215:T216"/>
    <mergeCell ref="O141:O142"/>
    <mergeCell ref="AP21:AP22"/>
    <mergeCell ref="L71:L72"/>
    <mergeCell ref="V131:V132"/>
    <mergeCell ref="U341:U342"/>
    <mergeCell ref="W99:W100"/>
    <mergeCell ref="AK9:AK10"/>
    <mergeCell ref="AS311:AS312"/>
    <mergeCell ref="K135:K136"/>
    <mergeCell ref="M191:M192"/>
    <mergeCell ref="AB198:AF198"/>
    <mergeCell ref="AB356:AF356"/>
    <mergeCell ref="X195:X196"/>
    <mergeCell ref="J363:J364"/>
    <mergeCell ref="R27:R28"/>
    <mergeCell ref="Z251:Z252"/>
    <mergeCell ref="M199:M200"/>
    <mergeCell ref="O255:O256"/>
    <mergeCell ref="AQ263:AQ264"/>
    <mergeCell ref="AL40:AO40"/>
    <mergeCell ref="AR87:AR88"/>
    <mergeCell ref="L129:L130"/>
    <mergeCell ref="J365:J366"/>
    <mergeCell ref="Y287:Y288"/>
    <mergeCell ref="AA45:AA46"/>
    <mergeCell ref="R327:R328"/>
    <mergeCell ref="T85:T86"/>
    <mergeCell ref="AA343:AA344"/>
    <mergeCell ref="AG243:AG244"/>
    <mergeCell ref="O167:O168"/>
    <mergeCell ref="A263:A266"/>
    <mergeCell ref="I297:I298"/>
    <mergeCell ref="N231:N232"/>
    <mergeCell ref="V113:V114"/>
    <mergeCell ref="T355:T356"/>
    <mergeCell ref="N187:N188"/>
    <mergeCell ref="AA351:AA352"/>
    <mergeCell ref="O11:O12"/>
    <mergeCell ref="V271:V272"/>
    <mergeCell ref="B239:B242"/>
    <mergeCell ref="O169:O170"/>
    <mergeCell ref="D173:D174"/>
    <mergeCell ref="I299:I300"/>
    <mergeCell ref="R53:R54"/>
    <mergeCell ref="AP163:AP164"/>
    <mergeCell ref="P251:P252"/>
    <mergeCell ref="R9:R10"/>
    <mergeCell ref="A97:A102"/>
    <mergeCell ref="R351:R352"/>
    <mergeCell ref="Q227:Q228"/>
    <mergeCell ref="AS235:AS236"/>
    <mergeCell ref="K363:K364"/>
    <mergeCell ref="M121:M122"/>
    <mergeCell ref="C125:C130"/>
    <mergeCell ref="E195:E196"/>
    <mergeCell ref="K357:K358"/>
    <mergeCell ref="R11:R12"/>
    <mergeCell ref="R353:R354"/>
    <mergeCell ref="AQ291:AQ292"/>
    <mergeCell ref="V361:V362"/>
    <mergeCell ref="X119:X120"/>
    <mergeCell ref="AK277:AK278"/>
    <mergeCell ref="U49:U50"/>
    <mergeCell ref="K365:K366"/>
    <mergeCell ref="M123:M124"/>
    <mergeCell ref="M245:M246"/>
    <mergeCell ref="O179:O180"/>
    <mergeCell ref="C235:C238"/>
    <mergeCell ref="G253:G254"/>
    <mergeCell ref="Y211:Y212"/>
    <mergeCell ref="A291:A294"/>
    <mergeCell ref="W113:W114"/>
    <mergeCell ref="Q285:Q286"/>
    <mergeCell ref="O187:O188"/>
    <mergeCell ref="Q67:Q68"/>
    <mergeCell ref="I141:I142"/>
    <mergeCell ref="I317:I318"/>
    <mergeCell ref="AB2:AG2"/>
    <mergeCell ref="Q103:Q104"/>
    <mergeCell ref="O339:O340"/>
    <mergeCell ref="J79:J80"/>
    <mergeCell ref="AA275:AA276"/>
    <mergeCell ref="S349:S350"/>
    <mergeCell ref="U107:U108"/>
    <mergeCell ref="Q69:Q70"/>
    <mergeCell ref="S9:S10"/>
    <mergeCell ref="I143:I144"/>
    <mergeCell ref="R37:R38"/>
    <mergeCell ref="O311:O312"/>
    <mergeCell ref="O93:O94"/>
    <mergeCell ref="A195:A198"/>
    <mergeCell ref="B283:B286"/>
    <mergeCell ref="D97:D98"/>
    <mergeCell ref="F159:F160"/>
    <mergeCell ref="G3:H3"/>
    <mergeCell ref="S133:S134"/>
    <mergeCell ref="X259:X260"/>
    <mergeCell ref="K207:K208"/>
    <mergeCell ref="S127:S128"/>
    <mergeCell ref="Q157:Q158"/>
    <mergeCell ref="M263:M264"/>
    <mergeCell ref="N87:N88"/>
    <mergeCell ref="I13:I14"/>
    <mergeCell ref="AP89:AP90"/>
    <mergeCell ref="Q271:Q272"/>
    <mergeCell ref="AH282:AJ282"/>
    <mergeCell ref="M151:M152"/>
    <mergeCell ref="P335:P336"/>
    <mergeCell ref="Y229:Y230"/>
    <mergeCell ref="AG15:AG16"/>
    <mergeCell ref="T155:T156"/>
    <mergeCell ref="U191:U192"/>
    <mergeCell ref="G281:G282"/>
    <mergeCell ref="AG313:AG314"/>
    <mergeCell ref="H25:H26"/>
    <mergeCell ref="AP97:AP98"/>
    <mergeCell ref="AL112:AO112"/>
    <mergeCell ref="T43:T44"/>
    <mergeCell ref="AK321:AK322"/>
    <mergeCell ref="B355:B356"/>
    <mergeCell ref="D113:D114"/>
    <mergeCell ref="J141:J142"/>
    <mergeCell ref="AR311:AR312"/>
    <mergeCell ref="J135:J136"/>
    <mergeCell ref="M19:M20"/>
    <mergeCell ref="T157:T158"/>
    <mergeCell ref="D271:D272"/>
    <mergeCell ref="AS279:AS280"/>
    <mergeCell ref="AB292:AF292"/>
    <mergeCell ref="AG315:AG316"/>
    <mergeCell ref="Z319:Z320"/>
    <mergeCell ref="O329:O330"/>
    <mergeCell ref="AH8:AJ8"/>
    <mergeCell ref="AK323:AK324"/>
    <mergeCell ref="E203:E204"/>
    <mergeCell ref="L199:L200"/>
    <mergeCell ref="AB294:AF294"/>
    <mergeCell ref="N255:N256"/>
    <mergeCell ref="AK137:AK138"/>
    <mergeCell ref="AH10:AJ10"/>
    <mergeCell ref="O235:O236"/>
    <mergeCell ref="Q297:Q298"/>
    <mergeCell ref="AH308:AJ308"/>
    <mergeCell ref="K129:K130"/>
    <mergeCell ref="D239:D240"/>
    <mergeCell ref="X287:X288"/>
    <mergeCell ref="H59:H60"/>
    <mergeCell ref="G267:G268"/>
    <mergeCell ref="F295:F296"/>
    <mergeCell ref="N263:N264"/>
    <mergeCell ref="P21:P22"/>
    <mergeCell ref="P361:P362"/>
    <mergeCell ref="F331:F332"/>
    <mergeCell ref="O357:O358"/>
    <mergeCell ref="Q299:Q300"/>
    <mergeCell ref="S57:S58"/>
    <mergeCell ref="AH310:AJ310"/>
    <mergeCell ref="K131:K132"/>
    <mergeCell ref="T25:T26"/>
    <mergeCell ref="Z53:Z54"/>
    <mergeCell ref="F303:F304"/>
    <mergeCell ref="AK347:AK348"/>
    <mergeCell ref="Z351:Z352"/>
    <mergeCell ref="T183:T184"/>
    <mergeCell ref="H359:H360"/>
    <mergeCell ref="AL34:AO34"/>
    <mergeCell ref="N169:N170"/>
    <mergeCell ref="B29:B32"/>
    <mergeCell ref="AK349:AK350"/>
    <mergeCell ref="U121:U122"/>
    <mergeCell ref="M195:M196"/>
    <mergeCell ref="U115:U116"/>
    <mergeCell ref="AK305:AK306"/>
    <mergeCell ref="Z353:Z354"/>
    <mergeCell ref="J125:J126"/>
    <mergeCell ref="O251:O252"/>
    <mergeCell ref="AR295:AR296"/>
    <mergeCell ref="S357:S358"/>
    <mergeCell ref="AL36:AO36"/>
    <mergeCell ref="A203:A206"/>
    <mergeCell ref="D255:D256"/>
    <mergeCell ref="B103:B104"/>
    <mergeCell ref="P233:P234"/>
    <mergeCell ref="A311:A312"/>
    <mergeCell ref="AR331:AR332"/>
    <mergeCell ref="M197:M198"/>
    <mergeCell ref="AG245:AG246"/>
    <mergeCell ref="Q17:Q18"/>
    <mergeCell ref="AG239:AG240"/>
    <mergeCell ref="Q11:Q12"/>
    <mergeCell ref="O253:O254"/>
    <mergeCell ref="H273:H274"/>
    <mergeCell ref="J31:J32"/>
    <mergeCell ref="V243:V244"/>
    <mergeCell ref="AL336:AO336"/>
    <mergeCell ref="B331:B334"/>
    <mergeCell ref="K157:K158"/>
    <mergeCell ref="AA341:AA342"/>
    <mergeCell ref="AK67:AK68"/>
    <mergeCell ref="Q317:Q318"/>
    <mergeCell ref="S75:S76"/>
    <mergeCell ref="L95:L96"/>
    <mergeCell ref="AR355:AR356"/>
    <mergeCell ref="E135:E136"/>
    <mergeCell ref="S85:S86"/>
    <mergeCell ref="R293:R294"/>
    <mergeCell ref="AS335:AS336"/>
    <mergeCell ref="G351:G352"/>
    <mergeCell ref="Y2:AA2"/>
    <mergeCell ref="Z275:Z276"/>
    <mergeCell ref="R349:R350"/>
    <mergeCell ref="O279:O280"/>
    <mergeCell ref="AL64:AO64"/>
    <mergeCell ref="S287:S288"/>
    <mergeCell ref="AL362:AO362"/>
    <mergeCell ref="P217:P218"/>
    <mergeCell ref="H291:H292"/>
    <mergeCell ref="J49:J50"/>
    <mergeCell ref="X335:X336"/>
    <mergeCell ref="J207:J208"/>
    <mergeCell ref="Q343:Q344"/>
    <mergeCell ref="B259:B262"/>
    <mergeCell ref="AL364:AO364"/>
    <mergeCell ref="U47:U48"/>
    <mergeCell ref="AB252:AF252"/>
    <mergeCell ref="L113:L114"/>
    <mergeCell ref="L151:L152"/>
    <mergeCell ref="V173:V174"/>
    <mergeCell ref="AH110:AJ110"/>
    <mergeCell ref="AB208:AF208"/>
    <mergeCell ref="E275:E276"/>
    <mergeCell ref="L271:L272"/>
    <mergeCell ref="N29:N30"/>
    <mergeCell ref="AB244:AF244"/>
    <mergeCell ref="AQ73:AQ74"/>
    <mergeCell ref="O335:O336"/>
    <mergeCell ref="M89:M90"/>
    <mergeCell ref="B57:B62"/>
    <mergeCell ref="AQ159:AQ160"/>
    <mergeCell ref="Q65:Q66"/>
    <mergeCell ref="AB210:AF210"/>
    <mergeCell ref="X323:X324"/>
    <mergeCell ref="N31:N32"/>
    <mergeCell ref="N329:N330"/>
    <mergeCell ref="P87:P88"/>
    <mergeCell ref="S129:S130"/>
    <mergeCell ref="Q365:Q366"/>
    <mergeCell ref="A357:A358"/>
    <mergeCell ref="X361:X362"/>
    <mergeCell ref="M259:M260"/>
    <mergeCell ref="Y327:Y328"/>
    <mergeCell ref="Z295:Z296"/>
    <mergeCell ref="U221:U222"/>
    <mergeCell ref="N331:N332"/>
    <mergeCell ref="AS347:AS348"/>
    <mergeCell ref="U231:U232"/>
    <mergeCell ref="U187:U188"/>
    <mergeCell ref="M261:M262"/>
    <mergeCell ref="U223:U224"/>
    <mergeCell ref="V313:V314"/>
    <mergeCell ref="P299:P300"/>
    <mergeCell ref="E5:E6"/>
    <mergeCell ref="Y53:Y54"/>
    <mergeCell ref="G67:G68"/>
    <mergeCell ref="AB236:AF236"/>
    <mergeCell ref="Y9:Y10"/>
    <mergeCell ref="W251:W252"/>
    <mergeCell ref="Q83:Q84"/>
    <mergeCell ref="E303:E304"/>
    <mergeCell ref="AG311:AG312"/>
    <mergeCell ref="O319:O320"/>
    <mergeCell ref="Y351:Y352"/>
    <mergeCell ref="G359:G360"/>
    <mergeCell ref="R65:R66"/>
    <mergeCell ref="S155:S156"/>
    <mergeCell ref="T121:T122"/>
    <mergeCell ref="R363:R364"/>
    <mergeCell ref="L195:L196"/>
    <mergeCell ref="Y11:Y12"/>
    <mergeCell ref="I125:I126"/>
    <mergeCell ref="O327:O328"/>
    <mergeCell ref="AQ295:AQ296"/>
    <mergeCell ref="U247:U248"/>
    <mergeCell ref="AH6:AJ6"/>
    <mergeCell ref="Y353:Y354"/>
    <mergeCell ref="AH304:AJ304"/>
    <mergeCell ref="X283:X284"/>
    <mergeCell ref="T123:T124"/>
    <mergeCell ref="AQ5:AQ6"/>
    <mergeCell ref="L197:L198"/>
    <mergeCell ref="P17:P18"/>
    <mergeCell ref="N259:N260"/>
    <mergeCell ref="AA75:AA76"/>
    <mergeCell ref="N253:N254"/>
    <mergeCell ref="AK135:AK136"/>
    <mergeCell ref="M287:M288"/>
    <mergeCell ref="AQ303:AQ304"/>
    <mergeCell ref="F327:F328"/>
    <mergeCell ref="B267:B270"/>
    <mergeCell ref="AH306:AJ306"/>
    <mergeCell ref="AS359:AS360"/>
    <mergeCell ref="H57:H58"/>
    <mergeCell ref="A331:A334"/>
    <mergeCell ref="Z347:Z348"/>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K97:K98"/>
    <mergeCell ref="M159:M160"/>
    <mergeCell ref="AB160:AF160"/>
    <mergeCell ref="AH24:AJ24"/>
    <mergeCell ref="L223:L224"/>
    <mergeCell ref="AH322:AJ322"/>
    <mergeCell ref="L179:L180"/>
    <mergeCell ref="AS87:AS88"/>
    <mergeCell ref="R207:R208"/>
    <mergeCell ref="T263:T264"/>
    <mergeCell ref="P231:P232"/>
    <mergeCell ref="L337:L338"/>
    <mergeCell ref="G291:G292"/>
    <mergeCell ref="I49:I50"/>
    <mergeCell ref="AH324:AJ324"/>
    <mergeCell ref="N287:N288"/>
    <mergeCell ref="P45:P46"/>
    <mergeCell ref="W335:W336"/>
    <mergeCell ref="V29:V30"/>
    <mergeCell ref="AA155:AA156"/>
    <mergeCell ref="V1:AA1"/>
    <mergeCell ref="X303:X304"/>
    <mergeCell ref="P343:P344"/>
    <mergeCell ref="T53:T54"/>
    <mergeCell ref="AR351:AR352"/>
    <mergeCell ref="T47:T48"/>
    <mergeCell ref="T351:T352"/>
    <mergeCell ref="Y285:Y286"/>
    <mergeCell ref="AA43:AA44"/>
    <mergeCell ref="G293:G294"/>
    <mergeCell ref="K113:K114"/>
    <mergeCell ref="AR317:AR318"/>
    <mergeCell ref="D275:D276"/>
    <mergeCell ref="AL58:AO58"/>
    <mergeCell ref="P345:P346"/>
    <mergeCell ref="K271:K272"/>
    <mergeCell ref="AR353:AR354"/>
    <mergeCell ref="V111:V112"/>
    <mergeCell ref="AK33:AK34"/>
    <mergeCell ref="AH48:AJ48"/>
    <mergeCell ref="AS291:AS292"/>
    <mergeCell ref="K115:K116"/>
    <mergeCell ref="K237:K238"/>
    <mergeCell ref="C311:C312"/>
    <mergeCell ref="L205:L206"/>
    <mergeCell ref="K273:K274"/>
    <mergeCell ref="M31:M32"/>
    <mergeCell ref="AL358:AO358"/>
    <mergeCell ref="AB336:AF336"/>
    <mergeCell ref="U147:U148"/>
    <mergeCell ref="W203:W204"/>
    <mergeCell ref="R129:R130"/>
    <mergeCell ref="K239:K240"/>
    <mergeCell ref="O59:O60"/>
    <mergeCell ref="W361:W362"/>
    <mergeCell ref="AQ67:AQ68"/>
    <mergeCell ref="G133:G134"/>
    <mergeCell ref="AL360:AO360"/>
    <mergeCell ref="O95:O96"/>
    <mergeCell ref="M331:M332"/>
    <mergeCell ref="K141:K142"/>
    <mergeCell ref="AL178:AO178"/>
    <mergeCell ref="R131:R132"/>
    <mergeCell ref="AA25:AA26"/>
    <mergeCell ref="Y267:Y268"/>
    <mergeCell ref="S99:S100"/>
    <mergeCell ref="O61:O62"/>
    <mergeCell ref="Q341:Q342"/>
    <mergeCell ref="G135:G136"/>
    <mergeCell ref="AH352:AJ352"/>
    <mergeCell ref="O359:O360"/>
    <mergeCell ref="M85:M86"/>
    <mergeCell ref="I191:I192"/>
    <mergeCell ref="T195:T196"/>
    <mergeCell ref="D5:D6"/>
    <mergeCell ref="F67:F68"/>
    <mergeCell ref="N27:N28"/>
    <mergeCell ref="C159:C162"/>
    <mergeCell ref="V251:V252"/>
    <mergeCell ref="I199:I200"/>
    <mergeCell ref="D303:D304"/>
    <mergeCell ref="K255:K256"/>
    <mergeCell ref="N335:N336"/>
    <mergeCell ref="X17:X18"/>
    <mergeCell ref="H125:H126"/>
    <mergeCell ref="P85:P86"/>
    <mergeCell ref="AS135:AS136"/>
    <mergeCell ref="N327:N328"/>
    <mergeCell ref="K167:K168"/>
    <mergeCell ref="R157:R158"/>
    <mergeCell ref="J231:J232"/>
    <mergeCell ref="AP5:AP6"/>
    <mergeCell ref="AR67:AR68"/>
    <mergeCell ref="AP303:AP304"/>
    <mergeCell ref="Z75:Z76"/>
    <mergeCell ref="R149:R150"/>
    <mergeCell ref="R271:R272"/>
    <mergeCell ref="D21:D22"/>
    <mergeCell ref="T205:T206"/>
    <mergeCell ref="K169:K170"/>
    <mergeCell ref="E299:E300"/>
    <mergeCell ref="AK73:AK74"/>
    <mergeCell ref="T221:T222"/>
    <mergeCell ref="Y347:Y348"/>
    <mergeCell ref="N53:N54"/>
    <mergeCell ref="AQ97:AQ98"/>
    <mergeCell ref="AB50:AF50"/>
    <mergeCell ref="AS159:AS160"/>
    <mergeCell ref="J191:J192"/>
    <mergeCell ref="H39:H40"/>
    <mergeCell ref="N351:N352"/>
    <mergeCell ref="M227:M228"/>
    <mergeCell ref="T223:T224"/>
    <mergeCell ref="I121:I122"/>
    <mergeCell ref="C187:C190"/>
    <mergeCell ref="AL74:AO74"/>
    <mergeCell ref="O143:O144"/>
    <mergeCell ref="AH94:AJ94"/>
    <mergeCell ref="V279:V280"/>
    <mergeCell ref="Y349:Y350"/>
    <mergeCell ref="N353:N354"/>
    <mergeCell ref="G357:G358"/>
    <mergeCell ref="J103:J104"/>
    <mergeCell ref="Q49:Q50"/>
    <mergeCell ref="I123:I124"/>
    <mergeCell ref="U245:U246"/>
    <mergeCell ref="K179:K180"/>
    <mergeCell ref="Q207:Q208"/>
    <mergeCell ref="D347:D348"/>
    <mergeCell ref="S263:S264"/>
    <mergeCell ref="C105:C110"/>
    <mergeCell ref="A341:A346"/>
    <mergeCell ref="L161:L162"/>
    <mergeCell ref="A327:A330"/>
    <mergeCell ref="D235:D236"/>
    <mergeCell ref="AK99:AK100"/>
    <mergeCell ref="A221:A234"/>
    <mergeCell ref="V335:V336"/>
    <mergeCell ref="A299:A302"/>
    <mergeCell ref="U29:U30"/>
    <mergeCell ref="W303:W304"/>
    <mergeCell ref="M103:M104"/>
    <mergeCell ref="Y33:Y34"/>
    <mergeCell ref="AK101:AK102"/>
    <mergeCell ref="O9:O10"/>
    <mergeCell ref="AG117:AG118"/>
    <mergeCell ref="I335:I336"/>
    <mergeCell ref="U329:U330"/>
    <mergeCell ref="H23:H24"/>
    <mergeCell ref="M2:O2"/>
    <mergeCell ref="Z129:Z130"/>
    <mergeCell ref="AK157:AK158"/>
    <mergeCell ref="R197:R198"/>
    <mergeCell ref="T259:T260"/>
    <mergeCell ref="AG295:AG296"/>
    <mergeCell ref="M157:M158"/>
    <mergeCell ref="E13:E14"/>
    <mergeCell ref="T147:T148"/>
    <mergeCell ref="U347:U348"/>
    <mergeCell ref="Z131:Z132"/>
    <mergeCell ref="V203:V204"/>
    <mergeCell ref="AQ327:AQ328"/>
    <mergeCell ref="I151:I152"/>
    <mergeCell ref="T261:T262"/>
    <mergeCell ref="L335:L336"/>
    <mergeCell ref="B291:B294"/>
    <mergeCell ref="O215:O216"/>
    <mergeCell ref="AH148:AJ148"/>
    <mergeCell ref="AG321:AG322"/>
    <mergeCell ref="Q131:Q132"/>
    <mergeCell ref="X267:X268"/>
    <mergeCell ref="P341:P342"/>
    <mergeCell ref="F135:F136"/>
    <mergeCell ref="AK241:AK242"/>
    <mergeCell ref="J143:J144"/>
    <mergeCell ref="S37:S38"/>
    <mergeCell ref="Z33:Z34"/>
    <mergeCell ref="G73:G74"/>
    <mergeCell ref="S195:S196"/>
    <mergeCell ref="M27:M28"/>
    <mergeCell ref="T163:T164"/>
    <mergeCell ref="H199:H200"/>
    <mergeCell ref="T321:T322"/>
    <mergeCell ref="J255:J256"/>
    <mergeCell ref="B9:B12"/>
    <mergeCell ref="AG137:AG138"/>
    <mergeCell ref="M297:M298"/>
    <mergeCell ref="S197:S198"/>
    <mergeCell ref="U259:U260"/>
    <mergeCell ref="W17:W18"/>
    <mergeCell ref="T287:T288"/>
    <mergeCell ref="O91:O92"/>
    <mergeCell ref="U253:U254"/>
    <mergeCell ref="AR135:AR136"/>
    <mergeCell ref="AB300:AF300"/>
    <mergeCell ref="L21:L22"/>
    <mergeCell ref="AH158:AJ158"/>
    <mergeCell ref="M327:M328"/>
    <mergeCell ref="L361:L362"/>
    <mergeCell ref="AL174:AO174"/>
    <mergeCell ref="M299:M300"/>
    <mergeCell ref="O57:O58"/>
    <mergeCell ref="AG347:AG348"/>
    <mergeCell ref="G131:G132"/>
    <mergeCell ref="V53:V54"/>
    <mergeCell ref="A353:A354"/>
    <mergeCell ref="V351:V352"/>
    <mergeCell ref="W317:W318"/>
    <mergeCell ref="Y75:Y76"/>
    <mergeCell ref="P183:P184"/>
    <mergeCell ref="Q149:Q150"/>
    <mergeCell ref="AH160:AJ160"/>
    <mergeCell ref="AG191:AG192"/>
    <mergeCell ref="J169:J170"/>
    <mergeCell ref="AG349:AG350"/>
    <mergeCell ref="Q121:Q122"/>
    <mergeCell ref="S221:S222"/>
    <mergeCell ref="AA181:AA182"/>
    <mergeCell ref="AP103:AP104"/>
    <mergeCell ref="Q115:Q116"/>
    <mergeCell ref="C57:C62"/>
    <mergeCell ref="X111:X112"/>
    <mergeCell ref="AR159:AR160"/>
    <mergeCell ref="I189:I190"/>
    <mergeCell ref="Q151:Q152"/>
    <mergeCell ref="I195:I196"/>
    <mergeCell ref="K251:K252"/>
    <mergeCell ref="AL288:AO288"/>
    <mergeCell ref="W319:W320"/>
    <mergeCell ref="V353:V354"/>
    <mergeCell ref="F65:F66"/>
    <mergeCell ref="F363:F364"/>
    <mergeCell ref="C2:C4"/>
    <mergeCell ref="M55:M56"/>
    <mergeCell ref="O117:O118"/>
    <mergeCell ref="AK165:AK166"/>
    <mergeCell ref="M11:M12"/>
    <mergeCell ref="S179:S180"/>
    <mergeCell ref="K253:K254"/>
    <mergeCell ref="S215:S216"/>
    <mergeCell ref="U279:U280"/>
    <mergeCell ref="R243:R244"/>
    <mergeCell ref="A25:A28"/>
    <mergeCell ref="AL200:AO200"/>
    <mergeCell ref="M353:M354"/>
    <mergeCell ref="B357:B358"/>
    <mergeCell ref="O83:O84"/>
    <mergeCell ref="P49:P50"/>
    <mergeCell ref="G157:G158"/>
    <mergeCell ref="H123:H124"/>
    <mergeCell ref="E59:E60"/>
    <mergeCell ref="AK173:AK174"/>
    <mergeCell ref="N291:N292"/>
    <mergeCell ref="M319:M320"/>
    <mergeCell ref="AL44:AO44"/>
    <mergeCell ref="O75:O76"/>
    <mergeCell ref="F365:F366"/>
    <mergeCell ref="AG359:AG360"/>
    <mergeCell ref="Z81:Z82"/>
    <mergeCell ref="N293:N294"/>
    <mergeCell ref="R113:R114"/>
    <mergeCell ref="AS155:AS156"/>
    <mergeCell ref="J187:J188"/>
    <mergeCell ref="I221:I222"/>
    <mergeCell ref="Q177:Q178"/>
    <mergeCell ref="AA321:AA322"/>
    <mergeCell ref="AH54:AJ54"/>
    <mergeCell ref="V275:V276"/>
    <mergeCell ref="AH90:AJ90"/>
    <mergeCell ref="AB48:AF48"/>
    <mergeCell ref="R115:R116"/>
    <mergeCell ref="L69:L70"/>
    <mergeCell ref="N9:N1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X43:X44"/>
    <mergeCell ref="Y131:Y132"/>
    <mergeCell ref="X341:X342"/>
    <mergeCell ref="Z99:Z100"/>
    <mergeCell ref="H113:H114"/>
    <mergeCell ref="H151:H152"/>
    <mergeCell ref="N135:N136"/>
    <mergeCell ref="S261:S262"/>
    <mergeCell ref="K335:K336"/>
    <mergeCell ref="AG89:AG90"/>
    <mergeCell ref="J29:J30"/>
    <mergeCell ref="P191:P192"/>
    <mergeCell ref="H265:H266"/>
    <mergeCell ref="H271:H272"/>
    <mergeCell ref="AK97:AK98"/>
    <mergeCell ref="AR93:AR94"/>
    <mergeCell ref="AS181:AS182"/>
    <mergeCell ref="AB74:AF74"/>
    <mergeCell ref="U27:U28"/>
    <mergeCell ref="J215:J216"/>
    <mergeCell ref="AL126:AO126"/>
    <mergeCell ref="O157:O158"/>
    <mergeCell ref="AR207:AR208"/>
    <mergeCell ref="R255:R256"/>
    <mergeCell ref="J329:J330"/>
    <mergeCell ref="B335:B340"/>
    <mergeCell ref="B199:B202"/>
    <mergeCell ref="C349:C350"/>
    <mergeCell ref="AH118:AJ118"/>
    <mergeCell ref="B235:B238"/>
    <mergeCell ref="N37:N38"/>
    <mergeCell ref="U327:U328"/>
    <mergeCell ref="G199:G200"/>
    <mergeCell ref="Q221:Q222"/>
    <mergeCell ref="Y35:Y36"/>
    <mergeCell ref="AQ105:AQ106"/>
    <mergeCell ref="G171:G172"/>
    <mergeCell ref="Q231:Q232"/>
    <mergeCell ref="AQ135:AQ136"/>
    <mergeCell ref="I263:I264"/>
    <mergeCell ref="AQ107:AQ108"/>
    <mergeCell ref="N57:N58"/>
    <mergeCell ref="L299:L300"/>
    <mergeCell ref="F131:F132"/>
    <mergeCell ref="U53:U54"/>
    <mergeCell ref="D33:D34"/>
    <mergeCell ref="I229:I230"/>
    <mergeCell ref="AK237:AK238"/>
    <mergeCell ref="U351:U352"/>
    <mergeCell ref="AS199:AS200"/>
    <mergeCell ref="I265:I266"/>
    <mergeCell ref="AL108:AO108"/>
    <mergeCell ref="AK273:AK274"/>
    <mergeCell ref="C359:C360"/>
    <mergeCell ref="N65:N66"/>
    <mergeCell ref="N363:N364"/>
    <mergeCell ref="P121:P122"/>
    <mergeCell ref="U55:U56"/>
    <mergeCell ref="W117:W118"/>
    <mergeCell ref="H195:H196"/>
    <mergeCell ref="AK239:AK240"/>
    <mergeCell ref="W111:W112"/>
    <mergeCell ref="E125:E126"/>
    <mergeCell ref="AG133:AG134"/>
    <mergeCell ref="Q247:Q248"/>
    <mergeCell ref="M87:M88"/>
    <mergeCell ref="AB216:AF216"/>
    <mergeCell ref="AH258:AJ258"/>
    <mergeCell ref="U353:U354"/>
    <mergeCell ref="C199:C202"/>
    <mergeCell ref="AL268:AO268"/>
    <mergeCell ref="T283:T284"/>
    <mergeCell ref="P123:P124"/>
    <mergeCell ref="AB296:AF296"/>
    <mergeCell ref="H197:H198"/>
    <mergeCell ref="W119:W120"/>
    <mergeCell ref="L17:L18"/>
    <mergeCell ref="R179:R180"/>
    <mergeCell ref="J253:J254"/>
    <mergeCell ref="J259:J260"/>
    <mergeCell ref="AK297:AK298"/>
    <mergeCell ref="R337:R338"/>
    <mergeCell ref="K235:K236"/>
    <mergeCell ref="V347:V348"/>
    <mergeCell ref="X105:X106"/>
    <mergeCell ref="AH162:AJ162"/>
    <mergeCell ref="D59:D60"/>
    <mergeCell ref="L19:L20"/>
    <mergeCell ref="AK263:AK264"/>
    <mergeCell ref="AQ125:AQ126"/>
    <mergeCell ref="AB1:AG1"/>
    <mergeCell ref="E39:E40"/>
    <mergeCell ref="N75:N76"/>
    <mergeCell ref="B131:B134"/>
    <mergeCell ref="Y177:Y178"/>
    <mergeCell ref="AK255:AK256"/>
    <mergeCell ref="S307:S308"/>
    <mergeCell ref="L317:L318"/>
    <mergeCell ref="N85:N86"/>
    <mergeCell ref="AK265:AK266"/>
    <mergeCell ref="AL284:AO284"/>
    <mergeCell ref="D359:D360"/>
    <mergeCell ref="L319:L320"/>
    <mergeCell ref="AG159:AG160"/>
    <mergeCell ref="G97:G98"/>
    <mergeCell ref="I159:I160"/>
    <mergeCell ref="N93:N94"/>
    <mergeCell ref="P149:P150"/>
    <mergeCell ref="H223:H224"/>
    <mergeCell ref="R205:R206"/>
    <mergeCell ref="Z165:Z166"/>
    <mergeCell ref="C121:C124"/>
    <mergeCell ref="P263:P264"/>
    <mergeCell ref="AA147:AA148"/>
    <mergeCell ref="P151:P152"/>
    <mergeCell ref="E49:E50"/>
    <mergeCell ref="K77:K78"/>
    <mergeCell ref="L45:L46"/>
    <mergeCell ref="M133:M134"/>
    <mergeCell ref="W155:W156"/>
    <mergeCell ref="E207:E208"/>
    <mergeCell ref="L343:L344"/>
    <mergeCell ref="W43:W44"/>
    <mergeCell ref="Y105:Y106"/>
    <mergeCell ref="W341:W342"/>
    <mergeCell ref="Y99:Y100"/>
    <mergeCell ref="G113:G114"/>
    <mergeCell ref="Q173:Q174"/>
    <mergeCell ref="M135:M136"/>
    <mergeCell ref="L345:L346"/>
    <mergeCell ref="G271:G272"/>
    <mergeCell ref="I29:I30"/>
    <mergeCell ref="AR29:AR30"/>
    <mergeCell ref="B73:B86"/>
    <mergeCell ref="Y107:Y108"/>
    <mergeCell ref="S201:S202"/>
    <mergeCell ref="T27:T28"/>
    <mergeCell ref="AA163:AA164"/>
    <mergeCell ref="S237:S238"/>
    <mergeCell ref="AQ207:AQ208"/>
    <mergeCell ref="G273:G274"/>
    <mergeCell ref="Q255:Q256"/>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N131:N132"/>
    <mergeCell ref="W25:W26"/>
    <mergeCell ref="V93:V94"/>
    <mergeCell ref="P187:P188"/>
    <mergeCell ref="P223:P224"/>
    <mergeCell ref="W359:W360"/>
    <mergeCell ref="X121:X122"/>
    <mergeCell ref="P195:P196"/>
    <mergeCell ref="J27:J28"/>
    <mergeCell ref="R251:R252"/>
    <mergeCell ref="T9:T10"/>
    <mergeCell ref="C97:C102"/>
    <mergeCell ref="Y247:Y248"/>
    <mergeCell ref="R287:R288"/>
    <mergeCell ref="E103:E104"/>
    <mergeCell ref="Q315:Q316"/>
    <mergeCell ref="M65:M66"/>
    <mergeCell ref="J335:J336"/>
    <mergeCell ref="N155:N156"/>
    <mergeCell ref="T17:T18"/>
    <mergeCell ref="T55:T56"/>
    <mergeCell ref="V117:V118"/>
    <mergeCell ref="G195:G196"/>
    <mergeCell ref="D125:D126"/>
    <mergeCell ref="AQ235:AQ236"/>
    <mergeCell ref="AA7:AA8"/>
    <mergeCell ref="R253:R254"/>
    <mergeCell ref="Y243:Y244"/>
    <mergeCell ref="J327:J328"/>
    <mergeCell ref="T353:T354"/>
    <mergeCell ref="G167:G168"/>
    <mergeCell ref="N157:N158"/>
    <mergeCell ref="O123:O124"/>
    <mergeCell ref="AH196:AJ196"/>
    <mergeCell ref="AB154:AF154"/>
    <mergeCell ref="V119:V120"/>
    <mergeCell ref="K17:K18"/>
    <mergeCell ref="G197:G198"/>
    <mergeCell ref="I259:I260"/>
    <mergeCell ref="M365:M366"/>
    <mergeCell ref="N149:N150"/>
    <mergeCell ref="P249:P250"/>
    <mergeCell ref="AS299:AS300"/>
    <mergeCell ref="A57:A62"/>
    <mergeCell ref="AA307:AA308"/>
    <mergeCell ref="AL366:AO366"/>
    <mergeCell ref="AG73:AG74"/>
    <mergeCell ref="Q187:Q188"/>
    <mergeCell ref="P221:P222"/>
    <mergeCell ref="P215:P216"/>
    <mergeCell ref="K19:K20"/>
    <mergeCell ref="I261:I262"/>
    <mergeCell ref="H289:H290"/>
    <mergeCell ref="AP125:AP126"/>
    <mergeCell ref="A131:A134"/>
    <mergeCell ref="D39:D40"/>
    <mergeCell ref="X177:X178"/>
    <mergeCell ref="F191:F192"/>
    <mergeCell ref="R313:R314"/>
    <mergeCell ref="AP283:AP284"/>
    <mergeCell ref="K317:K318"/>
    <mergeCell ref="J351:J352"/>
    <mergeCell ref="U349:U350"/>
    <mergeCell ref="E121:E122"/>
    <mergeCell ref="C363:C364"/>
    <mergeCell ref="U9:U10"/>
    <mergeCell ref="K143:K144"/>
    <mergeCell ref="T37:T38"/>
    <mergeCell ref="M83:M84"/>
    <mergeCell ref="C87:C92"/>
    <mergeCell ref="R279:R280"/>
    <mergeCell ref="C195:C198"/>
    <mergeCell ref="K319:K320"/>
    <mergeCell ref="J353:J354"/>
    <mergeCell ref="C357:C358"/>
    <mergeCell ref="AR347:AR348"/>
    <mergeCell ref="S2:U2"/>
    <mergeCell ref="M49:M50"/>
    <mergeCell ref="O149:O150"/>
    <mergeCell ref="T45:T46"/>
    <mergeCell ref="U11:U12"/>
    <mergeCell ref="G223:G224"/>
    <mergeCell ref="G179:G180"/>
    <mergeCell ref="M207:M208"/>
    <mergeCell ref="AH256:AJ256"/>
    <mergeCell ref="T343:T344"/>
    <mergeCell ref="O263:O264"/>
    <mergeCell ref="AP39:AP40"/>
    <mergeCell ref="K231:K232"/>
    <mergeCell ref="X47:X48"/>
    <mergeCell ref="H161:H162"/>
    <mergeCell ref="O151:O152"/>
    <mergeCell ref="Y173:Y174"/>
    <mergeCell ref="AS221:AS222"/>
    <mergeCell ref="K45:K46"/>
    <mergeCell ref="I287:I288"/>
    <mergeCell ref="AA229:AA230"/>
    <mergeCell ref="Q29:Q30"/>
    <mergeCell ref="O271:O272"/>
    <mergeCell ref="I103:I104"/>
    <mergeCell ref="Q205:Q206"/>
    <mergeCell ref="R335:R336"/>
    <mergeCell ref="K343:K344"/>
    <mergeCell ref="AR97:AR98"/>
    <mergeCell ref="T285:T286"/>
    <mergeCell ref="K11:K12"/>
    <mergeCell ref="D57:D58"/>
    <mergeCell ref="D355:D356"/>
    <mergeCell ref="F113:F114"/>
    <mergeCell ref="AA237:AA238"/>
    <mergeCell ref="K47:K48"/>
    <mergeCell ref="AQ3:AR3"/>
    <mergeCell ref="M109:M110"/>
    <mergeCell ref="I289:I290"/>
    <mergeCell ref="K345:K346"/>
    <mergeCell ref="O55:O56"/>
    <mergeCell ref="A73:A86"/>
    <mergeCell ref="D181:D182"/>
    <mergeCell ref="M75:M76"/>
    <mergeCell ref="D357:D358"/>
    <mergeCell ref="Y13:Y14"/>
    <mergeCell ref="X73:X74"/>
    <mergeCell ref="C39:C42"/>
    <mergeCell ref="P147:P148"/>
    <mergeCell ref="L41:L42"/>
    <mergeCell ref="R203:R204"/>
    <mergeCell ref="F239:F240"/>
    <mergeCell ref="H179:H180"/>
    <mergeCell ref="H301:H302"/>
    <mergeCell ref="R317:R318"/>
    <mergeCell ref="AG275:AG276"/>
    <mergeCell ref="R211:R212"/>
    <mergeCell ref="AP181:AP182"/>
    <mergeCell ref="H5:H6"/>
    <mergeCell ref="V25:V26"/>
    <mergeCell ref="J67:J68"/>
    <mergeCell ref="M131:M132"/>
    <mergeCell ref="J61:J62"/>
    <mergeCell ref="T267:T268"/>
    <mergeCell ref="H303:H304"/>
    <mergeCell ref="L341:L342"/>
    <mergeCell ref="B113:B116"/>
    <mergeCell ref="J97:J98"/>
    <mergeCell ref="AG29:AG30"/>
    <mergeCell ref="AS363:AS364"/>
    <mergeCell ref="B271:B274"/>
    <mergeCell ref="V33:V34"/>
    <mergeCell ref="AG181:AG182"/>
    <mergeCell ref="O195:O196"/>
    <mergeCell ref="AR239:AR240"/>
    <mergeCell ref="P163:P164"/>
    <mergeCell ref="L125:L126"/>
    <mergeCell ref="D199:D200"/>
    <mergeCell ref="X247:X248"/>
    <mergeCell ref="I325:I326"/>
    <mergeCell ref="F255:F256"/>
    <mergeCell ref="AS365:AS366"/>
    <mergeCell ref="AA283:AA284"/>
    <mergeCell ref="O197:O198"/>
    <mergeCell ref="S17:S18"/>
    <mergeCell ref="K91:K92"/>
    <mergeCell ref="L127:L128"/>
    <mergeCell ref="Q253:Q254"/>
    <mergeCell ref="AP235:AP236"/>
    <mergeCell ref="Z7:Z8"/>
    <mergeCell ref="H21:H22"/>
    <mergeCell ref="AP191:AP192"/>
    <mergeCell ref="I327:I328"/>
    <mergeCell ref="AA285:AA286"/>
    <mergeCell ref="M35:M36"/>
    <mergeCell ref="AQ173:AQ174"/>
    <mergeCell ref="AK5:AK6"/>
    <mergeCell ref="S19:S20"/>
    <mergeCell ref="AK309:AK310"/>
    <mergeCell ref="AK303:AK304"/>
    <mergeCell ref="U75:U76"/>
    <mergeCell ref="S317:S318"/>
    <mergeCell ref="M149:M150"/>
    <mergeCell ref="AR299:AR300"/>
    <mergeCell ref="AR255:AR256"/>
    <mergeCell ref="Z307:Z308"/>
    <mergeCell ref="O99:O100"/>
    <mergeCell ref="W181:W182"/>
    <mergeCell ref="O221:O222"/>
    <mergeCell ref="A335:A340"/>
    <mergeCell ref="AL6:AO6"/>
    <mergeCell ref="E191:E192"/>
    <mergeCell ref="AL182:AO182"/>
    <mergeCell ref="AG199:AG200"/>
    <mergeCell ref="B255:B258"/>
    <mergeCell ref="AL296:AO296"/>
    <mergeCell ref="O223:O224"/>
    <mergeCell ref="D121:D122"/>
    <mergeCell ref="T349:T350"/>
    <mergeCell ref="I55:I56"/>
    <mergeCell ref="K117:K118"/>
    <mergeCell ref="Y239:Y240"/>
    <mergeCell ref="B87:B92"/>
    <mergeCell ref="Q279:Q280"/>
    <mergeCell ref="G255:G256"/>
    <mergeCell ref="AG323:AG324"/>
    <mergeCell ref="I353:I354"/>
    <mergeCell ref="AH192:AJ192"/>
    <mergeCell ref="J291:J292"/>
    <mergeCell ref="L49:L50"/>
    <mergeCell ref="B365:B366"/>
    <mergeCell ref="S45:S46"/>
    <mergeCell ref="L207:L208"/>
    <mergeCell ref="AA303:AA304"/>
    <mergeCell ref="S343:S344"/>
    <mergeCell ref="AQ191:AQ192"/>
    <mergeCell ref="AK23:AK24"/>
    <mergeCell ref="C287:C290"/>
    <mergeCell ref="N113:N114"/>
    <mergeCell ref="S47:S48"/>
    <mergeCell ref="U109:U110"/>
    <mergeCell ref="X173:X174"/>
    <mergeCell ref="F187:F188"/>
    <mergeCell ref="N271:N272"/>
    <mergeCell ref="P29:P30"/>
    <mergeCell ref="M177:M178"/>
    <mergeCell ref="H103:H104"/>
    <mergeCell ref="S345:S346"/>
    <mergeCell ref="AL322:AO322"/>
    <mergeCell ref="R275:R276"/>
    <mergeCell ref="N115:N116"/>
    <mergeCell ref="Z237:Z238"/>
    <mergeCell ref="J9:J10"/>
    <mergeCell ref="N273:N274"/>
    <mergeCell ref="J167:J168"/>
    <mergeCell ref="P329:P330"/>
    <mergeCell ref="AB54:AF54"/>
    <mergeCell ref="AL324:AO324"/>
    <mergeCell ref="T35:T36"/>
    <mergeCell ref="AH34:AJ34"/>
    <mergeCell ref="AB212:AF212"/>
    <mergeCell ref="J11:J12"/>
    <mergeCell ref="Z239:Z240"/>
    <mergeCell ref="Z361:Z362"/>
    <mergeCell ref="D263:D264"/>
    <mergeCell ref="E87:E88"/>
    <mergeCell ref="B39:B42"/>
    <mergeCell ref="O147:O148"/>
    <mergeCell ref="AB178:AF178"/>
    <mergeCell ref="U131:U132"/>
    <mergeCell ref="V99:V100"/>
    <mergeCell ref="AK21:AK22"/>
    <mergeCell ref="AH36:AJ36"/>
    <mergeCell ref="D151:D152"/>
    <mergeCell ref="O261:O262"/>
    <mergeCell ref="AA331:AA332"/>
    <mergeCell ref="AH334:AJ334"/>
    <mergeCell ref="M317:M318"/>
    <mergeCell ref="K43:K44"/>
    <mergeCell ref="G5:G6"/>
    <mergeCell ref="I67:I68"/>
    <mergeCell ref="Q27:Q28"/>
    <mergeCell ref="X163:X164"/>
    <mergeCell ref="F215:F216"/>
    <mergeCell ref="S267:S268"/>
    <mergeCell ref="S83:S84"/>
    <mergeCell ref="AH336:AJ336"/>
    <mergeCell ref="X321:X322"/>
    <mergeCell ref="Z79:Z80"/>
    <mergeCell ref="A113:A116"/>
    <mergeCell ref="AP263:AP264"/>
    <mergeCell ref="X315:X316"/>
    <mergeCell ref="Y139:Y140"/>
    <mergeCell ref="U33:U34"/>
    <mergeCell ref="N195:N196"/>
    <mergeCell ref="AP151:AP152"/>
    <mergeCell ref="S91:S92"/>
    <mergeCell ref="O163:O164"/>
    <mergeCell ref="K125:K126"/>
    <mergeCell ref="Q327:Q328"/>
    <mergeCell ref="AR365:AR366"/>
    <mergeCell ref="U35:U36"/>
    <mergeCell ref="U157:U158"/>
    <mergeCell ref="M231:M232"/>
    <mergeCell ref="AS5:AS6"/>
    <mergeCell ref="N197:N198"/>
    <mergeCell ref="P259:P260"/>
    <mergeCell ref="O165:O166"/>
    <mergeCell ref="K127:K128"/>
    <mergeCell ref="U193:U194"/>
    <mergeCell ref="AB196:AF196"/>
    <mergeCell ref="E263:E264"/>
    <mergeCell ref="G21:G22"/>
    <mergeCell ref="AG271:AG272"/>
    <mergeCell ref="AS303:AS304"/>
    <mergeCell ref="AL248:AO248"/>
    <mergeCell ref="O323:O324"/>
    <mergeCell ref="AB354:AF354"/>
    <mergeCell ref="AB348:AF348"/>
    <mergeCell ref="K29:K30"/>
    <mergeCell ref="H299:H300"/>
    <mergeCell ref="J57:J58"/>
    <mergeCell ref="Q53:Q54"/>
    <mergeCell ref="R19:R20"/>
    <mergeCell ref="P261:P262"/>
    <mergeCell ref="J93:J94"/>
    <mergeCell ref="Q229:Q230"/>
    <mergeCell ref="C5:C8"/>
    <mergeCell ref="H335:H336"/>
    <mergeCell ref="G23:G24"/>
    <mergeCell ref="Y313:Y314"/>
    <mergeCell ref="Q351:Q352"/>
    <mergeCell ref="AQ255:AQ256"/>
    <mergeCell ref="L121:L122"/>
    <mergeCell ref="N221:N222"/>
    <mergeCell ref="Q55:Q56"/>
    <mergeCell ref="AK103:AK104"/>
    <mergeCell ref="T83:T84"/>
    <mergeCell ref="S117:S118"/>
    <mergeCell ref="S111:S112"/>
    <mergeCell ref="L157:L158"/>
    <mergeCell ref="V181:V182"/>
    <mergeCell ref="D195:D196"/>
    <mergeCell ref="AS21:AS22"/>
    <mergeCell ref="AA73:AA74"/>
    <mergeCell ref="I87:I88"/>
    <mergeCell ref="M247:M248"/>
    <mergeCell ref="Y315:Y316"/>
    <mergeCell ref="R319:R320"/>
    <mergeCell ref="AS361:AS362"/>
    <mergeCell ref="AH266:AJ266"/>
    <mergeCell ref="A255:A258"/>
    <mergeCell ref="L123:L124"/>
    <mergeCell ref="N223:N224"/>
    <mergeCell ref="AH260:AJ260"/>
    <mergeCell ref="F259:F260"/>
    <mergeCell ref="H17:H18"/>
    <mergeCell ref="N179:N180"/>
    <mergeCell ref="A363:A364"/>
    <mergeCell ref="A87:A92"/>
    <mergeCell ref="N215:N216"/>
    <mergeCell ref="G235:G236"/>
    <mergeCell ref="C21:C24"/>
    <mergeCell ref="AL90:AO90"/>
    <mergeCell ref="A365:A366"/>
    <mergeCell ref="P287:P288"/>
    <mergeCell ref="R45:R46"/>
    <mergeCell ref="Z5:Z6"/>
    <mergeCell ref="H19:H20"/>
    <mergeCell ref="R343:R344"/>
    <mergeCell ref="U177:U178"/>
    <mergeCell ref="AB276:AF276"/>
    <mergeCell ref="Z303:Z304"/>
    <mergeCell ref="H317:H318"/>
    <mergeCell ref="H361:H362"/>
    <mergeCell ref="O307:O308"/>
    <mergeCell ref="K57:K58"/>
    <mergeCell ref="J85:J86"/>
    <mergeCell ref="D221:D222"/>
    <mergeCell ref="R47:R48"/>
    <mergeCell ref="T109:T110"/>
    <mergeCell ref="E187:E188"/>
    <mergeCell ref="R345:R346"/>
    <mergeCell ref="H319:H320"/>
    <mergeCell ref="E159:E160"/>
    <mergeCell ref="L149:L150"/>
    <mergeCell ref="M115:M116"/>
    <mergeCell ref="AH286:AJ286"/>
    <mergeCell ref="T111:T112"/>
    <mergeCell ref="I9:I10"/>
    <mergeCell ref="N205:N206"/>
    <mergeCell ref="G251:G252"/>
    <mergeCell ref="F279:F280"/>
    <mergeCell ref="AS49:AS50"/>
    <mergeCell ref="W147:W148"/>
    <mergeCell ref="Q283:Q284"/>
    <mergeCell ref="S41:S42"/>
    <mergeCell ref="AP221:AP222"/>
    <mergeCell ref="I11:I12"/>
    <mergeCell ref="I133:I134"/>
    <mergeCell ref="AP215:AP216"/>
    <mergeCell ref="N243:N244"/>
    <mergeCell ref="R63:R64"/>
    <mergeCell ref="S43:S44"/>
    <mergeCell ref="U105:U106"/>
    <mergeCell ref="AL118:AO118"/>
    <mergeCell ref="AA267:AA268"/>
    <mergeCell ref="U99:U100"/>
    <mergeCell ref="S341:S342"/>
    <mergeCell ref="AB6:AF6"/>
    <mergeCell ref="I135:I136"/>
    <mergeCell ref="K75:K76"/>
    <mergeCell ref="AR279:AR280"/>
    <mergeCell ref="AQ311:AQ312"/>
    <mergeCell ref="E29:E30"/>
    <mergeCell ref="A187:A190"/>
    <mergeCell ref="Z331:Z332"/>
    <mergeCell ref="J261:J262"/>
    <mergeCell ref="B307:B310"/>
    <mergeCell ref="P27:P28"/>
    <mergeCell ref="W163:W164"/>
    <mergeCell ref="E215:E216"/>
    <mergeCell ref="K199:K200"/>
    <mergeCell ref="AG223:AG224"/>
    <mergeCell ref="W321:W322"/>
    <mergeCell ref="M255:M256"/>
    <mergeCell ref="I223:I224"/>
    <mergeCell ref="Z17:Z18"/>
    <mergeCell ref="R91:R92"/>
    <mergeCell ref="I37:I38"/>
    <mergeCell ref="P327:P328"/>
    <mergeCell ref="O21:O22"/>
    <mergeCell ref="W323:W324"/>
    <mergeCell ref="Y81:Y82"/>
    <mergeCell ref="G95:G96"/>
    <mergeCell ref="M45:M46"/>
    <mergeCell ref="AB174:AF174"/>
    <mergeCell ref="AQ39:AQ40"/>
    <mergeCell ref="AR5:AR6"/>
    <mergeCell ref="L231:L232"/>
    <mergeCell ref="R93:R94"/>
    <mergeCell ref="AQ215:AQ216"/>
    <mergeCell ref="AA145:AA146"/>
    <mergeCell ref="A29:A32"/>
    <mergeCell ref="AG209:AG210"/>
    <mergeCell ref="AS97:AS98"/>
    <mergeCell ref="P351:P352"/>
    <mergeCell ref="F29:F30"/>
    <mergeCell ref="B5:B8"/>
    <mergeCell ref="C163:C172"/>
    <mergeCell ref="N139:N140"/>
    <mergeCell ref="J33:J34"/>
    <mergeCell ref="K121:K122"/>
    <mergeCell ref="H269:H270"/>
    <mergeCell ref="P55:P56"/>
    <mergeCell ref="R117:R118"/>
    <mergeCell ref="Z77:Z78"/>
    <mergeCell ref="P353:P354"/>
    <mergeCell ref="I363:I364"/>
    <mergeCell ref="Y63:Y64"/>
    <mergeCell ref="AG365:AG366"/>
    <mergeCell ref="AG25:AG26"/>
    <mergeCell ref="I365:I366"/>
    <mergeCell ref="K123:K124"/>
    <mergeCell ref="R119:R120"/>
    <mergeCell ref="G17:G18"/>
    <mergeCell ref="E259:E260"/>
    <mergeCell ref="AQ57:AQ58"/>
    <mergeCell ref="L249:L250"/>
    <mergeCell ref="AQ355:AQ356"/>
    <mergeCell ref="AK43:AK44"/>
    <mergeCell ref="B21:B24"/>
    <mergeCell ref="O285:O286"/>
    <mergeCell ref="Q347:Q348"/>
    <mergeCell ref="M187:M188"/>
    <mergeCell ref="G19:G20"/>
    <mergeCell ref="T177:T178"/>
    <mergeCell ref="G317:G318"/>
    <mergeCell ref="AQ357:AQ358"/>
    <mergeCell ref="Y275:Y276"/>
    <mergeCell ref="C113:C116"/>
    <mergeCell ref="Q349:Q350"/>
    <mergeCell ref="Q9:Q10"/>
    <mergeCell ref="Y311:Y312"/>
    <mergeCell ref="AA69:AA70"/>
    <mergeCell ref="G319:G320"/>
    <mergeCell ref="AL30:AO30"/>
    <mergeCell ref="I93:I94"/>
    <mergeCell ref="AA35:AA36"/>
    <mergeCell ref="K149:K150"/>
    <mergeCell ref="K263:K264"/>
    <mergeCell ref="AR49:AR50"/>
    <mergeCell ref="C17:C20"/>
    <mergeCell ref="Z63:Z64"/>
    <mergeCell ref="AP291:AP292"/>
    <mergeCell ref="R41:R42"/>
    <mergeCell ref="AS327:AS328"/>
    <mergeCell ref="K151:K152"/>
    <mergeCell ref="AB362:AF362"/>
    <mergeCell ref="U173:U174"/>
    <mergeCell ref="E287:E288"/>
    <mergeCell ref="AK359:AK360"/>
    <mergeCell ref="M205:M206"/>
    <mergeCell ref="AP159:AP160"/>
    <mergeCell ref="X211:X212"/>
    <mergeCell ref="P285:P286"/>
    <mergeCell ref="R43:R44"/>
    <mergeCell ref="T105:T106"/>
    <mergeCell ref="M215:M216"/>
    <mergeCell ref="H141:H142"/>
    <mergeCell ref="R341:R342"/>
    <mergeCell ref="G47:G48"/>
    <mergeCell ref="I109:I110"/>
    <mergeCell ref="H135:H136"/>
    <mergeCell ref="AQ279:AQ280"/>
    <mergeCell ref="AG255:AG256"/>
    <mergeCell ref="T107:T108"/>
    <mergeCell ref="H143:H144"/>
    <mergeCell ref="Q37:Q38"/>
    <mergeCell ref="AH100:AJ100"/>
    <mergeCell ref="AA97:AA98"/>
    <mergeCell ref="V163:V164"/>
    <mergeCell ref="J199:J200"/>
    <mergeCell ref="N237:N238"/>
    <mergeCell ref="AQ287:AQ288"/>
    <mergeCell ref="Y295:Y296"/>
    <mergeCell ref="A279:A282"/>
    <mergeCell ref="AA211:AA212"/>
    <mergeCell ref="P2:R2"/>
    <mergeCell ref="N203:N204"/>
    <mergeCell ref="T231:T232"/>
    <mergeCell ref="F59:F60"/>
    <mergeCell ref="AH102:AJ102"/>
    <mergeCell ref="N239:N240"/>
    <mergeCell ref="R59:R60"/>
    <mergeCell ref="N21:N22"/>
    <mergeCell ref="L263:L264"/>
    <mergeCell ref="AP29:AP30"/>
    <mergeCell ref="D299:D300"/>
    <mergeCell ref="D331:D332"/>
    <mergeCell ref="AL114:AO114"/>
    <mergeCell ref="AK201:AK202"/>
    <mergeCell ref="I131:I132"/>
    <mergeCell ref="R25:R26"/>
    <mergeCell ref="X53:X54"/>
    <mergeCell ref="P267:P268"/>
    <mergeCell ref="Q93:Q94"/>
    <mergeCell ref="Z109:Z110"/>
    <mergeCell ref="X351:X352"/>
    <mergeCell ref="R359:R360"/>
    <mergeCell ref="H159:H160"/>
    <mergeCell ref="G187:G188"/>
    <mergeCell ref="K195:K196"/>
    <mergeCell ref="Z117:Z118"/>
    <mergeCell ref="AA83:AA84"/>
    <mergeCell ref="X353:X354"/>
    <mergeCell ref="Z111:Z112"/>
    <mergeCell ref="S157:S158"/>
    <mergeCell ref="M251:M252"/>
    <mergeCell ref="T247:T248"/>
    <mergeCell ref="Z147:Z148"/>
    <mergeCell ref="E335:E336"/>
    <mergeCell ref="S123:S124"/>
    <mergeCell ref="K197:K198"/>
    <mergeCell ref="O17:O18"/>
    <mergeCell ref="Y77:Y78"/>
    <mergeCell ref="M253:M254"/>
    <mergeCell ref="T249:T250"/>
    <mergeCell ref="AB262:AF262"/>
    <mergeCell ref="O27:O28"/>
    <mergeCell ref="AS187:AS188"/>
    <mergeCell ref="J129:J130"/>
    <mergeCell ref="I35:I36"/>
    <mergeCell ref="AG5:AG6"/>
    <mergeCell ref="O19:O20"/>
    <mergeCell ref="Q119:Q120"/>
    <mergeCell ref="AA141:AA142"/>
    <mergeCell ref="Q75:Q76"/>
    <mergeCell ref="I193:I194"/>
    <mergeCell ref="AG303:AG304"/>
    <mergeCell ref="AP57:AP58"/>
    <mergeCell ref="O317:O31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R121:AR122"/>
    <mergeCell ref="AP357:AP358"/>
    <mergeCell ref="S149:S150"/>
    <mergeCell ref="K223:K224"/>
    <mergeCell ref="P349:P350"/>
    <mergeCell ref="N251:N252"/>
    <mergeCell ref="P9:P10"/>
    <mergeCell ref="G117:G118"/>
    <mergeCell ref="M279:M280"/>
    <mergeCell ref="E353:E354"/>
    <mergeCell ref="AK127:AK128"/>
    <mergeCell ref="F319:F320"/>
    <mergeCell ref="A103:A104"/>
    <mergeCell ref="AG21:AG22"/>
    <mergeCell ref="M315:M316"/>
    <mergeCell ref="AB104:AF104"/>
    <mergeCell ref="H93:H94"/>
    <mergeCell ref="F291:F292"/>
    <mergeCell ref="H49:H50"/>
    <mergeCell ref="AL156:AO156"/>
    <mergeCell ref="O45:O46"/>
    <mergeCell ref="P11:P12"/>
    <mergeCell ref="AQ53:AQ54"/>
    <mergeCell ref="H207:H208"/>
    <mergeCell ref="O343:O344"/>
    <mergeCell ref="AQ351:AQ352"/>
    <mergeCell ref="I175:I176"/>
    <mergeCell ref="U243:U244"/>
    <mergeCell ref="AK39:AK40"/>
    <mergeCell ref="B17:B20"/>
    <mergeCell ref="Z43:Z44"/>
    <mergeCell ref="Z341:Z342"/>
    <mergeCell ref="J113:J114"/>
    <mergeCell ref="J151:J152"/>
    <mergeCell ref="O47:O48"/>
    <mergeCell ref="T173:T174"/>
    <mergeCell ref="D287:D288"/>
    <mergeCell ref="AG331:AG332"/>
    <mergeCell ref="J271:J272"/>
    <mergeCell ref="L29:L30"/>
    <mergeCell ref="AS111:AS112"/>
    <mergeCell ref="I177:I178"/>
    <mergeCell ref="O345:O346"/>
    <mergeCell ref="AQ353:AQ354"/>
    <mergeCell ref="AB316:AF316"/>
    <mergeCell ref="L215:L216"/>
    <mergeCell ref="F9:F10"/>
    <mergeCell ref="H109:H110"/>
    <mergeCell ref="AK159:AK160"/>
    <mergeCell ref="AK153:AK154"/>
    <mergeCell ref="AH174:AJ174"/>
    <mergeCell ref="J273:J274"/>
    <mergeCell ref="AH360:AJ360"/>
    <mergeCell ref="N279:N280"/>
    <mergeCell ref="P37:P38"/>
    <mergeCell ref="V239:V240"/>
    <mergeCell ref="Z59:Z60"/>
    <mergeCell ref="H111:H112"/>
    <mergeCell ref="AP287:AP288"/>
    <mergeCell ref="X295:X296"/>
    <mergeCell ref="F353:F354"/>
    <mergeCell ref="K147:K148"/>
    <mergeCell ref="AB34:AF34"/>
    <mergeCell ref="AR47:AR48"/>
    <mergeCell ref="AL304:AO304"/>
    <mergeCell ref="Z359:Z360"/>
    <mergeCell ref="U137:U138"/>
    <mergeCell ref="AB186:AF186"/>
    <mergeCell ref="M211:M212"/>
    <mergeCell ref="AK181:AK182"/>
    <mergeCell ref="B159:B162"/>
    <mergeCell ref="W53:W54"/>
    <mergeCell ref="E67:E68"/>
    <mergeCell ref="O267:O268"/>
    <mergeCell ref="AB30:AF30"/>
    <mergeCell ref="D131:D132"/>
    <mergeCell ref="T315:T316"/>
    <mergeCell ref="U139:U140"/>
    <mergeCell ref="P65:P66"/>
    <mergeCell ref="Q33:Q34"/>
    <mergeCell ref="AH44:AJ44"/>
    <mergeCell ref="J195:J196"/>
    <mergeCell ref="G125:G126"/>
    <mergeCell ref="S3:T3"/>
    <mergeCell ref="S247:S248"/>
    <mergeCell ref="K321:K322"/>
    <mergeCell ref="H251:H252"/>
    <mergeCell ref="Q35:Q36"/>
    <mergeCell ref="AH98:AJ98"/>
    <mergeCell ref="J197:J198"/>
    <mergeCell ref="L259:L260"/>
    <mergeCell ref="N17:N18"/>
    <mergeCell ref="Q193:Q194"/>
    <mergeCell ref="U13:U14"/>
    <mergeCell ref="S249:S250"/>
    <mergeCell ref="K323:K324"/>
    <mergeCell ref="AR187:AR188"/>
    <mergeCell ref="Z201:Z202"/>
    <mergeCell ref="AK207:AK208"/>
    <mergeCell ref="T187:T188"/>
    <mergeCell ref="L261:L262"/>
    <mergeCell ref="N19:N20"/>
    <mergeCell ref="D335:D336"/>
    <mergeCell ref="F93:F94"/>
    <mergeCell ref="AS125:AS126"/>
    <mergeCell ref="P75:P76"/>
    <mergeCell ref="AB56:AF56"/>
    <mergeCell ref="H155:H156"/>
    <mergeCell ref="AK199:AK200"/>
    <mergeCell ref="U313:U314"/>
    <mergeCell ref="U307:U308"/>
    <mergeCell ref="N317:N318"/>
    <mergeCell ref="X51:X52"/>
    <mergeCell ref="AA79:AA80"/>
    <mergeCell ref="X349:X350"/>
    <mergeCell ref="Z107:Z108"/>
    <mergeCell ref="B187:B190"/>
    <mergeCell ref="X9:X10"/>
    <mergeCell ref="AG103:AG104"/>
    <mergeCell ref="P83:P84"/>
    <mergeCell ref="J221:J222"/>
    <mergeCell ref="Z143:Z144"/>
    <mergeCell ref="N319:N320"/>
    <mergeCell ref="I247:I248"/>
    <mergeCell ref="W73:W74"/>
    <mergeCell ref="U315:U316"/>
    <mergeCell ref="V2:X2"/>
    <mergeCell ref="J223:J224"/>
    <mergeCell ref="T245:T246"/>
    <mergeCell ref="AQ87:AQ88"/>
    <mergeCell ref="AA235:AA236"/>
    <mergeCell ref="W283:W284"/>
    <mergeCell ref="AH126:AJ126"/>
    <mergeCell ref="L287:L288"/>
    <mergeCell ref="N45:N46"/>
    <mergeCell ref="V5:V6"/>
    <mergeCell ref="X67:X68"/>
    <mergeCell ref="AB42:AF42"/>
    <mergeCell ref="F119:F120"/>
    <mergeCell ref="AB260:AF260"/>
    <mergeCell ref="V303:V304"/>
    <mergeCell ref="N343:N344"/>
    <mergeCell ref="D361:D362"/>
    <mergeCell ref="Y43:Y44"/>
    <mergeCell ref="G57:G58"/>
    <mergeCell ref="AA105:AA106"/>
    <mergeCell ref="G355:G356"/>
    <mergeCell ref="I113:I114"/>
    <mergeCell ref="N47:N48"/>
    <mergeCell ref="P109:P110"/>
    <mergeCell ref="AR117:AR118"/>
    <mergeCell ref="Z169:Z170"/>
    <mergeCell ref="I271:I272"/>
    <mergeCell ref="Z125:Z126"/>
    <mergeCell ref="N345:N346"/>
    <mergeCell ref="AP353:AP354"/>
    <mergeCell ref="S145:S146"/>
    <mergeCell ref="Z283:Z284"/>
    <mergeCell ref="AA107:AA108"/>
    <mergeCell ref="S181:S182"/>
    <mergeCell ref="AL256:AO256"/>
    <mergeCell ref="M275:M276"/>
    <mergeCell ref="P111:P112"/>
    <mergeCell ref="E9:E10"/>
    <mergeCell ref="U237:U238"/>
    <mergeCell ref="AS207:AS208"/>
    <mergeCell ref="I273:I274"/>
    <mergeCell ref="Z127:Z128"/>
    <mergeCell ref="B117:B120"/>
    <mergeCell ref="U209:U210"/>
    <mergeCell ref="M283:M284"/>
    <mergeCell ref="O41:O42"/>
    <mergeCell ref="AH108:AJ108"/>
    <mergeCell ref="U239:U240"/>
    <mergeCell ref="K39:K40"/>
    <mergeCell ref="Y59:Y60"/>
    <mergeCell ref="W295:W296"/>
    <mergeCell ref="K337:K338"/>
    <mergeCell ref="C207:C210"/>
    <mergeCell ref="O43:O44"/>
    <mergeCell ref="Q105:Q106"/>
    <mergeCell ref="Y25:Y26"/>
    <mergeCell ref="W267:W268"/>
    <mergeCell ref="Q99:Q100"/>
    <mergeCell ref="AG327:AG328"/>
    <mergeCell ref="O341:O342"/>
    <mergeCell ref="V331:V332"/>
    <mergeCell ref="AH268:AJ268"/>
    <mergeCell ref="Y359:Y360"/>
    <mergeCell ref="O159:O160"/>
    <mergeCell ref="R195:R196"/>
    <mergeCell ref="D67:D68"/>
    <mergeCell ref="L27:L28"/>
    <mergeCell ref="S163:S164"/>
    <mergeCell ref="P279:P280"/>
    <mergeCell ref="AA125:AA126"/>
    <mergeCell ref="AA247:AA248"/>
    <mergeCell ref="S321:S322"/>
    <mergeCell ref="U79:U80"/>
    <mergeCell ref="I255:I256"/>
    <mergeCell ref="A9:A12"/>
    <mergeCell ref="AR259:AR260"/>
    <mergeCell ref="Z311:Z312"/>
    <mergeCell ref="P33:P34"/>
    <mergeCell ref="AQ319:AQ320"/>
    <mergeCell ref="H107:H108"/>
    <mergeCell ref="V17:V18"/>
    <mergeCell ref="AK151:AK152"/>
    <mergeCell ref="N91:N92"/>
    <mergeCell ref="S165:S166"/>
    <mergeCell ref="K205:K206"/>
    <mergeCell ref="B311:B312"/>
    <mergeCell ref="L327:L328"/>
    <mergeCell ref="AK271:AK272"/>
    <mergeCell ref="U81:U82"/>
    <mergeCell ref="AA243:AA244"/>
    <mergeCell ref="S323:S324"/>
    <mergeCell ref="D2:F2"/>
    <mergeCell ref="AH284:AJ284"/>
    <mergeCell ref="P35:P36"/>
    <mergeCell ref="I197:I198"/>
    <mergeCell ref="AP67:AP68"/>
    <mergeCell ref="J165:J166"/>
    <mergeCell ref="P193:P194"/>
    <mergeCell ref="V317:V318"/>
    <mergeCell ref="Y201:Y202"/>
    <mergeCell ref="Z25:Z26"/>
    <mergeCell ref="R99:R100"/>
    <mergeCell ref="R221:R222"/>
    <mergeCell ref="L53:L54"/>
    <mergeCell ref="K261:K262"/>
    <mergeCell ref="Y89:Y90"/>
    <mergeCell ref="H191:H192"/>
    <mergeCell ref="L229:L230"/>
    <mergeCell ref="L351:L352"/>
    <mergeCell ref="A355:A356"/>
    <mergeCell ref="Y203:Y204"/>
    <mergeCell ref="B135:B146"/>
    <mergeCell ref="W51:W52"/>
    <mergeCell ref="E65:E66"/>
    <mergeCell ref="AS251:AS252"/>
    <mergeCell ref="R223:R224"/>
    <mergeCell ref="G121:G122"/>
    <mergeCell ref="E363:E364"/>
    <mergeCell ref="L55:L56"/>
    <mergeCell ref="N117:N118"/>
    <mergeCell ref="L353:L354"/>
    <mergeCell ref="AS217:AS218"/>
    <mergeCell ref="D87:D88"/>
    <mergeCell ref="AK291:AK292"/>
    <mergeCell ref="E365:E366"/>
    <mergeCell ref="G123:G124"/>
    <mergeCell ref="C251:C254"/>
    <mergeCell ref="N119:N120"/>
    <mergeCell ref="O85:O86"/>
    <mergeCell ref="S245:S246"/>
    <mergeCell ref="H249:H250"/>
    <mergeCell ref="AG43:AG44"/>
    <mergeCell ref="V47:V48"/>
    <mergeCell ref="AA173:AA174"/>
    <mergeCell ref="I187:I188"/>
    <mergeCell ref="K287:K288"/>
    <mergeCell ref="W67:W68"/>
    <mergeCell ref="C361:C362"/>
    <mergeCell ref="P177:P178"/>
    <mergeCell ref="A93:A96"/>
    <mergeCell ref="C155:C158"/>
    <mergeCell ref="F57:F58"/>
    <mergeCell ref="M53:M54"/>
    <mergeCell ref="M9:M10"/>
    <mergeCell ref="M47:M48"/>
    <mergeCell ref="U311:U312"/>
    <mergeCell ref="G183:G184"/>
    <mergeCell ref="M345:M346"/>
    <mergeCell ref="M351:M352"/>
    <mergeCell ref="AB352:AF352"/>
    <mergeCell ref="AL192:AO192"/>
    <mergeCell ref="E93:E94"/>
    <mergeCell ref="C151:C154"/>
    <mergeCell ref="H121:H122"/>
    <mergeCell ref="G149:G150"/>
    <mergeCell ref="O111:O112"/>
    <mergeCell ref="Y127:Y128"/>
    <mergeCell ref="V63:V64"/>
    <mergeCell ref="A117:A120"/>
    <mergeCell ref="AA347:AA348"/>
    <mergeCell ref="L283:L284"/>
    <mergeCell ref="N41:N42"/>
    <mergeCell ref="AR57:AR58"/>
    <mergeCell ref="G151:G152"/>
    <mergeCell ref="I213:I214"/>
    <mergeCell ref="D17:D18"/>
    <mergeCell ref="J179:J180"/>
    <mergeCell ref="AG183:AG184"/>
    <mergeCell ref="AK221:AK222"/>
    <mergeCell ref="AS177:AS178"/>
    <mergeCell ref="AP113:AP114"/>
    <mergeCell ref="AA191:AA192"/>
    <mergeCell ref="I243:I244"/>
    <mergeCell ref="AA313:AA314"/>
    <mergeCell ref="T211:T212"/>
    <mergeCell ref="AA349:AA350"/>
    <mergeCell ref="L285:L286"/>
    <mergeCell ref="N43:N44"/>
    <mergeCell ref="P105:P106"/>
    <mergeCell ref="AB40:AF40"/>
    <mergeCell ref="I215:I216"/>
    <mergeCell ref="N341:N342"/>
    <mergeCell ref="C47:C48"/>
    <mergeCell ref="D135:D136"/>
    <mergeCell ref="AA315:AA316"/>
    <mergeCell ref="K307:K308"/>
    <mergeCell ref="AL252:AO252"/>
    <mergeCell ref="C177:C180"/>
    <mergeCell ref="X33:X34"/>
    <mergeCell ref="P107:P108"/>
    <mergeCell ref="AS151:AS152"/>
    <mergeCell ref="M37:M38"/>
    <mergeCell ref="R163:R164"/>
    <mergeCell ref="W97:W98"/>
    <mergeCell ref="F199:F200"/>
    <mergeCell ref="Z247:Z248"/>
    <mergeCell ref="R321:R322"/>
    <mergeCell ref="G325:G326"/>
    <mergeCell ref="R165:R166"/>
    <mergeCell ref="AG87:AG88"/>
    <mergeCell ref="M91:M92"/>
    <mergeCell ref="K327:K328"/>
    <mergeCell ref="H263:H264"/>
    <mergeCell ref="J21:J22"/>
    <mergeCell ref="R323:R324"/>
    <mergeCell ref="AA217:AA218"/>
    <mergeCell ref="A259:A262"/>
    <mergeCell ref="U19:U20"/>
    <mergeCell ref="AH264:AJ264"/>
    <mergeCell ref="M93:M94"/>
    <mergeCell ref="O155:O156"/>
    <mergeCell ref="T229:T230"/>
    <mergeCell ref="N183:N184"/>
    <mergeCell ref="AR199:AR200"/>
    <mergeCell ref="D159:D160"/>
    <mergeCell ref="AB68:AF68"/>
    <mergeCell ref="Y181:Y182"/>
    <mergeCell ref="I251:I252"/>
    <mergeCell ref="P247:P248"/>
    <mergeCell ref="V147:V148"/>
    <mergeCell ref="X203:X204"/>
    <mergeCell ref="I139:I140"/>
    <mergeCell ref="D65:D66"/>
    <mergeCell ref="Q223:Q224"/>
    <mergeCell ref="A2:A4"/>
    <mergeCell ref="M117:M118"/>
    <mergeCell ref="R7:R8"/>
    <mergeCell ref="K351:K352"/>
    <mergeCell ref="Z267:Z268"/>
    <mergeCell ref="U45:U46"/>
    <mergeCell ref="K361:K362"/>
    <mergeCell ref="M119:M120"/>
    <mergeCell ref="T71:T72"/>
    <mergeCell ref="O25:O26"/>
    <mergeCell ref="AA359:AA360"/>
    <mergeCell ref="H187:H188"/>
    <mergeCell ref="O183:O184"/>
    <mergeCell ref="AG125:AG126"/>
    <mergeCell ref="O177:O178"/>
    <mergeCell ref="AS247:AS248"/>
    <mergeCell ref="I313:I314"/>
    <mergeCell ref="AL260:AO260"/>
    <mergeCell ref="AG135:AG136"/>
    <mergeCell ref="Z181:Z182"/>
    <mergeCell ref="AP365:AP366"/>
    <mergeCell ref="H189:H190"/>
    <mergeCell ref="J251:J252"/>
    <mergeCell ref="L9:L10"/>
    <mergeCell ref="T311:T312"/>
    <mergeCell ref="B319:B320"/>
    <mergeCell ref="AA263:AA264"/>
    <mergeCell ref="K73:K74"/>
    <mergeCell ref="I315:I316"/>
    <mergeCell ref="D93:D94"/>
    <mergeCell ref="C247:C250"/>
    <mergeCell ref="B2:B4"/>
    <mergeCell ref="AH154:AJ154"/>
    <mergeCell ref="AA273:AA274"/>
    <mergeCell ref="L11:L12"/>
    <mergeCell ref="D207:D208"/>
    <mergeCell ref="Q243:Q244"/>
    <mergeCell ref="AG39:AG40"/>
    <mergeCell ref="U63:U64"/>
    <mergeCell ref="V43:V44"/>
    <mergeCell ref="V341:V342"/>
    <mergeCell ref="X99:X100"/>
    <mergeCell ref="F151:F152"/>
    <mergeCell ref="P173:P174"/>
    <mergeCell ref="H213:H214"/>
    <mergeCell ref="X135:X136"/>
    <mergeCell ref="F271:F272"/>
    <mergeCell ref="Y225:Y226"/>
    <mergeCell ref="H205:H206"/>
    <mergeCell ref="AP93:AP94"/>
    <mergeCell ref="AR155:AR156"/>
    <mergeCell ref="O105:O106"/>
    <mergeCell ref="K285:K286"/>
    <mergeCell ref="Z163:Z164"/>
    <mergeCell ref="H215:H216"/>
    <mergeCell ref="R237:R238"/>
    <mergeCell ref="B47:B48"/>
    <mergeCell ref="B351:B352"/>
    <mergeCell ref="AG153:AG154"/>
    <mergeCell ref="Z321:Z322"/>
    <mergeCell ref="Y227:Y228"/>
    <mergeCell ref="Z315:Z316"/>
    <mergeCell ref="AK161:AK162"/>
    <mergeCell ref="U275:U276"/>
    <mergeCell ref="W33:W34"/>
    <mergeCell ref="M349:M350"/>
    <mergeCell ref="O107:O108"/>
    <mergeCell ref="AH180:AJ180"/>
    <mergeCell ref="AB138:AF138"/>
    <mergeCell ref="AR151:AR152"/>
    <mergeCell ref="L37:L38"/>
    <mergeCell ref="AB132:AF132"/>
    <mergeCell ref="V59:V60"/>
    <mergeCell ref="D111:D112"/>
    <mergeCell ref="R239:R240"/>
    <mergeCell ref="J279:J280"/>
    <mergeCell ref="T295:T296"/>
    <mergeCell ref="Z323:Z324"/>
    <mergeCell ref="B353:B354"/>
    <mergeCell ref="G147:G148"/>
    <mergeCell ref="W35:W36"/>
    <mergeCell ref="O231:O232"/>
    <mergeCell ref="AH182:AJ182"/>
    <mergeCell ref="Q165:Q166"/>
    <mergeCell ref="B151:B154"/>
    <mergeCell ref="I21:I22"/>
    <mergeCell ref="G263:G264"/>
    <mergeCell ref="V359:V360"/>
    <mergeCell ref="Q137:Q138"/>
    <mergeCell ref="X275:X276"/>
    <mergeCell ref="I211:I212"/>
    <mergeCell ref="K267:K268"/>
    <mergeCell ref="S53:S54"/>
    <mergeCell ref="S229:S230"/>
    <mergeCell ref="AA311:AA312"/>
    <mergeCell ref="K303:K304"/>
    <mergeCell ref="AQ199:AQ200"/>
    <mergeCell ref="G265:G266"/>
    <mergeCell ref="M33:M34"/>
    <mergeCell ref="S55:S56"/>
    <mergeCell ref="U117:U118"/>
    <mergeCell ref="F195:F196"/>
    <mergeCell ref="S353:S354"/>
    <mergeCell ref="O247:O248"/>
    <mergeCell ref="K87:K88"/>
    <mergeCell ref="AS263:AS264"/>
    <mergeCell ref="AR291:AR292"/>
    <mergeCell ref="G321:G322"/>
    <mergeCell ref="A199:A202"/>
    <mergeCell ref="D251:D252"/>
    <mergeCell ref="AR327:AR328"/>
    <mergeCell ref="H259:H260"/>
    <mergeCell ref="J17:J18"/>
    <mergeCell ref="M193:M194"/>
    <mergeCell ref="Q13:Q14"/>
    <mergeCell ref="O249:O250"/>
    <mergeCell ref="AH18:AJ18"/>
    <mergeCell ref="AL332:AO332"/>
    <mergeCell ref="D35:D36"/>
    <mergeCell ref="B327:B330"/>
    <mergeCell ref="J19:J20"/>
    <mergeCell ref="J361:J362"/>
    <mergeCell ref="W177:W178"/>
    <mergeCell ref="L75:L76"/>
    <mergeCell ref="J317:J318"/>
    <mergeCell ref="Q313:Q314"/>
    <mergeCell ref="S71:S72"/>
    <mergeCell ref="Q307:Q308"/>
    <mergeCell ref="L91:L92"/>
    <mergeCell ref="AR9:AR10"/>
    <mergeCell ref="AB64:AF64"/>
    <mergeCell ref="E131:E132"/>
    <mergeCell ref="AH1:AS1"/>
    <mergeCell ref="N25:N26"/>
    <mergeCell ref="F99:F100"/>
    <mergeCell ref="F221:F222"/>
    <mergeCell ref="AP251:AP252"/>
    <mergeCell ref="L83:L84"/>
    <mergeCell ref="AK205:AK206"/>
    <mergeCell ref="AH220:AJ220"/>
    <mergeCell ref="J319:J320"/>
    <mergeCell ref="B195:B198"/>
    <mergeCell ref="S73:S74"/>
    <mergeCell ref="AK363:AK364"/>
    <mergeCell ref="AK357:AK358"/>
    <mergeCell ref="L93:L94"/>
    <mergeCell ref="M203:M204"/>
    <mergeCell ref="AL50:AO50"/>
    <mergeCell ref="H163:H164"/>
    <mergeCell ref="G189:G190"/>
    <mergeCell ref="AH222:AJ222"/>
    <mergeCell ref="AK365:AK366"/>
    <mergeCell ref="Z263:Z264"/>
    <mergeCell ref="AL236:AO236"/>
    <mergeCell ref="U41:U42"/>
    <mergeCell ref="S283:S284"/>
    <mergeCell ref="N151:N152"/>
    <mergeCell ref="AR221:AR222"/>
    <mergeCell ref="J45:J46"/>
    <mergeCell ref="I253:I254"/>
    <mergeCell ref="Z273:Z274"/>
    <mergeCell ref="H281:H282"/>
    <mergeCell ref="H287:H288"/>
    <mergeCell ref="J343:J344"/>
    <mergeCell ref="P243:P244"/>
    <mergeCell ref="AL350:AO350"/>
    <mergeCell ref="AA355:AA356"/>
    <mergeCell ref="S285:S286"/>
    <mergeCell ref="U43:U44"/>
    <mergeCell ref="W105:W106"/>
    <mergeCell ref="E113:E114"/>
    <mergeCell ref="J47:J48"/>
    <mergeCell ref="L109:L110"/>
    <mergeCell ref="AB204:AF204"/>
    <mergeCell ref="J345:J346"/>
    <mergeCell ref="E271:E272"/>
    <mergeCell ref="D177:D178"/>
    <mergeCell ref="R307:R308"/>
    <mergeCell ref="AB240:AF240"/>
    <mergeCell ref="O181:O182"/>
    <mergeCell ref="Y163:Y164"/>
    <mergeCell ref="G215:G216"/>
    <mergeCell ref="L111:L112"/>
    <mergeCell ref="Q237:Q238"/>
    <mergeCell ref="AH248:AJ248"/>
    <mergeCell ref="Y321:Y322"/>
    <mergeCell ref="X347:X348"/>
    <mergeCell ref="AQ151:AQ152"/>
    <mergeCell ref="T91:T92"/>
    <mergeCell ref="K37:K38"/>
    <mergeCell ref="Y165:Y166"/>
    <mergeCell ref="U59:U60"/>
    <mergeCell ref="C111:C112"/>
    <mergeCell ref="Q239:Q240"/>
    <mergeCell ref="AA81:AA82"/>
    <mergeCell ref="AP177:AP178"/>
    <mergeCell ref="AQ271:AQ272"/>
    <mergeCell ref="I279:I280"/>
    <mergeCell ref="AK287:AK288"/>
    <mergeCell ref="Z291:Z292"/>
    <mergeCell ref="S295:S296"/>
    <mergeCell ref="Y323:Y324"/>
    <mergeCell ref="AP335:AP336"/>
    <mergeCell ref="D49:D50"/>
    <mergeCell ref="A319:A320"/>
    <mergeCell ref="AS215:AS216"/>
    <mergeCell ref="V155:V156"/>
    <mergeCell ref="I281:I282"/>
    <mergeCell ref="U61:U62"/>
    <mergeCell ref="U183:U184"/>
    <mergeCell ref="AK289:AK290"/>
    <mergeCell ref="U359:U360"/>
    <mergeCell ref="AH88:AJ88"/>
    <mergeCell ref="A271:A274"/>
    <mergeCell ref="C29:C32"/>
    <mergeCell ref="W275:W276"/>
    <mergeCell ref="H211:H212"/>
    <mergeCell ref="L279:L280"/>
    <mergeCell ref="B93:B96"/>
    <mergeCell ref="AG149:AG150"/>
    <mergeCell ref="E177:E178"/>
    <mergeCell ref="W247:W248"/>
    <mergeCell ref="O321:O322"/>
    <mergeCell ref="Q79:Q80"/>
    <mergeCell ref="AB224:AF224"/>
    <mergeCell ref="L33:L34"/>
    <mergeCell ref="R17:R18"/>
    <mergeCell ref="R55:R56"/>
    <mergeCell ref="J91:J92"/>
    <mergeCell ref="T117:T118"/>
    <mergeCell ref="AG151:AG152"/>
    <mergeCell ref="G205:G206"/>
    <mergeCell ref="Y7:Y8"/>
    <mergeCell ref="Q81:Q82"/>
    <mergeCell ref="AP203:AP204"/>
    <mergeCell ref="W243:W244"/>
    <mergeCell ref="AG267:AG268"/>
    <mergeCell ref="AH178:AJ178"/>
    <mergeCell ref="Y341:Y342"/>
    <mergeCell ref="L35:L36"/>
    <mergeCell ref="R361:R362"/>
    <mergeCell ref="G259:G260"/>
    <mergeCell ref="L193:L194"/>
    <mergeCell ref="P13:P14"/>
    <mergeCell ref="AQ299:AQ300"/>
    <mergeCell ref="AS57:AS58"/>
    <mergeCell ref="AA71:AA72"/>
    <mergeCell ref="AK131:AK132"/>
    <mergeCell ref="N249:N250"/>
    <mergeCell ref="Y307:Y308"/>
    <mergeCell ref="AS355:AS356"/>
    <mergeCell ref="U201:U202"/>
    <mergeCell ref="AL300:AO300"/>
    <mergeCell ref="G261:G262"/>
    <mergeCell ref="I19:I20"/>
    <mergeCell ref="U89:U90"/>
    <mergeCell ref="P15:P16"/>
    <mergeCell ref="V177:V178"/>
    <mergeCell ref="D191:D192"/>
    <mergeCell ref="Z215:Z216"/>
    <mergeCell ref="P313:P314"/>
    <mergeCell ref="AR321:AR322"/>
    <mergeCell ref="O347:O348"/>
    <mergeCell ref="AB250:AF250"/>
    <mergeCell ref="U203:U204"/>
    <mergeCell ref="E317:E318"/>
    <mergeCell ref="AS357:AS358"/>
    <mergeCell ref="K83:K84"/>
    <mergeCell ref="AR287:AR288"/>
    <mergeCell ref="I319:I320"/>
    <mergeCell ref="R79:R80"/>
    <mergeCell ref="Q107:Q108"/>
    <mergeCell ref="R73:R74"/>
    <mergeCell ref="D247:D248"/>
    <mergeCell ref="P315:P316"/>
    <mergeCell ref="AR323:AR324"/>
    <mergeCell ref="AB304:AF304"/>
    <mergeCell ref="K93:K94"/>
    <mergeCell ref="S11:S12"/>
    <mergeCell ref="K85:K86"/>
    <mergeCell ref="AH318:AJ318"/>
    <mergeCell ref="X243:X244"/>
    <mergeCell ref="T137:T138"/>
    <mergeCell ref="AH348:AJ348"/>
    <mergeCell ref="B215:B220"/>
    <mergeCell ref="N267:N268"/>
    <mergeCell ref="B323:B326"/>
    <mergeCell ref="W173:W174"/>
    <mergeCell ref="AQ221:AQ222"/>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V105:V106"/>
    <mergeCell ref="AA39:AA40"/>
    <mergeCell ref="I53:I54"/>
    <mergeCell ref="Y237:Y238"/>
    <mergeCell ref="I47:I48"/>
    <mergeCell ref="K109:K110"/>
    <mergeCell ref="Z203:Z204"/>
    <mergeCell ref="G289:G290"/>
    <mergeCell ref="Q311:Q312"/>
    <mergeCell ref="I351:I352"/>
    <mergeCell ref="AR349:AR350"/>
    <mergeCell ref="N181:N182"/>
    <mergeCell ref="AS287:AS288"/>
    <mergeCell ref="K111:K112"/>
    <mergeCell ref="AK361:AK362"/>
    <mergeCell ref="U133:U134"/>
    <mergeCell ref="AA295:AA296"/>
    <mergeCell ref="N147:N148"/>
    <mergeCell ref="P209:P210"/>
    <mergeCell ref="AB332:AF332"/>
    <mergeCell ref="H283:H284"/>
    <mergeCell ref="W347:W348"/>
    <mergeCell ref="P245:P246"/>
    <mergeCell ref="P239:P240"/>
    <mergeCell ref="F39:F40"/>
    <mergeCell ref="AP271:AP272"/>
    <mergeCell ref="E243:E244"/>
    <mergeCell ref="G305:G306"/>
    <mergeCell ref="I63:I64"/>
    <mergeCell ref="AL356:AO356"/>
    <mergeCell ref="P211:P212"/>
    <mergeCell ref="H285:H286"/>
    <mergeCell ref="J43:J44"/>
    <mergeCell ref="L105:L106"/>
    <mergeCell ref="H67:H68"/>
    <mergeCell ref="J341:J342"/>
    <mergeCell ref="R5:R6"/>
    <mergeCell ref="AA21:AA22"/>
    <mergeCell ref="T67:T68"/>
    <mergeCell ref="S95:S96"/>
    <mergeCell ref="AG225:AG226"/>
    <mergeCell ref="Z229:Z230"/>
    <mergeCell ref="R303:R304"/>
    <mergeCell ref="J159:J160"/>
    <mergeCell ref="G307:G308"/>
    <mergeCell ref="AQ363:AQ364"/>
    <mergeCell ref="AL18:AO18"/>
    <mergeCell ref="T33:T34"/>
    <mergeCell ref="L107:L108"/>
    <mergeCell ref="N163:N164"/>
    <mergeCell ref="V3:W3"/>
    <mergeCell ref="V247:V248"/>
    <mergeCell ref="N321:N322"/>
    <mergeCell ref="AQ243:AQ244"/>
    <mergeCell ref="AA357:AA358"/>
    <mergeCell ref="AQ365:AQ366"/>
    <mergeCell ref="K33:K34"/>
    <mergeCell ref="O259:O260"/>
    <mergeCell ref="N165:N166"/>
    <mergeCell ref="T193:T194"/>
    <mergeCell ref="X13:X14"/>
    <mergeCell ref="G327:G328"/>
    <mergeCell ref="AS131:AS132"/>
    <mergeCell ref="N323:N324"/>
    <mergeCell ref="K41:K42"/>
    <mergeCell ref="A243:A246"/>
    <mergeCell ref="I277:I278"/>
    <mergeCell ref="K35:K36"/>
    <mergeCell ref="K155:K156"/>
    <mergeCell ref="AP299:AP300"/>
    <mergeCell ref="Z71:Z72"/>
    <mergeCell ref="X313:X314"/>
    <mergeCell ref="R145:R146"/>
    <mergeCell ref="X307:X308"/>
    <mergeCell ref="U25:U26"/>
    <mergeCell ref="M99:M100"/>
    <mergeCell ref="I205:I206"/>
    <mergeCell ref="E173:E174"/>
    <mergeCell ref="T89:T90"/>
    <mergeCell ref="Z73:Z74"/>
    <mergeCell ref="AR363:AR364"/>
    <mergeCell ref="R147:R148"/>
    <mergeCell ref="T209:T210"/>
    <mergeCell ref="AR357:AR358"/>
    <mergeCell ref="T203:T204"/>
    <mergeCell ref="D317:D318"/>
    <mergeCell ref="M223:M224"/>
    <mergeCell ref="I117:I118"/>
    <mergeCell ref="G353:G354"/>
    <mergeCell ref="E255:E256"/>
    <mergeCell ref="N349:N350"/>
    <mergeCell ref="AG263:AG264"/>
    <mergeCell ref="C327:C330"/>
    <mergeCell ref="AP17:AP18"/>
    <mergeCell ref="V267:V268"/>
    <mergeCell ref="O287:O288"/>
    <mergeCell ref="Q45:Q46"/>
    <mergeCell ref="G361:G362"/>
    <mergeCell ref="AS53:AS54"/>
    <mergeCell ref="AA67:AA68"/>
    <mergeCell ref="H327:H328"/>
    <mergeCell ref="I295:I296"/>
    <mergeCell ref="AS351:AS352"/>
    <mergeCell ref="A215:A220"/>
    <mergeCell ref="AP317:AP318"/>
    <mergeCell ref="A323:A326"/>
    <mergeCell ref="K25:K26"/>
    <mergeCell ref="Q47:Q48"/>
    <mergeCell ref="S109:S110"/>
    <mergeCell ref="D187:D188"/>
    <mergeCell ref="K183:K184"/>
    <mergeCell ref="Q345:Q346"/>
    <mergeCell ref="AS353:AS354"/>
    <mergeCell ref="K177:K178"/>
    <mergeCell ref="AB246:AF246"/>
    <mergeCell ref="C53:C56"/>
    <mergeCell ref="E313:E314"/>
    <mergeCell ref="AP319:AP320"/>
    <mergeCell ref="H53:H54"/>
    <mergeCell ref="H9:H10"/>
    <mergeCell ref="P311:P312"/>
    <mergeCell ref="R69:R70"/>
    <mergeCell ref="Y363:Y364"/>
    <mergeCell ref="AL88:AO88"/>
    <mergeCell ref="H55:H56"/>
    <mergeCell ref="J117:J118"/>
    <mergeCell ref="X239:X240"/>
    <mergeCell ref="H11:H12"/>
    <mergeCell ref="H353:H354"/>
    <mergeCell ref="T133:T134"/>
    <mergeCell ref="M243:M244"/>
    <mergeCell ref="AG291:AG292"/>
    <mergeCell ref="Q63:Q64"/>
    <mergeCell ref="AQ313:AQ314"/>
    <mergeCell ref="J83:J84"/>
    <mergeCell ref="G283:G284"/>
    <mergeCell ref="T135:T136"/>
    <mergeCell ref="U225:U226"/>
    <mergeCell ref="V191:V192"/>
    <mergeCell ref="AK113:AK114"/>
    <mergeCell ref="B287:B290"/>
    <mergeCell ref="AG293:AG294"/>
    <mergeCell ref="V349:V350"/>
    <mergeCell ref="G285:G286"/>
    <mergeCell ref="I43:I44"/>
    <mergeCell ref="K105:K106"/>
    <mergeCell ref="A307:A310"/>
    <mergeCell ref="D215:D216"/>
    <mergeCell ref="I341:I342"/>
    <mergeCell ref="L177:L178"/>
    <mergeCell ref="V321:V322"/>
    <mergeCell ref="V315:V316"/>
    <mergeCell ref="X255:X256"/>
    <mergeCell ref="Q275:Q276"/>
    <mergeCell ref="S33:S34"/>
    <mergeCell ref="I349:I350"/>
    <mergeCell ref="K107:K108"/>
    <mergeCell ref="H37:H38"/>
    <mergeCell ref="M163:M164"/>
    <mergeCell ref="R97:R98"/>
    <mergeCell ref="V323:V324"/>
    <mergeCell ref="AB328:AF328"/>
    <mergeCell ref="G2:I2"/>
    <mergeCell ref="S35:S36"/>
    <mergeCell ref="M165:M166"/>
    <mergeCell ref="S193:S194"/>
    <mergeCell ref="W13:W14"/>
    <mergeCell ref="T161:T162"/>
    <mergeCell ref="U249:U250"/>
    <mergeCell ref="E21:E22"/>
    <mergeCell ref="AR131:AR132"/>
    <mergeCell ref="Z145:Z146"/>
    <mergeCell ref="M323:M324"/>
    <mergeCell ref="A39:A42"/>
    <mergeCell ref="AB112:AF112"/>
    <mergeCell ref="T275:T276"/>
    <mergeCell ref="AB288:AF288"/>
    <mergeCell ref="A35:A38"/>
    <mergeCell ref="O53:O54"/>
    <mergeCell ref="F335:F336"/>
    <mergeCell ref="AG215:AG216"/>
    <mergeCell ref="J155:J156"/>
    <mergeCell ref="O229:O230"/>
    <mergeCell ref="W313:W314"/>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A353:AA354"/>
    <mergeCell ref="AQ361:AQ362"/>
    <mergeCell ref="AA319:AA320"/>
    <mergeCell ref="D259:D260"/>
    <mergeCell ref="M13:M14"/>
    <mergeCell ref="AH358:AJ358"/>
    <mergeCell ref="K249:K250"/>
    <mergeCell ref="AA137:AA138"/>
    <mergeCell ref="AB16:AF16"/>
    <mergeCell ref="S211:S212"/>
    <mergeCell ref="A21:A24"/>
    <mergeCell ref="U267:U268"/>
    <mergeCell ref="AK11:AK12"/>
    <mergeCell ref="AH26:AJ26"/>
    <mergeCell ref="F203:F204"/>
    <mergeCell ref="M341:M342"/>
    <mergeCell ref="X5:X6"/>
    <mergeCell ref="Z67:Z68"/>
    <mergeCell ref="AL188:AO188"/>
    <mergeCell ref="F317:F318"/>
    <mergeCell ref="F361:F362"/>
    <mergeCell ref="M313:M314"/>
    <mergeCell ref="O71:O72"/>
    <mergeCell ref="AA139:AA140"/>
    <mergeCell ref="M307:M308"/>
    <mergeCell ref="J25:J26"/>
    <mergeCell ref="P53:P54"/>
    <mergeCell ref="P47:P48"/>
    <mergeCell ref="R109:R110"/>
    <mergeCell ref="Z69:Z70"/>
    <mergeCell ref="J183:J184"/>
    <mergeCell ref="N361:N362"/>
    <mergeCell ref="O73:O74"/>
    <mergeCell ref="D313:D314"/>
    <mergeCell ref="AG363:AG364"/>
    <mergeCell ref="AG357:AG358"/>
    <mergeCell ref="U181:U182"/>
    <mergeCell ref="AB184:AF184"/>
    <mergeCell ref="R111:R112"/>
    <mergeCell ref="G9:G10"/>
    <mergeCell ref="E251:E252"/>
    <mergeCell ref="L247:L248"/>
    <mergeCell ref="AB342:AF342"/>
    <mergeCell ref="K275:K276"/>
    <mergeCell ref="AP13:AP14"/>
    <mergeCell ref="AQ49:AQ50"/>
    <mergeCell ref="D315:D316"/>
    <mergeCell ref="AR361:AR362"/>
    <mergeCell ref="AK179:AK180"/>
    <mergeCell ref="O283:O284"/>
    <mergeCell ref="Q41:Q42"/>
    <mergeCell ref="Q77:Q78"/>
    <mergeCell ref="G11:G12"/>
    <mergeCell ref="W239:W240"/>
    <mergeCell ref="R167:R168"/>
    <mergeCell ref="N7:N8"/>
    <mergeCell ref="L243:L244"/>
    <mergeCell ref="AS113:AS114"/>
    <mergeCell ref="P63:P64"/>
    <mergeCell ref="AP313:AP314"/>
    <mergeCell ref="H137:H138"/>
    <mergeCell ref="Q43:Q44"/>
    <mergeCell ref="S105:S106"/>
    <mergeCell ref="X39:X40"/>
    <mergeCell ref="Y5:Y6"/>
    <mergeCell ref="G141:G142"/>
    <mergeCell ref="Y303:Y304"/>
    <mergeCell ref="R169:R170"/>
    <mergeCell ref="X331:X332"/>
    <mergeCell ref="N307:N308"/>
    <mergeCell ref="AP315:AP316"/>
    <mergeCell ref="AR73:AR74"/>
    <mergeCell ref="H261:H262"/>
    <mergeCell ref="AA33:AA34"/>
    <mergeCell ref="AK93:AK94"/>
    <mergeCell ref="AQ2:AS2"/>
    <mergeCell ref="S107:S108"/>
    <mergeCell ref="K181:K182"/>
    <mergeCell ref="U163:U164"/>
    <mergeCell ref="Z97:Z98"/>
    <mergeCell ref="U321:U322"/>
    <mergeCell ref="AL122:AO122"/>
    <mergeCell ref="C9:C12"/>
    <mergeCell ref="T227:T228"/>
    <mergeCell ref="H349:H350"/>
    <mergeCell ref="J107:J108"/>
    <mergeCell ref="U165:U166"/>
    <mergeCell ref="E279:E280"/>
    <mergeCell ref="G37:G38"/>
    <mergeCell ref="AG287:AG288"/>
    <mergeCell ref="U323:U324"/>
    <mergeCell ref="AB364:AF364"/>
    <mergeCell ref="V291:V292"/>
    <mergeCell ref="R35:R36"/>
    <mergeCell ref="R155:R156"/>
    <mergeCell ref="Q61:Q62"/>
    <mergeCell ref="AK109:AK110"/>
    <mergeCell ref="AQ131:AQ132"/>
    <mergeCell ref="Y145:Y146"/>
    <mergeCell ref="AP341:AP342"/>
    <mergeCell ref="AA201:AA202"/>
    <mergeCell ref="S275:S276"/>
    <mergeCell ref="D211:D212"/>
    <mergeCell ref="T99:T100"/>
    <mergeCell ref="L173:L174"/>
    <mergeCell ref="AB268:AF268"/>
    <mergeCell ref="Y331:Y332"/>
    <mergeCell ref="AA89:AA90"/>
    <mergeCell ref="D29:D30"/>
    <mergeCell ref="AK111:AK112"/>
    <mergeCell ref="A163:A172"/>
    <mergeCell ref="AS195:AS196"/>
    <mergeCell ref="C355:C356"/>
    <mergeCell ref="L139:L140"/>
    <mergeCell ref="N201:N202"/>
    <mergeCell ref="F275:F276"/>
    <mergeCell ref="H33:H34"/>
    <mergeCell ref="N55:N56"/>
    <mergeCell ref="P117:P118"/>
    <mergeCell ref="AK235:AK236"/>
    <mergeCell ref="F87:F88"/>
    <mergeCell ref="AL106:AO106"/>
    <mergeCell ref="E151:E152"/>
    <mergeCell ref="H35:H36"/>
    <mergeCell ref="AL264:AO264"/>
    <mergeCell ref="H333:H334"/>
    <mergeCell ref="P119:P120"/>
    <mergeCell ref="E17:E18"/>
    <mergeCell ref="Z141:Z142"/>
    <mergeCell ref="Q87:Q88"/>
    <mergeCell ref="L13:L14"/>
    <mergeCell ref="H193:H194"/>
    <mergeCell ref="J249:J250"/>
    <mergeCell ref="P295:P296"/>
    <mergeCell ref="AG131:AG132"/>
    <mergeCell ref="Q245:Q246"/>
    <mergeCell ref="AH2:AK2"/>
    <mergeCell ref="R183:R184"/>
    <mergeCell ref="L15:L16"/>
    <mergeCell ref="AH152:AJ152"/>
    <mergeCell ref="R177:R178"/>
    <mergeCell ref="AQ121:AQ122"/>
    <mergeCell ref="N71:N72"/>
    <mergeCell ref="C93:C96"/>
    <mergeCell ref="L313:L314"/>
    <mergeCell ref="AK251:AK252"/>
    <mergeCell ref="S303:S304"/>
    <mergeCell ref="A317:A318"/>
    <mergeCell ref="I25:I26"/>
    <mergeCell ref="X103:X104"/>
    <mergeCell ref="Y69:Y70"/>
    <mergeCell ref="W311:W312"/>
    <mergeCell ref="E319:E320"/>
    <mergeCell ref="L315:L316"/>
    <mergeCell ref="N73:N74"/>
    <mergeCell ref="G93:G94"/>
    <mergeCell ref="I155:I156"/>
    <mergeCell ref="W125:W126"/>
    <mergeCell ref="G269:G270"/>
    <mergeCell ref="A151:A154"/>
    <mergeCell ref="Z167:Z168"/>
    <mergeCell ref="S207:S208"/>
    <mergeCell ref="T243:T244"/>
    <mergeCell ref="AP49:AP50"/>
    <mergeCell ref="X63:X64"/>
    <mergeCell ref="C117:C120"/>
    <mergeCell ref="P137:P138"/>
    <mergeCell ref="T297:T298"/>
    <mergeCell ref="I157:I158"/>
    <mergeCell ref="J267:J268"/>
    <mergeCell ref="AA135:AA136"/>
    <mergeCell ref="AB136:AF136"/>
    <mergeCell ref="W29:W30"/>
    <mergeCell ref="AR113:AR114"/>
    <mergeCell ref="P139:P140"/>
    <mergeCell ref="T299:T300"/>
    <mergeCell ref="AB312:AF312"/>
    <mergeCell ref="H351:H352"/>
    <mergeCell ref="L155:L156"/>
    <mergeCell ref="AS93:AS94"/>
    <mergeCell ref="P43:P44"/>
    <mergeCell ref="R105:R106"/>
    <mergeCell ref="N285:N286"/>
    <mergeCell ref="W39:W40"/>
    <mergeCell ref="E53:E54"/>
    <mergeCell ref="K215:K216"/>
    <mergeCell ref="E47:E48"/>
    <mergeCell ref="A1:C1"/>
    <mergeCell ref="G109:G110"/>
    <mergeCell ref="P347:P348"/>
    <mergeCell ref="E351:E352"/>
    <mergeCell ref="N99:N100"/>
    <mergeCell ref="AB314:AF314"/>
    <mergeCell ref="V357:V358"/>
    <mergeCell ref="AK279:AK280"/>
    <mergeCell ref="R107:R108"/>
    <mergeCell ref="J181:J182"/>
    <mergeCell ref="Y103:Y104"/>
    <mergeCell ref="O37:O38"/>
    <mergeCell ref="Y97:Y98"/>
    <mergeCell ref="G111:G112"/>
    <mergeCell ref="AA159:AA160"/>
    <mergeCell ref="AG361:AG362"/>
    <mergeCell ref="S347:S348"/>
    <mergeCell ref="T165:T166"/>
    <mergeCell ref="AQ47:AQ48"/>
    <mergeCell ref="AA161:AA162"/>
    <mergeCell ref="P59:P60"/>
    <mergeCell ref="L239:L240"/>
    <mergeCell ref="T323:T324"/>
    <mergeCell ref="U291:U292"/>
    <mergeCell ref="E63:E64"/>
    <mergeCell ref="AK335:AK336"/>
    <mergeCell ref="E221:E222"/>
    <mergeCell ref="C259:C262"/>
    <mergeCell ref="N5:N6"/>
    <mergeCell ref="P67:P68"/>
    <mergeCell ref="Q155:Q156"/>
    <mergeCell ref="AH166:AJ166"/>
    <mergeCell ref="P61:P62"/>
    <mergeCell ref="N303:N304"/>
    <mergeCell ref="M335:M336"/>
    <mergeCell ref="P359:P360"/>
    <mergeCell ref="U293:U294"/>
    <mergeCell ref="W355:W356"/>
    <mergeCell ref="Y113:Y114"/>
    <mergeCell ref="Z93:Z94"/>
    <mergeCell ref="F47:F48"/>
    <mergeCell ref="X117:X118"/>
    <mergeCell ref="AP279:AP280"/>
    <mergeCell ref="R125:R126"/>
    <mergeCell ref="R247:R248"/>
    <mergeCell ref="J321:J322"/>
    <mergeCell ref="X147:X148"/>
    <mergeCell ref="AQ63:AQ64"/>
    <mergeCell ref="T41:T42"/>
    <mergeCell ref="R283:R284"/>
    <mergeCell ref="G33:G34"/>
    <mergeCell ref="AK49:AK50"/>
    <mergeCell ref="K259:K260"/>
    <mergeCell ref="M17:M18"/>
    <mergeCell ref="AB366:AF366"/>
    <mergeCell ref="B363:B364"/>
    <mergeCell ref="T13:T14"/>
    <mergeCell ref="R127:R128"/>
    <mergeCell ref="T7:T8"/>
    <mergeCell ref="R249:R250"/>
    <mergeCell ref="L81:L82"/>
    <mergeCell ref="Z211:Z212"/>
    <mergeCell ref="J323:J324"/>
    <mergeCell ref="G41:G42"/>
    <mergeCell ref="T341:T342"/>
    <mergeCell ref="G35:G36"/>
    <mergeCell ref="A63:A66"/>
    <mergeCell ref="G333:G334"/>
    <mergeCell ref="AG67:AG68"/>
    <mergeCell ref="O119:O120"/>
    <mergeCell ref="T15:T16"/>
    <mergeCell ref="Y141:Y142"/>
    <mergeCell ref="Z177:Z178"/>
    <mergeCell ref="G193:G194"/>
    <mergeCell ref="T313:T314"/>
    <mergeCell ref="M361:M362"/>
    <mergeCell ref="N145:N146"/>
    <mergeCell ref="T307:T308"/>
    <mergeCell ref="P201:P202"/>
    <mergeCell ref="Q25:Q26"/>
    <mergeCell ref="I99:I100"/>
    <mergeCell ref="Q183:Q184"/>
    <mergeCell ref="Y143:Y144"/>
    <mergeCell ref="P89:P90"/>
    <mergeCell ref="K15:K16"/>
    <mergeCell ref="I257:I258"/>
    <mergeCell ref="V73:V74"/>
    <mergeCell ref="AP121:AP122"/>
    <mergeCell ref="AA199:AA200"/>
    <mergeCell ref="C279:C282"/>
    <mergeCell ref="K313:K314"/>
    <mergeCell ref="J347:J348"/>
    <mergeCell ref="P203:P204"/>
    <mergeCell ref="Y255:Y256"/>
    <mergeCell ref="E117:E118"/>
    <mergeCell ref="C353:C354"/>
    <mergeCell ref="M79:M80"/>
    <mergeCell ref="J349:J350"/>
    <mergeCell ref="K315:K316"/>
    <mergeCell ref="G209:G210"/>
    <mergeCell ref="R267:R268"/>
    <mergeCell ref="Y167:Y168"/>
    <mergeCell ref="U7:U8"/>
    <mergeCell ref="C35:C38"/>
    <mergeCell ref="M81:M82"/>
    <mergeCell ref="G175:G176"/>
    <mergeCell ref="W63:W64"/>
    <mergeCell ref="AK191:AK192"/>
    <mergeCell ref="O137:O138"/>
    <mergeCell ref="S243:S244"/>
    <mergeCell ref="AH252:AJ252"/>
    <mergeCell ref="H157:H158"/>
    <mergeCell ref="R173:R174"/>
    <mergeCell ref="AG95:AG96"/>
    <mergeCell ref="O109:O110"/>
    <mergeCell ref="AQ117:AQ118"/>
    <mergeCell ref="H149:H150"/>
    <mergeCell ref="Y169:Y170"/>
    <mergeCell ref="G177:G178"/>
    <mergeCell ref="J205:J206"/>
    <mergeCell ref="A313:A314"/>
    <mergeCell ref="O139:O140"/>
    <mergeCell ref="Q201:Q202"/>
    <mergeCell ref="AQ147:AQ148"/>
    <mergeCell ref="P229:P230"/>
    <mergeCell ref="G335:G336"/>
    <mergeCell ref="I269:I270"/>
    <mergeCell ref="AL222:AO222"/>
    <mergeCell ref="V39:V40"/>
    <mergeCell ref="D53:D54"/>
    <mergeCell ref="AG97:AG98"/>
    <mergeCell ref="D9:D10"/>
    <mergeCell ref="T237:T238"/>
    <mergeCell ref="AS219:AS220"/>
    <mergeCell ref="D351:D352"/>
    <mergeCell ref="AA227:AA228"/>
    <mergeCell ref="I241:I242"/>
    <mergeCell ref="U363:U364"/>
    <mergeCell ref="Q203:Q204"/>
    <mergeCell ref="A147:A150"/>
    <mergeCell ref="F117:F118"/>
    <mergeCell ref="T239:T240"/>
    <mergeCell ref="D353:D354"/>
    <mergeCell ref="X59:X60"/>
    <mergeCell ref="F111:F112"/>
    <mergeCell ref="AH238:AJ238"/>
    <mergeCell ref="AK217:AK218"/>
    <mergeCell ref="V295:V296"/>
    <mergeCell ref="M63:M64"/>
    <mergeCell ref="M221:M222"/>
    <mergeCell ref="AP53:AP54"/>
    <mergeCell ref="AP47:AP48"/>
    <mergeCell ref="H175:H176"/>
    <mergeCell ref="AP351:AP352"/>
    <mergeCell ref="G203:G204"/>
    <mergeCell ref="X359:X360"/>
    <mergeCell ref="AG113:AG114"/>
    <mergeCell ref="S173:S174"/>
    <mergeCell ref="M5:M6"/>
    <mergeCell ref="AR111:AR112"/>
    <mergeCell ref="C103:C104"/>
    <mergeCell ref="H177:H178"/>
    <mergeCell ref="AB92:AF92"/>
    <mergeCell ref="I267:I268"/>
    <mergeCell ref="AK275:AK276"/>
    <mergeCell ref="E51:E52"/>
    <mergeCell ref="O33:O34"/>
    <mergeCell ref="Y93:Y94"/>
    <mergeCell ref="A173:A176"/>
    <mergeCell ref="O69:O70"/>
    <mergeCell ref="L339:L340"/>
    <mergeCell ref="N97:N98"/>
    <mergeCell ref="P159:P160"/>
    <mergeCell ref="AR235:AR236"/>
    <mergeCell ref="AB94:AF94"/>
    <mergeCell ref="A287:A290"/>
    <mergeCell ref="AL152:AO152"/>
    <mergeCell ref="AP63:AP64"/>
    <mergeCell ref="F251:F252"/>
    <mergeCell ref="O35:O36"/>
    <mergeCell ref="AA157:AA158"/>
    <mergeCell ref="I171:I172"/>
    <mergeCell ref="O193:O194"/>
    <mergeCell ref="X87:X88"/>
    <mergeCell ref="S13:S14"/>
    <mergeCell ref="P161:P162"/>
    <mergeCell ref="Q249:Q250"/>
    <mergeCell ref="I323:I324"/>
    <mergeCell ref="R217:R218"/>
    <mergeCell ref="J147:J148"/>
    <mergeCell ref="AP187:AP188"/>
    <mergeCell ref="S15:S16"/>
    <mergeCell ref="F155:F156"/>
    <mergeCell ref="AK299:AK300"/>
    <mergeCell ref="U71:U72"/>
    <mergeCell ref="AP195:AP196"/>
    <mergeCell ref="M145:M146"/>
    <mergeCell ref="S313:S314"/>
    <mergeCell ref="AR251:AR252"/>
    <mergeCell ref="J75:J76"/>
    <mergeCell ref="F43:F44"/>
    <mergeCell ref="A159:A162"/>
    <mergeCell ref="AH164:AJ164"/>
    <mergeCell ref="H99:H100"/>
    <mergeCell ref="F341:F342"/>
    <mergeCell ref="N83:N84"/>
    <mergeCell ref="AG37:AG38"/>
    <mergeCell ref="S315:S316"/>
    <mergeCell ref="U73:U74"/>
    <mergeCell ref="B279:B282"/>
    <mergeCell ref="M147:M148"/>
    <mergeCell ref="AG195:AG196"/>
    <mergeCell ref="O209:O210"/>
    <mergeCell ref="O361:O362"/>
    <mergeCell ref="B251:B254"/>
    <mergeCell ref="J163:J164"/>
    <mergeCell ref="R245:R246"/>
    <mergeCell ref="AL292:AO292"/>
    <mergeCell ref="Z207:Z208"/>
    <mergeCell ref="AA297:AA298"/>
    <mergeCell ref="AG197:AG198"/>
    <mergeCell ref="O211:O212"/>
    <mergeCell ref="Q267:Q268"/>
    <mergeCell ref="AH188:AJ188"/>
    <mergeCell ref="J287:J288"/>
    <mergeCell ref="T5:T6"/>
    <mergeCell ref="V67:V68"/>
    <mergeCell ref="D119:D120"/>
    <mergeCell ref="B35:B38"/>
    <mergeCell ref="B361:B362"/>
    <mergeCell ref="AA299:AA300"/>
    <mergeCell ref="AQ187:AQ188"/>
    <mergeCell ref="AK317:AK318"/>
    <mergeCell ref="F25:F26"/>
    <mergeCell ref="AB148:AF148"/>
    <mergeCell ref="AH190:AJ190"/>
    <mergeCell ref="L47:L48"/>
    <mergeCell ref="N109:N110"/>
    <mergeCell ref="C275:C278"/>
    <mergeCell ref="AP117:AP118"/>
    <mergeCell ref="M173:M174"/>
    <mergeCell ref="AK319:AK320"/>
    <mergeCell ref="Q181:Q182"/>
    <mergeCell ref="AL318:AO318"/>
    <mergeCell ref="B163:B172"/>
    <mergeCell ref="N111:N112"/>
    <mergeCell ref="H247:H248"/>
    <mergeCell ref="H241:H242"/>
    <mergeCell ref="AL22:AO22"/>
    <mergeCell ref="AL320:AO320"/>
    <mergeCell ref="AB44:AF44"/>
    <mergeCell ref="M77:M78"/>
    <mergeCell ref="W59:W60"/>
    <mergeCell ref="N167:N168"/>
    <mergeCell ref="J7:J8"/>
    <mergeCell ref="Z235:Z236"/>
    <mergeCell ref="AR177:AR178"/>
    <mergeCell ref="Z191:Z192"/>
    <mergeCell ref="L63:L64"/>
    <mergeCell ref="S239:S240"/>
    <mergeCell ref="H243:H244"/>
    <mergeCell ref="R339:R340"/>
    <mergeCell ref="AR335:AR336"/>
    <mergeCell ref="Q295:Q296"/>
    <mergeCell ref="L221:L222"/>
    <mergeCell ref="AG91:AG92"/>
    <mergeCell ref="T365:T366"/>
    <mergeCell ref="U5:U6"/>
    <mergeCell ref="E119:E120"/>
    <mergeCell ref="B211:B214"/>
    <mergeCell ref="U303:U304"/>
    <mergeCell ref="AH208:AJ208"/>
    <mergeCell ref="J307:J308"/>
    <mergeCell ref="X187:X188"/>
    <mergeCell ref="B177:B180"/>
    <mergeCell ref="AH366:AJ366"/>
    <mergeCell ref="S359:S360"/>
    <mergeCell ref="AG93:AG94"/>
    <mergeCell ref="Q163:Q164"/>
    <mergeCell ref="C303:C306"/>
    <mergeCell ref="Y125:Y126"/>
    <mergeCell ref="Q199:Q200"/>
    <mergeCell ref="Q321:Q322"/>
    <mergeCell ref="P227:P228"/>
    <mergeCell ref="AH332:AJ332"/>
    <mergeCell ref="Y283:Y284"/>
    <mergeCell ref="X311:X312"/>
    <mergeCell ref="D51:D52"/>
    <mergeCell ref="D349:D350"/>
    <mergeCell ref="AA231:AA232"/>
    <mergeCell ref="AK213:AK214"/>
    <mergeCell ref="AA13:AA14"/>
    <mergeCell ref="AP147:AP148"/>
    <mergeCell ref="K339:K340"/>
    <mergeCell ref="Q323:Q324"/>
    <mergeCell ref="S81:S82"/>
    <mergeCell ref="AR203:AR204"/>
    <mergeCell ref="Z217:Z218"/>
    <mergeCell ref="T49:T50"/>
    <mergeCell ref="R291:R292"/>
    <mergeCell ref="N35:N36"/>
    <mergeCell ref="U31:U32"/>
    <mergeCell ref="H171:H172"/>
    <mergeCell ref="AK215:AK216"/>
    <mergeCell ref="N193:N194"/>
    <mergeCell ref="W87:W88"/>
    <mergeCell ref="R13:R14"/>
    <mergeCell ref="O161:O162"/>
    <mergeCell ref="AR211:AR212"/>
    <mergeCell ref="AB192:AF192"/>
    <mergeCell ref="U145:U146"/>
    <mergeCell ref="AH50:AJ50"/>
    <mergeCell ref="AL244:AO244"/>
    <mergeCell ref="O275:O276"/>
    <mergeCell ref="AB222:AF222"/>
    <mergeCell ref="P99:P100"/>
    <mergeCell ref="H173:H174"/>
    <mergeCell ref="U331:U332"/>
    <mergeCell ref="J229:J230"/>
    <mergeCell ref="R15:R16"/>
    <mergeCell ref="AG111:AG112"/>
    <mergeCell ref="E155:E156"/>
    <mergeCell ref="AB194:AF194"/>
    <mergeCell ref="Q225:Q226"/>
    <mergeCell ref="AH236:AJ236"/>
    <mergeCell ref="K355:K356"/>
    <mergeCell ref="AQ251:AQ252"/>
    <mergeCell ref="AH350:AJ350"/>
    <mergeCell ref="K27:K28"/>
    <mergeCell ref="J55:J56"/>
    <mergeCell ref="L117:L118"/>
    <mergeCell ref="T79:T80"/>
    <mergeCell ref="R315:R316"/>
    <mergeCell ref="T73:T74"/>
    <mergeCell ref="L147:L148"/>
    <mergeCell ref="AS17:AS18"/>
    <mergeCell ref="AQ259:AQ260"/>
    <mergeCell ref="A251:A254"/>
    <mergeCell ref="V319:V320"/>
    <mergeCell ref="H13:H14"/>
    <mergeCell ref="T81:T82"/>
    <mergeCell ref="G221:G222"/>
    <mergeCell ref="N211:N212"/>
    <mergeCell ref="AS317:AS318"/>
    <mergeCell ref="A361:A362"/>
    <mergeCell ref="U67:U68"/>
    <mergeCell ref="H15:H16"/>
    <mergeCell ref="N177:N178"/>
    <mergeCell ref="AR247:AR248"/>
    <mergeCell ref="J71:J72"/>
    <mergeCell ref="Z299:Z300"/>
    <mergeCell ref="A155:A158"/>
    <mergeCell ref="C181:C186"/>
    <mergeCell ref="R33:R34"/>
    <mergeCell ref="P275:P276"/>
    <mergeCell ref="O303:O304"/>
    <mergeCell ref="H313:H314"/>
    <mergeCell ref="AS319:AS320"/>
    <mergeCell ref="E25:E26"/>
    <mergeCell ref="K53:K54"/>
    <mergeCell ref="K9:K10"/>
    <mergeCell ref="S311:S312"/>
    <mergeCell ref="U69:U70"/>
    <mergeCell ref="H315:H316"/>
    <mergeCell ref="J73:J74"/>
    <mergeCell ref="AH272:AJ272"/>
    <mergeCell ref="S125:S126"/>
    <mergeCell ref="K55:K56"/>
    <mergeCell ref="AA239:AA240"/>
    <mergeCell ref="K353:K354"/>
    <mergeCell ref="M111:M112"/>
    <mergeCell ref="AB118:AF118"/>
    <mergeCell ref="G247:G248"/>
    <mergeCell ref="AH280:AJ280"/>
    <mergeCell ref="T63:T64"/>
    <mergeCell ref="L137:L138"/>
    <mergeCell ref="AH274:AJ274"/>
    <mergeCell ref="F267:F268"/>
    <mergeCell ref="Q273:Q274"/>
    <mergeCell ref="W135:W136"/>
    <mergeCell ref="H41:H42"/>
    <mergeCell ref="I7:I8"/>
    <mergeCell ref="G249:G250"/>
    <mergeCell ref="Y191:Y192"/>
    <mergeCell ref="G243:G244"/>
    <mergeCell ref="I305:I306"/>
    <mergeCell ref="J285:J286"/>
    <mergeCell ref="L43:L44"/>
    <mergeCell ref="N105:N106"/>
    <mergeCell ref="Z317:Z318"/>
    <mergeCell ref="S39:S40"/>
    <mergeCell ref="L347:L348"/>
    <mergeCell ref="S337:S338"/>
    <mergeCell ref="U95:U96"/>
    <mergeCell ref="A351:A352"/>
    <mergeCell ref="K71:K72"/>
    <mergeCell ref="AR275:AR276"/>
    <mergeCell ref="J99:J100"/>
    <mergeCell ref="AA255:AA256"/>
    <mergeCell ref="AB134:AF134"/>
    <mergeCell ref="I307:I308"/>
    <mergeCell ref="H341:H342"/>
    <mergeCell ref="A177:A180"/>
    <mergeCell ref="N107:N108"/>
    <mergeCell ref="U103:U104"/>
    <mergeCell ref="S339:S340"/>
    <mergeCell ref="U97:U98"/>
    <mergeCell ref="W159:W160"/>
    <mergeCell ref="AK281:AK282"/>
    <mergeCell ref="O233:O234"/>
    <mergeCell ref="P321:P322"/>
    <mergeCell ref="AS243:AS244"/>
    <mergeCell ref="L163:L164"/>
    <mergeCell ref="AH300:AJ300"/>
    <mergeCell ref="J2:L2"/>
    <mergeCell ref="AL316:AO316"/>
    <mergeCell ref="Z231:Z232"/>
    <mergeCell ref="P165:P166"/>
    <mergeCell ref="Z13:Z14"/>
    <mergeCell ref="P323:P324"/>
    <mergeCell ref="Y217:Y218"/>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Q293:Q294"/>
    <mergeCell ref="U113:U114"/>
    <mergeCell ref="AK341:AK342"/>
    <mergeCell ref="M43:M44"/>
    <mergeCell ref="I149:I150"/>
    <mergeCell ref="C221:C234"/>
    <mergeCell ref="S355:S356"/>
    <mergeCell ref="G173:G174"/>
    <mergeCell ref="T331:T332"/>
    <mergeCell ref="N283:N284"/>
    <mergeCell ref="P41:P42"/>
    <mergeCell ref="V97:V98"/>
    <mergeCell ref="I237:I238"/>
    <mergeCell ref="Y3:Z3"/>
    <mergeCell ref="AG207:AG208"/>
    <mergeCell ref="V211:V212"/>
    <mergeCell ref="AP259:AP260"/>
    <mergeCell ref="B125:B130"/>
    <mergeCell ref="AA337:AA338"/>
    <mergeCell ref="I203:I204"/>
    <mergeCell ref="AA5:AA6"/>
    <mergeCell ref="W331:W332"/>
    <mergeCell ref="AB188:AF188"/>
    <mergeCell ref="I361:I362"/>
    <mergeCell ref="L87:L88"/>
    <mergeCell ref="AK29:AK30"/>
    <mergeCell ref="L245:L246"/>
    <mergeCell ref="AB218:AF218"/>
    <mergeCell ref="C215:C220"/>
    <mergeCell ref="M25:M26"/>
    <mergeCell ref="E99:E100"/>
    <mergeCell ref="M183:M184"/>
    <mergeCell ref="U143:U144"/>
    <mergeCell ref="L89:L90"/>
    <mergeCell ref="G15:G16"/>
    <mergeCell ref="J331:J332"/>
    <mergeCell ref="G313:G314"/>
    <mergeCell ref="B181:B186"/>
    <mergeCell ref="AR319:AR320"/>
    <mergeCell ref="B347:B348"/>
    <mergeCell ref="U255:U256"/>
    <mergeCell ref="R311:R312"/>
    <mergeCell ref="AA205:AA206"/>
    <mergeCell ref="AS13:AS14"/>
    <mergeCell ref="G315:G316"/>
    <mergeCell ref="AA363:AA364"/>
    <mergeCell ref="AL26:AO26"/>
    <mergeCell ref="A247:A250"/>
    <mergeCell ref="Y151:Y152"/>
    <mergeCell ref="T77:T78"/>
    <mergeCell ref="U167:U168"/>
    <mergeCell ref="Q7:Q8"/>
    <mergeCell ref="AG235:AG236"/>
    <mergeCell ref="O243:O244"/>
    <mergeCell ref="S63:S64"/>
    <mergeCell ref="AS313:AS314"/>
    <mergeCell ref="K137:K138"/>
    <mergeCell ref="AA365:AA366"/>
    <mergeCell ref="C13:C16"/>
    <mergeCell ref="U169:U170"/>
    <mergeCell ref="V135:V136"/>
    <mergeCell ref="AK57:AK58"/>
    <mergeCell ref="X191:X192"/>
    <mergeCell ref="AS315:AS316"/>
    <mergeCell ref="K139:K140"/>
    <mergeCell ref="C135:C146"/>
    <mergeCell ref="M201:M202"/>
    <mergeCell ref="AK355:AK356"/>
    <mergeCell ref="AP155:AP156"/>
    <mergeCell ref="C307:C310"/>
    <mergeCell ref="R39:R40"/>
    <mergeCell ref="P237:P238"/>
    <mergeCell ref="G43:G44"/>
    <mergeCell ref="I105:I106"/>
    <mergeCell ref="X199:X200"/>
    <mergeCell ref="G341:G342"/>
    <mergeCell ref="Z255:Z256"/>
    <mergeCell ref="Q363:Q364"/>
    <mergeCell ref="AG251:AG252"/>
    <mergeCell ref="K349:K350"/>
    <mergeCell ref="M107:M108"/>
    <mergeCell ref="Y319:Y320"/>
    <mergeCell ref="T103:T104"/>
    <mergeCell ref="J37:J38"/>
    <mergeCell ref="H279:H280"/>
    <mergeCell ref="T59:T60"/>
    <mergeCell ref="B111:B112"/>
    <mergeCell ref="V159:V160"/>
    <mergeCell ref="AG217:AG218"/>
    <mergeCell ref="N233:N234"/>
    <mergeCell ref="AQ283:AQ284"/>
    <mergeCell ref="AA49:AA50"/>
    <mergeCell ref="K163:K164"/>
    <mergeCell ref="Y291:Y292"/>
    <mergeCell ref="B247:B250"/>
    <mergeCell ref="AG253:AG254"/>
    <mergeCell ref="R295:R296"/>
    <mergeCell ref="AA207:AA208"/>
    <mergeCell ref="N347:N348"/>
    <mergeCell ref="G245:G246"/>
    <mergeCell ref="T61:T62"/>
    <mergeCell ref="C25:C28"/>
    <mergeCell ref="A267:A270"/>
    <mergeCell ref="AS43:AS44"/>
    <mergeCell ref="N235:N236"/>
    <mergeCell ref="P297:P298"/>
    <mergeCell ref="A105:A110"/>
    <mergeCell ref="K165:K166"/>
    <mergeCell ref="AS341:AS342"/>
    <mergeCell ref="T359:T360"/>
    <mergeCell ref="D327:D328"/>
    <mergeCell ref="B243:B246"/>
    <mergeCell ref="O173:O174"/>
    <mergeCell ref="I5:I6"/>
    <mergeCell ref="K67:K68"/>
    <mergeCell ref="G29:G30"/>
    <mergeCell ref="P293:P294"/>
    <mergeCell ref="R355:R356"/>
    <mergeCell ref="C43:C46"/>
    <mergeCell ref="A47:A48"/>
    <mergeCell ref="K69:K70"/>
    <mergeCell ref="L159:L160"/>
    <mergeCell ref="M3:N3"/>
    <mergeCell ref="R181:R182"/>
    <mergeCell ref="S147:S148"/>
    <mergeCell ref="E321:E322"/>
    <mergeCell ref="R357:R358"/>
    <mergeCell ref="T115:T116"/>
    <mergeCell ref="AP327:AP328"/>
    <mergeCell ref="K193:K194"/>
    <mergeCell ref="O13:O14"/>
    <mergeCell ref="AH298:AJ298"/>
    <mergeCell ref="M127:M128"/>
    <mergeCell ref="M249:M250"/>
    <mergeCell ref="E323:E324"/>
    <mergeCell ref="N217:N218"/>
    <mergeCell ref="U211:U212"/>
    <mergeCell ref="F147:F148"/>
    <mergeCell ref="A125:A130"/>
    <mergeCell ref="M285:M286"/>
    <mergeCell ref="Y221:Y222"/>
    <mergeCell ref="A295:A298"/>
    <mergeCell ref="O15:O16"/>
    <mergeCell ref="T141:T142"/>
    <mergeCell ref="AG299:AG300"/>
    <mergeCell ref="Q71:Q72"/>
    <mergeCell ref="O313:O314"/>
    <mergeCell ref="I145:I146"/>
    <mergeCell ref="AL98:AO98"/>
    <mergeCell ref="O349:O350"/>
    <mergeCell ref="AP9:AP10"/>
    <mergeCell ref="D99:D100"/>
    <mergeCell ref="L183:L184"/>
    <mergeCell ref="T143:T144"/>
    <mergeCell ref="K89:K90"/>
    <mergeCell ref="AA279:AA280"/>
    <mergeCell ref="O315:O316"/>
    <mergeCell ref="Q73:Q74"/>
    <mergeCell ref="AK121:AK122"/>
    <mergeCell ref="I147:I148"/>
    <mergeCell ref="K209:K210"/>
    <mergeCell ref="AQ323:AQ324"/>
    <mergeCell ref="F163:F164"/>
    <mergeCell ref="AH328:AJ328"/>
    <mergeCell ref="N247:N248"/>
    <mergeCell ref="V207:V208"/>
    <mergeCell ref="F321:F322"/>
    <mergeCell ref="AA63:AA64"/>
    <mergeCell ref="E349:E350"/>
    <mergeCell ref="S137:S138"/>
    <mergeCell ref="X263:X264"/>
    <mergeCell ref="K211:K212"/>
    <mergeCell ref="M311:M312"/>
    <mergeCell ref="AG17:AG18"/>
    <mergeCell ref="F315:F316"/>
    <mergeCell ref="M267:M268"/>
    <mergeCell ref="I17:I18"/>
    <mergeCell ref="X151:X152"/>
    <mergeCell ref="F287:F288"/>
    <mergeCell ref="P7:P8"/>
    <mergeCell ref="F323:F324"/>
    <mergeCell ref="Z29:Z30"/>
    <mergeCell ref="O217:O218"/>
    <mergeCell ref="AQ347:AQ348"/>
    <mergeCell ref="AR313:AR314"/>
    <mergeCell ref="J137:J138"/>
    <mergeCell ref="B13:B16"/>
    <mergeCell ref="AG19:AG20"/>
    <mergeCell ref="AG317:AG318"/>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AR315:AR316"/>
    <mergeCell ref="AQ349:AQ350"/>
    <mergeCell ref="AG319:AG320"/>
    <mergeCell ref="M181:M182"/>
    <mergeCell ref="AH12:AJ12"/>
    <mergeCell ref="J111:J112"/>
    <mergeCell ref="O237:O238"/>
    <mergeCell ref="P363:P364"/>
    <mergeCell ref="L203:L204"/>
    <mergeCell ref="AH14:AJ14"/>
    <mergeCell ref="O239:O240"/>
    <mergeCell ref="AH312:AJ312"/>
    <mergeCell ref="S59:S60"/>
    <mergeCell ref="A111:A112"/>
    <mergeCell ref="A181:A186"/>
    <mergeCell ref="V235:V236"/>
    <mergeCell ref="D243:D244"/>
    <mergeCell ref="X291:X292"/>
    <mergeCell ref="H63:H64"/>
    <mergeCell ref="P365:P366"/>
    <mergeCell ref="P25:P26"/>
    <mergeCell ref="M295:M296"/>
    <mergeCell ref="H221:H222"/>
    <mergeCell ref="Q5:Q6"/>
    <mergeCell ref="AK53:AK54"/>
    <mergeCell ref="Q303:Q304"/>
    <mergeCell ref="S61:S62"/>
    <mergeCell ref="AK351:AK352"/>
    <mergeCell ref="AR43:AR44"/>
    <mergeCell ref="Z57:Z58"/>
    <mergeCell ref="AR341:AR342"/>
    <mergeCell ref="Z355:Z356"/>
    <mergeCell ref="AB322:AF322"/>
    <mergeCell ref="G39:G40"/>
    <mergeCell ref="B155:B158"/>
    <mergeCell ref="AK353:AK354"/>
    <mergeCell ref="U125:U126"/>
    <mergeCell ref="AL48:AO48"/>
    <mergeCell ref="AG247:AG248"/>
    <mergeCell ref="AH68:AJ68"/>
    <mergeCell ref="AB26:AF26"/>
    <mergeCell ref="D267:D268"/>
    <mergeCell ref="U283:U284"/>
    <mergeCell ref="B43:B46"/>
    <mergeCell ref="AB324:AF324"/>
    <mergeCell ref="Z357:Z358"/>
    <mergeCell ref="F33:F34"/>
    <mergeCell ref="K159:K160"/>
    <mergeCell ref="AG249:AG250"/>
    <mergeCell ref="K341:K342"/>
    <mergeCell ref="H277:H278"/>
    <mergeCell ref="J35:J36"/>
    <mergeCell ref="Q31:Q32"/>
    <mergeCell ref="AS39:AS40"/>
    <mergeCell ref="J193:J194"/>
    <mergeCell ref="S87:S88"/>
    <mergeCell ref="N13:N14"/>
    <mergeCell ref="K161:K162"/>
    <mergeCell ref="Q329:Q330"/>
    <mergeCell ref="AP267:AP268"/>
    <mergeCell ref="AR25:AR26"/>
    <mergeCell ref="AQ93:AQ94"/>
    <mergeCell ref="L99:L100"/>
    <mergeCell ref="AR359:AR360"/>
    <mergeCell ref="X221:X222"/>
    <mergeCell ref="Q331:Q332"/>
    <mergeCell ref="S89:S90"/>
    <mergeCell ref="N15:N16"/>
    <mergeCell ref="M225:M226"/>
    <mergeCell ref="AS121:AS122"/>
    <mergeCell ref="N313:N314"/>
    <mergeCell ref="AK195:AK196"/>
    <mergeCell ref="AP321:AP322"/>
    <mergeCell ref="Q361:Q362"/>
    <mergeCell ref="C317:C318"/>
    <mergeCell ref="Z279:Z280"/>
    <mergeCell ref="P79:P80"/>
    <mergeCell ref="N315:N316"/>
    <mergeCell ref="P73:P74"/>
    <mergeCell ref="AP323:AP324"/>
    <mergeCell ref="H147:H148"/>
    <mergeCell ref="J209:J210"/>
    <mergeCell ref="C319:C320"/>
    <mergeCell ref="AL68:AO68"/>
    <mergeCell ref="AA77:AA78"/>
    <mergeCell ref="AB254:AF254"/>
    <mergeCell ref="P81:P82"/>
    <mergeCell ref="U207:U208"/>
    <mergeCell ref="AH112:AJ112"/>
    <mergeCell ref="R137:R138"/>
    <mergeCell ref="J211:J212"/>
    <mergeCell ref="L267:L268"/>
    <mergeCell ref="D341:D342"/>
    <mergeCell ref="AH122:AJ122"/>
    <mergeCell ref="AB256:AF256"/>
    <mergeCell ref="W271:W272"/>
    <mergeCell ref="AS25:AS26"/>
    <mergeCell ref="Y29:Y30"/>
    <mergeCell ref="AH114:AJ114"/>
    <mergeCell ref="R139:R140"/>
    <mergeCell ref="T201:T202"/>
    <mergeCell ref="L275:L276"/>
    <mergeCell ref="N33:N34"/>
    <mergeCell ref="V299:V300"/>
    <mergeCell ref="Y39:Y40"/>
    <mergeCell ref="G53:G54"/>
    <mergeCell ref="G363:G364"/>
    <mergeCell ref="X65:X66"/>
    <mergeCell ref="AP349:AP350"/>
    <mergeCell ref="Z121:Z122"/>
    <mergeCell ref="X363:X364"/>
    <mergeCell ref="G55:G56"/>
    <mergeCell ref="AA103:AA104"/>
    <mergeCell ref="L181:L182"/>
    <mergeCell ref="AA59:AA60"/>
    <mergeCell ref="I111:I112"/>
    <mergeCell ref="AK119:AK120"/>
    <mergeCell ref="AH138:AJ138"/>
    <mergeCell ref="AB96:AF96"/>
    <mergeCell ref="J237:J238"/>
    <mergeCell ref="X365:X366"/>
    <mergeCell ref="AB272:AF272"/>
    <mergeCell ref="N245:N246"/>
    <mergeCell ref="M273:M274"/>
    <mergeCell ref="AS47:AS48"/>
    <mergeCell ref="S135:S136"/>
    <mergeCell ref="U235:U236"/>
    <mergeCell ref="Q353:Q354"/>
    <mergeCell ref="Q129:Q130"/>
    <mergeCell ref="AB98:AF98"/>
    <mergeCell ref="AH140:AJ140"/>
    <mergeCell ref="J239:J240"/>
    <mergeCell ref="N59:N60"/>
    <mergeCell ref="L295:L296"/>
    <mergeCell ref="H347:H348"/>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S159:S160"/>
    <mergeCell ref="T125:T126"/>
    <mergeCell ref="L321:L322"/>
    <mergeCell ref="AA121:AA122"/>
    <mergeCell ref="Y357:Y358"/>
    <mergeCell ref="AS63:AS64"/>
    <mergeCell ref="AA115:AA116"/>
    <mergeCell ref="U251:U252"/>
    <mergeCell ref="L165:L166"/>
    <mergeCell ref="AS73:AS74"/>
    <mergeCell ref="V13:V14"/>
    <mergeCell ref="AA87:AA88"/>
    <mergeCell ref="T127:T128"/>
    <mergeCell ref="E33:E34"/>
    <mergeCell ref="AK147:AK148"/>
    <mergeCell ref="S161:S162"/>
    <mergeCell ref="R193:R194"/>
    <mergeCell ref="Z151:Z152"/>
    <mergeCell ref="U77:U78"/>
    <mergeCell ref="M291:M292"/>
    <mergeCell ref="L323:L324"/>
    <mergeCell ref="I41:I42"/>
    <mergeCell ref="AL138:AO138"/>
    <mergeCell ref="C63:C66"/>
    <mergeCell ref="P31:P32"/>
    <mergeCell ref="AR39:AR40"/>
    <mergeCell ref="N229:N230"/>
    <mergeCell ref="E35:E36"/>
    <mergeCell ref="P145:P146"/>
    <mergeCell ref="M293:M294"/>
    <mergeCell ref="AG341:AG342"/>
    <mergeCell ref="Q113:Q114"/>
    <mergeCell ref="O355:O356"/>
    <mergeCell ref="K99:K100"/>
    <mergeCell ref="R95:R96"/>
    <mergeCell ref="AA143:AA144"/>
    <mergeCell ref="R89:R90"/>
    <mergeCell ref="AB22:AF22"/>
    <mergeCell ref="P331:P332"/>
    <mergeCell ref="AQ33:AQ34"/>
    <mergeCell ref="L225:L226"/>
    <mergeCell ref="AB320:AF320"/>
    <mergeCell ref="R209:R210"/>
    <mergeCell ref="J283:J284"/>
    <mergeCell ref="AK163:AK164"/>
    <mergeCell ref="B317:B318"/>
    <mergeCell ref="Y199:Y200"/>
    <mergeCell ref="G213:G214"/>
    <mergeCell ref="M321:M322"/>
    <mergeCell ref="O79:O80"/>
    <mergeCell ref="AQ35:AQ36"/>
    <mergeCell ref="L227:L228"/>
    <mergeCell ref="L349:L350"/>
    <mergeCell ref="AH364:AJ364"/>
    <mergeCell ref="F357:F358"/>
    <mergeCell ref="E361:E362"/>
    <mergeCell ref="I59:I60"/>
    <mergeCell ref="H87:H88"/>
    <mergeCell ref="O81:O82"/>
    <mergeCell ref="G295:G296"/>
    <mergeCell ref="H245:H246"/>
    <mergeCell ref="AL164:AO164"/>
    <mergeCell ref="AA11:AA12"/>
    <mergeCell ref="AA47:AA48"/>
    <mergeCell ref="AS117:AS118"/>
    <mergeCell ref="AA169:AA170"/>
    <mergeCell ref="I183:I184"/>
    <mergeCell ref="C313:C314"/>
    <mergeCell ref="Q139:Q140"/>
    <mergeCell ref="AR181:AR182"/>
    <mergeCell ref="AS147:AS148"/>
    <mergeCell ref="L67:L68"/>
    <mergeCell ref="T181:T182"/>
    <mergeCell ref="F53:F54"/>
    <mergeCell ref="U149:U150"/>
    <mergeCell ref="N311:N312"/>
    <mergeCell ref="W65:W66"/>
    <mergeCell ref="C315:C316"/>
    <mergeCell ref="E73:E74"/>
    <mergeCell ref="S203:S204"/>
    <mergeCell ref="W363:W364"/>
    <mergeCell ref="AB164:AF164"/>
    <mergeCell ref="C147:C150"/>
    <mergeCell ref="H117:H118"/>
    <mergeCell ref="P77:P78"/>
    <mergeCell ref="M7:M8"/>
    <mergeCell ref="R133:R134"/>
    <mergeCell ref="K243:K244"/>
    <mergeCell ref="Y129:Y130"/>
    <mergeCell ref="O63:O64"/>
    <mergeCell ref="G181:G182"/>
    <mergeCell ref="G137:G138"/>
    <mergeCell ref="W365:W366"/>
    <mergeCell ref="S259:S260"/>
    <mergeCell ref="N127:N128"/>
    <mergeCell ref="AR53:AR54"/>
    <mergeCell ref="D13:D14"/>
    <mergeCell ref="R135:R136"/>
    <mergeCell ref="AG57:AG58"/>
    <mergeCell ref="T191:T192"/>
    <mergeCell ref="AG355:AG356"/>
    <mergeCell ref="G139:G140"/>
    <mergeCell ref="AA187:AA188"/>
    <mergeCell ref="I201:I202"/>
    <mergeCell ref="I239:I240"/>
    <mergeCell ref="N39:N40"/>
    <mergeCell ref="AB36:AF36"/>
    <mergeCell ref="J177:J178"/>
    <mergeCell ref="AK219:AK220"/>
    <mergeCell ref="B53:B56"/>
    <mergeCell ref="E105:E106"/>
    <mergeCell ref="N337:N338"/>
    <mergeCell ref="V255:V256"/>
    <mergeCell ref="D307:D308"/>
    <mergeCell ref="AS137:AS138"/>
    <mergeCell ref="M61:M62"/>
    <mergeCell ref="G349:G350"/>
    <mergeCell ref="I107:I108"/>
    <mergeCell ref="X29:X30"/>
    <mergeCell ref="C173:C176"/>
    <mergeCell ref="P103:P104"/>
    <mergeCell ref="D279:D280"/>
    <mergeCell ref="U319:U320"/>
    <mergeCell ref="N339:N340"/>
    <mergeCell ref="R159:R160"/>
    <mergeCell ref="X21:X22"/>
    <mergeCell ref="F73:F74"/>
    <mergeCell ref="G163:G164"/>
    <mergeCell ref="W207:W208"/>
    <mergeCell ref="Z87:Z88"/>
    <mergeCell ref="AL208:AO208"/>
    <mergeCell ref="AH136:AJ136"/>
    <mergeCell ref="R161:R162"/>
    <mergeCell ref="J235:J236"/>
    <mergeCell ref="AP131:AP132"/>
    <mergeCell ref="L297:L298"/>
    <mergeCell ref="G165:G166"/>
    <mergeCell ref="AP307:AP308"/>
    <mergeCell ref="Y271:Y272"/>
    <mergeCell ref="AA29:AA30"/>
    <mergeCell ref="B63:B66"/>
    <mergeCell ref="Z89:Z90"/>
    <mergeCell ref="U15:U16"/>
    <mergeCell ref="M229:M230"/>
    <mergeCell ref="T225:T226"/>
    <mergeCell ref="AR195:AR196"/>
    <mergeCell ref="L293:L294"/>
    <mergeCell ref="AS163:AS164"/>
    <mergeCell ref="D155:D156"/>
    <mergeCell ref="AA215:AA216"/>
    <mergeCell ref="H43:H44"/>
    <mergeCell ref="O353:O354"/>
    <mergeCell ref="N355:N356"/>
    <mergeCell ref="AS321:AS322"/>
    <mergeCell ref="AA117:AA118"/>
    <mergeCell ref="AG279:AG280"/>
    <mergeCell ref="C191:C194"/>
    <mergeCell ref="AP33:AP34"/>
    <mergeCell ref="Q209:Q210"/>
    <mergeCell ref="N357:N358"/>
    <mergeCell ref="P115:P116"/>
    <mergeCell ref="I283:I284"/>
    <mergeCell ref="Q97:Q98"/>
    <mergeCell ref="AP35:AP36"/>
    <mergeCell ref="X49:X50"/>
    <mergeCell ref="Y137:Y138"/>
    <mergeCell ref="Q211:Q212"/>
    <mergeCell ref="I285:I286"/>
    <mergeCell ref="K347:K348"/>
    <mergeCell ref="M105:M106"/>
    <mergeCell ref="AB122:AF122"/>
    <mergeCell ref="AH278:AJ278"/>
    <mergeCell ref="V311:V312"/>
    <mergeCell ref="AQ29:AQ30"/>
    <mergeCell ref="H183:H184"/>
    <mergeCell ref="E331:E332"/>
    <mergeCell ref="D25:D26"/>
    <mergeCell ref="AL104:AO104"/>
    <mergeCell ref="AG121:AG122"/>
    <mergeCell ref="Y195:Y196"/>
    <mergeCell ref="I309:I310"/>
    <mergeCell ref="V125:V126"/>
    <mergeCell ref="T149:T150"/>
    <mergeCell ref="AP361:AP362"/>
    <mergeCell ref="J3:K3"/>
    <mergeCell ref="J247:J248"/>
    <mergeCell ref="I153:I154"/>
    <mergeCell ref="B321:B322"/>
    <mergeCell ref="B315:B316"/>
    <mergeCell ref="AA259:AA260"/>
    <mergeCell ref="I311:I312"/>
    <mergeCell ref="T151:T152"/>
    <mergeCell ref="O77:O78"/>
    <mergeCell ref="L7:L8"/>
    <mergeCell ref="AS89:AS90"/>
    <mergeCell ref="Q133:Q134"/>
    <mergeCell ref="AQ113:AQ114"/>
    <mergeCell ref="N63:N64"/>
    <mergeCell ref="J243:J244"/>
    <mergeCell ref="AH302:AJ302"/>
    <mergeCell ref="B295:B298"/>
    <mergeCell ref="AQ331:AQ332"/>
    <mergeCell ref="V365:V366"/>
    <mergeCell ref="W5:W6"/>
    <mergeCell ref="Y67:Y68"/>
    <mergeCell ref="Q141:Q142"/>
    <mergeCell ref="P169:P170"/>
    <mergeCell ref="Q135:Q136"/>
    <mergeCell ref="AL272:AO272"/>
    <mergeCell ref="X131:X132"/>
    <mergeCell ref="L307:L308"/>
    <mergeCell ref="AP73:AP74"/>
    <mergeCell ref="H201:H202"/>
    <mergeCell ref="I181:I182"/>
    <mergeCell ref="O191:O192"/>
    <mergeCell ref="X97:X98"/>
    <mergeCell ref="Z159:Z160"/>
    <mergeCell ref="AL280:AO280"/>
    <mergeCell ref="R233:R234"/>
    <mergeCell ref="S199:S200"/>
    <mergeCell ref="D105:D106"/>
    <mergeCell ref="Z195:Z196"/>
    <mergeCell ref="Y223:Y224"/>
    <mergeCell ref="AR137:AR138"/>
    <mergeCell ref="H203:H204"/>
    <mergeCell ref="F51:F52"/>
    <mergeCell ref="H325:H326"/>
    <mergeCell ref="L363:L364"/>
    <mergeCell ref="O103:O104"/>
    <mergeCell ref="AR147:AR148"/>
    <mergeCell ref="AA127:AA128"/>
    <mergeCell ref="Z161:Z162"/>
    <mergeCell ref="R235:R236"/>
    <mergeCell ref="M339:M340"/>
    <mergeCell ref="W21:W22"/>
    <mergeCell ref="T291:T292"/>
    <mergeCell ref="B349:B350"/>
    <mergeCell ref="L365:L366"/>
    <mergeCell ref="L25:L26"/>
    <mergeCell ref="U273:U274"/>
    <mergeCell ref="AL314:AO314"/>
    <mergeCell ref="AG53:AG54"/>
    <mergeCell ref="Q167:Q168"/>
    <mergeCell ref="AG47:AG48"/>
    <mergeCell ref="Q161:Q162"/>
    <mergeCell ref="AG351:AG352"/>
    <mergeCell ref="V57:V58"/>
    <mergeCell ref="AP105:AP106"/>
    <mergeCell ref="T293:T294"/>
    <mergeCell ref="K297:K298"/>
    <mergeCell ref="X113:X114"/>
    <mergeCell ref="AH292:AJ292"/>
    <mergeCell ref="V355:V356"/>
    <mergeCell ref="AH74:AJ74"/>
    <mergeCell ref="X271:X272"/>
    <mergeCell ref="J173:J174"/>
    <mergeCell ref="AG55:AG56"/>
    <mergeCell ref="Q169:Q170"/>
    <mergeCell ref="AG353:AG354"/>
    <mergeCell ref="Q125:Q126"/>
    <mergeCell ref="S225:S226"/>
    <mergeCell ref="C67:C72"/>
    <mergeCell ref="AP107:AP108"/>
    <mergeCell ref="AQ195:AQ196"/>
    <mergeCell ref="K299:K300"/>
    <mergeCell ref="AR163:AR164"/>
    <mergeCell ref="H229:H230"/>
    <mergeCell ref="B359:B360"/>
    <mergeCell ref="M29:M30"/>
    <mergeCell ref="G159:G160"/>
    <mergeCell ref="AK175:AK176"/>
    <mergeCell ref="S227:S228"/>
    <mergeCell ref="M363:M364"/>
    <mergeCell ref="O121:O122"/>
    <mergeCell ref="AS259:AS260"/>
    <mergeCell ref="Z179:Z180"/>
    <mergeCell ref="M357:M358"/>
    <mergeCell ref="AK327:AK328"/>
    <mergeCell ref="AL204:AO204"/>
    <mergeCell ref="M329:M330"/>
    <mergeCell ref="O87:O88"/>
    <mergeCell ref="J13:J14"/>
    <mergeCell ref="G161:G162"/>
    <mergeCell ref="N295:N296"/>
    <mergeCell ref="W49:W50"/>
    <mergeCell ref="O245:O246"/>
    <mergeCell ref="Q179:Q180"/>
    <mergeCell ref="X327:X328"/>
    <mergeCell ref="AB58:AF58"/>
    <mergeCell ref="AL328:AO328"/>
    <mergeCell ref="H257:H258"/>
    <mergeCell ref="J15:J16"/>
    <mergeCell ref="I225:I226"/>
    <mergeCell ref="J313:J314"/>
    <mergeCell ref="S67:S68"/>
    <mergeCell ref="AP247:AP248"/>
    <mergeCell ref="L79:L80"/>
    <mergeCell ref="AH216:AJ216"/>
    <mergeCell ref="J315:J316"/>
    <mergeCell ref="L73:L74"/>
    <mergeCell ref="D147:D148"/>
    <mergeCell ref="S69:S70"/>
    <mergeCell ref="Z205:Z206"/>
    <mergeCell ref="AP243:AP244"/>
    <mergeCell ref="AB360:AF360"/>
    <mergeCell ref="F97:F98"/>
    <mergeCell ref="AK203:AK204"/>
    <mergeCell ref="H153:H154"/>
    <mergeCell ref="AH218:AJ218"/>
    <mergeCell ref="A321:A322"/>
    <mergeCell ref="N137:N138"/>
    <mergeCell ref="F211:F212"/>
    <mergeCell ref="Z259:Z260"/>
    <mergeCell ref="U127:U128"/>
    <mergeCell ref="H267:H268"/>
    <mergeCell ref="S151:S152"/>
    <mergeCell ref="AR307:AR308"/>
    <mergeCell ref="K13:K14"/>
    <mergeCell ref="Y135:Y136"/>
    <mergeCell ref="J41:J42"/>
    <mergeCell ref="K7:K8"/>
    <mergeCell ref="AR89:AR90"/>
    <mergeCell ref="I249:I250"/>
    <mergeCell ref="AK257:AK258"/>
    <mergeCell ref="S271:S272"/>
    <mergeCell ref="AP331:AP332"/>
    <mergeCell ref="H275:H276"/>
    <mergeCell ref="W191:W192"/>
    <mergeCell ref="U39:U40"/>
    <mergeCell ref="C351:C352"/>
    <mergeCell ref="AR219:AR220"/>
    <mergeCell ref="AH120:AJ120"/>
    <mergeCell ref="M71:M72"/>
    <mergeCell ref="AB200:AF200"/>
    <mergeCell ref="AH242:AJ242"/>
    <mergeCell ref="AL348:AO348"/>
    <mergeCell ref="L135:L136"/>
    <mergeCell ref="H181:H182"/>
    <mergeCell ref="W103:W104"/>
    <mergeCell ref="B203:B206"/>
    <mergeCell ref="E111:E112"/>
    <mergeCell ref="Q233:Q234"/>
    <mergeCell ref="M73:M74"/>
    <mergeCell ref="AH244:AJ244"/>
    <mergeCell ref="E147:E148"/>
    <mergeCell ref="J245:J246"/>
    <mergeCell ref="Y161:Y162"/>
    <mergeCell ref="Q235:Q236"/>
    <mergeCell ref="AK283:AK284"/>
    <mergeCell ref="S297:S298"/>
    <mergeCell ref="M129:M130"/>
    <mergeCell ref="S291:S292"/>
    <mergeCell ref="AP173:AP174"/>
    <mergeCell ref="Z287:Z288"/>
    <mergeCell ref="J59:J60"/>
    <mergeCell ref="B341:B346"/>
    <mergeCell ref="H295:H296"/>
    <mergeCell ref="L5:L6"/>
    <mergeCell ref="N67:N68"/>
    <mergeCell ref="AQ111:AQ112"/>
    <mergeCell ref="N61:N62"/>
    <mergeCell ref="AS211:AS212"/>
    <mergeCell ref="AA225:AA226"/>
    <mergeCell ref="U57:U58"/>
    <mergeCell ref="B263:B266"/>
    <mergeCell ref="AK285:AK286"/>
    <mergeCell ref="S293:S294"/>
    <mergeCell ref="S299:S300"/>
    <mergeCell ref="L303:L304"/>
    <mergeCell ref="AS203:AS204"/>
    <mergeCell ref="U355:U356"/>
    <mergeCell ref="J359:J360"/>
    <mergeCell ref="Z155:Z156"/>
    <mergeCell ref="D47:D48"/>
    <mergeCell ref="AL276:AO276"/>
    <mergeCell ref="P125:P126"/>
    <mergeCell ref="B67:B72"/>
    <mergeCell ref="W121:W122"/>
    <mergeCell ref="AK243:AK244"/>
    <mergeCell ref="H321:H322"/>
    <mergeCell ref="P283:P284"/>
    <mergeCell ref="G229:G230"/>
    <mergeCell ref="U357:U358"/>
    <mergeCell ref="Q251:Q252"/>
    <mergeCell ref="Z157:Z158"/>
    <mergeCell ref="C203:C206"/>
    <mergeCell ref="D103:D104"/>
    <mergeCell ref="AG147:AG148"/>
    <mergeCell ref="P127:P128"/>
    <mergeCell ref="A33:A34"/>
    <mergeCell ref="Y179:Y180"/>
    <mergeCell ref="R347:R348"/>
    <mergeCell ref="Y337:Y338"/>
    <mergeCell ref="L31:L32"/>
    <mergeCell ref="AB126:AF126"/>
    <mergeCell ref="AQ137:AQ138"/>
    <mergeCell ref="L329:L330"/>
    <mergeCell ref="D63:D64"/>
    <mergeCell ref="L145:L146"/>
    <mergeCell ref="AK267:AK268"/>
    <mergeCell ref="G99:G100"/>
    <mergeCell ref="V21:V22"/>
    <mergeCell ref="N95:N96"/>
    <mergeCell ref="L331:L332"/>
    <mergeCell ref="N89:N90"/>
    <mergeCell ref="I15:I16"/>
    <mergeCell ref="G257:G258"/>
    <mergeCell ref="H225:H226"/>
    <mergeCell ref="AH290:AJ290"/>
    <mergeCell ref="AK269:AK270"/>
    <mergeCell ref="N209:N210"/>
    <mergeCell ref="F347:F348"/>
    <mergeCell ref="F283:F284"/>
    <mergeCell ref="AG163:AG164"/>
    <mergeCell ref="U199:U200"/>
    <mergeCell ref="S223:S224"/>
    <mergeCell ref="Y207:Y208"/>
    <mergeCell ref="I321:I322"/>
    <mergeCell ref="K79:K80"/>
    <mergeCell ref="H227:H228"/>
    <mergeCell ref="Z327:Z328"/>
    <mergeCell ref="W263:W264"/>
    <mergeCell ref="Y21:Y22"/>
    <mergeCell ref="AA151:AA152"/>
    <mergeCell ref="U287:U288"/>
    <mergeCell ref="S7:S8"/>
    <mergeCell ref="K81:K82"/>
    <mergeCell ref="M137:M138"/>
    <mergeCell ref="B105:B110"/>
    <mergeCell ref="E211:E212"/>
    <mergeCell ref="F35:F36"/>
    <mergeCell ref="AQ307:AQ308"/>
    <mergeCell ref="W47:W48"/>
    <mergeCell ref="Y109:Y110"/>
    <mergeCell ref="AH316:AJ316"/>
    <mergeCell ref="M139:M140"/>
    <mergeCell ref="O201:O202"/>
    <mergeCell ref="G275:G276"/>
    <mergeCell ref="I33:I34"/>
    <mergeCell ref="P181:P182"/>
    <mergeCell ref="O89:O90"/>
    <mergeCell ref="AQ219:AQ220"/>
    <mergeCell ref="Z199:Z200"/>
    <mergeCell ref="R273:R274"/>
    <mergeCell ref="S363:S364"/>
    <mergeCell ref="O203:O204"/>
    <mergeCell ref="G277:G278"/>
    <mergeCell ref="I333:I334"/>
    <mergeCell ref="V103:V104"/>
    <mergeCell ref="D117:D118"/>
    <mergeCell ref="Y235:Y236"/>
    <mergeCell ref="AS283:AS284"/>
    <mergeCell ref="U129:U130"/>
    <mergeCell ref="C73:C86"/>
    <mergeCell ref="AK17:AK18"/>
    <mergeCell ref="U123:U124"/>
    <mergeCell ref="AA291:AA292"/>
    <mergeCell ref="S365:S366"/>
    <mergeCell ref="AA327:AA328"/>
    <mergeCell ref="A211:A214"/>
    <mergeCell ref="I245:I246"/>
    <mergeCell ref="AL342:AO342"/>
    <mergeCell ref="C267:C270"/>
    <mergeCell ref="P235:P236"/>
    <mergeCell ref="R297:R298"/>
    <mergeCell ref="W187:W188"/>
    <mergeCell ref="E239:E240"/>
    <mergeCell ref="G301:G302"/>
    <mergeCell ref="P207:P208"/>
    <mergeCell ref="J39:J40"/>
    <mergeCell ref="K5:K6"/>
    <mergeCell ref="M67:M68"/>
    <mergeCell ref="J337:J338"/>
    <mergeCell ref="AP111:AP112"/>
    <mergeCell ref="F177:F178"/>
    <mergeCell ref="Z225:Z226"/>
    <mergeCell ref="R299:R300"/>
    <mergeCell ref="T57:T58"/>
    <mergeCell ref="L131:L132"/>
    <mergeCell ref="Y251:Y252"/>
    <mergeCell ref="AA9:AA10"/>
    <mergeCell ref="G303:G304"/>
    <mergeCell ref="I359:I360"/>
    <mergeCell ref="Q319:Q320"/>
    <mergeCell ref="T29:T30"/>
    <mergeCell ref="AA167:AA168"/>
    <mergeCell ref="L103:L104"/>
    <mergeCell ref="M69:M70"/>
    <mergeCell ref="AH240:AJ240"/>
    <mergeCell ref="L97:L98"/>
    <mergeCell ref="N159:N160"/>
    <mergeCell ref="O125:O126"/>
    <mergeCell ref="S93:S94"/>
    <mergeCell ref="A67:A72"/>
    <mergeCell ref="V121:V122"/>
    <mergeCell ref="Z227:Z228"/>
    <mergeCell ref="J339:J340"/>
    <mergeCell ref="T357:T358"/>
    <mergeCell ref="AQ239:AQ240"/>
    <mergeCell ref="T363:T364"/>
    <mergeCell ref="AS295:AS296"/>
    <mergeCell ref="Y157:Y158"/>
    <mergeCell ref="T329:T330"/>
    <mergeCell ref="V87:V88"/>
    <mergeCell ref="N161:N162"/>
    <mergeCell ref="O127:O128"/>
    <mergeCell ref="F235:F236"/>
    <mergeCell ref="H297:H298"/>
    <mergeCell ref="G323:G324"/>
    <mergeCell ref="F17:F18"/>
    <mergeCell ref="U151:U152"/>
    <mergeCell ref="P253:P254"/>
    <mergeCell ref="A239:A242"/>
    <mergeCell ref="AA221:AA222"/>
    <mergeCell ref="K31:K32"/>
    <mergeCell ref="F351:F352"/>
    <mergeCell ref="C295:C298"/>
    <mergeCell ref="Q15:Q16"/>
    <mergeCell ref="AP137:AP138"/>
    <mergeCell ref="P225:P226"/>
    <mergeCell ref="Q191:Q192"/>
    <mergeCell ref="Z285:Z286"/>
    <mergeCell ref="K145:K146"/>
    <mergeCell ref="H293:H294"/>
    <mergeCell ref="W215:W216"/>
    <mergeCell ref="R141:R142"/>
    <mergeCell ref="J355:J356"/>
    <mergeCell ref="D43:D44"/>
    <mergeCell ref="F105:F106"/>
    <mergeCell ref="U21:U22"/>
    <mergeCell ref="M95:M96"/>
    <mergeCell ref="K331:K332"/>
    <mergeCell ref="AK65:AK66"/>
    <mergeCell ref="S79:S80"/>
    <mergeCell ref="G225:G226"/>
    <mergeCell ref="AS323:AS324"/>
    <mergeCell ref="AR17:AR18"/>
    <mergeCell ref="M209:M210"/>
    <mergeCell ref="L115:L116"/>
    <mergeCell ref="R143:R144"/>
    <mergeCell ref="E283:E284"/>
    <mergeCell ref="X93:X94"/>
    <mergeCell ref="T199:T200"/>
    <mergeCell ref="J357:J358"/>
    <mergeCell ref="M97:M98"/>
    <mergeCell ref="P3:Q3"/>
    <mergeCell ref="X207:X208"/>
    <mergeCell ref="G227:G228"/>
    <mergeCell ref="Y297:Y298"/>
    <mergeCell ref="AG259:AG260"/>
    <mergeCell ref="G347:G348"/>
    <mergeCell ref="C323:C326"/>
    <mergeCell ref="V263:V264"/>
    <mergeCell ref="H165:H166"/>
    <mergeCell ref="H323:H324"/>
    <mergeCell ref="J81:J82"/>
    <mergeCell ref="Q217:Q218"/>
    <mergeCell ref="I291:I292"/>
    <mergeCell ref="K49:K50"/>
    <mergeCell ref="A368:AS368"/>
    <mergeCell ref="AG261:AG262"/>
    <mergeCell ref="Y335:Y336"/>
    <mergeCell ref="AA93:AA94"/>
    <mergeCell ref="J53:J54"/>
    <mergeCell ref="K21:K22"/>
    <mergeCell ref="AS191:AS192"/>
    <mergeCell ref="A275:A278"/>
    <mergeCell ref="I293:I294"/>
    <mergeCell ref="K173:K174"/>
    <mergeCell ref="M113:M114"/>
    <mergeCell ref="AS9:AS10"/>
    <mergeCell ref="AS349:AS350"/>
    <mergeCell ref="F247:F248"/>
    <mergeCell ref="M237:M238"/>
    <mergeCell ref="W259:W260"/>
    <mergeCell ref="Y17:Y18"/>
    <mergeCell ref="E311:E312"/>
    <mergeCell ref="X235:X236"/>
    <mergeCell ref="H7:H8"/>
    <mergeCell ref="AR283:AR284"/>
    <mergeCell ref="F243:F244"/>
    <mergeCell ref="T129:T130"/>
    <mergeCell ref="J63:J64"/>
    <mergeCell ref="M239:M240"/>
    <mergeCell ref="Z297:Z298"/>
    <mergeCell ref="Q59:Q60"/>
    <mergeCell ref="H305:H306"/>
    <mergeCell ref="AS67:AS68"/>
    <mergeCell ref="O295:O296"/>
    <mergeCell ref="Y317:Y318"/>
    <mergeCell ref="Y361:Y362"/>
    <mergeCell ref="R365:R366"/>
    <mergeCell ref="S5:S6"/>
    <mergeCell ref="M141:M142"/>
    <mergeCell ref="T131:T132"/>
    <mergeCell ref="H307:H308"/>
    <mergeCell ref="V187:V188"/>
    <mergeCell ref="N261:N262"/>
    <mergeCell ref="Q359:Q360"/>
    <mergeCell ref="K191:K192"/>
    <mergeCell ref="A5:A8"/>
    <mergeCell ref="B275:B278"/>
    <mergeCell ref="A303:A306"/>
    <mergeCell ref="AG185:AG186"/>
    <mergeCell ref="O199:O200"/>
    <mergeCell ref="AR243:AR244"/>
    <mergeCell ref="V195:V196"/>
    <mergeCell ref="D203:D204"/>
    <mergeCell ref="X251:X252"/>
    <mergeCell ref="Z9:Z10"/>
    <mergeCell ref="S29:S30"/>
    <mergeCell ref="Y231:Y232"/>
    <mergeCell ref="K103:K104"/>
    <mergeCell ref="AK13:AK14"/>
    <mergeCell ref="G241:G242"/>
    <mergeCell ref="AK7:AK8"/>
    <mergeCell ref="S21:S22"/>
    <mergeCell ref="AP239:AP240"/>
    <mergeCell ref="Z11:Z12"/>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051-6-K-26, (04.03.2026) [FHM-K]</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 retest assay not yet on file —</t>
        </is>
      </c>
      <c r="X52" s="233" t="inlineStr">
        <is>
          <t>— pending —</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 retest assay not yet on file —</t>
        </is>
      </c>
      <c r="X71" s="233" t="inlineStr">
        <is>
          <t>— pending —</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 retest assay not yet on file —</t>
        </is>
      </c>
      <c r="X72" s="233" t="inlineStr">
        <is>
          <t>— pending —</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ППК26111, (30.06.2026) [CNP]</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ППК26111,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01.09.2025</t>
        </is>
      </c>
      <c r="Q87" s="233" t="inlineStr">
        <is>
          <t>04.06.2025 – 05.06.2025</t>
        </is>
      </c>
      <c r="R87" s="233" t="inlineStr">
        <is>
          <t>01.09.2025 – 09.09.2025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25.05.2026</t>
        </is>
      </c>
      <c r="Q93" s="233" t="inlineStr">
        <is>
          <t>16.04.2026</t>
        </is>
      </c>
      <c r="R93" s="233" t="inlineStr">
        <is>
          <t>25.05.2026</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 retest assay not yet on file —</t>
        </is>
      </c>
      <c r="X124" s="233" t="inlineStr">
        <is>
          <t>— pending —</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 retest assay not yet on file —</t>
        </is>
      </c>
      <c r="X125" s="233" t="inlineStr">
        <is>
          <t>— pending —</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 retest assay not yet on file —</t>
        </is>
      </c>
      <c r="X126" s="233" t="inlineStr">
        <is>
          <t>— pending —</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 retest assay not yet on file —</t>
        </is>
      </c>
      <c r="X127" s="233" t="inlineStr">
        <is>
          <t>— pending —</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 retest assay not yet on file —</t>
        </is>
      </c>
      <c r="X128" s="233" t="inlineStr">
        <is>
          <t>— pending —</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 retest assay not yet on file —</t>
        </is>
      </c>
      <c r="X129" s="233" t="inlineStr">
        <is>
          <t>— pending —</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 retest assay not yet on file —</t>
        </is>
      </c>
      <c r="X130" s="233" t="inlineStr">
        <is>
          <t>— pending —</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 retest assay not yet on file —</t>
        </is>
      </c>
      <c r="X131" s="233" t="inlineStr">
        <is>
          <t>— pending —</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 retest assay not yet on file —</t>
        </is>
      </c>
      <c r="X132" s="233" t="inlineStr">
        <is>
          <t>— pending —</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 retest assay not yet on file —</t>
        </is>
      </c>
      <c r="X133" s="233" t="inlineStr">
        <is>
          <t>— pending —</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 retest assay not yet on file —</t>
        </is>
      </c>
      <c r="X134" s="233" t="inlineStr">
        <is>
          <t>— pending —</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 retest assay not yet on file —</t>
        </is>
      </c>
      <c r="X135" s="233" t="inlineStr">
        <is>
          <t>— pending —</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 retest assay not yet on file —</t>
        </is>
      </c>
      <c r="X136" s="233" t="inlineStr">
        <is>
          <t>— pending —</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 retest assay not yet on file —</t>
        </is>
      </c>
      <c r="X137" s="233" t="inlineStr">
        <is>
          <t>— pending —</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 retest assay not yet on file —</t>
        </is>
      </c>
      <c r="X138" s="233" t="inlineStr">
        <is>
          <t>— pending —</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 retest assay not yet on file —</t>
        </is>
      </c>
      <c r="X139" s="233" t="inlineStr">
        <is>
          <t>— pending —</t>
        </is>
      </c>
      <c r="Y139" s="233" t="inlineStr">
        <is>
          <t>220-16-M-26,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 retest assay not yet on file —</t>
        </is>
      </c>
      <c r="X140" s="233" t="inlineStr">
        <is>
          <t>— pending —</t>
        </is>
      </c>
      <c r="Y140" s="233" t="inlineStr">
        <is>
          <t>220-16-M-26,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 retest assay not yet on file —</t>
        </is>
      </c>
      <c r="X141" s="233" t="inlineStr">
        <is>
          <t>— pending —</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 retest assay not yet on file —</t>
        </is>
      </c>
      <c r="X142" s="233" t="inlineStr">
        <is>
          <t>— pending —</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 retest assay not yet on file —</t>
        </is>
      </c>
      <c r="X143" s="233" t="inlineStr">
        <is>
          <t>— pending —</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 retest assay not yet on file —</t>
        </is>
      </c>
      <c r="X144" s="233" t="inlineStr">
        <is>
          <t>— pending —</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 retest assay not yet on file —</t>
        </is>
      </c>
      <c r="X145" s="233" t="inlineStr">
        <is>
          <t>— pending —</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 retest assay not yet on file —</t>
        </is>
      </c>
      <c r="X146" s="233" t="inlineStr">
        <is>
          <t>— pending —</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t>
        </is>
      </c>
      <c r="R147" s="233" t="inlineStr">
        <is>
          <t>—</t>
        </is>
      </c>
      <c r="S147" s="235">
        <f>IFERROR(INDEX('CoQ Register'!$D:$D,MATCH("CC042601|R",'CoQ Register'!$S:$S,0)),"")</f>
        <v/>
      </c>
      <c r="T147" s="233" t="inlineStr">
        <is>
          <t>—</t>
        </is>
      </c>
      <c r="U147" s="233" t="inlineStr">
        <is>
          <t>—</t>
        </is>
      </c>
      <c r="V147" s="233" t="inlineStr">
        <is>
          <t>—</t>
        </is>
      </c>
      <c r="W147" s="233" t="inlineStr">
        <is>
          <t>—</t>
        </is>
      </c>
      <c r="X147" s="233" t="inlineStr">
        <is>
          <t>—</t>
        </is>
      </c>
      <c r="Y147" s="233" t="inlineStr">
        <is>
          <t>—</t>
        </is>
      </c>
      <c r="Z147" s="233" t="inlineStr">
        <is>
          <t>—</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t>
        </is>
      </c>
      <c r="R148" s="233" t="inlineStr">
        <is>
          <t>—</t>
        </is>
      </c>
      <c r="S148" s="235">
        <f>IFERROR(INDEX('CoQ Register'!$D:$D,MATCH("FB042601|R",'CoQ Register'!$S:$S,0)),"")</f>
        <v/>
      </c>
      <c r="T148" s="233" t="inlineStr">
        <is>
          <t>—</t>
        </is>
      </c>
      <c r="U148" s="233" t="inlineStr">
        <is>
          <t>—</t>
        </is>
      </c>
      <c r="V148" s="233" t="inlineStr">
        <is>
          <t>—</t>
        </is>
      </c>
      <c r="W148" s="233" t="inlineStr">
        <is>
          <t>—</t>
        </is>
      </c>
      <c r="X148" s="233" t="inlineStr">
        <is>
          <t>—</t>
        </is>
      </c>
      <c r="Y148" s="233" t="inlineStr">
        <is>
          <t>—</t>
        </is>
      </c>
      <c r="Z148" s="233" t="inlineStr">
        <is>
          <t>—</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t>
        </is>
      </c>
      <c r="Q149" s="233" t="inlineStr">
        <is>
          <t>—</t>
        </is>
      </c>
      <c r="R149" s="233" t="inlineStr">
        <is>
          <t>—</t>
        </is>
      </c>
      <c r="S149" s="235">
        <f>IFERROR(INDEX('CoQ Register'!$D:$D,MATCH("P060492|R",'CoQ Register'!$S:$S,0)),"")</f>
        <v/>
      </c>
      <c r="T149" s="233" t="inlineStr">
        <is>
          <t>—</t>
        </is>
      </c>
      <c r="U149" s="233" t="inlineStr">
        <is>
          <t>—</t>
        </is>
      </c>
      <c r="V149" s="233" t="inlineStr">
        <is>
          <t>—</t>
        </is>
      </c>
      <c r="W149" s="233" t="inlineStr">
        <is>
          <t>—</t>
        </is>
      </c>
      <c r="X149" s="233" t="inlineStr">
        <is>
          <t>—</t>
        </is>
      </c>
      <c r="Y149" s="233" t="inlineStr">
        <is>
          <t>—</t>
        </is>
      </c>
      <c r="Z149" s="233" t="inlineStr">
        <is>
          <t>—</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 retest assay not yet on file —</t>
        </is>
      </c>
      <c r="X150" s="233" t="inlineStr">
        <is>
          <t>— pending —</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 retest assay not yet on file —</t>
        </is>
      </c>
      <c r="X151" s="233" t="inlineStr">
        <is>
          <t>— pending —</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 retest assay not yet on file —</t>
        </is>
      </c>
      <c r="X152" s="233" t="inlineStr">
        <is>
          <t>— pending —</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 retest assay not yet on file —</t>
        </is>
      </c>
      <c r="X153" s="233" t="inlineStr">
        <is>
          <t>— pending —</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 retest assay not yet on file —</t>
        </is>
      </c>
      <c r="X154" s="233" t="inlineStr">
        <is>
          <t>— pending —</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 retest assay not yet on file —</t>
        </is>
      </c>
      <c r="X155" s="233" t="inlineStr">
        <is>
          <t>— pending —</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t>
        </is>
      </c>
      <c r="Q156" s="233" t="inlineStr">
        <is>
          <t>—</t>
        </is>
      </c>
      <c r="R156" s="233" t="inlineStr">
        <is>
          <t>—</t>
        </is>
      </c>
      <c r="S156" s="235">
        <f>IFERROR(INDEX('CoQ Register'!$D:$D,MATCH("P050142|R",'CoQ Register'!$S:$S,0)),"")</f>
        <v/>
      </c>
      <c r="T156" s="233" t="inlineStr">
        <is>
          <t>—</t>
        </is>
      </c>
      <c r="U156" s="233" t="inlineStr">
        <is>
          <t>—</t>
        </is>
      </c>
      <c r="V156" s="233" t="inlineStr">
        <is>
          <t>—</t>
        </is>
      </c>
      <c r="W156" s="233" t="inlineStr">
        <is>
          <t>—</t>
        </is>
      </c>
      <c r="X156" s="233" t="inlineStr">
        <is>
          <t>—</t>
        </is>
      </c>
      <c r="Y156" s="233" t="inlineStr">
        <is>
          <t>—</t>
        </is>
      </c>
      <c r="Z156" s="233" t="inlineStr">
        <is>
          <t>—</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t>
        </is>
      </c>
      <c r="R160" s="233" t="inlineStr">
        <is>
          <t>—</t>
        </is>
      </c>
      <c r="S160" s="235">
        <f>IFERROR(INDEX('CoQ Register'!$D:$D,MATCH("P060342|R",'CoQ Register'!$S:$S,0)),"")</f>
        <v/>
      </c>
      <c r="T160" s="233" t="inlineStr">
        <is>
          <t>—</t>
        </is>
      </c>
      <c r="U160" s="233" t="inlineStr">
        <is>
          <t>—</t>
        </is>
      </c>
      <c r="V160" s="233" t="inlineStr">
        <is>
          <t>—</t>
        </is>
      </c>
      <c r="W160" s="233" t="inlineStr">
        <is>
          <t>—</t>
        </is>
      </c>
      <c r="X160" s="233" t="inlineStr">
        <is>
          <t>—</t>
        </is>
      </c>
      <c r="Y160" s="233" t="inlineStr">
        <is>
          <t>—</t>
        </is>
      </c>
      <c r="Z160" s="233" t="inlineStr">
        <is>
          <t>—</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t>
        </is>
      </c>
      <c r="Q165" s="233" t="inlineStr">
        <is>
          <t>—</t>
        </is>
      </c>
      <c r="R165" s="233" t="inlineStr">
        <is>
          <t>—</t>
        </is>
      </c>
      <c r="S165" s="235">
        <f>IFERROR(INDEX('CoQ Register'!$D:$D,MATCH("P060102|R",'CoQ Register'!$S:$S,0)),"")</f>
        <v/>
      </c>
      <c r="T165" s="233" t="inlineStr">
        <is>
          <t>—</t>
        </is>
      </c>
      <c r="U165" s="233" t="inlineStr">
        <is>
          <t>—</t>
        </is>
      </c>
      <c r="V165" s="233" t="inlineStr">
        <is>
          <t>—</t>
        </is>
      </c>
      <c r="W165" s="233" t="inlineStr">
        <is>
          <t>—</t>
        </is>
      </c>
      <c r="X165" s="233" t="inlineStr">
        <is>
          <t>—</t>
        </is>
      </c>
      <c r="Y165" s="233" t="inlineStr">
        <is>
          <t>—</t>
        </is>
      </c>
      <c r="Z165" s="233" t="inlineStr">
        <is>
          <t>—</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t>
        </is>
      </c>
      <c r="H170" s="233" t="inlineStr">
        <is>
          <t>retest 1</t>
        </is>
      </c>
      <c r="I170" s="234" t="inlineStr">
        <is>
          <t>GRC102501/1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t>
        </is>
      </c>
      <c r="Q170" s="233" t="inlineStr">
        <is>
          <t>—</t>
        </is>
      </c>
      <c r="R170" s="233" t="inlineStr">
        <is>
          <t>—</t>
        </is>
      </c>
      <c r="S170" s="235">
        <f>IFERROR(INDEX('CoQ Register'!$D:$D,MATCH("P060142|R",'CoQ Register'!$S:$S,0)),"")</f>
        <v/>
      </c>
      <c r="T170" s="233" t="inlineStr">
        <is>
          <t>—</t>
        </is>
      </c>
      <c r="U170" s="233" t="inlineStr">
        <is>
          <t>—</t>
        </is>
      </c>
      <c r="V170" s="233" t="inlineStr">
        <is>
          <t>—</t>
        </is>
      </c>
      <c r="W170" s="233" t="inlineStr">
        <is>
          <t>—</t>
        </is>
      </c>
      <c r="X170" s="233" t="inlineStr">
        <is>
          <t>—</t>
        </is>
      </c>
      <c r="Y170" s="233" t="inlineStr">
        <is>
          <t>—</t>
        </is>
      </c>
      <c r="Z170" s="233" t="inlineStr">
        <is>
          <t>—</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t>
        </is>
      </c>
      <c r="H177" s="233" t="inlineStr">
        <is>
          <t>retest 1</t>
        </is>
      </c>
      <c r="I177" s="234" t="inlineStr">
        <is>
          <t>BSS1024_01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t>
        </is>
      </c>
      <c r="Q177" s="233" t="inlineStr">
        <is>
          <t>—</t>
        </is>
      </c>
      <c r="R177" s="233" t="inlineStr">
        <is>
          <t>—</t>
        </is>
      </c>
      <c r="S177" s="235">
        <f>IFERROR(INDEX('CoQ Register'!$D:$D,MATCH("P050122|R",'CoQ Register'!$S:$S,0)),"")</f>
        <v/>
      </c>
      <c r="T177" s="233" t="inlineStr">
        <is>
          <t>—</t>
        </is>
      </c>
      <c r="U177" s="233" t="inlineStr">
        <is>
          <t>—</t>
        </is>
      </c>
      <c r="V177" s="233" t="inlineStr">
        <is>
          <t>—</t>
        </is>
      </c>
      <c r="W177" s="233" t="inlineStr">
        <is>
          <t>—</t>
        </is>
      </c>
      <c r="X177" s="233" t="inlineStr">
        <is>
          <t>—</t>
        </is>
      </c>
      <c r="Y177" s="233" t="inlineStr">
        <is>
          <t>—</t>
        </is>
      </c>
      <c r="Z177" s="233" t="inlineStr">
        <is>
          <t>—</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ППК26065, (11.05.2026) [CNP]</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c r="A188" s="233" t="inlineStr"/>
      <c r="B188" s="234" t="inlineStr">
        <is>
          <t>— at issue —</t>
        </is>
      </c>
      <c r="C188" s="238" t="inlineStr">
        <is>
          <t>no</t>
        </is>
      </c>
      <c r="D188" s="235">
        <f>IF(A188="","",IF(ISNUMBER(E188),MAX(DATE(2026,6,3),E188),DATE(2026,6,3)))</f>
        <v/>
      </c>
      <c r="E188" s="235" t="inlineStr">
        <is>
          <t>— at the retest sampling —</t>
        </is>
      </c>
      <c r="F188" s="235">
        <f>IFERROR(INDEX('Batch Dates'!$G:$G,MATCH(J188,'Batch Dates'!$C:$C,0)),IFERROR(INDEX('Batch Dates'!$G:$G,MATCH(I188,'Batch Dates'!$B:$B,0)),""))</f>
        <v/>
      </c>
      <c r="G188" s="233" t="inlineStr">
        <is>
          <t>post-SOP</t>
        </is>
      </c>
      <c r="H188" s="233" t="inlineStr">
        <is>
          <t>retest — not yet sampled</t>
        </is>
      </c>
      <c r="I188" s="234" t="inlineStr">
        <is>
          <t>JD022601</t>
        </is>
      </c>
      <c r="J188" s="233" t="inlineStr">
        <is>
          <t>P060482</t>
        </is>
      </c>
      <c r="K188" s="233" t="inlineStr">
        <is>
          <t>Jelly Donutz</t>
        </is>
      </c>
      <c r="L188" s="233" t="inlineStr">
        <is>
          <t>Ident A + Ident B + Foreign matter</t>
        </is>
      </c>
      <c r="M188" s="238" t="inlineStr">
        <is>
          <t>—</t>
        </is>
      </c>
      <c r="N188" s="233">
        <f>IFERROR(INDEX('CoQ Register'!$B:$B,MATCH("P060482|R",'CoQ Register'!$S:$S,0)),"—")</f>
        <v/>
      </c>
      <c r="O188" s="238" t="inlineStr">
        <is>
          <t>—</t>
        </is>
      </c>
      <c r="P188" s="233" t="inlineStr">
        <is>
          <t>30.06.2027</t>
        </is>
      </c>
      <c r="Q188" s="233" t="inlineStr">
        <is>
          <t>18.05.2026</t>
        </is>
      </c>
      <c r="R188" s="233" t="inlineStr">
        <is>
          <t>05.08.2026 (the issuance plan's basis: 30.06.2026)</t>
        </is>
      </c>
      <c r="S188" s="235">
        <f>IFERROR(INDEX('CoQ Register'!$D:$D,MATCH("P060482|R",'CoQ Register'!$S:$S,0)),"")</f>
        <v/>
      </c>
      <c r="T188" s="233" t="inlineStr">
        <is>
          <t>to test</t>
        </is>
      </c>
      <c r="U188" s="233" t="inlineStr">
        <is>
          <t>to test</t>
        </is>
      </c>
      <c r="V188" s="233" t="inlineStr">
        <is>
          <t>to test</t>
        </is>
      </c>
      <c r="W188" s="233" t="inlineStr">
        <is>
          <t>— retest assay not yet on file —</t>
        </is>
      </c>
      <c r="X188" s="233" t="inlineStr">
        <is>
          <t>— pending —</t>
        </is>
      </c>
      <c r="Y188" s="233" t="inlineStr">
        <is>
          <t>— pending —</t>
        </is>
      </c>
      <c r="Z188" s="233" t="inlineStr">
        <is>
          <t>#8, #9, #11, #12 from the initial testing</t>
        </is>
      </c>
      <c r="AA188" s="233" t="inlineStr">
        <is>
          <t>P060482|R</t>
        </is>
      </c>
      <c r="AB188" s="241" t="inlineStr">
        <is>
          <t>not yet issuable — no campaign sampling date on file</t>
        </is>
      </c>
    </row>
    <row r="189">
      <c r="A189" s="233" t="inlineStr"/>
      <c r="B189" s="234" t="inlineStr">
        <is>
          <t>— at issue —</t>
        </is>
      </c>
      <c r="C189" s="238" t="inlineStr">
        <is>
          <t>no</t>
        </is>
      </c>
      <c r="D189" s="235">
        <f>IF(A189="","",IF(ISNUMBER(E189),MAX(DATE(2026,6,3),E189),DATE(2026,6,3)))</f>
        <v/>
      </c>
      <c r="E189" s="235" t="inlineStr">
        <is>
          <t>— at the retest sampling —</t>
        </is>
      </c>
      <c r="F189" s="235">
        <f>IFERROR(INDEX('Batch Dates'!$G:$G,MATCH(J189,'Batch Dates'!$C:$C,0)),IFERROR(INDEX('Batch Dates'!$G:$G,MATCH(I189,'Batch Dates'!$B:$B,0)),""))</f>
        <v/>
      </c>
      <c r="G189" s="233" t="inlineStr">
        <is>
          <t>—</t>
        </is>
      </c>
      <c r="H189" s="233" t="inlineStr">
        <is>
          <t>retest — not yet sampled</t>
        </is>
      </c>
      <c r="I189" s="234" t="inlineStr">
        <is>
          <t>— not recorded — (P160012)</t>
        </is>
      </c>
      <c r="J189" s="233" t="inlineStr">
        <is>
          <t>P160012</t>
        </is>
      </c>
      <c r="K189" s="233" t="inlineStr"/>
      <c r="L189" s="233" t="inlineStr">
        <is>
          <t>Ident A + Ident B + Foreign matter</t>
        </is>
      </c>
      <c r="M189" s="238" t="inlineStr">
        <is>
          <t>—</t>
        </is>
      </c>
      <c r="N189" s="233">
        <f>IFERROR(INDEX('CoQ Register'!$B:$B,MATCH("P160012|R",'CoQ Register'!$S:$S,0)),"—")</f>
        <v/>
      </c>
      <c r="O189" s="238" t="inlineStr">
        <is>
          <t>—</t>
        </is>
      </c>
      <c r="P189" s="233" t="inlineStr">
        <is>
          <t>06.07.2027</t>
        </is>
      </c>
      <c r="Q189" s="233" t="inlineStr">
        <is>
          <t>— not on the list —</t>
        </is>
      </c>
      <c r="R189" s="233" t="inlineStr">
        <is>
          <t>— not on the list —</t>
        </is>
      </c>
      <c r="S189" s="235">
        <f>IFERROR(INDEX('CoQ Register'!$D:$D,MATCH("P160012|R",'CoQ Register'!$S:$S,0)),"")</f>
        <v/>
      </c>
      <c r="T189" s="233" t="inlineStr">
        <is>
          <t>to test</t>
        </is>
      </c>
      <c r="U189" s="233" t="inlineStr">
        <is>
          <t>to test</t>
        </is>
      </c>
      <c r="V189" s="233" t="inlineStr">
        <is>
          <t>to test</t>
        </is>
      </c>
      <c r="W189" s="233" t="inlineStr">
        <is>
          <t>— retest assay not yet on file —</t>
        </is>
      </c>
      <c r="X189" s="233" t="inlineStr">
        <is>
          <t>— pending —</t>
        </is>
      </c>
      <c r="Y189" s="233" t="inlineStr">
        <is>
          <t>— pending —</t>
        </is>
      </c>
      <c r="Z189" s="233" t="inlineStr">
        <is>
          <t>#8, #9, #11, #12 from the initial testing</t>
        </is>
      </c>
      <c r="AA189" s="233" t="inlineStr">
        <is>
          <t>P160012|R</t>
        </is>
      </c>
      <c r="AB189" s="241" t="inlineStr">
        <is>
          <t>not yet issuable — no campaign sampling date on file</t>
        </is>
      </c>
    </row>
    <row r="190">
      <c r="A190" s="233" t="inlineStr"/>
      <c r="B190" s="234" t="inlineStr">
        <is>
          <t>— at issue —</t>
        </is>
      </c>
      <c r="C190" s="238" t="inlineStr">
        <is>
          <t>no</t>
        </is>
      </c>
      <c r="D190" s="235">
        <f>IF(A190="","",IF(ISNUMBER(E190),MAX(DATE(2026,6,3),E190),DATE(2026,6,3)))</f>
        <v/>
      </c>
      <c r="E190" s="235" t="inlineStr">
        <is>
          <t>— at the retest sampling —</t>
        </is>
      </c>
      <c r="F190" s="235">
        <f>IFERROR(INDEX('Batch Dates'!$G:$G,MATCH(J190,'Batch Dates'!$C:$C,0)),IFERROR(INDEX('Batch Dates'!$G:$G,MATCH(I190,'Batch Dates'!$B:$B,0)),""))</f>
        <v/>
      </c>
      <c r="G190" s="233" t="inlineStr">
        <is>
          <t>—</t>
        </is>
      </c>
      <c r="H190" s="233" t="inlineStr">
        <is>
          <t>retest — not yet sampled</t>
        </is>
      </c>
      <c r="I190" s="234" t="inlineStr">
        <is>
          <t>— not recorded — (P160022)</t>
        </is>
      </c>
      <c r="J190" s="233" t="inlineStr">
        <is>
          <t>P160022</t>
        </is>
      </c>
      <c r="K190" s="233" t="inlineStr"/>
      <c r="L190" s="233" t="inlineStr">
        <is>
          <t>Ident A + Ident B + Foreign matter</t>
        </is>
      </c>
      <c r="M190" s="238" t="inlineStr">
        <is>
          <t>—</t>
        </is>
      </c>
      <c r="N190" s="233">
        <f>IFERROR(INDEX('CoQ Register'!$B:$B,MATCH("P160022|R",'CoQ Register'!$S:$S,0)),"—")</f>
        <v/>
      </c>
      <c r="O190" s="238" t="inlineStr">
        <is>
          <t>—</t>
        </is>
      </c>
      <c r="P190" s="233" t="inlineStr">
        <is>
          <t>06.07.2027</t>
        </is>
      </c>
      <c r="Q190" s="233" t="inlineStr">
        <is>
          <t>— not on the list —</t>
        </is>
      </c>
      <c r="R190" s="233" t="inlineStr">
        <is>
          <t>— not on the list —</t>
        </is>
      </c>
      <c r="S190" s="235">
        <f>IFERROR(INDEX('CoQ Register'!$D:$D,MATCH("P160022|R",'CoQ Register'!$S:$S,0)),"")</f>
        <v/>
      </c>
      <c r="T190" s="233" t="inlineStr">
        <is>
          <t>to test</t>
        </is>
      </c>
      <c r="U190" s="233" t="inlineStr">
        <is>
          <t>to test</t>
        </is>
      </c>
      <c r="V190" s="233" t="inlineStr">
        <is>
          <t>to test</t>
        </is>
      </c>
      <c r="W190" s="233" t="inlineStr">
        <is>
          <t>— retest assay not yet on file —</t>
        </is>
      </c>
      <c r="X190" s="233" t="inlineStr">
        <is>
          <t>— pending —</t>
        </is>
      </c>
      <c r="Y190" s="233" t="inlineStr">
        <is>
          <t>— pending —</t>
        </is>
      </c>
      <c r="Z190" s="233" t="inlineStr">
        <is>
          <t>#8, #9, #11, #12 from the initial testing</t>
        </is>
      </c>
      <c r="AA190" s="233" t="inlineStr">
        <is>
          <t>P160022|R</t>
        </is>
      </c>
      <c r="AB190" s="241" t="inlineStr">
        <is>
          <t>not yet issuable — no campaign sampling date on file</t>
        </is>
      </c>
    </row>
    <row r="191">
      <c r="A191" s="233" t="inlineStr"/>
      <c r="B191" s="234" t="inlineStr">
        <is>
          <t>— at issue —</t>
        </is>
      </c>
      <c r="C191" s="238" t="inlineStr">
        <is>
          <t>no</t>
        </is>
      </c>
      <c r="D191" s="235">
        <f>IF(A191="","",IF(ISNUMBER(E191),MAX(DATE(2026,6,3),E191),DATE(2026,6,3)))</f>
        <v/>
      </c>
      <c r="E191" s="235" t="inlineStr">
        <is>
          <t>— at the retest sampling —</t>
        </is>
      </c>
      <c r="F191" s="235">
        <f>IFERROR(INDEX('Batch Dates'!$G:$G,MATCH(J191,'Batch Dates'!$C:$C,0)),IFERROR(INDEX('Batch Dates'!$G:$G,MATCH(I191,'Batch Dates'!$B:$B,0)),""))</f>
        <v/>
      </c>
      <c r="G191" s="233" t="inlineStr">
        <is>
          <t>—</t>
        </is>
      </c>
      <c r="H191" s="233" t="inlineStr">
        <is>
          <t>retest — not yet sampled</t>
        </is>
      </c>
      <c r="I191" s="234" t="inlineStr">
        <is>
          <t>— not recorded — (P160032)</t>
        </is>
      </c>
      <c r="J191" s="233" t="inlineStr">
        <is>
          <t>P160032</t>
        </is>
      </c>
      <c r="K191" s="233" t="inlineStr"/>
      <c r="L191" s="233" t="inlineStr">
        <is>
          <t>Ident A + Ident B + Foreign matter</t>
        </is>
      </c>
      <c r="M191" s="238" t="inlineStr">
        <is>
          <t>—</t>
        </is>
      </c>
      <c r="N191" s="233">
        <f>IFERROR(INDEX('CoQ Register'!$B:$B,MATCH("P160032|R",'CoQ Register'!$S:$S,0)),"—")</f>
        <v/>
      </c>
      <c r="O191" s="238" t="inlineStr">
        <is>
          <t>—</t>
        </is>
      </c>
      <c r="P191" s="233" t="inlineStr">
        <is>
          <t>06.07.2027</t>
        </is>
      </c>
      <c r="Q191" s="233" t="inlineStr">
        <is>
          <t>— not on the list —</t>
        </is>
      </c>
      <c r="R191" s="233" t="inlineStr">
        <is>
          <t>— not on the list —</t>
        </is>
      </c>
      <c r="S191" s="235">
        <f>IFERROR(INDEX('CoQ Register'!$D:$D,MATCH("P160032|R",'CoQ Register'!$S:$S,0)),"")</f>
        <v/>
      </c>
      <c r="T191" s="233" t="inlineStr">
        <is>
          <t>to test</t>
        </is>
      </c>
      <c r="U191" s="233" t="inlineStr">
        <is>
          <t>to test</t>
        </is>
      </c>
      <c r="V191" s="233" t="inlineStr">
        <is>
          <t>to test</t>
        </is>
      </c>
      <c r="W191" s="233" t="inlineStr">
        <is>
          <t>— retest assay not yet on file —</t>
        </is>
      </c>
      <c r="X191" s="233" t="inlineStr">
        <is>
          <t>— pending —</t>
        </is>
      </c>
      <c r="Y191" s="233" t="inlineStr">
        <is>
          <t>— pending —</t>
        </is>
      </c>
      <c r="Z191" s="233" t="inlineStr">
        <is>
          <t>#8, #9, #11, #12 from the initial testing</t>
        </is>
      </c>
      <c r="AA191" s="233" t="inlineStr">
        <is>
          <t>P160032|R</t>
        </is>
      </c>
      <c r="AB191" s="241" t="inlineStr">
        <is>
          <t>not yet issuable — no campaign sampling date on file</t>
        </is>
      </c>
    </row>
    <row r="192">
      <c r="A192" s="233" t="inlineStr"/>
      <c r="B192" s="234" t="inlineStr">
        <is>
          <t>— at issue —</t>
        </is>
      </c>
      <c r="C192" s="238" t="inlineStr">
        <is>
          <t>no</t>
        </is>
      </c>
      <c r="D192" s="235">
        <f>IF(A192="","",IF(ISNUMBER(E192),MAX(DATE(2026,6,3),E192),DATE(2026,6,3)))</f>
        <v/>
      </c>
      <c r="E192" s="235" t="inlineStr">
        <is>
          <t>— at the retest sampling —</t>
        </is>
      </c>
      <c r="F192" s="235">
        <f>IFERROR(INDEX('Batch Dates'!$G:$G,MATCH(J192,'Batch Dates'!$C:$C,0)),IFERROR(INDEX('Batch Dates'!$G:$G,MATCH(I192,'Batch Dates'!$B:$B,0)),""))</f>
        <v/>
      </c>
      <c r="G192" s="233" t="inlineStr">
        <is>
          <t>post-SOP</t>
        </is>
      </c>
      <c r="H192" s="233" t="inlineStr">
        <is>
          <t>retest — not yet sampled</t>
        </is>
      </c>
      <c r="I192" s="234" t="inlineStr">
        <is>
          <t>FB032601</t>
        </is>
      </c>
      <c r="J192" s="233" t="inlineStr">
        <is>
          <t>P060452</t>
        </is>
      </c>
      <c r="K192" s="233" t="inlineStr">
        <is>
          <t>Fat Bastard</t>
        </is>
      </c>
      <c r="L192" s="233" t="inlineStr">
        <is>
          <t>Ident A + Ident B + Foreign matter</t>
        </is>
      </c>
      <c r="M192" s="238" t="inlineStr">
        <is>
          <t>—</t>
        </is>
      </c>
      <c r="N192" s="233">
        <f>IFERROR(INDEX('CoQ Register'!$B:$B,MATCH("P060452|R",'CoQ Register'!$S:$S,0)),"—")</f>
        <v/>
      </c>
      <c r="O192" s="238" t="inlineStr">
        <is>
          <t>—</t>
        </is>
      </c>
      <c r="P192" s="233" t="inlineStr">
        <is>
          <t>21.07.2027</t>
        </is>
      </c>
      <c r="Q192" s="233" t="inlineStr">
        <is>
          <t>02.06.2026</t>
        </is>
      </c>
      <c r="R192" s="233" t="inlineStr">
        <is>
          <t>29.06.2026 (the issuance plan's basis: 21.07.2026)</t>
        </is>
      </c>
      <c r="S192" s="235">
        <f>IFERROR(INDEX('CoQ Register'!$D:$D,MATCH("P060452|R",'CoQ Register'!$S:$S,0)),"")</f>
        <v/>
      </c>
      <c r="T192" s="233" t="inlineStr">
        <is>
          <t>to test</t>
        </is>
      </c>
      <c r="U192" s="233" t="inlineStr">
        <is>
          <t>to test</t>
        </is>
      </c>
      <c r="V192" s="233" t="inlineStr">
        <is>
          <t>to test</t>
        </is>
      </c>
      <c r="W192" s="233" t="inlineStr">
        <is>
          <t>— retest assay not yet on file —</t>
        </is>
      </c>
      <c r="X192" s="233" t="inlineStr">
        <is>
          <t>— pending —</t>
        </is>
      </c>
      <c r="Y192" s="233" t="inlineStr">
        <is>
          <t>— pending —</t>
        </is>
      </c>
      <c r="Z192" s="233" t="inlineStr">
        <is>
          <t>#8, #9, #11, #12 from the initial testing</t>
        </is>
      </c>
      <c r="AA192" s="233" t="inlineStr">
        <is>
          <t>P060452|R</t>
        </is>
      </c>
      <c r="AB192" s="241" t="inlineStr">
        <is>
          <t>not yet issuable — no campaign sampling date on file</t>
        </is>
      </c>
    </row>
    <row r="193">
      <c r="A193" s="233" t="inlineStr"/>
      <c r="B193" s="234" t="inlineStr">
        <is>
          <t>— at issue —</t>
        </is>
      </c>
      <c r="C193" s="238" t="inlineStr">
        <is>
          <t>no</t>
        </is>
      </c>
      <c r="D193" s="235">
        <f>IF(A193="","",IF(ISNUMBER(E193),MAX(DATE(2026,6,3),E193),DATE(2026,6,3)))</f>
        <v/>
      </c>
      <c r="E193" s="235" t="inlineStr">
        <is>
          <t>— at the retest sampling —</t>
        </is>
      </c>
      <c r="F193" s="235">
        <f>IFERROR(INDEX('Batch Dates'!$G:$G,MATCH(J193,'Batch Dates'!$C:$C,0)),IFERROR(INDEX('Batch Dates'!$G:$G,MATCH(I193,'Batch Dates'!$B:$B,0)),""))</f>
        <v/>
      </c>
      <c r="G193" s="233" t="inlineStr">
        <is>
          <t>post-SOP</t>
        </is>
      </c>
      <c r="H193" s="233" t="inlineStr">
        <is>
          <t>retest — not yet sampled</t>
        </is>
      </c>
      <c r="I193" s="234" t="inlineStr">
        <is>
          <t>GG032601</t>
        </is>
      </c>
      <c r="J193" s="233" t="inlineStr">
        <is>
          <t>P060462</t>
        </is>
      </c>
      <c r="K193" s="233" t="inlineStr">
        <is>
          <t>Gorilla Glue</t>
        </is>
      </c>
      <c r="L193" s="233" t="inlineStr">
        <is>
          <t>Ident A + Ident B + Foreign matter</t>
        </is>
      </c>
      <c r="M193" s="238" t="inlineStr">
        <is>
          <t>—</t>
        </is>
      </c>
      <c r="N193" s="233">
        <f>IFERROR(INDEX('CoQ Register'!$B:$B,MATCH("P060462|R",'CoQ Register'!$S:$S,0)),"—")</f>
        <v/>
      </c>
      <c r="O193" s="238" t="inlineStr">
        <is>
          <t>—</t>
        </is>
      </c>
      <c r="P193" s="233" t="inlineStr">
        <is>
          <t>21.07.2027</t>
        </is>
      </c>
      <c r="Q193" s="233" t="inlineStr">
        <is>
          <t>16.06.2026</t>
        </is>
      </c>
      <c r="R193" s="233" t="inlineStr">
        <is>
          <t>16.07.2026 (the issuance plan's basis: 21.07.2026)</t>
        </is>
      </c>
      <c r="S193" s="235">
        <f>IFERROR(INDEX('CoQ Register'!$D:$D,MATCH("P060462|R",'CoQ Register'!$S:$S,0)),"")</f>
        <v/>
      </c>
      <c r="T193" s="233" t="inlineStr">
        <is>
          <t>to test</t>
        </is>
      </c>
      <c r="U193" s="233" t="inlineStr">
        <is>
          <t>to test</t>
        </is>
      </c>
      <c r="V193" s="233" t="inlineStr">
        <is>
          <t>to test</t>
        </is>
      </c>
      <c r="W193" s="233" t="inlineStr">
        <is>
          <t>— retest assay not yet on file —</t>
        </is>
      </c>
      <c r="X193" s="233" t="inlineStr">
        <is>
          <t>— pending —</t>
        </is>
      </c>
      <c r="Y193" s="233" t="inlineStr">
        <is>
          <t>— pending —</t>
        </is>
      </c>
      <c r="Z193" s="233" t="inlineStr">
        <is>
          <t>#8, #9, #11, #12 from the initial testing</t>
        </is>
      </c>
      <c r="AA193" s="233" t="inlineStr">
        <is>
          <t>P060462|R</t>
        </is>
      </c>
      <c r="AB193" s="241" t="inlineStr">
        <is>
          <t>not yet issuable — no campaign sampling date on file</t>
        </is>
      </c>
    </row>
    <row r="194"/>
    <row r="195" ht="110" customHeight="1" s="70">
      <c r="A195"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95:AB19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row>
    <row r="2">
      <c r="A2" s="233">
        <f>IF(C2="yes",COUNT(A$1:A1)+1,"")</f>
        <v/>
      </c>
      <c r="B2" s="234">
        <f>IF(A2&lt;&gt;"","CoQ-PP_26-"&amp;TEXT(A2,"000"),"— at issue —")</f>
        <v/>
      </c>
      <c r="C2" s="239" t="inlineStr">
        <is>
          <t>yes</t>
        </is>
      </c>
      <c r="D2" s="235">
        <f>IF(A2="","",MAX(E2,IF(ISNUMBER(I2),I2,0),IFERROR(IF(ISNUMBER(INDEX('iCoA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row>
    <row r="3">
      <c r="A3" s="233">
        <f>IF(C3="yes",COUNT(A$1:A2)+1,"")</f>
        <v/>
      </c>
      <c r="B3" s="234">
        <f>IF(A3&lt;&gt;"","CoQ-PP_26-"&amp;TEXT(A3,"000"),"— at issue —")</f>
        <v/>
      </c>
      <c r="C3" s="239" t="inlineStr">
        <is>
          <t>yes</t>
        </is>
      </c>
      <c r="D3" s="235">
        <f>IF(A3="","",MAX(E3,IF(ISNUMBER(I3),I3,0),IFERROR(IF(ISNUMBER(INDEX('iCoA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row>
    <row r="4">
      <c r="A4" s="233">
        <f>IF(C4="yes",COUNT(A$1:A3)+1,"")</f>
        <v/>
      </c>
      <c r="B4" s="234">
        <f>IF(A4&lt;&gt;"","CoQ-PP_26-"&amp;TEXT(A4,"000"),"— at issue —")</f>
        <v/>
      </c>
      <c r="C4" s="239" t="inlineStr">
        <is>
          <t>yes</t>
        </is>
      </c>
      <c r="D4" s="235">
        <f>IF(A4="","",MAX(E4,IF(ISNUMBER(I4),I4,0),IFERROR(IF(ISNUMBER(INDEX('iCoA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row>
    <row r="5">
      <c r="A5" s="233">
        <f>IF(C5="yes",COUNT(A$1:A4)+1,"")</f>
        <v/>
      </c>
      <c r="B5" s="234">
        <f>IF(A5&lt;&gt;"","CoQ-PP_26-"&amp;TEXT(A5,"000"),"— at issue —")</f>
        <v/>
      </c>
      <c r="C5" s="239" t="inlineStr">
        <is>
          <t>yes</t>
        </is>
      </c>
      <c r="D5" s="235">
        <f>IF(A5="","",MAX(E5,IF(ISNUMBER(I5),I5,0),IFERROR(IF(ISNUMBER(INDEX('iCoA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row>
    <row r="6">
      <c r="A6" s="233">
        <f>IF(C6="yes",COUNT(A$1:A5)+1,"")</f>
        <v/>
      </c>
      <c r="B6" s="234">
        <f>IF(A6&lt;&gt;"","CoQ-PP_26-"&amp;TEXT(A6,"000"),"— at issue —")</f>
        <v/>
      </c>
      <c r="C6" s="239" t="inlineStr">
        <is>
          <t>yes</t>
        </is>
      </c>
      <c r="D6" s="235">
        <f>IF(A6="","",MAX(E6,IF(ISNUMBER(I6),I6,0),IFERROR(IF(ISNUMBER(INDEX('iCoA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row>
    <row r="7">
      <c r="A7" s="233">
        <f>IF(C7="yes",COUNT(A$1:A6)+1,"")</f>
        <v/>
      </c>
      <c r="B7" s="234">
        <f>IF(A7&lt;&gt;"","CoQ-PP_26-"&amp;TEXT(A7,"000"),"— at issue —")</f>
        <v/>
      </c>
      <c r="C7" s="239" t="inlineStr">
        <is>
          <t>yes</t>
        </is>
      </c>
      <c r="D7" s="235">
        <f>IF(A7="","",MAX(E7,IF(ISNUMBER(I7),I7,0),IFERROR(IF(ISNUMBER(INDEX('iCoA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row>
    <row r="8">
      <c r="A8" s="233">
        <f>IF(C8="yes",COUNT(A$1:A7)+1,"")</f>
        <v/>
      </c>
      <c r="B8" s="234">
        <f>IF(A8&lt;&gt;"","CoQ-PP_26-"&amp;TEXT(A8,"000"),"— at issue —")</f>
        <v/>
      </c>
      <c r="C8" s="239" t="inlineStr">
        <is>
          <t>yes</t>
        </is>
      </c>
      <c r="D8" s="235">
        <f>IF(A8="","",MAX(E8,IF(ISNUMBER(I8),I8,0),IFERROR(IF(ISNUMBER(INDEX('iCoA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row>
    <row r="9">
      <c r="A9" s="233">
        <f>IF(C9="yes",COUNT(A$1:A8)+1,"")</f>
        <v/>
      </c>
      <c r="B9" s="234">
        <f>IF(A9&lt;&gt;"","CoQ-PP_26-"&amp;TEXT(A9,"000"),"— at issue —")</f>
        <v/>
      </c>
      <c r="C9" s="239" t="inlineStr">
        <is>
          <t>yes</t>
        </is>
      </c>
      <c r="D9" s="235">
        <f>IF(A9="","",MAX(E9,IF(ISNUMBER(I9),I9,0),IFERROR(IF(ISNUMBER(INDEX('iCoA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row>
    <row r="10">
      <c r="A10" s="233">
        <f>IF(C10="yes",COUNT(A$1:A9)+1,"")</f>
        <v/>
      </c>
      <c r="B10" s="234">
        <f>IF(A10&lt;&gt;"","CoQ-PP_26-"&amp;TEXT(A10,"000"),"— at issue —")</f>
        <v/>
      </c>
      <c r="C10" s="239" t="inlineStr">
        <is>
          <t>yes</t>
        </is>
      </c>
      <c r="D10" s="235">
        <f>IF(A10="","",MAX(E10,IF(ISNUMBER(I10),I10,0),IFERROR(IF(ISNUMBER(INDEX('iCoA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row>
    <row r="11">
      <c r="A11" s="233">
        <f>IF(C11="yes",COUNT(A$1:A10)+1,"")</f>
        <v/>
      </c>
      <c r="B11" s="234">
        <f>IF(A11&lt;&gt;"","CoQ-PP_26-"&amp;TEXT(A11,"000"),"— at issue —")</f>
        <v/>
      </c>
      <c r="C11" s="239" t="inlineStr">
        <is>
          <t>yes</t>
        </is>
      </c>
      <c r="D11" s="235">
        <f>IF(A11="","",MAX(E11,IF(ISNUMBER(I11),I11,0),IFERROR(IF(ISNUMBER(INDEX('iCoA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row>
    <row r="12">
      <c r="A12" s="233">
        <f>IF(C12="yes",COUNT(A$1:A11)+1,"")</f>
        <v/>
      </c>
      <c r="B12" s="234">
        <f>IF(A12&lt;&gt;"","CoQ-PP_26-"&amp;TEXT(A12,"000"),"— at issue —")</f>
        <v/>
      </c>
      <c r="C12" s="239" t="inlineStr">
        <is>
          <t>yes</t>
        </is>
      </c>
      <c r="D12" s="235">
        <f>IF(A12="","",MAX(E12,IF(ISNUMBER(I12),I12,0),IFERROR(IF(ISNUMBER(INDEX('iCoA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row>
    <row r="13">
      <c r="A13" s="233">
        <f>IF(C13="yes",COUNT(A$1:A12)+1,"")</f>
        <v/>
      </c>
      <c r="B13" s="234">
        <f>IF(A13&lt;&gt;"","CoQ-PP_26-"&amp;TEXT(A13,"000"),"— at issue —")</f>
        <v/>
      </c>
      <c r="C13" s="239" t="inlineStr">
        <is>
          <t>yes</t>
        </is>
      </c>
      <c r="D13" s="235">
        <f>IF(A13="","",MAX(E13,IF(ISNUMBER(I13),I13,0),IFERROR(IF(ISNUMBER(INDEX('iCoA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row>
    <row r="14">
      <c r="A14" s="233">
        <f>IF(C14="yes",COUNT(A$1:A13)+1,"")</f>
        <v/>
      </c>
      <c r="B14" s="234">
        <f>IF(A14&lt;&gt;"","CoQ-PP_26-"&amp;TEXT(A14,"000"),"— at issue —")</f>
        <v/>
      </c>
      <c r="C14" s="239" t="inlineStr">
        <is>
          <t>yes</t>
        </is>
      </c>
      <c r="D14" s="235">
        <f>IF(A14="","",MAX(E14,IF(ISNUMBER(I14),I14,0),IFERROR(IF(ISNUMBER(INDEX('iCoA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row>
    <row r="15">
      <c r="A15" s="233">
        <f>IF(C15="yes",COUNT(A$1:A14)+1,"")</f>
        <v/>
      </c>
      <c r="B15" s="234">
        <f>IF(A15&lt;&gt;"","CoQ-PP_26-"&amp;TEXT(A15,"000"),"— at issue —")</f>
        <v/>
      </c>
      <c r="C15" s="239" t="inlineStr">
        <is>
          <t>yes</t>
        </is>
      </c>
      <c r="D15" s="235">
        <f>IF(A15="","",MAX(E15,IF(ISNUMBER(I15),I15,0),IFERROR(IF(ISNUMBER(INDEX('iCoA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row>
    <row r="16">
      <c r="A16" s="233">
        <f>IF(C16="yes",COUNT(A$1:A15)+1,"")</f>
        <v/>
      </c>
      <c r="B16" s="234">
        <f>IF(A16&lt;&gt;"","CoQ-PP_26-"&amp;TEXT(A16,"000"),"— at issue —")</f>
        <v/>
      </c>
      <c r="C16" s="239" t="inlineStr">
        <is>
          <t>yes</t>
        </is>
      </c>
      <c r="D16" s="235">
        <f>IF(A16="","",MAX(E16,IF(ISNUMBER(I16),I16,0),IFERROR(IF(ISNUMBER(INDEX('iCoA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row>
    <row r="17">
      <c r="A17" s="233">
        <f>IF(C17="yes",COUNT(A$1:A16)+1,"")</f>
        <v/>
      </c>
      <c r="B17" s="234">
        <f>IF(A17&lt;&gt;"","CoQ-PP_26-"&amp;TEXT(A17,"000"),"— at issue —")</f>
        <v/>
      </c>
      <c r="C17" s="239" t="inlineStr">
        <is>
          <t>yes</t>
        </is>
      </c>
      <c r="D17" s="235">
        <f>IF(A17="","",MAX(E17,IF(ISNUMBER(I17),I17,0),IFERROR(IF(ISNUMBER(INDEX('iCoA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row>
    <row r="18">
      <c r="A18" s="233">
        <f>IF(C18="yes",COUNT(A$1:A17)+1,"")</f>
        <v/>
      </c>
      <c r="B18" s="234">
        <f>IF(A18&lt;&gt;"","CoQ-PP_26-"&amp;TEXT(A18,"000"),"— at issue —")</f>
        <v/>
      </c>
      <c r="C18" s="239" t="inlineStr">
        <is>
          <t>yes</t>
        </is>
      </c>
      <c r="D18" s="235">
        <f>IF(A18="","",MAX(E18,IF(ISNUMBER(I18),I18,0),IFERROR(IF(ISNUMBER(INDEX('iCoA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row>
    <row r="19">
      <c r="A19" s="233">
        <f>IF(C19="yes",COUNT(A$1:A18)+1,"")</f>
        <v/>
      </c>
      <c r="B19" s="234">
        <f>IF(A19&lt;&gt;"","CoQ-PP_26-"&amp;TEXT(A19,"000"),"— at issue —")</f>
        <v/>
      </c>
      <c r="C19" s="239" t="inlineStr">
        <is>
          <t>yes</t>
        </is>
      </c>
      <c r="D19" s="235">
        <f>IF(A19="","",MAX(E19,IF(ISNUMBER(I19),I19,0),IFERROR(IF(ISNUMBER(INDEX('iCoA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 not in the issuance plan —</t>
        </is>
      </c>
      <c r="S19" s="233" t="inlineStr">
        <is>
          <t>P050122|I</t>
        </is>
      </c>
      <c r="T19" s="240" t="inlineStr">
        <is>
          <t>registered — legacy series, issued 06.06.2026</t>
        </is>
      </c>
    </row>
    <row r="20">
      <c r="A20" s="233">
        <f>IF(C20="yes",COUNT(A$1:A19)+1,"")</f>
        <v/>
      </c>
      <c r="B20" s="234">
        <f>IF(A20&lt;&gt;"","CoQ-PP_26-"&amp;TEXT(A20,"000"),"— at issue —")</f>
        <v/>
      </c>
      <c r="C20" s="239" t="inlineStr">
        <is>
          <t>yes</t>
        </is>
      </c>
      <c r="D20" s="235">
        <f>IF(A20="","",MAX(E20,IF(ISNUMBER(I20),I20,0),IFERROR(IF(ISNUMBER(INDEX('iCoA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row>
    <row r="21">
      <c r="A21" s="233">
        <f>IF(C21="yes",COUNT(A$1:A20)+1,"")</f>
        <v/>
      </c>
      <c r="B21" s="234">
        <f>IF(A21&lt;&gt;"","CoQ-PP_26-"&amp;TEXT(A21,"000"),"— at issue —")</f>
        <v/>
      </c>
      <c r="C21" s="239" t="inlineStr">
        <is>
          <t>yes</t>
        </is>
      </c>
      <c r="D21" s="235">
        <f>IF(A21="","",MAX(E21,IF(ISNUMBER(I21),I21,0),IFERROR(IF(ISNUMBER(INDEX('iCoA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row>
    <row r="22">
      <c r="A22" s="233">
        <f>IF(C22="yes",COUNT(A$1:A21)+1,"")</f>
        <v/>
      </c>
      <c r="B22" s="234">
        <f>IF(A22&lt;&gt;"","CoQ-PP_26-"&amp;TEXT(A22,"000"),"— at issue —")</f>
        <v/>
      </c>
      <c r="C22" s="239" t="inlineStr">
        <is>
          <t>yes</t>
        </is>
      </c>
      <c r="D22" s="235">
        <f>IF(A22="","",MAX(E22,IF(ISNUMBER(I22),I22,0),IFERROR(IF(ISNUMBER(INDEX('iCoA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 not in the issuance plan —</t>
        </is>
      </c>
      <c r="S22" s="233" t="inlineStr">
        <is>
          <t>P050142|I</t>
        </is>
      </c>
      <c r="T22" s="240" t="inlineStr">
        <is>
          <t>registered — legacy series, issued 06.06.2026 · initial certificate to locate: #3 (CNP), #4 (CNP), #5 (CNP), #6 (CNP), #8 (CNP), #9 (IJZ), #10 (CNP), #11 (CNP), #12 (CNP)</t>
        </is>
      </c>
    </row>
    <row r="23">
      <c r="A23" s="233">
        <f>IF(C23="yes",COUNT(A$1:A22)+1,"")</f>
        <v/>
      </c>
      <c r="B23" s="234">
        <f>IF(A23&lt;&gt;"","CoQ-PP_26-"&amp;TEXT(A23,"000"),"— at issue —")</f>
        <v/>
      </c>
      <c r="C23" s="239" t="inlineStr">
        <is>
          <t>yes</t>
        </is>
      </c>
      <c r="D23" s="235">
        <f>IF(A23="","",MAX(E23,IF(ISNUMBER(I23),I23,0),IFERROR(IF(ISNUMBER(INDEX('iCoA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row>
    <row r="24">
      <c r="A24" s="233">
        <f>IF(C24="yes",COUNT(A$1:A23)+1,"")</f>
        <v/>
      </c>
      <c r="B24" s="234">
        <f>IF(A24&lt;&gt;"","CoQ-PP_26-"&amp;TEXT(A24,"000"),"— at issue —")</f>
        <v/>
      </c>
      <c r="C24" s="239" t="inlineStr">
        <is>
          <t>yes</t>
        </is>
      </c>
      <c r="D24" s="235">
        <f>IF(A24="","",MAX(E24,IF(ISNUMBER(I24),I24,0),IFERROR(IF(ISNUMBER(INDEX('iCoA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row>
    <row r="25">
      <c r="A25" s="233">
        <f>IF(C25="yes",COUNT(A$1:A24)+1,"")</f>
        <v/>
      </c>
      <c r="B25" s="234">
        <f>IF(A25&lt;&gt;"","CoQ-PP_26-"&amp;TEXT(A25,"000"),"— at issue —")</f>
        <v/>
      </c>
      <c r="C25" s="239" t="inlineStr">
        <is>
          <t>yes</t>
        </is>
      </c>
      <c r="D25" s="235">
        <f>IF(A25="","",MAX(E25,IF(ISNUMBER(I25),I25,0),IFERROR(IF(ISNUMBER(INDEX('iCoA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row>
    <row r="26">
      <c r="A26" s="233">
        <f>IF(C26="yes",COUNT(A$1:A25)+1,"")</f>
        <v/>
      </c>
      <c r="B26" s="234">
        <f>IF(A26&lt;&gt;"","CoQ-PP_26-"&amp;TEXT(A26,"000"),"— at issue —")</f>
        <v/>
      </c>
      <c r="C26" s="239" t="inlineStr">
        <is>
          <t>yes</t>
        </is>
      </c>
      <c r="D26" s="235">
        <f>IF(A26="","",MAX(E26,IF(ISNUMBER(I26),I26,0),IFERROR(IF(ISNUMBER(INDEX('iCoA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row>
    <row r="27">
      <c r="A27" s="233">
        <f>IF(C27="yes",COUNT(A$1:A26)+1,"")</f>
        <v/>
      </c>
      <c r="B27" s="234">
        <f>IF(A27&lt;&gt;"","CoQ-PP_26-"&amp;TEXT(A27,"000"),"— at issue —")</f>
        <v/>
      </c>
      <c r="C27" s="239" t="inlineStr">
        <is>
          <t>yes</t>
        </is>
      </c>
      <c r="D27" s="235">
        <f>IF(A27="","",MAX(E27,IF(ISNUMBER(I27),I27,0),IFERROR(IF(ISNUMBER(INDEX('iCoA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row>
    <row r="28">
      <c r="A28" s="233">
        <f>IF(C28="yes",COUNT(A$1:A27)+1,"")</f>
        <v/>
      </c>
      <c r="B28" s="234">
        <f>IF(A28&lt;&gt;"","CoQ-PP_26-"&amp;TEXT(A28,"000"),"— at issue —")</f>
        <v/>
      </c>
      <c r="C28" s="239" t="inlineStr">
        <is>
          <t>yes</t>
        </is>
      </c>
      <c r="D28" s="235">
        <f>IF(A28="","",MAX(E28,IF(ISNUMBER(I28),I28,0),IFERROR(IF(ISNUMBER(INDEX('iCoA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row>
    <row r="29">
      <c r="A29" s="233">
        <f>IF(C29="yes",COUNT(A$1:A28)+1,"")</f>
        <v/>
      </c>
      <c r="B29" s="234">
        <f>IF(A29&lt;&gt;"","CoQ-PP_26-"&amp;TEXT(A29,"000"),"— at issue —")</f>
        <v/>
      </c>
      <c r="C29" s="239" t="inlineStr">
        <is>
          <t>yes</t>
        </is>
      </c>
      <c r="D29" s="235">
        <f>IF(A29="","",MAX(E29,IF(ISNUMBER(I29),I29,0),IFERROR(IF(ISNUMBER(INDEX('iCoA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row>
    <row r="30">
      <c r="A30" s="233">
        <f>IF(C30="yes",COUNT(A$1:A29)+1,"")</f>
        <v/>
      </c>
      <c r="B30" s="234">
        <f>IF(A30&lt;&gt;"","CoQ-PP_26-"&amp;TEXT(A30,"000"),"— at issue —")</f>
        <v/>
      </c>
      <c r="C30" s="239" t="inlineStr">
        <is>
          <t>yes</t>
        </is>
      </c>
      <c r="D30" s="235">
        <f>IF(A30="","",MAX(E30,IF(ISNUMBER(I30),I30,0),IFERROR(IF(ISNUMBER(INDEX('iCoA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row>
    <row r="31">
      <c r="A31" s="233">
        <f>IF(C31="yes",COUNT(A$1:A30)+1,"")</f>
        <v/>
      </c>
      <c r="B31" s="234">
        <f>IF(A31&lt;&gt;"","CoQ-PP_26-"&amp;TEXT(A31,"000"),"— at issue —")</f>
        <v/>
      </c>
      <c r="C31" s="239" t="inlineStr">
        <is>
          <t>yes</t>
        </is>
      </c>
      <c r="D31" s="235">
        <f>IF(A31="","",MAX(E31,IF(ISNUMBER(I31),I31,0),IFERROR(IF(ISNUMBER(INDEX('iCoA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row>
    <row r="32">
      <c r="A32" s="233">
        <f>IF(C32="yes",COUNT(A$1:A31)+1,"")</f>
        <v/>
      </c>
      <c r="B32" s="234">
        <f>IF(A32&lt;&gt;"","CoQ-PP_26-"&amp;TEXT(A32,"000"),"— at issue —")</f>
        <v/>
      </c>
      <c r="C32" s="239" t="inlineStr">
        <is>
          <t>yes</t>
        </is>
      </c>
      <c r="D32" s="235">
        <f>IF(A32="","",MAX(E32,IF(ISNUMBER(I32),I32,0),IFERROR(IF(ISNUMBER(INDEX('iCoA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row>
    <row r="33">
      <c r="A33" s="233">
        <f>IF(C33="yes",COUNT(A$1:A32)+1,"")</f>
        <v/>
      </c>
      <c r="B33" s="234">
        <f>IF(A33&lt;&gt;"","CoQ-PP_26-"&amp;TEXT(A33,"000"),"— at issue —")</f>
        <v/>
      </c>
      <c r="C33" s="239" t="inlineStr">
        <is>
          <t>yes</t>
        </is>
      </c>
      <c r="D33" s="235">
        <f>IF(A33="","",MAX(E33,IF(ISNUMBER(I33),I33,0),IFERROR(IF(ISNUMBER(INDEX('iCoA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row>
    <row r="34">
      <c r="A34" s="233">
        <f>IF(C34="yes",COUNT(A$1:A33)+1,"")</f>
        <v/>
      </c>
      <c r="B34" s="234">
        <f>IF(A34&lt;&gt;"","CoQ-PP_26-"&amp;TEXT(A34,"000"),"— at issue —")</f>
        <v/>
      </c>
      <c r="C34" s="239" t="inlineStr">
        <is>
          <t>yes</t>
        </is>
      </c>
      <c r="D34" s="235">
        <f>IF(A34="","",MAX(E34,IF(ISNUMBER(I34),I34,0),IFERROR(IF(ISNUMBER(INDEX('iCoA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row>
    <row r="35">
      <c r="A35" s="233">
        <f>IF(C35="yes",COUNT(A$1:A34)+1,"")</f>
        <v/>
      </c>
      <c r="B35" s="234">
        <f>IF(A35&lt;&gt;"","CoQ-PP_26-"&amp;TEXT(A35,"000"),"— at issue —")</f>
        <v/>
      </c>
      <c r="C35" s="239" t="inlineStr">
        <is>
          <t>yes</t>
        </is>
      </c>
      <c r="D35" s="235">
        <f>IF(A35="","",MAX(E35,IF(ISNUMBER(I35),I35,0),IFERROR(IF(ISNUMBER(INDEX('iCoA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row>
    <row r="36">
      <c r="A36" s="233">
        <f>IF(C36="yes",COUNT(A$1:A35)+1,"")</f>
        <v/>
      </c>
      <c r="B36" s="234">
        <f>IF(A36&lt;&gt;"","CoQ-PP_26-"&amp;TEXT(A36,"000"),"— at issue —")</f>
        <v/>
      </c>
      <c r="C36" s="239" t="inlineStr">
        <is>
          <t>yes</t>
        </is>
      </c>
      <c r="D36" s="235">
        <f>IF(A36="","",MAX(E36,IF(ISNUMBER(I36),I36,0),IFERROR(IF(ISNUMBER(INDEX('iCoA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row>
    <row r="37">
      <c r="A37" s="233">
        <f>IF(C37="yes",COUNT(A$1:A36)+1,"")</f>
        <v/>
      </c>
      <c r="B37" s="234">
        <f>IF(A37&lt;&gt;"","CoQ-PP_26-"&amp;TEXT(A37,"000"),"— at issue —")</f>
        <v/>
      </c>
      <c r="C37" s="239" t="inlineStr">
        <is>
          <t>yes</t>
        </is>
      </c>
      <c r="D37" s="235">
        <f>IF(A37="","",MAX(E37,IF(ISNUMBER(I37),I37,0),IFERROR(IF(ISNUMBER(INDEX('iCoA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row>
    <row r="38">
      <c r="A38" s="233">
        <f>IF(C38="yes",COUNT(A$1:A37)+1,"")</f>
        <v/>
      </c>
      <c r="B38" s="234">
        <f>IF(A38&lt;&gt;"","CoQ-PP_26-"&amp;TEXT(A38,"000"),"— at issue —")</f>
        <v/>
      </c>
      <c r="C38" s="239" t="inlineStr">
        <is>
          <t>yes</t>
        </is>
      </c>
      <c r="D38" s="235">
        <f>IF(A38="","",MAX(E38,IF(ISNUMBER(I38),I38,0),IFERROR(IF(ISNUMBER(INDEX('iCoA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row>
    <row r="39">
      <c r="A39" s="233">
        <f>IF(C39="yes",COUNT(A$1:A38)+1,"")</f>
        <v/>
      </c>
      <c r="B39" s="234">
        <f>IF(A39&lt;&gt;"","CoQ-PP_26-"&amp;TEXT(A39,"000"),"— at issue —")</f>
        <v/>
      </c>
      <c r="C39" s="239" t="inlineStr">
        <is>
          <t>yes</t>
        </is>
      </c>
      <c r="D39" s="235">
        <f>IF(A39="","",MAX(E39,IF(ISNUMBER(I39),I39,0),IFERROR(IF(ISNUMBER(INDEX('iCoA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row>
    <row r="40">
      <c r="A40" s="233">
        <f>IF(C40="yes",COUNT(A$1:A39)+1,"")</f>
        <v/>
      </c>
      <c r="B40" s="234">
        <f>IF(A40&lt;&gt;"","CoQ-PP_26-"&amp;TEXT(A40,"000"),"— at issue —")</f>
        <v/>
      </c>
      <c r="C40" s="239" t="inlineStr">
        <is>
          <t>yes</t>
        </is>
      </c>
      <c r="D40" s="235">
        <f>IF(A40="","",MAX(E40,IF(ISNUMBER(I40),I40,0),IFERROR(IF(ISNUMBER(INDEX('iCoA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row>
    <row r="41">
      <c r="A41" s="233">
        <f>IF(C41="yes",COUNT(A$1:A40)+1,"")</f>
        <v/>
      </c>
      <c r="B41" s="234">
        <f>IF(A41&lt;&gt;"","CoQ-PP_26-"&amp;TEXT(A41,"000"),"— at issue —")</f>
        <v/>
      </c>
      <c r="C41" s="239" t="inlineStr">
        <is>
          <t>yes</t>
        </is>
      </c>
      <c r="D41" s="235">
        <f>IF(A41="","",MAX(E41,IF(ISNUMBER(I41),I41,0),IFERROR(IF(ISNUMBER(INDEX('iCoA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row>
    <row r="42">
      <c r="A42" s="233">
        <f>IF(C42="yes",COUNT(A$1:A41)+1,"")</f>
        <v/>
      </c>
      <c r="B42" s="234">
        <f>IF(A42&lt;&gt;"","CoQ-PP_26-"&amp;TEXT(A42,"000"),"— at issue —")</f>
        <v/>
      </c>
      <c r="C42" s="239" t="inlineStr">
        <is>
          <t>yes</t>
        </is>
      </c>
      <c r="D42" s="235">
        <f>IF(A42="","",MAX(E42,IF(ISNUMBER(I42),I42,0),IFERROR(IF(ISNUMBER(INDEX('iCoA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row>
    <row r="43">
      <c r="A43" s="233">
        <f>IF(C43="yes",COUNT(A$1:A42)+1,"")</f>
        <v/>
      </c>
      <c r="B43" s="234">
        <f>IF(A43&lt;&gt;"","CoQ-PP_26-"&amp;TEXT(A43,"000"),"— at issue —")</f>
        <v/>
      </c>
      <c r="C43" s="239" t="inlineStr">
        <is>
          <t>yes</t>
        </is>
      </c>
      <c r="D43" s="235">
        <f>IF(A43="","",MAX(E43,IF(ISNUMBER(I43),I43,0),IFERROR(IF(ISNUMBER(INDEX('iCoA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row>
    <row r="44">
      <c r="A44" s="233">
        <f>IF(C44="yes",COUNT(A$1:A43)+1,"")</f>
        <v/>
      </c>
      <c r="B44" s="234">
        <f>IF(A44&lt;&gt;"","CoQ-PP_26-"&amp;TEXT(A44,"000"),"— at issue —")</f>
        <v/>
      </c>
      <c r="C44" s="239" t="inlineStr">
        <is>
          <t>yes</t>
        </is>
      </c>
      <c r="D44" s="235">
        <f>IF(A44="","",MAX(E44,IF(ISNUMBER(I44),I44,0),IFERROR(IF(ISNUMBER(INDEX('iCoA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row>
    <row r="45">
      <c r="A45" s="233">
        <f>IF(C45="yes",COUNT(A$1:A44)+1,"")</f>
        <v/>
      </c>
      <c r="B45" s="234">
        <f>IF(A45&lt;&gt;"","CoQ-PP_26-"&amp;TEXT(A45,"000"),"— at issue —")</f>
        <v/>
      </c>
      <c r="C45" s="239" t="inlineStr">
        <is>
          <t>yes</t>
        </is>
      </c>
      <c r="D45" s="235">
        <f>IF(A45="","",MAX(E45,IF(ISNUMBER(I45),I45,0),IFERROR(IF(ISNUMBER(INDEX('iCoA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row>
    <row r="46">
      <c r="A46" s="233">
        <f>IF(C46="yes",COUNT(A$1:A45)+1,"")</f>
        <v/>
      </c>
      <c r="B46" s="234">
        <f>IF(A46&lt;&gt;"","CoQ-PP_26-"&amp;TEXT(A46,"000"),"— at issue —")</f>
        <v/>
      </c>
      <c r="C46" s="239" t="inlineStr">
        <is>
          <t>yes</t>
        </is>
      </c>
      <c r="D46" s="235">
        <f>IF(A46="","",MAX(E46,IF(ISNUMBER(I46),I46,0),IFERROR(IF(ISNUMBER(INDEX('iCoA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row>
    <row r="47">
      <c r="A47" s="233">
        <f>IF(C47="yes",COUNT(A$1:A46)+1,"")</f>
        <v/>
      </c>
      <c r="B47" s="234">
        <f>IF(A47&lt;&gt;"","CoQ-PP_26-"&amp;TEXT(A47,"000"),"— at issue —")</f>
        <v/>
      </c>
      <c r="C47" s="239" t="inlineStr">
        <is>
          <t>yes</t>
        </is>
      </c>
      <c r="D47" s="235">
        <f>IF(A47="","",MAX(E47,IF(ISNUMBER(I47),I47,0),IFERROR(IF(ISNUMBER(INDEX('iCoA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 not in the issuance plan —</t>
        </is>
      </c>
      <c r="S47" s="233" t="inlineStr">
        <is>
          <t>P060102|I</t>
        </is>
      </c>
      <c r="T47" s="240" t="inlineStr">
        <is>
          <t>registered — legacy series, issued 06.06.2026 · initial certificate to locate: #3 (CNP), #4 (CNP), #5 (CNP), #6 (CNP), #8 (CNP), #9 (IJZ), #10 (CNP), #11 (CNP), #12 (CNP)</t>
        </is>
      </c>
    </row>
    <row r="48">
      <c r="A48" s="233">
        <f>IF(C48="yes",COUNT(A$1:A47)+1,"")</f>
        <v/>
      </c>
      <c r="B48" s="234">
        <f>IF(A48&lt;&gt;"","CoQ-PP_26-"&amp;TEXT(A48,"000"),"— at issue —")</f>
        <v/>
      </c>
      <c r="C48" s="239" t="inlineStr">
        <is>
          <t>yes</t>
        </is>
      </c>
      <c r="D48" s="235">
        <f>IF(A48="","",MAX(E48,IF(ISNUMBER(I48),I48,0),IFERROR(IF(ISNUMBER(INDEX('iCoA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row>
    <row r="49">
      <c r="A49" s="233">
        <f>IF(C49="yes",COUNT(A$1:A48)+1,"")</f>
        <v/>
      </c>
      <c r="B49" s="234">
        <f>IF(A49&lt;&gt;"","CoQ-PP_26-"&amp;TEXT(A49,"000"),"— at issue —")</f>
        <v/>
      </c>
      <c r="C49" s="239" t="inlineStr">
        <is>
          <t>yes</t>
        </is>
      </c>
      <c r="D49" s="235">
        <f>IF(A49="","",MAX(E49,IF(ISNUMBER(I49),I49,0),IFERROR(IF(ISNUMBER(INDEX('iCoA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row>
    <row r="50">
      <c r="A50" s="233">
        <f>IF(C50="yes",COUNT(A$1:A49)+1,"")</f>
        <v/>
      </c>
      <c r="B50" s="234">
        <f>IF(A50&lt;&gt;"","CoQ-PP_26-"&amp;TEXT(A50,"000"),"— at issue —")</f>
        <v/>
      </c>
      <c r="C50" s="239" t="inlineStr">
        <is>
          <t>yes</t>
        </is>
      </c>
      <c r="D50" s="235">
        <f>IF(A50="","",MAX(E50,IF(ISNUMBER(I50),I50,0),IFERROR(IF(ISNUMBER(INDEX('iCoA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row>
    <row r="51">
      <c r="A51" s="233">
        <f>IF(C51="yes",COUNT(A$1:A50)+1,"")</f>
        <v/>
      </c>
      <c r="B51" s="234">
        <f>IF(A51&lt;&gt;"","CoQ-PP_26-"&amp;TEXT(A51,"000"),"— at issue —")</f>
        <v/>
      </c>
      <c r="C51" s="239" t="inlineStr">
        <is>
          <t>yes</t>
        </is>
      </c>
      <c r="D51" s="235">
        <f>IF(A51="","",MAX(E51,IF(ISNUMBER(I51),I51,0),IFERROR(IF(ISNUMBER(INDEX('iCoA Register'!$F:$F,MATCH(S51,'iCoA Register'!$AA:$AA,0))),INDEX('iCoA Register'!$F:$F,MATCH(S51,'iCoA Register'!$AA:$AA,0)),0),0)))</f>
        <v/>
      </c>
      <c r="E51" s="235">
        <f>IF(ISNUMBER(F51),MAX(DATE(2026,6,6),F51+7),DATE(2026,6,6))</f>
        <v/>
      </c>
      <c r="F51" s="235" t="n">
        <v>46083</v>
      </c>
      <c r="G51" s="233" t="inlineStr">
        <is>
          <t>051-6-LoD-26</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3" t="inlineStr">
        <is>
          <t>051-6-K-26, (04.03.2026) [FHM-K]</t>
        </is>
      </c>
      <c r="P51" s="238" t="inlineStr">
        <is>
          <t>—</t>
        </is>
      </c>
      <c r="Q51" s="233" t="inlineStr">
        <is>
          <t>—</t>
        </is>
      </c>
      <c r="R51" s="233" t="inlineStr">
        <is>
          <t>— not in the issuance plan —</t>
        </is>
      </c>
      <c r="S51" s="233" t="inlineStr">
        <is>
          <t>P060142|I</t>
        </is>
      </c>
      <c r="T51" s="240" t="inlineStr">
        <is>
          <t>registered — legacy series, issued 06.06.2026 · initial certificate to locate: #9 (IJZ), #10 (CNP), #11 (CNP), #12 (CNP)</t>
        </is>
      </c>
    </row>
    <row r="52">
      <c r="A52" s="233">
        <f>IF(C52="yes",COUNT(A$1:A51)+1,"")</f>
        <v/>
      </c>
      <c r="B52" s="234">
        <f>IF(A52&lt;&gt;"","CoQ-PP_26-"&amp;TEXT(A52,"000"),"— at issue —")</f>
        <v/>
      </c>
      <c r="C52" s="239" t="inlineStr">
        <is>
          <t>yes</t>
        </is>
      </c>
      <c r="D52" s="235">
        <f>IF(A52="","",MAX(E52,IF(ISNUMBER(I52),I52,0),IFERROR(IF(ISNUMBER(INDEX('iCoA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row>
    <row r="53">
      <c r="A53" s="233">
        <f>IF(C53="yes",COUNT(A$1:A52)+1,"")</f>
        <v/>
      </c>
      <c r="B53" s="234">
        <f>IF(A53&lt;&gt;"","CoQ-PP_26-"&amp;TEXT(A53,"000"),"— at issue —")</f>
        <v/>
      </c>
      <c r="C53" s="239" t="inlineStr">
        <is>
          <t>yes</t>
        </is>
      </c>
      <c r="D53" s="235">
        <f>IF(A53="","",MAX(E53,IF(ISNUMBER(I53),I53,0),IFERROR(IF(ISNUMBER(INDEX('iCoA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row>
    <row r="54">
      <c r="A54" s="233">
        <f>IF(C54="yes",COUNT(A$1:A53)+1,"")</f>
        <v/>
      </c>
      <c r="B54" s="234">
        <f>IF(A54&lt;&gt;"","CoQ-PP_26-"&amp;TEXT(A54,"000"),"— at issue —")</f>
        <v/>
      </c>
      <c r="C54" s="239" t="inlineStr">
        <is>
          <t>yes</t>
        </is>
      </c>
      <c r="D54" s="235">
        <f>IF(A54="","",MAX(E54,IF(ISNUMBER(I54),I54,0),IFERROR(IF(ISNUMBER(INDEX('iCoA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row>
    <row r="55">
      <c r="A55" s="233">
        <f>IF(C55="yes",COUNT(A$1:A54)+1,"")</f>
        <v/>
      </c>
      <c r="B55" s="234">
        <f>IF(A55&lt;&gt;"","CoQ-PP_26-"&amp;TEXT(A55,"000"),"— at issue —")</f>
        <v/>
      </c>
      <c r="C55" s="239" t="inlineStr">
        <is>
          <t>yes</t>
        </is>
      </c>
      <c r="D55" s="235">
        <f>IF(A55="","",MAX(E55,IF(ISNUMBER(I55),I55,0),IFERROR(IF(ISNUMBER(INDEX('iCoA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row>
    <row r="56">
      <c r="A56" s="233">
        <f>IF(C56="yes",COUNT(A$1:A55)+1,"")</f>
        <v/>
      </c>
      <c r="B56" s="234">
        <f>IF(A56&lt;&gt;"","CoQ-PP_26-"&amp;TEXT(A56,"000"),"— at issue —")</f>
        <v/>
      </c>
      <c r="C56" s="239" t="inlineStr">
        <is>
          <t>yes</t>
        </is>
      </c>
      <c r="D56" s="235">
        <f>IF(A56="","",MAX(E56,IF(ISNUMBER(I56),I56,0),IFERROR(IF(ISNUMBER(INDEX('iCoA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row>
    <row r="57">
      <c r="A57" s="233">
        <f>IF(C57="yes",COUNT(A$1:A56)+1,"")</f>
        <v/>
      </c>
      <c r="B57" s="234">
        <f>IF(A57&lt;&gt;"","CoQ-PP_26-"&amp;TEXT(A57,"000"),"— at issue —")</f>
        <v/>
      </c>
      <c r="C57" s="239" t="inlineStr">
        <is>
          <t>yes</t>
        </is>
      </c>
      <c r="D57" s="235">
        <f>IF(A57="","",MAX(E57,IF(ISNUMBER(I57),I57,0),IFERROR(IF(ISNUMBER(INDEX('iCoA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row>
    <row r="58">
      <c r="A58" s="233">
        <f>IF(C58="yes",COUNT(A$1:A57)+1,"")</f>
        <v/>
      </c>
      <c r="B58" s="234">
        <f>IF(A58&lt;&gt;"","CoQ-PP_26-"&amp;TEXT(A58,"000"),"— at issue —")</f>
        <v/>
      </c>
      <c r="C58" s="239" t="inlineStr">
        <is>
          <t>yes</t>
        </is>
      </c>
      <c r="D58" s="235">
        <f>IF(A58="","",MAX(E58,IF(ISNUMBER(I58),I58,0),IFERROR(IF(ISNUMBER(INDEX('iCoA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row>
    <row r="59">
      <c r="A59" s="233">
        <f>IF(C59="yes",COUNT(A$1:A58)+1,"")</f>
        <v/>
      </c>
      <c r="B59" s="234">
        <f>IF(A59&lt;&gt;"","CoQ-PP_26-"&amp;TEXT(A59,"000"),"— at issue —")</f>
        <v/>
      </c>
      <c r="C59" s="239" t="inlineStr">
        <is>
          <t>yes</t>
        </is>
      </c>
      <c r="D59" s="235">
        <f>IF(A59="","",MAX(E59,IF(ISNUMBER(I59),I59,0),IFERROR(IF(ISNUMBER(INDEX('iCoA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row>
    <row r="60">
      <c r="A60" s="233">
        <f>IF(C60="yes",COUNT(A$1:A59)+1,"")</f>
        <v/>
      </c>
      <c r="B60" s="234">
        <f>IF(A60&lt;&gt;"","CoQ-PP_26-"&amp;TEXT(A60,"000"),"— at issue —")</f>
        <v/>
      </c>
      <c r="C60" s="239" t="inlineStr">
        <is>
          <t>yes</t>
        </is>
      </c>
      <c r="D60" s="235">
        <f>IF(A60="","",MAX(E60,IF(ISNUMBER(I60),I60,0),IFERROR(IF(ISNUMBER(INDEX('iCoA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row>
    <row r="61">
      <c r="A61" s="233">
        <f>IF(C61="yes",COUNT(A$1:A60)+1,"")</f>
        <v/>
      </c>
      <c r="B61" s="234">
        <f>IF(A61&lt;&gt;"","CoQ-PP_26-"&amp;TEXT(A61,"000"),"— at issue —")</f>
        <v/>
      </c>
      <c r="C61" s="239" t="inlineStr">
        <is>
          <t>yes</t>
        </is>
      </c>
      <c r="D61" s="235">
        <f>IF(A61="","",MAX(E61,IF(ISNUMBER(I61),I61,0),IFERROR(IF(ISNUMBER(INDEX('iCoA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row>
    <row r="62">
      <c r="A62" s="233">
        <f>IF(C62="yes",COUNT(A$1:A61)+1,"")</f>
        <v/>
      </c>
      <c r="B62" s="234">
        <f>IF(A62&lt;&gt;"","CoQ-PP_26-"&amp;TEXT(A62,"000"),"— at issue —")</f>
        <v/>
      </c>
      <c r="C62" s="239" t="inlineStr">
        <is>
          <t>yes</t>
        </is>
      </c>
      <c r="D62" s="235">
        <f>IF(A62="","",MAX(E62,IF(ISNUMBER(I62),I62,0),IFERROR(IF(ISNUMBER(INDEX('iCoA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row>
    <row r="63">
      <c r="A63" s="233">
        <f>IF(C63="yes",COUNT(A$1:A62)+1,"")</f>
        <v/>
      </c>
      <c r="B63" s="234">
        <f>IF(A63&lt;&gt;"","CoQ-PP_26-"&amp;TEXT(A63,"000"),"— at issue —")</f>
        <v/>
      </c>
      <c r="C63" s="239" t="inlineStr">
        <is>
          <t>yes</t>
        </is>
      </c>
      <c r="D63" s="235">
        <f>IF(A63="","",MAX(E63,IF(ISNUMBER(I63),I63,0),IFERROR(IF(ISNUMBER(INDEX('iCoA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row>
    <row r="64">
      <c r="A64" s="233">
        <f>IF(C64="yes",COUNT(A$1:A63)+1,"")</f>
        <v/>
      </c>
      <c r="B64" s="234">
        <f>IF(A64&lt;&gt;"","CoQ-PP_26-"&amp;TEXT(A64,"000"),"— at issue —")</f>
        <v/>
      </c>
      <c r="C64" s="239" t="inlineStr">
        <is>
          <t>yes</t>
        </is>
      </c>
      <c r="D64" s="235">
        <f>IF(A64="","",MAX(E64,IF(ISNUMBER(I64),I64,0),IFERROR(IF(ISNUMBER(INDEX('iCoA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row>
    <row r="65">
      <c r="A65" s="233">
        <f>IF(C65="yes",COUNT(A$1:A64)+1,"")</f>
        <v/>
      </c>
      <c r="B65" s="234">
        <f>IF(A65&lt;&gt;"","CoQ-PP_26-"&amp;TEXT(A65,"000"),"— at issue —")</f>
        <v/>
      </c>
      <c r="C65" s="239" t="inlineStr">
        <is>
          <t>yes</t>
        </is>
      </c>
      <c r="D65" s="235">
        <f>IF(A65="","",MAX(E65,IF(ISNUMBER(I65),I65,0),IFERROR(IF(ISNUMBER(INDEX('iCoA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row>
    <row r="66">
      <c r="A66" s="233">
        <f>IF(C66="yes",COUNT(A$1:A65)+1,"")</f>
        <v/>
      </c>
      <c r="B66" s="234">
        <f>IF(A66&lt;&gt;"","CoQ-PP_26-"&amp;TEXT(A66,"000"),"— at issue —")</f>
        <v/>
      </c>
      <c r="C66" s="239" t="inlineStr">
        <is>
          <t>yes</t>
        </is>
      </c>
      <c r="D66" s="235">
        <f>IF(A66="","",MAX(E66,IF(ISNUMBER(I66),I66,0),IFERROR(IF(ISNUMBER(INDEX('iCoA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row>
    <row r="67">
      <c r="A67" s="233">
        <f>IF(C67="yes",COUNT(A$1:A66)+1,"")</f>
        <v/>
      </c>
      <c r="B67" s="234">
        <f>IF(A67&lt;&gt;"","CoQ-PP_26-"&amp;TEXT(A67,"000"),"— at issue —")</f>
        <v/>
      </c>
      <c r="C67" s="239" t="inlineStr">
        <is>
          <t>yes</t>
        </is>
      </c>
      <c r="D67" s="235">
        <f>IF(A67="","",MAX(E67,IF(ISNUMBER(I67),I67,0),IFERROR(IF(ISNUMBER(INDEX('iCoA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row>
    <row r="68">
      <c r="A68" s="233">
        <f>IF(C68="yes",COUNT(A$1:A67)+1,"")</f>
        <v/>
      </c>
      <c r="B68" s="234">
        <f>IF(A68&lt;&gt;"","CoQ-PP_26-"&amp;TEXT(A68,"000"),"— at issue —")</f>
        <v/>
      </c>
      <c r="C68" s="239" t="inlineStr">
        <is>
          <t>yes</t>
        </is>
      </c>
      <c r="D68" s="235">
        <f>IF(A68="","",MAX(E68,IF(ISNUMBER(I68),I68,0),IFERROR(IF(ISNUMBER(INDEX('iCoA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row>
    <row r="69">
      <c r="A69" s="233">
        <f>IF(C69="yes",COUNT(A$1:A68)+1,"")</f>
        <v/>
      </c>
      <c r="B69" s="234">
        <f>IF(A69&lt;&gt;"","CoQ-PP_26-"&amp;TEXT(A69,"000"),"— at issue —")</f>
        <v/>
      </c>
      <c r="C69" s="239" t="inlineStr">
        <is>
          <t>yes</t>
        </is>
      </c>
      <c r="D69" s="235">
        <f>IF(A69="","",MAX(E69,IF(ISNUMBER(I69),I69,0),IFERROR(IF(ISNUMBER(INDEX('iCoA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row>
    <row r="70">
      <c r="A70" s="233">
        <f>IF(C70="yes",COUNT(A$1:A69)+1,"")</f>
        <v/>
      </c>
      <c r="B70" s="234">
        <f>IF(A70&lt;&gt;"","CoQ-PP_26-"&amp;TEXT(A70,"000"),"— at issue —")</f>
        <v/>
      </c>
      <c r="C70" s="239" t="inlineStr">
        <is>
          <t>yes</t>
        </is>
      </c>
      <c r="D70" s="235">
        <f>IF(A70="","",MAX(E70,IF(ISNUMBER(I70),I70,0),IFERROR(IF(ISNUMBER(INDEX('iCoA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Register'!$B:$B,MATCH("P060372|I",'iCoA Register'!$AA:$AA,0)),"—")</f>
        <v/>
      </c>
      <c r="I70" s="235">
        <f>IFERROR(INDEX('iCoA Register'!$D:$D,MATCH("P060372|I",'iCoA Register'!$AA:$AA,0)),"")</f>
        <v/>
      </c>
      <c r="J70" s="233" t="inlineStr">
        <is>
          <t>post-SOP</t>
        </is>
      </c>
      <c r="K70" s="233" t="inlineStr">
        <is>
          <t>initial release</t>
        </is>
      </c>
      <c r="L70" s="234" t="inlineStr">
        <is>
          <t>CC012603</t>
        </is>
      </c>
      <c r="M70" s="233" t="inlineStr">
        <is>
          <t>P060372</t>
        </is>
      </c>
      <c r="N70" s="233" t="inlineStr">
        <is>
          <t>Cash Cow</t>
        </is>
      </c>
      <c r="O70" s="238" t="inlineStr">
        <is>
          <t>— no cannabinoid certificate from the initial testing —</t>
        </is>
      </c>
      <c r="P70" s="238" t="inlineStr">
        <is>
          <t>—</t>
        </is>
      </c>
      <c r="Q70" s="233" t="inlineStr">
        <is>
          <t>—</t>
        </is>
      </c>
      <c r="R70" s="233" t="inlineStr">
        <is>
          <t>CoQ-PP-2026-0024</t>
        </is>
      </c>
      <c r="S70" s="233" t="inlineStr">
        <is>
          <t>P060372|I</t>
        </is>
      </c>
      <c r="T70" s="240" t="inlineStr">
        <is>
          <t>registered — provisional date: no initial certificate on file yet — the date follows the latest eCoA once located · initial certificate to locate: #3 (CNP), #4 (CNP), #5 (CNP), #6 (CNP), #8 (CNP), #9 (IJZ), #10 (CNP), #11 (CNP), #12 (CNP)</t>
        </is>
      </c>
    </row>
    <row r="71">
      <c r="A71" s="233">
        <f>IF(C71="yes",COUNT(A$1:A70)+1,"")</f>
        <v/>
      </c>
      <c r="B71" s="234">
        <f>IF(A71&lt;&gt;"","CoQ-PP_26-"&amp;TEXT(A71,"000"),"— at issue —")</f>
        <v/>
      </c>
      <c r="C71" s="239" t="inlineStr">
        <is>
          <t>yes</t>
        </is>
      </c>
      <c r="D71" s="235">
        <f>IF(A71="","",MAX(E71,IF(ISNUMBER(I71),I71,0),IFERROR(IF(ISNUMBER(INDEX('iCoA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Register'!$B:$B,MATCH("P060342|I",'iCoA Register'!$AA:$AA,0)),"—")</f>
        <v/>
      </c>
      <c r="I71" s="235">
        <f>IFERROR(INDEX('iCoA Register'!$D:$D,MATCH("P060342|I",'iCoA Register'!$AA:$AA,0)),"")</f>
        <v/>
      </c>
      <c r="J71" s="233" t="inlineStr">
        <is>
          <t>post-SOP</t>
        </is>
      </c>
      <c r="K71" s="233" t="inlineStr">
        <is>
          <t>initial release</t>
        </is>
      </c>
      <c r="L71" s="234" t="inlineStr">
        <is>
          <t>SCR012601*</t>
        </is>
      </c>
      <c r="M71" s="233" t="inlineStr">
        <is>
          <t>P060342</t>
        </is>
      </c>
      <c r="N71" s="233" t="inlineStr">
        <is>
          <t>Scrambler</t>
        </is>
      </c>
      <c r="O71" s="238" t="inlineStr">
        <is>
          <t>— no cannabinoid certificate from the initial testing —</t>
        </is>
      </c>
      <c r="P71" s="238" t="inlineStr">
        <is>
          <t>—</t>
        </is>
      </c>
      <c r="Q71" s="233" t="inlineStr">
        <is>
          <t>—</t>
        </is>
      </c>
      <c r="R71" s="233" t="inlineStr">
        <is>
          <t>— not in the issuance plan —</t>
        </is>
      </c>
      <c r="S71" s="233" t="inlineStr">
        <is>
          <t>P060342|I</t>
        </is>
      </c>
      <c r="T71" s="240" t="inlineStr">
        <is>
          <t>registered — provisional date: no initial certificate on file yet — the date follows the latest eCoA once located · initial certificate to locate: #3 (CNP), #4 (CNP), #5 (CNP), #6 (CNP), #8 (CNP), #9 (IJZ), #10 (CNP), #11 (CNP), #12 (CNP)</t>
        </is>
      </c>
    </row>
    <row r="72">
      <c r="A72" s="233">
        <f>IF(C72="yes",COUNT(A$1:A71)+1,"")</f>
        <v/>
      </c>
      <c r="B72" s="234">
        <f>IF(A72&lt;&gt;"","CoQ-PP_26-"&amp;TEXT(A72,"000"),"— at issue —")</f>
        <v/>
      </c>
      <c r="C72" s="239" t="inlineStr">
        <is>
          <t>yes</t>
        </is>
      </c>
      <c r="D72" s="235">
        <f>IF(A72="","",MAX(E72,IF(ISNUMBER(I72),I72,0),IFERROR(IF(ISNUMBER(INDEX('iCoA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Register'!$B:$B,MATCH("P060382|I",'iCoA Register'!$AA:$AA,0)),"—")</f>
        <v/>
      </c>
      <c r="I72" s="235">
        <f>IFERROR(INDEX('iCoA Register'!$D:$D,MATCH("P060382|I",'iCoA Register'!$AA:$AA,0)),"")</f>
        <v/>
      </c>
      <c r="J72" s="233" t="inlineStr">
        <is>
          <t>post-SOP</t>
        </is>
      </c>
      <c r="K72" s="233" t="inlineStr">
        <is>
          <t>initial release</t>
        </is>
      </c>
      <c r="L72" s="234" t="inlineStr">
        <is>
          <t>SCR012603</t>
        </is>
      </c>
      <c r="M72" s="233" t="inlineStr">
        <is>
          <t>P060382</t>
        </is>
      </c>
      <c r="N72" s="233" t="inlineStr">
        <is>
          <t>Scrambler</t>
        </is>
      </c>
      <c r="O72" s="238" t="inlineStr">
        <is>
          <t>— no cannabinoid certificate from the initial testing —</t>
        </is>
      </c>
      <c r="P72" s="238" t="inlineStr">
        <is>
          <t>—</t>
        </is>
      </c>
      <c r="Q72" s="233" t="inlineStr">
        <is>
          <t>—</t>
        </is>
      </c>
      <c r="R72" s="233" t="inlineStr">
        <is>
          <t>CoQ-PP-2026-0026</t>
        </is>
      </c>
      <c r="S72" s="233" t="inlineStr">
        <is>
          <t>P060382|I</t>
        </is>
      </c>
      <c r="T72" s="240" t="inlineStr">
        <is>
          <t>registered — provisional date: no initial certificate on file yet — the date follows the latest eCoA once located · initial certificate to locate: #3 (CNP), #4 (CNP), #5 (CNP), #6 (CNP), #8 (CNP), #9 (IJZ), #10 (CNP), #11 (CNP), #12 (CNP)</t>
        </is>
      </c>
    </row>
    <row r="73">
      <c r="A73" s="233">
        <f>IF(C73="yes",COUNT(A$1:A72)+1,"")</f>
        <v/>
      </c>
      <c r="B73" s="234">
        <f>IF(A73&lt;&gt;"","CoQ-PP_26-"&amp;TEXT(A73,"000"),"— at issue —")</f>
        <v/>
      </c>
      <c r="C73" s="239" t="inlineStr">
        <is>
          <t>yes</t>
        </is>
      </c>
      <c r="D73" s="235">
        <f>IF(A73="","",MAX(E73,IF(ISNUMBER(I73),I73,0),IFERROR(IF(ISNUMBER(INDEX('iCoA Register'!$F:$F,MATCH(S73,'iCoA Register'!$AA:$AA,0))),INDEX('iCoA Register'!$F:$F,MATCH(S73,'iCoA Register'!$AA:$AA,0)),0),0)))</f>
        <v/>
      </c>
      <c r="E73" s="235">
        <f>IF(ISNUMBER(F73),MAX(DATE(2026,6,6),F73+7),DATE(2026,6,6))</f>
        <v/>
      </c>
      <c r="F73" s="235" t="n">
        <v>46203</v>
      </c>
      <c r="G73" s="233" t="inlineStr">
        <is>
          <t>ППК26110</t>
        </is>
      </c>
      <c r="H73" s="233">
        <f>IFERROR(INDEX('iCoA Register'!$B:$B,MATCH("P060392|I",'iCoA Register'!$AA:$AA,0)),"—")</f>
        <v/>
      </c>
      <c r="I73" s="235">
        <f>IFERROR(INDEX('iCoA Register'!$D:$D,MATCH("P060392|I",'iCoA Register'!$AA:$AA,0)),"")</f>
        <v/>
      </c>
      <c r="J73" s="233" t="inlineStr">
        <is>
          <t>post-SOP</t>
        </is>
      </c>
      <c r="K73" s="233" t="inlineStr">
        <is>
          <t>initial release</t>
        </is>
      </c>
      <c r="L73" s="234" t="inlineStr">
        <is>
          <t>FB012603V</t>
        </is>
      </c>
      <c r="M73" s="233" t="inlineStr">
        <is>
          <t>P060392</t>
        </is>
      </c>
      <c r="N73" s="233" t="inlineStr">
        <is>
          <t>Fat Bastard</t>
        </is>
      </c>
      <c r="O73" s="233" t="inlineStr">
        <is>
          <t>ППК26110, (30.06.2026) [CNP]</t>
        </is>
      </c>
      <c r="P73" s="233" t="inlineStr">
        <is>
          <t>A: ППК26110 / B: ППК26110 / FM: ППК26110</t>
        </is>
      </c>
      <c r="Q73" s="233" t="inlineStr">
        <is>
          <t>—</t>
        </is>
      </c>
      <c r="R73" s="233" t="inlineStr">
        <is>
          <t>(assigned on issue)</t>
        </is>
      </c>
      <c r="S73" s="233" t="inlineStr">
        <is>
          <t>P060392|I</t>
        </is>
      </c>
      <c r="T73" s="240" t="inlineStr">
        <is>
          <t>registered — first working day 7 days after the latest eCoA · initial certificate to locate: #9 (IJZ), #10 (CNP), #11 (CNP), #12 (CNP)</t>
        </is>
      </c>
    </row>
    <row r="74">
      <c r="A74" s="233">
        <f>IF(C74="yes",COUNT(A$1:A73)+1,"")</f>
        <v/>
      </c>
      <c r="B74" s="234">
        <f>IF(A74&lt;&gt;"","CoQ-PP_26-"&amp;TEXT(A74,"000"),"— at issue —")</f>
        <v/>
      </c>
      <c r="C74" s="239" t="inlineStr">
        <is>
          <t>yes</t>
        </is>
      </c>
      <c r="D74" s="235">
        <f>IF(A74="","",MAX(E74,IF(ISNUMBER(I74),I74,0),IFERROR(IF(ISNUMBER(INDEX('iCoA Register'!$F:$F,MATCH(S74,'iCoA Register'!$AA:$AA,0))),INDEX('iCoA Register'!$F:$F,MATCH(S74,'iCoA Register'!$AA:$AA,0)),0),0)))</f>
        <v/>
      </c>
      <c r="E74" s="235">
        <f>IF(ISNUMBER(F74),MAX(DATE(2026,6,6),F74+7),DATE(2026,6,6))</f>
        <v/>
      </c>
      <c r="F74" s="235" t="n">
        <v>46203</v>
      </c>
      <c r="G74" s="233" t="inlineStr">
        <is>
          <t>ППК26111</t>
        </is>
      </c>
      <c r="H74" s="233">
        <f>IFERROR(INDEX('iCoA Register'!$B:$B,MATCH("P060362|I",'iCoA Register'!$AA:$AA,0)),"—")</f>
        <v/>
      </c>
      <c r="I74" s="235">
        <f>IFERROR(INDEX('iCoA Register'!$D:$D,MATCH("P060362|I",'iCoA Register'!$AA:$AA,0)),"")</f>
        <v/>
      </c>
      <c r="J74" s="233" t="inlineStr">
        <is>
          <t>post-SOP</t>
        </is>
      </c>
      <c r="K74" s="233" t="inlineStr">
        <is>
          <t>initial release</t>
        </is>
      </c>
      <c r="L74" s="234" t="inlineStr">
        <is>
          <t>JD012603</t>
        </is>
      </c>
      <c r="M74" s="233" t="inlineStr">
        <is>
          <t>P060362</t>
        </is>
      </c>
      <c r="N74" s="233" t="inlineStr">
        <is>
          <t>Jelly Donutz</t>
        </is>
      </c>
      <c r="O74" s="233" t="inlineStr">
        <is>
          <t>ППК26111, (30.06.2026) [CNP]</t>
        </is>
      </c>
      <c r="P74" s="233" t="inlineStr">
        <is>
          <t>A: ППК26111 / B: ППК26111 / FM: ППК26111</t>
        </is>
      </c>
      <c r="Q74" s="233" t="inlineStr">
        <is>
          <t>—</t>
        </is>
      </c>
      <c r="R74" s="233" t="inlineStr">
        <is>
          <t>CoQ-PP-2026-0020</t>
        </is>
      </c>
      <c r="S74" s="233" t="inlineStr">
        <is>
          <t>P060362|I</t>
        </is>
      </c>
      <c r="T74" s="240" t="inlineStr">
        <is>
          <t>registered — first working day 7 days after the latest eCoA · initial certificate to locate: #9 (IJZ), #10 (CNP), #11 (CNP), #12 (CNP)</t>
        </is>
      </c>
    </row>
    <row r="75">
      <c r="A75" s="233">
        <f>IF(C75="yes",COUNT(A$1:A74)+1,"")</f>
        <v/>
      </c>
      <c r="B75" s="234">
        <f>IF(A75&lt;&gt;"","CoQ-PP_26-"&amp;TEXT(A75,"000"),"— at issue —")</f>
        <v/>
      </c>
      <c r="C75" s="239" t="inlineStr">
        <is>
          <t>yes</t>
        </is>
      </c>
      <c r="D75" s="235">
        <f>IF(A75="","",MAX(E75,IF(ISNUMBER(I75),I75,0),IFERROR(IF(ISNUMBER(INDEX('iCoA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row>
    <row r="76">
      <c r="A76" s="233">
        <f>IF(C76="yes",COUNT(A$1:A75)+1,"")</f>
        <v/>
      </c>
      <c r="B76" s="234">
        <f>IF(A76&lt;&gt;"","CoQ-PP_26-"&amp;TEXT(A76,"000"),"— at issue —")</f>
        <v/>
      </c>
      <c r="C76" s="239" t="inlineStr">
        <is>
          <t>yes</t>
        </is>
      </c>
      <c r="D76" s="235">
        <f>IF(A76="","",MAX(E76,IF(ISNUMBER(I76),I76,0),IFERROR(IF(ISNUMBER(INDEX('iCoA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row>
    <row r="77">
      <c r="A77" s="233">
        <f>IF(C77="yes",COUNT(A$1:A76)+1,"")</f>
        <v/>
      </c>
      <c r="B77" s="234">
        <f>IF(A77&lt;&gt;"","CoQ-PP_26-"&amp;TEXT(A77,"000"),"— at issue —")</f>
        <v/>
      </c>
      <c r="C77" s="239" t="inlineStr">
        <is>
          <t>yes</t>
        </is>
      </c>
      <c r="D77" s="235">
        <f>IF(A77="","",MAX(E77,IF(ISNUMBER(I77),I77,0),IFERROR(IF(ISNUMBER(INDEX('iCoA Register'!$F:$F,MATCH(S77,'iCoA Register'!$AA:$AA,0))),INDEX('iCoA Register'!$F:$F,MATCH(S77,'iCoA Register'!$AA:$AA,0)),0),0)))</f>
        <v/>
      </c>
      <c r="E77" s="235">
        <f>IF(ISNUMBER(F77),MAX(DATE(2026,6,6),F77+7),DATE(2026,6,6))</f>
        <v/>
      </c>
      <c r="F77" s="235" t="n">
        <v>46203</v>
      </c>
      <c r="G77" s="233" t="inlineStr">
        <is>
          <t>ППК26111</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ППК26111,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#9 (IJZ), #10 (CNP), #11 (CNP), #12 (CNP)</t>
        </is>
      </c>
    </row>
    <row r="78">
      <c r="A78" s="233">
        <f>IF(C78="yes",COUNT(A$1:A77)+1,"")</f>
        <v/>
      </c>
      <c r="B78" s="234">
        <f>IF(A78&lt;&gt;"","CoQ-PP_26-"&amp;TEXT(A78,"000"),"— at issue —")</f>
        <v/>
      </c>
      <c r="C78" s="239" t="inlineStr">
        <is>
          <t>yes</t>
        </is>
      </c>
      <c r="D78" s="235">
        <f>IF(A78="","",MAX(E78,IF(ISNUMBER(I78),I78,0),IFERROR(IF(ISNUMBER(INDEX('iCoA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row>
    <row r="79">
      <c r="A79" s="233">
        <f>IF(C79="yes",COUNT(A$1:A78)+1,"")</f>
        <v/>
      </c>
      <c r="B79" s="234">
        <f>IF(A79&lt;&gt;"","CoQ-PP_26-"&amp;TEXT(A79,"000"),"— at issue —")</f>
        <v/>
      </c>
      <c r="C79" s="239" t="inlineStr">
        <is>
          <t>yes</t>
        </is>
      </c>
      <c r="D79" s="235">
        <f>IF(A79="","",MAX(E79,IF(ISNUMBER(I79),I79,0),IFERROR(IF(ISNUMBER(INDEX('iCoA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row>
    <row r="80">
      <c r="A80" s="233">
        <f>IF(C80="yes",COUNT(A$1:A79)+1,"")</f>
        <v/>
      </c>
      <c r="B80" s="234">
        <f>IF(A80&lt;&gt;"","CoQ-PP_26-"&amp;TEXT(A80,"000"),"— at issue —")</f>
        <v/>
      </c>
      <c r="C80" s="239" t="inlineStr">
        <is>
          <t>yes</t>
        </is>
      </c>
      <c r="D80" s="235">
        <f>IF(A80="","",MAX(E80,IF(ISNUMBER(I80),I80,0),IFERROR(IF(ISNUMBER(INDEX('iCoA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row>
    <row r="81">
      <c r="A81" s="233">
        <f>IF(C81="yes",COUNT(A$1:A80)+1,"")</f>
        <v/>
      </c>
      <c r="B81" s="234">
        <f>IF(A81&lt;&gt;"","CoQ-PP_26-"&amp;TEXT(A81,"000"),"— at issue —")</f>
        <v/>
      </c>
      <c r="C81" s="239" t="inlineStr">
        <is>
          <t>yes</t>
        </is>
      </c>
      <c r="D81" s="235">
        <f>IF(A81="","",MAX(E81,IF(ISNUMBER(I81),I81,0),IFERROR(IF(ISNUMBER(INDEX('iCoA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row>
    <row r="82">
      <c r="A82" s="233">
        <f>IF(C82="yes",COUNT(A$1:A81)+1,"")</f>
        <v/>
      </c>
      <c r="B82" s="234">
        <f>IF(A82&lt;&gt;"","CoQ-PP_26-"&amp;TEXT(A82,"000"),"— at issue —")</f>
        <v/>
      </c>
      <c r="C82" s="239" t="inlineStr">
        <is>
          <t>yes</t>
        </is>
      </c>
      <c r="D82" s="235">
        <f>IF(A82="","",MAX(E82,IF(ISNUMBER(I82),I82,0),IFERROR(IF(ISNUMBER(INDEX('iCoA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row>
    <row r="83">
      <c r="A83" s="233">
        <f>IF(C83="yes",COUNT(A$1:A82)+1,"")</f>
        <v/>
      </c>
      <c r="B83" s="234">
        <f>IF(A83&lt;&gt;"","CoQ-PP_26-"&amp;TEXT(A83,"000"),"— at issue —")</f>
        <v/>
      </c>
      <c r="C83" s="239" t="inlineStr">
        <is>
          <t>yes</t>
        </is>
      </c>
      <c r="D83" s="235">
        <f>IF(A83="","",MAX(E83,IF(ISNUMBER(I83),I83,0),IFERROR(IF(ISNUMBER(INDEX('iCoA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 not in the issuance plan —</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row>
    <row r="84">
      <c r="A84" s="233">
        <f>IF(C84="yes",COUNT(A$1:A83)+1,"")</f>
        <v/>
      </c>
      <c r="B84" s="234">
        <f>IF(A84&lt;&gt;"","CoQ-PP_26-"&amp;TEXT(A84,"000"),"— at issue —")</f>
        <v/>
      </c>
      <c r="C84" s="239" t="inlineStr">
        <is>
          <t>yes</t>
        </is>
      </c>
      <c r="D84" s="235">
        <f>IF(A84="","",MAX(E84,IF(ISNUMBER(I84),I84,0),IFERROR(IF(ISNUMBER(INDEX('iCoA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row>
    <row r="85">
      <c r="A85" s="233">
        <f>IF(C85="yes",COUNT(A$1:A84)+1,"")</f>
        <v/>
      </c>
      <c r="B85" s="234">
        <f>IF(A85&lt;&gt;"","CoQ-PP_26-"&amp;TEXT(A85,"000"),"— at issue —")</f>
        <v/>
      </c>
      <c r="C85" s="239" t="inlineStr">
        <is>
          <t>yes</t>
        </is>
      </c>
      <c r="D85" s="235">
        <f>IF(A85="","",MAX(E85,IF(ISNUMBER(I85),I85,0),IFERROR(IF(ISNUMBER(INDEX('iCoA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row>
    <row r="86">
      <c r="A86" s="233">
        <f>IF(C86="yes",COUNT(A$1:A85)+1,"")</f>
        <v/>
      </c>
      <c r="B86" s="234">
        <f>IF(A86&lt;&gt;"","CoQ-PP_26-"&amp;TEXT(A86,"000"),"— at issue —")</f>
        <v/>
      </c>
      <c r="C86" s="239" t="inlineStr">
        <is>
          <t>yes</t>
        </is>
      </c>
      <c r="D86" s="235">
        <f>IF(A86="","",MAX(E86,IF(ISNUMBER(I86),I86,0),IFERROR(IF(ISNUMBER(INDEX('iCoA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row>
    <row r="87">
      <c r="A87" s="233">
        <f>IF(C87="yes",COUNT(A$1:A86)+1,"")</f>
        <v/>
      </c>
      <c r="B87" s="234">
        <f>IF(A87&lt;&gt;"","CoQ-PP_26-"&amp;TEXT(A87,"000"),"— at issue —")</f>
        <v/>
      </c>
      <c r="C87" s="239" t="inlineStr">
        <is>
          <t>yes</t>
        </is>
      </c>
      <c r="D87" s="235">
        <f>IF(A87="","",MAX(E87,IF(ISNUMBER(I87),I87,0),IFERROR(IF(ISNUMBER(INDEX('iCoA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row>
    <row r="88">
      <c r="A88" s="233">
        <f>IF(C88="yes",COUNT(A$1:A87)+1,"")</f>
        <v/>
      </c>
      <c r="B88" s="234">
        <f>IF(A88&lt;&gt;"","CoQ-PP_26-"&amp;TEXT(A88,"000"),"— at issue —")</f>
        <v/>
      </c>
      <c r="C88" s="239" t="inlineStr">
        <is>
          <t>yes</t>
        </is>
      </c>
      <c r="D88" s="235">
        <f>IF(A88="","",MAX(E88,IF(ISNUMBER(I88),I88,0),IFERROR(IF(ISNUMBER(INDEX('iCoA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row>
    <row r="89">
      <c r="A89" s="233">
        <f>IF(C89="yes",COUNT(A$1:A88)+1,"")</f>
        <v/>
      </c>
      <c r="B89" s="234">
        <f>IF(A89&lt;&gt;"","CoQ-PP_26-"&amp;TEXT(A89,"000"),"— at issue —")</f>
        <v/>
      </c>
      <c r="C89" s="239" t="inlineStr">
        <is>
          <t>yes</t>
        </is>
      </c>
      <c r="D89" s="235">
        <f>IF(A89="","",MAX(E89,IF(ISNUMBER(I89),I89,0),IFERROR(IF(ISNUMBER(INDEX('iCoA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row>
    <row r="90">
      <c r="A90" s="233">
        <f>IF(C90="yes",COUNT(A$1:A89)+1,"")</f>
        <v/>
      </c>
      <c r="B90" s="234">
        <f>IF(A90&lt;&gt;"","CoQ-PP_26-"&amp;TEXT(A90,"000"),"— at issue —")</f>
        <v/>
      </c>
      <c r="C90" s="239" t="inlineStr">
        <is>
          <t>yes</t>
        </is>
      </c>
      <c r="D90" s="235">
        <f>IF(A90="","",MAX(E90,IF(ISNUMBER(I90),I90,0),IFERROR(IF(ISNUMBER(INDEX('iCoA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row>
    <row r="91">
      <c r="A91" s="233">
        <f>IF(C91="yes",COUNT(A$1:A90)+1,"")</f>
        <v/>
      </c>
      <c r="B91" s="234">
        <f>IF(A91&lt;&gt;"","CoQ-PP_26-"&amp;TEXT(A91,"000"),"— at issue —")</f>
        <v/>
      </c>
      <c r="C91" s="239" t="inlineStr">
        <is>
          <t>yes</t>
        </is>
      </c>
      <c r="D91" s="235">
        <f>IF(A91="","",MAX(E91,IF(ISNUMBER(I91),I91,0),IFERROR(IF(ISNUMBER(INDEX('iCoA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row>
    <row r="92">
      <c r="A92" s="233">
        <f>IF(C92="yes",COUNT(A$1:A91)+1,"")</f>
        <v/>
      </c>
      <c r="B92" s="234">
        <f>IF(A92&lt;&gt;"","CoQ-PP_26-"&amp;TEXT(A92,"000"),"— at issue —")</f>
        <v/>
      </c>
      <c r="C92" s="239" t="inlineStr">
        <is>
          <t>yes</t>
        </is>
      </c>
      <c r="D92" s="235">
        <f>IF(A92="","",MAX(E92,IF(ISNUMBER(I92),I92,0),IFERROR(IF(ISNUMBER(INDEX('iCoA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row>
    <row r="93">
      <c r="A93" s="233">
        <f>IF(C93="yes",COUNT(A$1:A92)+1,"")</f>
        <v/>
      </c>
      <c r="B93" s="234">
        <f>IF(A93&lt;&gt;"","CoQ-PP_26-"&amp;TEXT(A93,"000"),"— at issue —")</f>
        <v/>
      </c>
      <c r="C93" s="239" t="inlineStr">
        <is>
          <t>yes</t>
        </is>
      </c>
      <c r="D93" s="235">
        <f>IF(A93="","",MAX(E93,IF(ISNUMBER(I93),I93,0),IFERROR(IF(ISNUMBER(INDEX('iCoA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row>
    <row r="94">
      <c r="A94" s="233">
        <f>IF(C94="yes",COUNT(A$1:A93)+1,"")</f>
        <v/>
      </c>
      <c r="B94" s="234">
        <f>IF(A94&lt;&gt;"","CoQ-PP_26-"&amp;TEXT(A94,"000"),"— at issue —")</f>
        <v/>
      </c>
      <c r="C94" s="239" t="inlineStr">
        <is>
          <t>yes</t>
        </is>
      </c>
      <c r="D94" s="235">
        <f>IF(A94="","",MAX(E94,IF(ISNUMBER(I94),I94,0),IFERROR(IF(ISNUMBER(INDEX('iCoA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row>
    <row r="95">
      <c r="A95" s="233">
        <f>IF(C95="yes",COUNT(A$1:A94)+1,"")</f>
        <v/>
      </c>
      <c r="B95" s="234">
        <f>IF(A95&lt;&gt;"","CoQ-PP_26-"&amp;TEXT(A95,"000"),"— at issue —")</f>
        <v/>
      </c>
      <c r="C95" s="239" t="inlineStr">
        <is>
          <t>yes</t>
        </is>
      </c>
      <c r="D95" s="235">
        <f>IF(A95="","",MAX(E95,IF(ISNUMBER(I95),I95,0),IFERROR(IF(ISNUMBER(INDEX('iCoA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row>
    <row r="96">
      <c r="A96" s="233">
        <f>IF(C96="yes",COUNT(A$1:A95)+1,"")</f>
        <v/>
      </c>
      <c r="B96" s="234">
        <f>IF(A96&lt;&gt;"","CoQ-PP_26-"&amp;TEXT(A96,"000"),"— at issue —")</f>
        <v/>
      </c>
      <c r="C96" s="239" t="inlineStr">
        <is>
          <t>yes</t>
        </is>
      </c>
      <c r="D96" s="235">
        <f>IF(A96="","",MAX(E96,IF(ISNUMBER(I96),I96,0),IFERROR(IF(ISNUMBER(INDEX('iCoA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row>
    <row r="97">
      <c r="A97" s="233">
        <f>IF(C97="yes",COUNT(A$1:A96)+1,"")</f>
        <v/>
      </c>
      <c r="B97" s="234">
        <f>IF(A97&lt;&gt;"","CoQ-PP_26-"&amp;TEXT(A97,"000"),"— at issue —")</f>
        <v/>
      </c>
      <c r="C97" s="239" t="inlineStr">
        <is>
          <t>yes</t>
        </is>
      </c>
      <c r="D97" s="235">
        <f>IF(A97="","",MAX(E97,IF(ISNUMBER(I97),I97,0),IFERROR(IF(ISNUMBER(INDEX('iCoA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row>
    <row r="98">
      <c r="A98" s="233">
        <f>IF(C98="yes",COUNT(A$1:A97)+1,"")</f>
        <v/>
      </c>
      <c r="B98" s="234">
        <f>IF(A98&lt;&gt;"","CoQ-PP_26-"&amp;TEXT(A98,"000"),"— at issue —")</f>
        <v/>
      </c>
      <c r="C98" s="239" t="inlineStr">
        <is>
          <t>yes</t>
        </is>
      </c>
      <c r="D98" s="235">
        <f>IF(A98="","",MAX(E98,IF(ISNUMBER(I98),I98,0),IFERROR(IF(ISNUMBER(INDEX('iCoA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row>
    <row r="99">
      <c r="A99" s="233">
        <f>IF(C99="yes",COUNT(A$1:A98)+1,"")</f>
        <v/>
      </c>
      <c r="B99" s="234">
        <f>IF(A99&lt;&gt;"","CoQ-PP_26-"&amp;TEXT(A99,"000"),"— at issue —")</f>
        <v/>
      </c>
      <c r="C99" s="239" t="inlineStr">
        <is>
          <t>yes</t>
        </is>
      </c>
      <c r="D99" s="235">
        <f>IF(A99="","",MAX(E99,IF(ISNUMBER(I99),I99,0),IFERROR(IF(ISNUMBER(INDEX('iCoA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row>
    <row r="100">
      <c r="A100" s="233">
        <f>IF(C100="yes",COUNT(A$1:A99)+1,"")</f>
        <v/>
      </c>
      <c r="B100" s="234">
        <f>IF(A100&lt;&gt;"","CoQ-PP_26-"&amp;TEXT(A100,"000"),"— at issue —")</f>
        <v/>
      </c>
      <c r="C100" s="239" t="inlineStr">
        <is>
          <t>yes</t>
        </is>
      </c>
      <c r="D100" s="235">
        <f>IF(A100="","",MAX(E100,IF(ISNUMBER(I100),I100,0),IFERROR(IF(ISNUMBER(INDEX('iCoA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row>
    <row r="101">
      <c r="A101" s="233">
        <f>IF(C101="yes",COUNT(A$1:A100)+1,"")</f>
        <v/>
      </c>
      <c r="B101" s="234">
        <f>IF(A101&lt;&gt;"","CoQ-PP_26-"&amp;TEXT(A101,"000"),"— at issue —")</f>
        <v/>
      </c>
      <c r="C101" s="239" t="inlineStr">
        <is>
          <t>yes</t>
        </is>
      </c>
      <c r="D101" s="235">
        <f>IF(A101="","",MAX(E101,IF(ISNUMBER(I101),I101,0),IFERROR(IF(ISNUMBER(INDEX('iCoA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row>
    <row r="102">
      <c r="A102" s="233">
        <f>IF(C102="yes",COUNT(A$1:A101)+1,"")</f>
        <v/>
      </c>
      <c r="B102" s="234">
        <f>IF(A102&lt;&gt;"","CoQ-PP_26-"&amp;TEXT(A102,"000"),"— at issue —")</f>
        <v/>
      </c>
      <c r="C102" s="239" t="inlineStr">
        <is>
          <t>yes</t>
        </is>
      </c>
      <c r="D102" s="235">
        <f>IF(A102="","",MAX(E102,IF(ISNUMBER(I102),I102,0),IFERROR(IF(ISNUMBER(INDEX('iCoA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row>
    <row r="103">
      <c r="A103" s="233">
        <f>IF(C103="yes",COUNT(A$1:A102)+1,"")</f>
        <v/>
      </c>
      <c r="B103" s="234">
        <f>IF(A103&lt;&gt;"","CoQ-PP_26-"&amp;TEXT(A103,"000"),"— at issue —")</f>
        <v/>
      </c>
      <c r="C103" s="239" t="inlineStr">
        <is>
          <t>yes</t>
        </is>
      </c>
      <c r="D103" s="235">
        <f>IF(A103="","",MAX(E103,IF(ISNUMBER(I103),I103,0),IFERROR(IF(ISNUMBER(INDEX('iCoA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row>
    <row r="104">
      <c r="A104" s="233">
        <f>IF(C104="yes",COUNT(A$1:A103)+1,"")</f>
        <v/>
      </c>
      <c r="B104" s="234">
        <f>IF(A104&lt;&gt;"","CoQ-PP_26-"&amp;TEXT(A104,"000"),"— at issue —")</f>
        <v/>
      </c>
      <c r="C104" s="239" t="inlineStr">
        <is>
          <t>yes</t>
        </is>
      </c>
      <c r="D104" s="235">
        <f>IF(A104="","",MAX(E104,IF(ISNUMBER(I104),I104,0),IFERROR(IF(ISNUMBER(INDEX('iCoA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row>
    <row r="105">
      <c r="A105" s="233">
        <f>IF(C105="yes",COUNT(A$1:A104)+1,"")</f>
        <v/>
      </c>
      <c r="B105" s="234">
        <f>IF(A105&lt;&gt;"","CoQ-PP_26-"&amp;TEXT(A105,"000"),"— at issue —")</f>
        <v/>
      </c>
      <c r="C105" s="238" t="inlineStr">
        <is>
          <t>no</t>
        </is>
      </c>
      <c r="D105" s="235">
        <f>IF(A105="","",MAX(E105,IF(ISNUMBER(I105),I105,0),IFERROR(IF(ISNUMBER(INDEX('iCoA Register'!$F:$F,MATCH(S105,'iCoA Register'!$AA:$AA,0))),INDEX('iCoA Register'!$F:$F,MATCH(S105,'iCoA Register'!$AA:$AA,0)),0),0)))</f>
        <v/>
      </c>
      <c r="E105" s="235">
        <f>IF(ISNUMBER(F105),MAX(DATE(2026,6,6),F105+7),DATE(2026,6,6))</f>
        <v/>
      </c>
      <c r="F105" s="235" t="n">
        <v>46153</v>
      </c>
      <c r="G105" s="233" t="inlineStr">
        <is>
          <t>ППК26065</t>
        </is>
      </c>
      <c r="H105" s="233">
        <f>IFERROR(INDEX('iCoA Register'!$B:$B,MATCH("JD112501|I",'iCoA Register'!$AA:$AA,0)),"—")</f>
        <v/>
      </c>
      <c r="I105" s="235">
        <f>IFERROR(INDEX('iCoA Register'!$D:$D,MATCH("JD112501|I",'iCoA Register'!$AA:$AA,0)),"")</f>
        <v/>
      </c>
      <c r="J105" s="233" t="inlineStr">
        <is>
          <t>—</t>
        </is>
      </c>
      <c r="K105" s="233" t="inlineStr">
        <is>
          <t>initial release</t>
        </is>
      </c>
      <c r="L105" s="234" t="inlineStr">
        <is>
          <t>JD112501＊</t>
        </is>
      </c>
      <c r="M105" s="233" t="inlineStr">
        <is>
          <t>N/A — no P batch assigned</t>
        </is>
      </c>
      <c r="N105" s="233" t="inlineStr">
        <is>
          <t>Jelly Donutz</t>
        </is>
      </c>
      <c r="O105" s="233" t="inlineStr">
        <is>
          <t>ППК26065, (11.05.2026) [CNP]</t>
        </is>
      </c>
      <c r="P105" s="238" t="inlineStr">
        <is>
          <t>—</t>
        </is>
      </c>
      <c r="Q105" s="233" t="inlineStr">
        <is>
          <t>—</t>
        </is>
      </c>
      <c r="R105" s="233" t="inlineStr">
        <is>
          <t>CoQ-PP-2026-0015</t>
        </is>
      </c>
      <c r="S105" s="233" t="inlineStr">
        <is>
          <t>JD112501|I</t>
        </is>
      </c>
      <c r="T105" s="241" t="inlineStr">
        <is>
          <t>not yet issuable — no packaging date on the list</t>
        </is>
      </c>
    </row>
    <row r="106">
      <c r="A106" s="233">
        <f>IF(C106="yes",COUNT(A$1:A105)+1,"")</f>
        <v/>
      </c>
      <c r="B106" s="234">
        <f>IF(A106&lt;&gt;"","CoQ-PP_26-"&amp;TEXT(A106,"000"),"— at issue —")</f>
        <v/>
      </c>
      <c r="C106" s="238" t="inlineStr">
        <is>
          <t>no</t>
        </is>
      </c>
      <c r="D106" s="235">
        <f>IF(A106="","",MAX(E106,IF(ISNUMBER(I106),I106,0),IFERROR(IF(ISNUMBER(INDEX('iCoA Register'!$F:$F,MATCH(S106,'iCoA Register'!$AA:$AA,0))),INDEX('iCoA Register'!$F:$F,MATCH(S106,'iCoA Register'!$AA:$AA,0)),0),0)))</f>
        <v/>
      </c>
      <c r="E106" s="235">
        <f>IF(ISNUMBER(F106),MAX(DATE(2026,6,6),F106+7),DATE(2026,6,6))</f>
        <v/>
      </c>
      <c r="F106" s="235" t="n">
        <v>46153</v>
      </c>
      <c r="G106" s="233" t="inlineStr">
        <is>
          <t>ППК26062</t>
        </is>
      </c>
      <c r="H106" s="233">
        <f>IFERROR(INDEX('iCoA Register'!$B:$B,MATCH("P060302|I",'iCoA Register'!$AA:$AA,0)),"—")</f>
        <v/>
      </c>
      <c r="I106" s="235">
        <f>IFERROR(INDEX('iCoA Register'!$D:$D,MATCH("P060302|I",'iCoA Register'!$AA:$AA,0)),"")</f>
        <v/>
      </c>
      <c r="J106" s="233" t="inlineStr">
        <is>
          <t>post-SOP</t>
        </is>
      </c>
      <c r="K106" s="233" t="inlineStr">
        <is>
          <t>initial release</t>
        </is>
      </c>
      <c r="L106" s="234" t="inlineStr">
        <is>
          <t>GG012601＊</t>
        </is>
      </c>
      <c r="M106" s="233" t="inlineStr">
        <is>
          <t>P060302</t>
        </is>
      </c>
      <c r="N106" s="233" t="inlineStr">
        <is>
          <t>Gorilla Glue</t>
        </is>
      </c>
      <c r="O106" s="233" t="inlineStr">
        <is>
          <t>ППК26062, (11.05.2026) [CNP]</t>
        </is>
      </c>
      <c r="P106" s="238" t="inlineStr">
        <is>
          <t>—</t>
        </is>
      </c>
      <c r="Q106" s="233" t="inlineStr">
        <is>
          <t>—</t>
        </is>
      </c>
      <c r="R106" s="233" t="inlineStr">
        <is>
          <t>(assigned on issue)</t>
        </is>
      </c>
      <c r="S106" s="233" t="inlineStr">
        <is>
          <t>P060302|I</t>
        </is>
      </c>
      <c r="T106" s="241" t="inlineStr">
        <is>
          <t>not yet issuable — its iCoA is not yet issuable</t>
        </is>
      </c>
    </row>
    <row r="107">
      <c r="A107" s="233">
        <f>IF(C107="yes",COUNT(A$1:A106)+1,"")</f>
        <v/>
      </c>
      <c r="B107" s="234">
        <f>IF(A107&lt;&gt;"","CoQ-PP_26-"&amp;TEXT(A107,"000"),"— at issue —")</f>
        <v/>
      </c>
      <c r="C107" s="238" t="inlineStr">
        <is>
          <t>no</t>
        </is>
      </c>
      <c r="D107" s="235">
        <f>IF(A107="","",MAX(E107,IF(ISNUMBER(I107),I107,0),IFERROR(IF(ISNUMBER(INDEX('iCoA Register'!$F:$F,MATCH(S107,'iCoA Register'!$AA:$AA,0))),INDEX('iCoA Register'!$F:$F,MATCH(S107,'iCoA Register'!$AA:$AA,0)),0),0)))</f>
        <v/>
      </c>
      <c r="E107" s="235">
        <f>IF(ISNUMBER(F107),MAX(DATE(2026,6,6),F107+7),DATE(2026,6,6))</f>
        <v/>
      </c>
      <c r="F107" s="235" t="n">
        <v>46153</v>
      </c>
      <c r="G107" s="233" t="inlineStr">
        <is>
          <t>ППК26064</t>
        </is>
      </c>
      <c r="H107" s="233">
        <f>IFERROR(INDEX('iCoA Register'!$B:$B,MATCH("P060312|I",'iCoA Register'!$AA:$AA,0)),"—")</f>
        <v/>
      </c>
      <c r="I107" s="235">
        <f>IFERROR(INDEX('iCoA Register'!$D:$D,MATCH("P060312|I",'iCoA Register'!$AA:$AA,0)),"")</f>
        <v/>
      </c>
      <c r="J107" s="233" t="inlineStr">
        <is>
          <t>post-SOP</t>
        </is>
      </c>
      <c r="K107" s="233" t="inlineStr">
        <is>
          <t>initial release</t>
        </is>
      </c>
      <c r="L107" s="234" t="inlineStr">
        <is>
          <t>JD012601＊</t>
        </is>
      </c>
      <c r="M107" s="233" t="inlineStr">
        <is>
          <t>P060312</t>
        </is>
      </c>
      <c r="N107" s="233" t="inlineStr">
        <is>
          <t>Jelly Donutz</t>
        </is>
      </c>
      <c r="O107" s="233" t="inlineStr">
        <is>
          <t>ППК26064, (11.05.2026) [CNP]</t>
        </is>
      </c>
      <c r="P107" s="238" t="inlineStr">
        <is>
          <t>—</t>
        </is>
      </c>
      <c r="Q107" s="233" t="inlineStr">
        <is>
          <t>—</t>
        </is>
      </c>
      <c r="R107" s="233" t="inlineStr">
        <is>
          <t>(assigned on issue)</t>
        </is>
      </c>
      <c r="S107" s="233" t="inlineStr">
        <is>
          <t>P060312|I</t>
        </is>
      </c>
      <c r="T107" s="241" t="inlineStr">
        <is>
          <t>not yet issuable — its iCoA is not yet issuable</t>
        </is>
      </c>
    </row>
    <row r="108">
      <c r="A108" s="233">
        <f>IF(C108="yes",COUNT(A$1:A107)+1,"")</f>
        <v/>
      </c>
      <c r="B108" s="234">
        <f>IF(A108&lt;&gt;"","CoQ-PP_26-"&amp;TEXT(A108,"000"),"— at issue —")</f>
        <v/>
      </c>
      <c r="C108" s="238" t="inlineStr">
        <is>
          <t>no</t>
        </is>
      </c>
      <c r="D108" s="235">
        <f>IF(A108="","",MAX(E108,IF(ISNUMBER(I108),I108,0),IFERROR(IF(ISNUMBER(INDEX('iCoA Register'!$F:$F,MATCH(S108,'iCoA Register'!$AA:$AA,0))),INDEX('iCoA Register'!$F:$F,MATCH(S108,'iCoA Register'!$AA:$AA,0)),0),0)))</f>
        <v/>
      </c>
      <c r="E108" s="235">
        <f>IF(ISNUMBER(F108),MAX(DATE(2026,6,6),F108+7),DATE(2026,6,6))</f>
        <v/>
      </c>
      <c r="F108" s="235" t="n">
        <v>46209</v>
      </c>
      <c r="G108" s="233" t="inlineStr">
        <is>
          <t>ППК26117</t>
        </is>
      </c>
      <c r="H108" s="233">
        <f>IFERROR(INDEX('iCoA Register'!$B:$B,MATCH("P160012|I",'iCoA Register'!$AA:$AA,0)),"—")</f>
        <v/>
      </c>
      <c r="I108" s="235">
        <f>IFERROR(INDEX('iCoA Register'!$D:$D,MATCH("P160012|I",'iCoA Register'!$AA:$AA,0)),"")</f>
        <v/>
      </c>
      <c r="J108" s="233" t="inlineStr">
        <is>
          <t>—</t>
        </is>
      </c>
      <c r="K108" s="233" t="inlineStr">
        <is>
          <t>initial release</t>
        </is>
      </c>
      <c r="L108" s="234" t="inlineStr">
        <is>
          <t>— not recorded — (P160012)</t>
        </is>
      </c>
      <c r="M108" s="233" t="inlineStr">
        <is>
          <t>P160012</t>
        </is>
      </c>
      <c r="N108" s="233" t="inlineStr"/>
      <c r="O108" s="233" t="inlineStr">
        <is>
          <t>ППК26117, (06.07.2026) [CNP]</t>
        </is>
      </c>
      <c r="P108" s="233" t="inlineStr">
        <is>
          <t>A: ППК26117 / B: ППК26117 / FM: ППК26117</t>
        </is>
      </c>
      <c r="Q108" s="233" t="inlineStr">
        <is>
          <t>—</t>
        </is>
      </c>
      <c r="R108" s="233" t="inlineStr">
        <is>
          <t>(assigned on issue)</t>
        </is>
      </c>
      <c r="S108" s="233" t="inlineStr">
        <is>
          <t>P160012|I</t>
        </is>
      </c>
      <c r="T108" s="241" t="inlineStr">
        <is>
          <t>not yet issuable — no packaging date on the list</t>
        </is>
      </c>
    </row>
    <row r="109">
      <c r="A109" s="233">
        <f>IF(C109="yes",COUNT(A$1:A108)+1,"")</f>
        <v/>
      </c>
      <c r="B109" s="234">
        <f>IF(A109&lt;&gt;"","CoQ-PP_26-"&amp;TEXT(A109,"000"),"— at issue —")</f>
        <v/>
      </c>
      <c r="C109" s="238" t="inlineStr">
        <is>
          <t>no</t>
        </is>
      </c>
      <c r="D109" s="235">
        <f>IF(A109="","",MAX(E109,IF(ISNUMBER(I109),I109,0),IFERROR(IF(ISNUMBER(INDEX('iCoA Register'!$F:$F,MATCH(S109,'iCoA Register'!$AA:$AA,0))),INDEX('iCoA Register'!$F:$F,MATCH(S109,'iCoA Register'!$AA:$AA,0)),0),0)))</f>
        <v/>
      </c>
      <c r="E109" s="235">
        <f>IF(ISNUMBER(F109),MAX(DATE(2026,6,6),F109+7),DATE(2026,6,6))</f>
        <v/>
      </c>
      <c r="F109" s="235" t="n">
        <v>46209</v>
      </c>
      <c r="G109" s="233" t="inlineStr">
        <is>
          <t>ППК26118</t>
        </is>
      </c>
      <c r="H109" s="233">
        <f>IFERROR(INDEX('iCoA Register'!$B:$B,MATCH("P160022|I",'iCoA Register'!$AA:$AA,0)),"—")</f>
        <v/>
      </c>
      <c r="I109" s="235">
        <f>IFERROR(INDEX('iCoA Register'!$D:$D,MATCH("P160022|I",'iCoA Register'!$AA:$AA,0)),"")</f>
        <v/>
      </c>
      <c r="J109" s="233" t="inlineStr">
        <is>
          <t>—</t>
        </is>
      </c>
      <c r="K109" s="233" t="inlineStr">
        <is>
          <t>initial release</t>
        </is>
      </c>
      <c r="L109" s="234" t="inlineStr">
        <is>
          <t>— not recorded — (P160022)</t>
        </is>
      </c>
      <c r="M109" s="233" t="inlineStr">
        <is>
          <t>P160022</t>
        </is>
      </c>
      <c r="N109" s="233" t="inlineStr"/>
      <c r="O109" s="233" t="inlineStr">
        <is>
          <t>ППК26118, (06.07.2026) [CNP]</t>
        </is>
      </c>
      <c r="P109" s="233" t="inlineStr">
        <is>
          <t>A: ППК26118 / B: ППК26118 / FM: ППК26118</t>
        </is>
      </c>
      <c r="Q109" s="233" t="inlineStr">
        <is>
          <t>—</t>
        </is>
      </c>
      <c r="R109" s="233" t="inlineStr">
        <is>
          <t>(assigned on issue)</t>
        </is>
      </c>
      <c r="S109" s="233" t="inlineStr">
        <is>
          <t>P160022|I</t>
        </is>
      </c>
      <c r="T109" s="241" t="inlineStr">
        <is>
          <t>not yet issuable — no packaging date on the list</t>
        </is>
      </c>
    </row>
    <row r="110">
      <c r="A110" s="233">
        <f>IF(C110="yes",COUNT(A$1:A109)+1,"")</f>
        <v/>
      </c>
      <c r="B110" s="234">
        <f>IF(A110&lt;&gt;"","CoQ-PP_26-"&amp;TEXT(A110,"000"),"— at issue —")</f>
        <v/>
      </c>
      <c r="C110" s="238" t="inlineStr">
        <is>
          <t>no</t>
        </is>
      </c>
      <c r="D110" s="235">
        <f>IF(A110="","",MAX(E110,IF(ISNUMBER(I110),I110,0),IFERROR(IF(ISNUMBER(INDEX('iCoA Register'!$F:$F,MATCH(S110,'iCoA Register'!$AA:$AA,0))),INDEX('iCoA Register'!$F:$F,MATCH(S110,'iCoA Register'!$AA:$AA,0)),0),0)))</f>
        <v/>
      </c>
      <c r="E110" s="235">
        <f>IF(ISNUMBER(F110),MAX(DATE(2026,6,6),F110+7),DATE(2026,6,6))</f>
        <v/>
      </c>
      <c r="F110" s="235" t="n">
        <v>46209</v>
      </c>
      <c r="G110" s="233" t="inlineStr">
        <is>
          <t>ППК26119</t>
        </is>
      </c>
      <c r="H110" s="233">
        <f>IFERROR(INDEX('iCoA Register'!$B:$B,MATCH("P160032|I",'iCoA Register'!$AA:$AA,0)),"—")</f>
        <v/>
      </c>
      <c r="I110" s="235">
        <f>IFERROR(INDEX('iCoA Register'!$D:$D,MATCH("P160032|I",'iCoA Register'!$AA:$AA,0)),"")</f>
        <v/>
      </c>
      <c r="J110" s="233" t="inlineStr">
        <is>
          <t>—</t>
        </is>
      </c>
      <c r="K110" s="233" t="inlineStr">
        <is>
          <t>initial release</t>
        </is>
      </c>
      <c r="L110" s="234" t="inlineStr">
        <is>
          <t>— not recorded — (P160032)</t>
        </is>
      </c>
      <c r="M110" s="233" t="inlineStr">
        <is>
          <t>P160032</t>
        </is>
      </c>
      <c r="N110" s="233" t="inlineStr"/>
      <c r="O110" s="233" t="inlineStr">
        <is>
          <t>ППК26119, (06.07.2026) [CNP]</t>
        </is>
      </c>
      <c r="P110" s="233" t="inlineStr">
        <is>
          <t>A: ППК26119 / B: ППК26119 / FM: ППК26119</t>
        </is>
      </c>
      <c r="Q110" s="233" t="inlineStr">
        <is>
          <t>—</t>
        </is>
      </c>
      <c r="R110" s="233" t="inlineStr">
        <is>
          <t>(assigned on issue)</t>
        </is>
      </c>
      <c r="S110" s="233" t="inlineStr">
        <is>
          <t>P160032|I</t>
        </is>
      </c>
      <c r="T110" s="241" t="inlineStr">
        <is>
          <t>not yet issuable — no packaging date on the list</t>
        </is>
      </c>
    </row>
    <row r="111">
      <c r="A111" s="233">
        <f>IF(C111="yes",COUNT(A$1:A110)+1,"")</f>
        <v/>
      </c>
      <c r="B111" s="234">
        <f>IF(A111&lt;&gt;"","CoQ-PP_26-"&amp;TEXT(A111,"000"),"— at issue —")</f>
        <v/>
      </c>
      <c r="C111" s="238" t="inlineStr">
        <is>
          <t>no</t>
        </is>
      </c>
      <c r="D111" s="235">
        <f>IF(A111="","",MAX(E111,IF(ISNUMBER(I111),I111,0),IFERROR(IF(ISNUMBER(INDEX('iCoA Register'!$F:$F,MATCH(S111,'iCoA Register'!$AA:$AA,0))),INDEX('iCoA Register'!$F:$F,MATCH(S111,'iCoA Register'!$AA:$AA,0)),0),0)))</f>
        <v/>
      </c>
      <c r="E111" s="235">
        <f>IF(ISNUMBER(F111),MAX(DATE(2026,6,6),F111+7),DATE(2026,6,6))</f>
        <v/>
      </c>
      <c r="F111" s="235" t="inlineStr">
        <is>
          <t>—</t>
        </is>
      </c>
      <c r="G111" s="233" t="inlineStr">
        <is>
          <t>—</t>
        </is>
      </c>
      <c r="H111" s="233">
        <f>IFERROR(INDEX('iCoA Register'!$B:$B,MATCH("CC042601|I",'iCoA Register'!$AA:$AA,0)),"—")</f>
        <v/>
      </c>
      <c r="I111" s="235">
        <f>IFERROR(INDEX('iCoA Register'!$D:$D,MATCH("CC042601|I",'iCoA Register'!$AA:$AA,0)),"")</f>
        <v/>
      </c>
      <c r="J111" s="233" t="inlineStr">
        <is>
          <t>—</t>
        </is>
      </c>
      <c r="K111" s="233" t="inlineStr">
        <is>
          <t>initial release</t>
        </is>
      </c>
      <c r="L111" s="234" t="inlineStr">
        <is>
          <t>CC042601</t>
        </is>
      </c>
      <c r="M111" s="233" t="inlineStr">
        <is>
          <t>N/A — no P batch assigned</t>
        </is>
      </c>
      <c r="N111" s="233" t="inlineStr">
        <is>
          <t>Cash Cow</t>
        </is>
      </c>
      <c r="O111" s="238" t="inlineStr">
        <is>
          <t>— no cannabinoid certificate from the initial testing —</t>
        </is>
      </c>
      <c r="P111" s="238" t="inlineStr">
        <is>
          <t>—</t>
        </is>
      </c>
      <c r="Q111" s="233" t="inlineStr">
        <is>
          <t>—</t>
        </is>
      </c>
      <c r="R111" s="233" t="inlineStr">
        <is>
          <t>— not in the issuance plan —</t>
        </is>
      </c>
      <c r="S111" s="233" t="inlineStr">
        <is>
          <t>CC042601|I</t>
        </is>
      </c>
      <c r="T111" s="241" t="inlineStr">
        <is>
          <t>not yet issuable — no packaging date on the list</t>
        </is>
      </c>
    </row>
    <row r="112">
      <c r="A112" s="233">
        <f>IF(C112="yes",COUNT(A$1:A111)+1,"")</f>
        <v/>
      </c>
      <c r="B112" s="234">
        <f>IF(A112&lt;&gt;"","CoQ-PP_26-"&amp;TEXT(A112,"000"),"— at issue —")</f>
        <v/>
      </c>
      <c r="C112" s="238" t="inlineStr">
        <is>
          <t>no</t>
        </is>
      </c>
      <c r="D112" s="235">
        <f>IF(A112="","",MAX(E112,IF(ISNUMBER(I112),I112,0),IFERROR(IF(ISNUMBER(INDEX('iCoA Register'!$F:$F,MATCH(S112,'iCoA Register'!$AA:$AA,0))),INDEX('iCoA Register'!$F:$F,MATCH(S112,'iCoA Register'!$AA:$AA,0)),0),0)))</f>
        <v/>
      </c>
      <c r="E112" s="235">
        <f>IF(ISNUMBER(F112),MAX(DATE(2026,6,6),F112+7),DATE(2026,6,6))</f>
        <v/>
      </c>
      <c r="F112" s="235" t="inlineStr">
        <is>
          <t>—</t>
        </is>
      </c>
      <c r="G112" s="233" t="inlineStr">
        <is>
          <t>—</t>
        </is>
      </c>
      <c r="H112" s="233">
        <f>IFERROR(INDEX('iCoA Register'!$B:$B,MATCH("FB042601|I",'iCoA Register'!$AA:$AA,0)),"—")</f>
        <v/>
      </c>
      <c r="I112" s="235">
        <f>IFERROR(INDEX('iCoA Register'!$D:$D,MATCH("FB042601|I",'iCoA Register'!$AA:$AA,0)),"")</f>
        <v/>
      </c>
      <c r="J112" s="233" t="inlineStr">
        <is>
          <t>—</t>
        </is>
      </c>
      <c r="K112" s="233" t="inlineStr">
        <is>
          <t>initial release</t>
        </is>
      </c>
      <c r="L112" s="234" t="inlineStr">
        <is>
          <t>FB042601</t>
        </is>
      </c>
      <c r="M112" s="233" t="inlineStr">
        <is>
          <t>N/A — no P batch assigned</t>
        </is>
      </c>
      <c r="N112" s="233" t="inlineStr">
        <is>
          <t>Fat Bastard</t>
        </is>
      </c>
      <c r="O112" s="238" t="inlineStr">
        <is>
          <t>— no cannabinoid certificate from the initial testing —</t>
        </is>
      </c>
      <c r="P112" s="238" t="inlineStr">
        <is>
          <t>—</t>
        </is>
      </c>
      <c r="Q112" s="233" t="inlineStr">
        <is>
          <t>—</t>
        </is>
      </c>
      <c r="R112" s="233" t="inlineStr">
        <is>
          <t>— not in the issuance plan —</t>
        </is>
      </c>
      <c r="S112" s="233" t="inlineStr">
        <is>
          <t>FB042601|I</t>
        </is>
      </c>
      <c r="T112" s="241" t="inlineStr">
        <is>
          <t>not yet issuable — no packaging date on the list</t>
        </is>
      </c>
    </row>
    <row r="113">
      <c r="A113" s="233">
        <f>IF(C113="yes",COUNT(A$1:A112)+1,"")</f>
        <v/>
      </c>
      <c r="B113" s="234">
        <f>IF(A113&lt;&gt;"","CoQ-PP_26-"&amp;TEXT(A113,"000"),"— at issue —")</f>
        <v/>
      </c>
      <c r="C113" s="238" t="inlineStr">
        <is>
          <t>no</t>
        </is>
      </c>
      <c r="D113" s="235">
        <f>IF(A113="","",MAX(E113,IF(ISNUMBER(I113),I113,0),IFERROR(IF(ISNUMBER(INDEX('iCoA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227-26-K-26</t>
        </is>
      </c>
      <c r="H113" s="233">
        <f>IFERROR(INDEX('iCoA Register'!$B:$B,MATCH("CJ1024|R",'iCoA Register'!$AA:$AA,0)),"—")</f>
        <v/>
      </c>
      <c r="I113" s="235">
        <f>IFERROR(INDEX('iCoA Register'!$D:$D,MATCH("CJ1024|R",'iCoA Register'!$AA:$AA,0)),"")</f>
        <v/>
      </c>
      <c r="J113" s="233" t="inlineStr">
        <is>
          <t>legacy</t>
        </is>
      </c>
      <c r="K113" s="233" t="inlineStr">
        <is>
          <t>retest — Tranche 3 (sampled 19–21.08.2026)</t>
        </is>
      </c>
      <c r="L113" s="234" t="inlineStr">
        <is>
          <t>CJ1024</t>
        </is>
      </c>
      <c r="M113" s="233" t="inlineStr">
        <is>
          <t>N/A — no P batch assigned</t>
        </is>
      </c>
      <c r="N113" s="233" t="inlineStr">
        <is>
          <t>Cap Junky</t>
        </is>
      </c>
      <c r="O113" s="233" t="inlineStr">
        <is>
          <t>227-26-K-26, (11.09.2026) [FHM-K]</t>
        </is>
      </c>
      <c r="P113" s="238" t="inlineStr">
        <is>
          <t>—</t>
        </is>
      </c>
      <c r="Q113" s="233" t="inlineStr">
        <is>
          <t>—</t>
        </is>
      </c>
      <c r="R113" s="233" t="inlineStr">
        <is>
          <t>CoQ reissue (assigned on issue)</t>
        </is>
      </c>
      <c r="S113" s="233" t="inlineStr">
        <is>
          <t>CJ1024|R</t>
        </is>
      </c>
      <c r="T113" s="241" t="inlineStr">
        <is>
          <t>not yet issuable — sampled — retest assay on file, mycotoxins pending; iCoA tested 21.08.2026, issued 24.08.2026 · issued 7 days after the latest retest certificate once the assay, the mycotoxins and the iCoA exist</t>
        </is>
      </c>
    </row>
    <row r="114">
      <c r="A114" s="233">
        <f>IF(C114="yes",COUNT(A$1:A113)+1,"")</f>
        <v/>
      </c>
      <c r="B114" s="234">
        <f>IF(A114&lt;&gt;"","CoQ-PP_26-"&amp;TEXT(A114,"000"),"— at issue —")</f>
        <v/>
      </c>
      <c r="C114" s="238" t="inlineStr">
        <is>
          <t>no</t>
        </is>
      </c>
      <c r="D114" s="235">
        <f>IF(A114="","",MAX(E114,IF(ISNUMBER(I114),I114,0),IFERROR(IF(ISNUMBER(INDEX('iCoA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8" t="inlineStr">
        <is>
          <t>— retest assay not yet on file —</t>
        </is>
      </c>
      <c r="P114" s="238" t="inlineStr">
        <is>
          <t>—</t>
        </is>
      </c>
      <c r="Q114" s="233" t="inlineStr">
        <is>
          <t>—</t>
        </is>
      </c>
      <c r="R114" s="233" t="inlineStr">
        <is>
          <t>CoQ-PP-2026-0029</t>
        </is>
      </c>
      <c r="S114" s="233" t="inlineStr">
        <is>
          <t>GG1024|R</t>
        </is>
      </c>
      <c r="T114" s="241" t="inlineStr">
        <is>
          <t>not yet issuable — sampled — mycotoxins on file, retest assay pending; iCoA tested 12.08.2026, issued 17.08.2026 · issued 7 days after the latest retest certificate once the assay, the mycotoxins and the iCoA exist</t>
        </is>
      </c>
    </row>
    <row r="115">
      <c r="A115" s="233">
        <f>IF(C115="yes",COUNT(A$1:A114)+1,"")</f>
        <v/>
      </c>
      <c r="B115" s="234">
        <f>IF(A115&lt;&gt;"","CoQ-PP_26-"&amp;TEXT(A115,"000"),"— at issue —")</f>
        <v/>
      </c>
      <c r="C115" s="238" t="inlineStr">
        <is>
          <t>no</t>
        </is>
      </c>
      <c r="D115" s="235">
        <f>IF(A115="","",MAX(E115,IF(ISNUMBER(I115),I115,0),IFERROR(IF(ISNUMBER(INDEX('iCoA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227-2-K-26</t>
        </is>
      </c>
      <c r="H115" s="233">
        <f>IFERROR(INDEX('iCoA Register'!$B:$B,MATCH("P050102|R",'iCoA Register'!$AA:$AA,0)),"—")</f>
        <v/>
      </c>
      <c r="I115" s="235">
        <f>IFERROR(INDEX('iCoA Register'!$D:$D,MATCH("P050102|R",'iCoA Register'!$AA:$AA,0)),"")</f>
        <v/>
      </c>
      <c r="J115" s="233" t="inlineStr">
        <is>
          <t>legacy</t>
        </is>
      </c>
      <c r="K115" s="233" t="inlineStr">
        <is>
          <t>retest — Tranche 3 (sampled 19–21.08.2026)</t>
        </is>
      </c>
      <c r="L115" s="234" t="inlineStr">
        <is>
          <t>GP0824_01</t>
        </is>
      </c>
      <c r="M115" s="233" t="inlineStr">
        <is>
          <t>P050102</t>
        </is>
      </c>
      <c r="N115" s="233" t="inlineStr">
        <is>
          <t>Grape Pie</t>
        </is>
      </c>
      <c r="O115" s="233" t="inlineStr">
        <is>
          <t>227-2-K-26, (11.09.2026) [FHM-K]</t>
        </is>
      </c>
      <c r="P115" s="238" t="inlineStr">
        <is>
          <t>—</t>
        </is>
      </c>
      <c r="Q115" s="233" t="inlineStr">
        <is>
          <t>—</t>
        </is>
      </c>
      <c r="R115" s="233" t="inlineStr">
        <is>
          <t>CoQ reissue (assigned on issue)</t>
        </is>
      </c>
      <c r="S115" s="233" t="inlineStr">
        <is>
          <t>P050102|R</t>
        </is>
      </c>
      <c r="T115" s="241" t="inlineStr">
        <is>
          <t>not yet issuable — sampled — retest assay on file, mycotoxins pending; iCoA tested 19.08.2026, issued 24.08.2026 · issued 7 days after the latest retest certificate once the assay, the mycotoxins and the iCoA exist</t>
        </is>
      </c>
    </row>
    <row r="116">
      <c r="A116" s="233">
        <f>IF(C116="yes",COUNT(A$1:A115)+1,"")</f>
        <v/>
      </c>
      <c r="B116" s="234">
        <f>IF(A116&lt;&gt;"","CoQ-PP_26-"&amp;TEXT(A116,"000"),"— at issue —")</f>
        <v/>
      </c>
      <c r="C116" s="238" t="inlineStr">
        <is>
          <t>no</t>
        </is>
      </c>
      <c r="D116" s="235">
        <f>IF(A116="","",MAX(E116,IF(ISNUMBER(I116),I116,0),IFERROR(IF(ISNUMBER(INDEX('iCoA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227-12-K-26</t>
        </is>
      </c>
      <c r="H116" s="233">
        <f>IFERROR(INDEX('iCoA Register'!$B:$B,MATCH("P050032|R",'iCoA Register'!$AA:$AA,0)),"—")</f>
        <v/>
      </c>
      <c r="I116" s="235">
        <f>IFERROR(INDEX('iCoA Register'!$D:$D,MATCH("P050032|R",'iCoA Register'!$AA:$AA,0)),"")</f>
        <v/>
      </c>
      <c r="J116" s="233" t="inlineStr">
        <is>
          <t>legacy</t>
        </is>
      </c>
      <c r="K116" s="233" t="inlineStr">
        <is>
          <t>retest — Tranche 3 (sampled 19–21.08.2026)</t>
        </is>
      </c>
      <c r="L116" s="234" t="inlineStr">
        <is>
          <t>MB0824_04</t>
        </is>
      </c>
      <c r="M116" s="233" t="inlineStr">
        <is>
          <t>P050032</t>
        </is>
      </c>
      <c r="N116" s="233" t="inlineStr">
        <is>
          <t>Motor Breath</t>
        </is>
      </c>
      <c r="O116" s="233" t="inlineStr">
        <is>
          <t>227-12-K-26, (11.09.2026) [FHM-K]</t>
        </is>
      </c>
      <c r="P116" s="238" t="inlineStr">
        <is>
          <t>—</t>
        </is>
      </c>
      <c r="Q116" s="233" t="inlineStr">
        <is>
          <t>—</t>
        </is>
      </c>
      <c r="R116" s="233" t="inlineStr">
        <is>
          <t>CoQ reissue (assigned on issue)</t>
        </is>
      </c>
      <c r="S116" s="233" t="inlineStr">
        <is>
          <t>P050032|R</t>
        </is>
      </c>
      <c r="T116" s="241" t="inlineStr">
        <is>
          <t>not yet issuable — sampled — retest assay on file, mycotoxins pending; iCoA tested 20.08.2026, issued 24.08.2026 · issued 7 days after the latest retest certificate once the assay, the mycotoxins and the iCoA exist</t>
        </is>
      </c>
    </row>
    <row r="117">
      <c r="A117" s="233">
        <f>IF(C117="yes",COUNT(A$1:A116)+1,"")</f>
        <v/>
      </c>
      <c r="B117" s="234">
        <f>IF(A117&lt;&gt;"","CoQ-PP_26-"&amp;TEXT(A117,"000"),"— at issue —")</f>
        <v/>
      </c>
      <c r="C117" s="238" t="inlineStr">
        <is>
          <t>no</t>
        </is>
      </c>
      <c r="D117" s="235">
        <f>IF(A117="","",MAX(E117,IF(ISNUMBER(I117),I117,0),IFERROR(IF(ISNUMBER(INDEX('iCoA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227-19-K-26</t>
        </is>
      </c>
      <c r="H117" s="233">
        <f>IFERROR(INDEX('iCoA Register'!$B:$B,MATCH("P050012|R",'iCoA Register'!$AA:$AA,0)),"—")</f>
        <v/>
      </c>
      <c r="I117" s="235">
        <f>IFERROR(INDEX('iCoA Register'!$D:$D,MATCH("P050012|R",'iCoA Register'!$AA:$AA,0)),"")</f>
        <v/>
      </c>
      <c r="J117" s="233" t="inlineStr">
        <is>
          <t>legacy</t>
        </is>
      </c>
      <c r="K117" s="233" t="inlineStr">
        <is>
          <t>retest — Tranche 3 (sampled 19–21.08.2026)</t>
        </is>
      </c>
      <c r="L117" s="234" t="inlineStr">
        <is>
          <t>GG1024_02</t>
        </is>
      </c>
      <c r="M117" s="233" t="inlineStr">
        <is>
          <t>P050012</t>
        </is>
      </c>
      <c r="N117" s="233" t="inlineStr">
        <is>
          <t>Gorilla Glue</t>
        </is>
      </c>
      <c r="O117" s="233" t="inlineStr">
        <is>
          <t>227-19-K-26, (11.09.2026) [FHM-K]</t>
        </is>
      </c>
      <c r="P117" s="238" t="inlineStr">
        <is>
          <t>—</t>
        </is>
      </c>
      <c r="Q117" s="233" t="inlineStr">
        <is>
          <t>—</t>
        </is>
      </c>
      <c r="R117" s="233" t="inlineStr">
        <is>
          <t>CoQ reissue (assigned on issue)</t>
        </is>
      </c>
      <c r="S117" s="233" t="inlineStr">
        <is>
          <t>P050012|R</t>
        </is>
      </c>
      <c r="T117" s="241" t="inlineStr">
        <is>
          <t>not yet issuable — sampled — retest assay on file, mycotoxins pending; iCoA tested 20.08.2026, issued 24.08.2026 · issued 7 days after the latest retest certificate once the assay, the mycotoxins and the iCoA exist</t>
        </is>
      </c>
    </row>
    <row r="118">
      <c r="A118" s="233">
        <f>IF(C118="yes",COUNT(A$1:A117)+1,"")</f>
        <v/>
      </c>
      <c r="B118" s="234">
        <f>IF(A118&lt;&gt;"","CoQ-PP_26-"&amp;TEXT(A118,"000"),"— at issue —")</f>
        <v/>
      </c>
      <c r="C118" s="238" t="inlineStr">
        <is>
          <t>no</t>
        </is>
      </c>
      <c r="D118" s="235">
        <f>IF(A118="","",MAX(E118,IF(ISNUMBER(I118),I118,0),IFERROR(IF(ISNUMBER(INDEX('iCoA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220-21-M-26</t>
        </is>
      </c>
      <c r="H118" s="233">
        <f>IFERROR(INDEX('iCoA Register'!$B:$B,MATCH("P050042|R",'iCoA Register'!$AA:$AA,0)),"—")</f>
        <v/>
      </c>
      <c r="I118" s="235">
        <f>IFERROR(INDEX('iCoA Register'!$D:$D,MATCH("P050042|R",'iCoA Register'!$AA:$AA,0)),"")</f>
        <v/>
      </c>
      <c r="J118" s="233" t="inlineStr">
        <is>
          <t>legacy</t>
        </is>
      </c>
      <c r="K118" s="233" t="inlineStr">
        <is>
          <t>retest — Tranche 2 (sampled 12–14.08.2026)</t>
        </is>
      </c>
      <c r="L118" s="234" t="inlineStr">
        <is>
          <t>OMP1024_01</t>
        </is>
      </c>
      <c r="M118" s="233" t="inlineStr">
        <is>
          <t>P050042</t>
        </is>
      </c>
      <c r="N118" s="233" t="inlineStr">
        <is>
          <t>Orange Punch Mimosa</t>
        </is>
      </c>
      <c r="O118" s="238" t="inlineStr">
        <is>
          <t>— retest assay not yet on file —</t>
        </is>
      </c>
      <c r="P118" s="238" t="inlineStr">
        <is>
          <t>—</t>
        </is>
      </c>
      <c r="Q118" s="233" t="inlineStr">
        <is>
          <t>—</t>
        </is>
      </c>
      <c r="R118" s="233" t="inlineStr">
        <is>
          <t>CoQ-PP-2026-0033</t>
        </is>
      </c>
      <c r="S118" s="233" t="inlineStr">
        <is>
          <t>P050042|R</t>
        </is>
      </c>
      <c r="T118" s="241" t="inlineStr">
        <is>
          <t>not yet issuable — sampled — mycotoxins on file, retest assay pending; iCoA tested 13.08.2026, issued 17.08.2026 · issued 7 days after the latest retest certificate once the assay, the mycotoxins and the iCoA exist</t>
        </is>
      </c>
    </row>
    <row r="119">
      <c r="A119" s="233">
        <f>IF(C119="yes",COUNT(A$1:A118)+1,"")</f>
        <v/>
      </c>
      <c r="B119" s="234">
        <f>IF(A119&lt;&gt;"","CoQ-PP_26-"&amp;TEXT(A119,"000"),"— at issue —")</f>
        <v/>
      </c>
      <c r="C119" s="238" t="inlineStr">
        <is>
          <t>no</t>
        </is>
      </c>
      <c r="D119" s="235">
        <f>IF(A119="","",MAX(E119,IF(ISNUMBER(I119),I119,0),IFERROR(IF(ISNUMBER(INDEX('iCoA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220-11-M-26</t>
        </is>
      </c>
      <c r="H119" s="233">
        <f>IFERROR(INDEX('iCoA Register'!$B:$B,MATCH("P050072|R4",'iCoA Register'!$AA:$AA,0)),"—")</f>
        <v/>
      </c>
      <c r="I119" s="235">
        <f>IFERROR(INDEX('iCoA Register'!$D:$D,MATCH("P050072|R4",'iCoA Register'!$AA:$AA,0)),"")</f>
        <v/>
      </c>
      <c r="J119" s="233" t="inlineStr">
        <is>
          <t>legacy</t>
        </is>
      </c>
      <c r="K119" s="233" t="inlineStr">
        <is>
          <t>retest — Tranche 2 (sampled 12–14.08.2026)</t>
        </is>
      </c>
      <c r="L119" s="234" t="inlineStr">
        <is>
          <t>GP0824_03</t>
        </is>
      </c>
      <c r="M119" s="233" t="inlineStr">
        <is>
          <t>P050072</t>
        </is>
      </c>
      <c r="N119" s="233" t="inlineStr">
        <is>
          <t>Grape Pie</t>
        </is>
      </c>
      <c r="O119" s="238" t="inlineStr">
        <is>
          <t>— retest assay not yet on file —</t>
        </is>
      </c>
      <c r="P119" s="238" t="inlineStr">
        <is>
          <t>—</t>
        </is>
      </c>
      <c r="Q119" s="233" t="inlineStr">
        <is>
          <t>—</t>
        </is>
      </c>
      <c r="R119" s="233" t="inlineStr">
        <is>
          <t>CoQ-PP-2026-0036</t>
        </is>
      </c>
      <c r="S119" s="233" t="inlineStr">
        <is>
          <t>P050072|R4</t>
        </is>
      </c>
      <c r="T119" s="241" t="inlineStr">
        <is>
          <t>not yet issuable — sampled — mycotoxins on file, retest assay pending; iCoA tested 12.08.2026, issued 17.08.2026 · issued 7 days after the latest retest certificate once the assay, the mycotoxins and the iCoA exist</t>
        </is>
      </c>
    </row>
    <row r="120">
      <c r="A120" s="233">
        <f>IF(C120="yes",COUNT(A$1:A119)+1,"")</f>
        <v/>
      </c>
      <c r="B120" s="234">
        <f>IF(A120&lt;&gt;"","CoQ-PP_26-"&amp;TEXT(A120,"000"),"— at issue —")</f>
        <v/>
      </c>
      <c r="C120" s="238" t="inlineStr">
        <is>
          <t>no</t>
        </is>
      </c>
      <c r="D120" s="235">
        <f>IF(A120="","",MAX(E120,IF(ISNUMBER(I120),I120,0),IFERROR(IF(ISNUMBER(INDEX('iCoA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220-23-M-26</t>
        </is>
      </c>
      <c r="H120" s="233">
        <f>IFERROR(INDEX('iCoA Register'!$B:$B,MATCH("P050082|R",'iCoA Register'!$AA:$AA,0)),"—")</f>
        <v/>
      </c>
      <c r="I120" s="235">
        <f>IFERROR(INDEX('iCoA Register'!$D:$D,MATCH("P050082|R",'iCoA Register'!$AA:$AA,0)),"")</f>
        <v/>
      </c>
      <c r="J120" s="233" t="inlineStr">
        <is>
          <t>legacy</t>
        </is>
      </c>
      <c r="K120" s="233" t="inlineStr">
        <is>
          <t>retest — Tranche 2 (sampled 12–14.08.2026)</t>
        </is>
      </c>
      <c r="L120" s="234" t="inlineStr">
        <is>
          <t>OPM1024_03</t>
        </is>
      </c>
      <c r="M120" s="233" t="inlineStr">
        <is>
          <t>P050082</t>
        </is>
      </c>
      <c r="N120" s="233" t="inlineStr">
        <is>
          <t>Orange Punch Mimosa</t>
        </is>
      </c>
      <c r="O120" s="238" t="inlineStr">
        <is>
          <t>— retest assay not yet on file —</t>
        </is>
      </c>
      <c r="P120" s="238" t="inlineStr">
        <is>
          <t>—</t>
        </is>
      </c>
      <c r="Q120" s="233" t="inlineStr">
        <is>
          <t>—</t>
        </is>
      </c>
      <c r="R120" s="233" t="inlineStr">
        <is>
          <t>CoQ-PP-2026-0037</t>
        </is>
      </c>
      <c r="S120" s="233" t="inlineStr">
        <is>
          <t>P050082|R</t>
        </is>
      </c>
      <c r="T120" s="241" t="inlineStr">
        <is>
          <t>not yet issuable — sampled — mycotoxins on file, retest assay pending; iCoA tested 14.08.2026, issued 17.08.2026 · issued 7 days after the latest retest certificate once the assay, the mycotoxins and the iCoA exist</t>
        </is>
      </c>
    </row>
    <row r="121">
      <c r="A121" s="233">
        <f>IF(C121="yes",COUNT(A$1:A120)+1,"")</f>
        <v/>
      </c>
      <c r="B121" s="234">
        <f>IF(A121&lt;&gt;"","CoQ-PP_26-"&amp;TEXT(A121,"000"),"— at issue —")</f>
        <v/>
      </c>
      <c r="C121" s="238" t="inlineStr">
        <is>
          <t>no</t>
        </is>
      </c>
      <c r="D121" s="235">
        <f>IF(A121="","",MAX(E121,IF(ISNUMBER(I121),I121,0),IFERROR(IF(ISNUMBER(INDEX('iCoA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220-20-M-26</t>
        </is>
      </c>
      <c r="H121" s="233">
        <f>IFERROR(INDEX('iCoA Register'!$B:$B,MATCH("P050112|R",'iCoA Register'!$AA:$AA,0)),"—")</f>
        <v/>
      </c>
      <c r="I121" s="235">
        <f>IFERROR(INDEX('iCoA Register'!$D:$D,MATCH("P050112|R",'iCoA Register'!$AA:$AA,0)),"")</f>
        <v/>
      </c>
      <c r="J121" s="233" t="inlineStr">
        <is>
          <t>legacy</t>
        </is>
      </c>
      <c r="K121" s="233" t="inlineStr">
        <is>
          <t>retest — Tranche 2 (sampled 12–14.08.2026)</t>
        </is>
      </c>
      <c r="L121" s="234" t="inlineStr">
        <is>
          <t>MB0824_05</t>
        </is>
      </c>
      <c r="M121" s="233" t="inlineStr">
        <is>
          <t>P050112</t>
        </is>
      </c>
      <c r="N121" s="233" t="inlineStr">
        <is>
          <t>Motor Breath</t>
        </is>
      </c>
      <c r="O121" s="238" t="inlineStr">
        <is>
          <t>— retest assay not yet on file —</t>
        </is>
      </c>
      <c r="P121" s="238" t="inlineStr">
        <is>
          <t>—</t>
        </is>
      </c>
      <c r="Q121" s="233" t="inlineStr">
        <is>
          <t>—</t>
        </is>
      </c>
      <c r="R121" s="233" t="inlineStr">
        <is>
          <t>CoQ-PP-2026-0039</t>
        </is>
      </c>
      <c r="S121" s="233" t="inlineStr">
        <is>
          <t>P050112|R</t>
        </is>
      </c>
      <c r="T121" s="241" t="inlineStr">
        <is>
          <t>not yet issuable — sampled — mycotoxins on file, retest assay pending; iCoA tested 13.08.2026, issued 17.08.2026 · issued 7 days after the latest retest certificate once the assay, the mycotoxins and the iCoA exist</t>
        </is>
      </c>
    </row>
    <row r="122">
      <c r="A122" s="233">
        <f>IF(C122="yes",COUNT(A$1:A121)+1,"")</f>
        <v/>
      </c>
      <c r="B122" s="234">
        <f>IF(A122&lt;&gt;"","CoQ-PP_26-"&amp;TEXT(A122,"000"),"— at issue —")</f>
        <v/>
      </c>
      <c r="C122" s="238" t="inlineStr">
        <is>
          <t>no</t>
        </is>
      </c>
      <c r="D122" s="235">
        <f>IF(A122="","",MAX(E122,IF(ISNUMBER(I122),I122,0),IFERROR(IF(ISNUMBER(INDEX('iCoA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227-11-K-26</t>
        </is>
      </c>
      <c r="H122" s="233">
        <f>IFERROR(INDEX('iCoA Register'!$B:$B,MATCH("P050132|R",'iCoA Register'!$AA:$AA,0)),"—")</f>
        <v/>
      </c>
      <c r="I122" s="235">
        <f>IFERROR(INDEX('iCoA Register'!$D:$D,MATCH("P050132|R",'iCoA Register'!$AA:$AA,0)),"")</f>
        <v/>
      </c>
      <c r="J122" s="233" t="inlineStr">
        <is>
          <t>legacy</t>
        </is>
      </c>
      <c r="K122" s="233" t="inlineStr">
        <is>
          <t>retest — Tranche 3 (sampled 19–21.08.2026)</t>
        </is>
      </c>
      <c r="L122" s="234" t="inlineStr">
        <is>
          <t>OPM052501</t>
        </is>
      </c>
      <c r="M122" s="233" t="inlineStr">
        <is>
          <t>P050132</t>
        </is>
      </c>
      <c r="N122" s="233" t="inlineStr">
        <is>
          <t>Orange Punch Mimosa</t>
        </is>
      </c>
      <c r="O122" s="233" t="inlineStr">
        <is>
          <t>227-11-K-26, (11.09.2026) [FHM-K]</t>
        </is>
      </c>
      <c r="P122" s="238" t="inlineStr">
        <is>
          <t>—</t>
        </is>
      </c>
      <c r="Q122" s="233" t="inlineStr">
        <is>
          <t>—</t>
        </is>
      </c>
      <c r="R122" s="233" t="inlineStr">
        <is>
          <t>CoQ reissue (assigned on issue)</t>
        </is>
      </c>
      <c r="S122" s="233" t="inlineStr">
        <is>
          <t>P050132|R</t>
        </is>
      </c>
      <c r="T122" s="241" t="inlineStr">
        <is>
          <t>not yet issuable — sampled — retest assay on file, mycotoxins pending; iCoA tested 20.08.2026, issued 24.08.2026 · issued 7 days after the latest retest certificate once the assay, the mycotoxins and the iCoA exist</t>
        </is>
      </c>
    </row>
    <row r="123">
      <c r="A123" s="233">
        <f>IF(C123="yes",COUNT(A$1:A122)+1,"")</f>
        <v/>
      </c>
      <c r="B123" s="234">
        <f>IF(A123&lt;&gt;"","CoQ-PP_26-"&amp;TEXT(A123,"000"),"— at issue —")</f>
        <v/>
      </c>
      <c r="C123" s="238" t="inlineStr">
        <is>
          <t>no</t>
        </is>
      </c>
      <c r="D123" s="235">
        <f>IF(A123="","",MAX(E123,IF(ISNUMBER(I123),I123,0),IFERROR(IF(ISNUMBER(INDEX('iCoA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227-28-K-26</t>
        </is>
      </c>
      <c r="H123" s="233">
        <f>IFERROR(INDEX('iCoA Register'!$B:$B,MATCH("P050172|R",'iCoA Register'!$AA:$AA,0)),"—")</f>
        <v/>
      </c>
      <c r="I123" s="235">
        <f>IFERROR(INDEX('iCoA Register'!$D:$D,MATCH("P050172|R",'iCoA Register'!$AA:$AA,0)),"")</f>
        <v/>
      </c>
      <c r="J123" s="233" t="inlineStr">
        <is>
          <t>legacy</t>
        </is>
      </c>
      <c r="K123" s="233" t="inlineStr">
        <is>
          <t>retest — Tranche 3 (sampled 19–21.08.2026)</t>
        </is>
      </c>
      <c r="L123" s="234" t="inlineStr">
        <is>
          <t>CJ052501/02</t>
        </is>
      </c>
      <c r="M123" s="233" t="inlineStr">
        <is>
          <t>P050172</t>
        </is>
      </c>
      <c r="N123" s="233" t="inlineStr">
        <is>
          <t>Cap Junky</t>
        </is>
      </c>
      <c r="O123" s="233" t="inlineStr">
        <is>
          <t>227-28-K-26, (11.09.2026) [FHM-K]</t>
        </is>
      </c>
      <c r="P123" s="238" t="inlineStr">
        <is>
          <t>—</t>
        </is>
      </c>
      <c r="Q123" s="233" t="inlineStr">
        <is>
          <t>—</t>
        </is>
      </c>
      <c r="R123" s="233" t="inlineStr">
        <is>
          <t>CoQ reissue (assigned on issue)</t>
        </is>
      </c>
      <c r="S123" s="233" t="inlineStr">
        <is>
          <t>P050172|R</t>
        </is>
      </c>
      <c r="T123" s="241" t="inlineStr">
        <is>
          <t>not yet issuable — sampled — retest assay on file, mycotoxins pending; iCoA tested 21.08.2026, issued 24.08.2026 · issued 7 days after the latest retest certificate once the assay, the mycotoxins and the iCoA exist</t>
        </is>
      </c>
    </row>
    <row r="124">
      <c r="A124" s="233">
        <f>IF(C124="yes",COUNT(A$1:A123)+1,"")</f>
        <v/>
      </c>
      <c r="B124" s="234">
        <f>IF(A124&lt;&gt;"","CoQ-PP_26-"&amp;TEXT(A124,"000"),"— at issue —")</f>
        <v/>
      </c>
      <c r="C124" s="238" t="inlineStr">
        <is>
          <t>no</t>
        </is>
      </c>
      <c r="D124" s="235">
        <f>IF(A124="","",MAX(E124,IF(ISNUMBER(I124),I124,0),IFERROR(IF(ISNUMBER(INDEX('iCoA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220-15-M-26</t>
        </is>
      </c>
      <c r="H124" s="233">
        <f>IFERROR(INDEX('iCoA Register'!$B:$B,MATCH("P050182|R",'iCoA Register'!$AA:$AA,0)),"—")</f>
        <v/>
      </c>
      <c r="I124" s="235">
        <f>IFERROR(INDEX('iCoA Register'!$D:$D,MATCH("P050182|R",'iCoA Register'!$AA:$AA,0)),"")</f>
        <v/>
      </c>
      <c r="J124" s="233" t="inlineStr">
        <is>
          <t>legacy</t>
        </is>
      </c>
      <c r="K124" s="233" t="inlineStr">
        <is>
          <t>retest — Tranche 2 (sampled 12–14.08.2026)</t>
        </is>
      </c>
      <c r="L124" s="234" t="inlineStr">
        <is>
          <t>HPA052501</t>
        </is>
      </c>
      <c r="M124" s="233" t="inlineStr">
        <is>
          <t>P050182</t>
        </is>
      </c>
      <c r="N124" s="233" t="inlineStr">
        <is>
          <t>High Pro Amnesia</t>
        </is>
      </c>
      <c r="O124" s="238" t="inlineStr">
        <is>
          <t>— retest assay not yet on file —</t>
        </is>
      </c>
      <c r="P124" s="238" t="inlineStr">
        <is>
          <t>—</t>
        </is>
      </c>
      <c r="Q124" s="233" t="inlineStr">
        <is>
          <t>—</t>
        </is>
      </c>
      <c r="R124" s="233" t="inlineStr">
        <is>
          <t>CoQ reissue (assigned on issue)</t>
        </is>
      </c>
      <c r="S124" s="233" t="inlineStr">
        <is>
          <t>P050182|R</t>
        </is>
      </c>
      <c r="T124" s="241" t="inlineStr">
        <is>
          <t>not yet issuable — sampled — mycotoxins on file, retest assay pending; iCoA tested 13.08.2026, issued 17.08.2026 · issued 7 days after the latest retest certificate once the assay, the mycotoxins and the iCoA exist</t>
        </is>
      </c>
    </row>
    <row r="125">
      <c r="A125" s="233">
        <f>IF(C125="yes",COUNT(A$1:A124)+1,"")</f>
        <v/>
      </c>
      <c r="B125" s="234">
        <f>IF(A125&lt;&gt;"","CoQ-PP_26-"&amp;TEXT(A125,"000"),"— at issue —")</f>
        <v/>
      </c>
      <c r="C125" s="238" t="inlineStr">
        <is>
          <t>no</t>
        </is>
      </c>
      <c r="D125" s="235">
        <f>IF(A125="","",MAX(E125,IF(ISNUMBER(I125),I125,0),IFERROR(IF(ISNUMBER(INDEX('iCoA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220-2-M-26</t>
        </is>
      </c>
      <c r="H125" s="233">
        <f>IFERROR(INDEX('iCoA Register'!$B:$B,MATCH("P050192|R",'iCoA Register'!$AA:$AA,0)),"—")</f>
        <v/>
      </c>
      <c r="I125" s="235">
        <f>IFERROR(INDEX('iCoA Register'!$D:$D,MATCH("P050192|R",'iCoA Register'!$AA:$AA,0)),"")</f>
        <v/>
      </c>
      <c r="J125" s="233" t="inlineStr">
        <is>
          <t>legacy</t>
        </is>
      </c>
      <c r="K125" s="233" t="inlineStr">
        <is>
          <t>retest — Tranche 2 (sampled 12–14.08.2026)</t>
        </is>
      </c>
      <c r="L125" s="234" t="inlineStr">
        <is>
          <t>BSS052501</t>
        </is>
      </c>
      <c r="M125" s="233" t="inlineStr">
        <is>
          <t>P050192</t>
        </is>
      </c>
      <c r="N125" s="233" t="inlineStr">
        <is>
          <t>Sleepy Joe</t>
        </is>
      </c>
      <c r="O125" s="238" t="inlineStr">
        <is>
          <t>— retest assay not yet on file —</t>
        </is>
      </c>
      <c r="P125" s="238" t="inlineStr">
        <is>
          <t>—</t>
        </is>
      </c>
      <c r="Q125" s="233" t="inlineStr">
        <is>
          <t>—</t>
        </is>
      </c>
      <c r="R125" s="233" t="inlineStr">
        <is>
          <t>CoQ reissue (assigned on issue)</t>
        </is>
      </c>
      <c r="S125" s="233" t="inlineStr">
        <is>
          <t>P050192|R</t>
        </is>
      </c>
      <c r="T125" s="241" t="inlineStr">
        <is>
          <t>not yet issuable — sampled — mycotoxins on file, retest assay pending; iCoA tested 12.08.2026, issued 17.08.2026 · issued 7 days after the latest retest certificate once the assay, the mycotoxins and the iCoA exist</t>
        </is>
      </c>
    </row>
    <row r="126">
      <c r="A126" s="233">
        <f>IF(C126="yes",COUNT(A$1:A125)+1,"")</f>
        <v/>
      </c>
      <c r="B126" s="234">
        <f>IF(A126&lt;&gt;"","CoQ-PP_26-"&amp;TEXT(A126,"000"),"— at issue —")</f>
        <v/>
      </c>
      <c r="C126" s="238" t="inlineStr">
        <is>
          <t>no</t>
        </is>
      </c>
      <c r="D126" s="235">
        <f>IF(A126="","",MAX(E126,IF(ISNUMBER(I126),I126,0),IFERROR(IF(ISNUMBER(INDEX('iCoA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220-3-M-26</t>
        </is>
      </c>
      <c r="H126" s="233">
        <f>IFERROR(INDEX('iCoA Register'!$B:$B,MATCH("P050222|R",'iCoA Register'!$AA:$AA,0)),"—")</f>
        <v/>
      </c>
      <c r="I126" s="235">
        <f>IFERROR(INDEX('iCoA Register'!$D:$D,MATCH("P050222|R",'iCoA Register'!$AA:$AA,0)),"")</f>
        <v/>
      </c>
      <c r="J126" s="233" t="inlineStr">
        <is>
          <t>legacy</t>
        </is>
      </c>
      <c r="K126" s="233" t="inlineStr">
        <is>
          <t>retest — Tranche 2 (sampled 12–14.08.2026)</t>
        </is>
      </c>
      <c r="L126" s="234" t="inlineStr">
        <is>
          <t>CJ062501/1</t>
        </is>
      </c>
      <c r="M126" s="233" t="inlineStr">
        <is>
          <t>P050222</t>
        </is>
      </c>
      <c r="N126" s="233" t="inlineStr">
        <is>
          <t>Cap Junky</t>
        </is>
      </c>
      <c r="O126" s="238" t="inlineStr">
        <is>
          <t>— retest assay not yet on file —</t>
        </is>
      </c>
      <c r="P126" s="238" t="inlineStr">
        <is>
          <t>—</t>
        </is>
      </c>
      <c r="Q126" s="233" t="inlineStr">
        <is>
          <t>—</t>
        </is>
      </c>
      <c r="R126" s="233" t="inlineStr">
        <is>
          <t>CoQ reissue (assigned on issue)</t>
        </is>
      </c>
      <c r="S126" s="233" t="inlineStr">
        <is>
          <t>P050222|R</t>
        </is>
      </c>
      <c r="T126" s="241" t="inlineStr">
        <is>
          <t>not yet issuable — sampled — mycotoxins on file, retest assay pending; iCoA tested 12.08.2026, issued 17.08.2026 · issued 7 days after the latest retest certificate once the assay, the mycotoxins and the iCoA exist</t>
        </is>
      </c>
    </row>
    <row r="127">
      <c r="A127" s="233">
        <f>IF(C127="yes",COUNT(A$1:A126)+1,"")</f>
        <v/>
      </c>
      <c r="B127" s="234">
        <f>IF(A127&lt;&gt;"","CoQ-PP_26-"&amp;TEXT(A127,"000"),"— at issue —")</f>
        <v/>
      </c>
      <c r="C127" s="238" t="inlineStr">
        <is>
          <t>no</t>
        </is>
      </c>
      <c r="D127" s="235">
        <f>IF(A127="","",MAX(E127,IF(ISNUMBER(I127),I127,0),IFERROR(IF(ISNUMBER(INDEX('iCoA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227-27-K-26</t>
        </is>
      </c>
      <c r="H127" s="233">
        <f>IFERROR(INDEX('iCoA Register'!$B:$B,MATCH("P050252|R",'iCoA Register'!$AA:$AA,0)),"—")</f>
        <v/>
      </c>
      <c r="I127" s="235">
        <f>IFERROR(INDEX('iCoA Register'!$D:$D,MATCH("P050252|R",'iCoA Register'!$AA:$AA,0)),"")</f>
        <v/>
      </c>
      <c r="J127" s="233" t="inlineStr">
        <is>
          <t>legacy</t>
        </is>
      </c>
      <c r="K127" s="233" t="inlineStr">
        <is>
          <t>retest — Tranche 3 (sampled 19–21.08.2026)</t>
        </is>
      </c>
      <c r="L127" s="234" t="inlineStr">
        <is>
          <t>CJ072501</t>
        </is>
      </c>
      <c r="M127" s="233" t="inlineStr">
        <is>
          <t>P050252</t>
        </is>
      </c>
      <c r="N127" s="233" t="inlineStr">
        <is>
          <t>Cap Junky</t>
        </is>
      </c>
      <c r="O127" s="233" t="inlineStr">
        <is>
          <t>227-27-K-26, (11.09.2026) [FHM-K]</t>
        </is>
      </c>
      <c r="P127" s="238" t="inlineStr">
        <is>
          <t>—</t>
        </is>
      </c>
      <c r="Q127" s="233" t="inlineStr">
        <is>
          <t>—</t>
        </is>
      </c>
      <c r="R127" s="233" t="inlineStr">
        <is>
          <t>CoQ reissue (assigned on issue)</t>
        </is>
      </c>
      <c r="S127" s="233" t="inlineStr">
        <is>
          <t>P050252|R</t>
        </is>
      </c>
      <c r="T127" s="241" t="inlineStr">
        <is>
          <t>not yet issuable — sampled — retest assay on file, mycotoxins pending; iCoA tested 21.08.2026, issued 24.08.2026 · issued 7 days after the latest retest certificate once the assay, the mycotoxins and the iCoA exist</t>
        </is>
      </c>
    </row>
    <row r="128">
      <c r="A128" s="233">
        <f>IF(C128="yes",COUNT(A$1:A127)+1,"")</f>
        <v/>
      </c>
      <c r="B128" s="234">
        <f>IF(A128&lt;&gt;"","CoQ-PP_26-"&amp;TEXT(A128,"000"),"— at issue —")</f>
        <v/>
      </c>
      <c r="C128" s="238" t="inlineStr">
        <is>
          <t>no</t>
        </is>
      </c>
      <c r="D128" s="235">
        <f>IF(A128="","",MAX(E128,IF(ISNUMBER(I128),I128,0),IFERROR(IF(ISNUMBER(INDEX('iCoA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227-3-K-26</t>
        </is>
      </c>
      <c r="H128" s="233">
        <f>IFERROR(INDEX('iCoA Register'!$B:$B,MATCH("P050262|R",'iCoA Register'!$AA:$AA,0)),"—")</f>
        <v/>
      </c>
      <c r="I128" s="235">
        <f>IFERROR(INDEX('iCoA Register'!$D:$D,MATCH("P050262|R",'iCoA Register'!$AA:$AA,0)),"")</f>
        <v/>
      </c>
      <c r="J128" s="233" t="inlineStr">
        <is>
          <t>legacy</t>
        </is>
      </c>
      <c r="K128" s="233" t="inlineStr">
        <is>
          <t>retest — Tranche 3 (sampled 19–21.08.2026)</t>
        </is>
      </c>
      <c r="L128" s="234" t="inlineStr">
        <is>
          <t>WC072501</t>
        </is>
      </c>
      <c r="M128" s="233" t="inlineStr">
        <is>
          <t>P050262</t>
        </is>
      </c>
      <c r="N128" s="233" t="inlineStr">
        <is>
          <t>Wedding Crusher</t>
        </is>
      </c>
      <c r="O128" s="233" t="inlineStr">
        <is>
          <t>227-3-K-26, (11.09.2026) [FHM-K]</t>
        </is>
      </c>
      <c r="P128" s="238" t="inlineStr">
        <is>
          <t>—</t>
        </is>
      </c>
      <c r="Q128" s="233" t="inlineStr">
        <is>
          <t>—</t>
        </is>
      </c>
      <c r="R128" s="233" t="inlineStr">
        <is>
          <t>CoQ reissue (assigned on issue)</t>
        </is>
      </c>
      <c r="S128" s="233" t="inlineStr">
        <is>
          <t>P050262|R</t>
        </is>
      </c>
      <c r="T128" s="241" t="inlineStr">
        <is>
          <t>not yet issuable — sampled — retest assay on file, mycotoxins pending; iCoA tested 19.08.2026, issued 24.08.2026 · issued 7 days after the latest retest certificate once the assay, the mycotoxins and the iCoA exist</t>
        </is>
      </c>
    </row>
    <row r="129">
      <c r="A129" s="233">
        <f>IF(C129="yes",COUNT(A$1:A128)+1,"")</f>
        <v/>
      </c>
      <c r="B129" s="234">
        <f>IF(A129&lt;&gt;"","CoQ-PP_26-"&amp;TEXT(A129,"000"),"— at issue —")</f>
        <v/>
      </c>
      <c r="C129" s="238" t="inlineStr">
        <is>
          <t>no</t>
        </is>
      </c>
      <c r="D129" s="235">
        <f>IF(A129="","",MAX(E129,IF(ISNUMBER(I129),I129,0),IFERROR(IF(ISNUMBER(INDEX('iCoA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220-7-M-26</t>
        </is>
      </c>
      <c r="H129" s="233">
        <f>IFERROR(INDEX('iCoA Register'!$B:$B,MATCH("P050282|R",'iCoA Register'!$AA:$AA,0)),"—")</f>
        <v/>
      </c>
      <c r="I129" s="235">
        <f>IFERROR(INDEX('iCoA Register'!$D:$D,MATCH("P050282|R",'iCoA Register'!$AA:$AA,0)),"")</f>
        <v/>
      </c>
      <c r="J129" s="233" t="inlineStr">
        <is>
          <t>legacy</t>
        </is>
      </c>
      <c r="K129" s="233" t="inlineStr">
        <is>
          <t>retest — Tranche 2 (sampled 12–14.08.2026)</t>
        </is>
      </c>
      <c r="L129" s="234" t="inlineStr">
        <is>
          <t>CLE072501</t>
        </is>
      </c>
      <c r="M129" s="233" t="inlineStr">
        <is>
          <t>P050282</t>
        </is>
      </c>
      <c r="N129" s="233" t="inlineStr">
        <is>
          <t>Clemosa a Bud</t>
        </is>
      </c>
      <c r="O129" s="238" t="inlineStr">
        <is>
          <t>— retest assay not yet on file —</t>
        </is>
      </c>
      <c r="P129" s="238" t="inlineStr">
        <is>
          <t>—</t>
        </is>
      </c>
      <c r="Q129" s="233" t="inlineStr">
        <is>
          <t>—</t>
        </is>
      </c>
      <c r="R129" s="233" t="inlineStr">
        <is>
          <t>CoQ reissue (assigned on issue)</t>
        </is>
      </c>
      <c r="S129" s="233" t="inlineStr">
        <is>
          <t>P050282|R</t>
        </is>
      </c>
      <c r="T129" s="241" t="inlineStr">
        <is>
          <t>not yet issuable — sampled — mycotoxins on file, retest assay pending; iCoA tested 12.08.2026, issued 17.08.2026 · issued 7 days after the latest retest certificate once the assay, the mycotoxins and the iCoA exist</t>
        </is>
      </c>
    </row>
    <row r="130">
      <c r="A130" s="233">
        <f>IF(C130="yes",COUNT(A$1:A129)+1,"")</f>
        <v/>
      </c>
      <c r="B130" s="234">
        <f>IF(A130&lt;&gt;"","CoQ-PP_26-"&amp;TEXT(A130,"000"),"— at issue —")</f>
        <v/>
      </c>
      <c r="C130" s="238" t="inlineStr">
        <is>
          <t>no</t>
        </is>
      </c>
      <c r="D130" s="235">
        <f>IF(A130="","",MAX(E130,IF(ISNUMBER(I130),I130,0),IFERROR(IF(ISNUMBER(INDEX('iCoA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220-10-M-26</t>
        </is>
      </c>
      <c r="H130" s="233">
        <f>IFERROR(INDEX('iCoA Register'!$B:$B,MATCH("P050302|R",'iCoA Register'!$AA:$AA,0)),"—")</f>
        <v/>
      </c>
      <c r="I130" s="235">
        <f>IFERROR(INDEX('iCoA Register'!$D:$D,MATCH("P050302|R",'iCoA Register'!$AA:$AA,0)),"")</f>
        <v/>
      </c>
      <c r="J130" s="233" t="inlineStr">
        <is>
          <t>legacy</t>
        </is>
      </c>
      <c r="K130" s="233" t="inlineStr">
        <is>
          <t>retest — Tranche 2 (sampled 12–14.08.2026)</t>
        </is>
      </c>
      <c r="L130" s="234" t="inlineStr">
        <is>
          <t>GP072501/2</t>
        </is>
      </c>
      <c r="M130" s="233" t="inlineStr">
        <is>
          <t>P050302</t>
        </is>
      </c>
      <c r="N130" s="233" t="inlineStr">
        <is>
          <t>Grape Pie</t>
        </is>
      </c>
      <c r="O130" s="238" t="inlineStr">
        <is>
          <t>— retest assay not yet on file —</t>
        </is>
      </c>
      <c r="P130" s="238" t="inlineStr">
        <is>
          <t>—</t>
        </is>
      </c>
      <c r="Q130" s="233" t="inlineStr">
        <is>
          <t>—</t>
        </is>
      </c>
      <c r="R130" s="233" t="inlineStr">
        <is>
          <t>CoQ reissue (assigned on issue)</t>
        </is>
      </c>
      <c r="S130" s="233" t="inlineStr">
        <is>
          <t>P050302|R</t>
        </is>
      </c>
      <c r="T130" s="241" t="inlineStr">
        <is>
          <t>not yet issuable — sampled — mycotoxins on file, retest assay pending; iCoA tested 12.08.2026, issued 17.08.2026 · issued 7 days after the latest retest certificate once the assay, the mycotoxins and the iCoA exist</t>
        </is>
      </c>
    </row>
    <row r="131">
      <c r="A131" s="233">
        <f>IF(C131="yes",COUNT(A$1:A130)+1,"")</f>
        <v/>
      </c>
      <c r="B131" s="234">
        <f>IF(A131&lt;&gt;"","CoQ-PP_26-"&amp;TEXT(A131,"000"),"— at issue —")</f>
        <v/>
      </c>
      <c r="C131" s="238" t="inlineStr">
        <is>
          <t>no</t>
        </is>
      </c>
      <c r="D131" s="235">
        <f>IF(A131="","",MAX(E131,IF(ISNUMBER(I131),I131,0),IFERROR(IF(ISNUMBER(INDEX('iCoA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220-12-M-26</t>
        </is>
      </c>
      <c r="H131" s="233">
        <f>IFERROR(INDEX('iCoA Register'!$B:$B,MATCH("P050312|R",'iCoA Register'!$AA:$AA,0)),"—")</f>
        <v/>
      </c>
      <c r="I131" s="235">
        <f>IFERROR(INDEX('iCoA Register'!$D:$D,MATCH("P050312|R",'iCoA Register'!$AA:$AA,0)),"")</f>
        <v/>
      </c>
      <c r="J131" s="233" t="inlineStr">
        <is>
          <t>legacy</t>
        </is>
      </c>
      <c r="K131" s="233" t="inlineStr">
        <is>
          <t>retest — Tranche 2 (sampled 12–14.08.2026)</t>
        </is>
      </c>
      <c r="L131" s="234" t="inlineStr">
        <is>
          <t>GP082501/1</t>
        </is>
      </c>
      <c r="M131" s="233" t="inlineStr">
        <is>
          <t>P050312</t>
        </is>
      </c>
      <c r="N131" s="233" t="inlineStr">
        <is>
          <t>Grape Pie</t>
        </is>
      </c>
      <c r="O131" s="238" t="inlineStr">
        <is>
          <t>— retest assay not yet on file —</t>
        </is>
      </c>
      <c r="P131" s="238" t="inlineStr">
        <is>
          <t>—</t>
        </is>
      </c>
      <c r="Q131" s="233" t="inlineStr">
        <is>
          <t>—</t>
        </is>
      </c>
      <c r="R131" s="233" t="inlineStr">
        <is>
          <t>CoQ reissue (assigned on issue)</t>
        </is>
      </c>
      <c r="S131" s="233" t="inlineStr">
        <is>
          <t>P050312|R</t>
        </is>
      </c>
      <c r="T131" s="241" t="inlineStr">
        <is>
          <t>not yet issuable — sampled — mycotoxins on file, retest assay pending; iCoA tested 13.08.2026, issued 17.08.2026 · issued 7 days after the latest retest certificate once the assay, the mycotoxins and the iCoA exist</t>
        </is>
      </c>
    </row>
    <row r="132">
      <c r="A132" s="233">
        <f>IF(C132="yes",COUNT(A$1:A131)+1,"")</f>
        <v/>
      </c>
      <c r="B132" s="234">
        <f>IF(A132&lt;&gt;"","CoQ-PP_26-"&amp;TEXT(A132,"000"),"— at issue —")</f>
        <v/>
      </c>
      <c r="C132" s="238" t="inlineStr">
        <is>
          <t>no</t>
        </is>
      </c>
      <c r="D132" s="235">
        <f>IF(A132="","",MAX(E132,IF(ISNUMBER(I132),I132,0),IFERROR(IF(ISNUMBER(INDEX('iCoA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220-28-M-26</t>
        </is>
      </c>
      <c r="H132" s="233">
        <f>IFERROR(INDEX('iCoA Register'!$B:$B,MATCH("P060012|R",'iCoA Register'!$AA:$AA,0)),"—")</f>
        <v/>
      </c>
      <c r="I132" s="235">
        <f>IFERROR(INDEX('iCoA Register'!$D:$D,MATCH("P060012|R",'iCoA Register'!$AA:$AA,0)),"")</f>
        <v/>
      </c>
      <c r="J132" s="233" t="inlineStr">
        <is>
          <t>legacy</t>
        </is>
      </c>
      <c r="K132" s="233" t="inlineStr">
        <is>
          <t>retest — Tranche 2 (sampled 12–14.08.2026)</t>
        </is>
      </c>
      <c r="L132" s="234" t="inlineStr">
        <is>
          <t>WC082501</t>
        </is>
      </c>
      <c r="M132" s="233" t="inlineStr">
        <is>
          <t>P060012</t>
        </is>
      </c>
      <c r="N132" s="233" t="inlineStr">
        <is>
          <t>Wedding Crusher</t>
        </is>
      </c>
      <c r="O132" s="238" t="inlineStr">
        <is>
          <t>— retest assay not yet on file —</t>
        </is>
      </c>
      <c r="P132" s="238" t="inlineStr">
        <is>
          <t>—</t>
        </is>
      </c>
      <c r="Q132" s="233" t="inlineStr">
        <is>
          <t>—</t>
        </is>
      </c>
      <c r="R132" s="233" t="inlineStr">
        <is>
          <t>CoQ reissue (assigned on issue)</t>
        </is>
      </c>
      <c r="S132" s="233" t="inlineStr">
        <is>
          <t>P060012|R</t>
        </is>
      </c>
      <c r="T132" s="241" t="inlineStr">
        <is>
          <t>not yet issuable — sampled — mycotoxins on file, retest assay pending; iCoA tested 14.08.2026, issued 17.08.2026 · issued 7 days after the latest retest certificate once the assay, the mycotoxins and the iCoA exist</t>
        </is>
      </c>
    </row>
    <row r="133">
      <c r="A133" s="233">
        <f>IF(C133="yes",COUNT(A$1:A132)+1,"")</f>
        <v/>
      </c>
      <c r="B133" s="234">
        <f>IF(A133&lt;&gt;"","CoQ-PP_26-"&amp;TEXT(A133,"000"),"— at issue —")</f>
        <v/>
      </c>
      <c r="C133" s="238" t="inlineStr">
        <is>
          <t>no</t>
        </is>
      </c>
      <c r="D133" s="235">
        <f>IF(A133="","",MAX(E133,IF(ISNUMBER(I133),I133,0),IFERROR(IF(ISNUMBER(INDEX('iCoA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220-4-M-26</t>
        </is>
      </c>
      <c r="H133" s="233">
        <f>IFERROR(INDEX('iCoA Register'!$B:$B,MATCH("P060022|R",'iCoA Register'!$AA:$AA,0)),"—")</f>
        <v/>
      </c>
      <c r="I133" s="235">
        <f>IFERROR(INDEX('iCoA Register'!$D:$D,MATCH("P060022|R",'iCoA Register'!$AA:$AA,0)),"")</f>
        <v/>
      </c>
      <c r="J133" s="233" t="inlineStr">
        <is>
          <t>legacy</t>
        </is>
      </c>
      <c r="K133" s="233" t="inlineStr">
        <is>
          <t>retest — Tranche 2 (sampled 12–14.08.2026)</t>
        </is>
      </c>
      <c r="L133" s="234" t="inlineStr">
        <is>
          <t>CJ082501/1</t>
        </is>
      </c>
      <c r="M133" s="233" t="inlineStr">
        <is>
          <t>P060022</t>
        </is>
      </c>
      <c r="N133" s="233" t="inlineStr">
        <is>
          <t>Cap Junky</t>
        </is>
      </c>
      <c r="O133" s="238" t="inlineStr">
        <is>
          <t>— retest assay not yet on file —</t>
        </is>
      </c>
      <c r="P133" s="238" t="inlineStr">
        <is>
          <t>—</t>
        </is>
      </c>
      <c r="Q133" s="233" t="inlineStr">
        <is>
          <t>—</t>
        </is>
      </c>
      <c r="R133" s="233" t="inlineStr">
        <is>
          <t>CoQ reissue (assigned on issue)</t>
        </is>
      </c>
      <c r="S133" s="233" t="inlineStr">
        <is>
          <t>P060022|R</t>
        </is>
      </c>
      <c r="T133" s="241" t="inlineStr">
        <is>
          <t>not yet issuable — sampled — mycotoxins on file, retest assay pending; iCoA tested 12.08.2026, issued 17.08.2026 · issued 7 days after the latest retest certificate once the assay, the mycotoxins and the iCoA exist</t>
        </is>
      </c>
    </row>
    <row r="134">
      <c r="A134" s="233">
        <f>IF(C134="yes",COUNT(A$1:A133)+1,"")</f>
        <v/>
      </c>
      <c r="B134" s="234">
        <f>IF(A134&lt;&gt;"","CoQ-PP_26-"&amp;TEXT(A134,"000"),"— at issue —")</f>
        <v/>
      </c>
      <c r="C134" s="238" t="inlineStr">
        <is>
          <t>no</t>
        </is>
      </c>
      <c r="D134" s="235">
        <f>IF(A134="","",MAX(E134,IF(ISNUMBER(I134),I134,0),IFERROR(IF(ISNUMBER(INDEX('iCoA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227-17-K-26</t>
        </is>
      </c>
      <c r="H134" s="233">
        <f>IFERROR(INDEX('iCoA Register'!$B:$B,MATCH("P050292|R",'iCoA Register'!$AA:$AA,0)),"—")</f>
        <v/>
      </c>
      <c r="I134" s="235">
        <f>IFERROR(INDEX('iCoA Register'!$D:$D,MATCH("P050292|R",'iCoA Register'!$AA:$AA,0)),"")</f>
        <v/>
      </c>
      <c r="J134" s="233" t="inlineStr">
        <is>
          <t>legacy</t>
        </is>
      </c>
      <c r="K134" s="233" t="inlineStr">
        <is>
          <t>retest — Tranche 3 (sampled 19–21.08.2026)</t>
        </is>
      </c>
      <c r="L134" s="234" t="inlineStr">
        <is>
          <t>GP072501/1</t>
        </is>
      </c>
      <c r="M134" s="233" t="inlineStr">
        <is>
          <t>P050292</t>
        </is>
      </c>
      <c r="N134" s="233" t="inlineStr">
        <is>
          <t>Grape Pie</t>
        </is>
      </c>
      <c r="O134" s="233" t="inlineStr">
        <is>
          <t>227-17-K-26, (11.09.2026) [FHM-K]</t>
        </is>
      </c>
      <c r="P134" s="238" t="inlineStr">
        <is>
          <t>—</t>
        </is>
      </c>
      <c r="Q134" s="233" t="inlineStr">
        <is>
          <t>—</t>
        </is>
      </c>
      <c r="R134" s="233" t="inlineStr">
        <is>
          <t>CoQ reissue (assigned on issue)</t>
        </is>
      </c>
      <c r="S134" s="233" t="inlineStr">
        <is>
          <t>P050292|R</t>
        </is>
      </c>
      <c r="T134" s="241" t="inlineStr">
        <is>
          <t>not yet issuable — sampled — retest assay on file, mycotoxins pending; iCoA tested 20.08.2026, issued 24.08.2026 · issued 7 days after the latest retest certificate once the assay, the mycotoxins and the iCoA exist</t>
        </is>
      </c>
    </row>
    <row r="135">
      <c r="A135" s="233">
        <f>IF(C135="yes",COUNT(A$1:A134)+1,"")</f>
        <v/>
      </c>
      <c r="B135" s="234">
        <f>IF(A135&lt;&gt;"","CoQ-PP_26-"&amp;TEXT(A135,"000"),"— at issue —")</f>
        <v/>
      </c>
      <c r="C135" s="238" t="inlineStr">
        <is>
          <t>no</t>
        </is>
      </c>
      <c r="D135" s="235">
        <f>IF(A135="","",MAX(E135,IF(ISNUMBER(I135),I135,0),IFERROR(IF(ISNUMBER(INDEX('iCoA Register'!$F:$F,MATCH(S135,'iCoA Register'!$AA:$AA,0))),INDEX('iCoA Register'!$F:$F,MATCH(S135,'iCoA Register'!$AA:$AA,0)),0),0)))</f>
        <v/>
      </c>
      <c r="E135" s="235">
        <f>IF(ISNUMBER(F135),MAX(DATE(2026,6,6),F135+7),"— awaiting the retest certificates —")</f>
        <v/>
      </c>
      <c r="F135" s="235" t="n">
        <v>46276</v>
      </c>
      <c r="G135" s="233" t="inlineStr">
        <is>
          <t>227-9-K-26</t>
        </is>
      </c>
      <c r="H135" s="233">
        <f>IFERROR(INDEX('iCoA Register'!$B:$B,MATCH("P050272|R",'iCoA Register'!$AA:$AA,0)),"—")</f>
        <v/>
      </c>
      <c r="I135" s="235">
        <f>IFERROR(INDEX('iCoA Register'!$D:$D,MATCH("P050272|R",'iCoA Register'!$AA:$AA,0)),"")</f>
        <v/>
      </c>
      <c r="J135" s="233" t="inlineStr">
        <is>
          <t>legacy</t>
        </is>
      </c>
      <c r="K135" s="233" t="inlineStr">
        <is>
          <t>retest — Tranche 3 (sampled 19–21.08.2026)</t>
        </is>
      </c>
      <c r="L135" s="234" t="inlineStr">
        <is>
          <t>PM072501</t>
        </is>
      </c>
      <c r="M135" s="233" t="inlineStr">
        <is>
          <t>P050272</t>
        </is>
      </c>
      <c r="N135" s="233" t="inlineStr">
        <is>
          <t>Permanent Marker</t>
        </is>
      </c>
      <c r="O135" s="233" t="inlineStr">
        <is>
          <t>227-9-K-26, (11.09.2026) [FHM-K]</t>
        </is>
      </c>
      <c r="P135" s="238" t="inlineStr">
        <is>
          <t>—</t>
        </is>
      </c>
      <c r="Q135" s="233" t="inlineStr">
        <is>
          <t>—</t>
        </is>
      </c>
      <c r="R135" s="233" t="inlineStr">
        <is>
          <t>CoQ reissue (assigned on issue)</t>
        </is>
      </c>
      <c r="S135" s="233" t="inlineStr">
        <is>
          <t>P050272|R</t>
        </is>
      </c>
      <c r="T135" s="241" t="inlineStr">
        <is>
          <t>not yet issuable — sampled — retest assay on file, mycotoxins pending; iCoA tested 19.08.2026, issued 24.08.2026 · issued 7 days after the latest retest certificate once the assay, the mycotoxins and the iCoA exist</t>
        </is>
      </c>
    </row>
    <row r="136">
      <c r="A136" s="233">
        <f>IF(C136="yes",COUNT(A$1:A135)+1,"")</f>
        <v/>
      </c>
      <c r="B136" s="234">
        <f>IF(A136&lt;&gt;"","CoQ-PP_26-"&amp;TEXT(A136,"000"),"— at issue —")</f>
        <v/>
      </c>
      <c r="C136" s="238" t="inlineStr">
        <is>
          <t>no</t>
        </is>
      </c>
      <c r="D136" s="235">
        <f>IF(A136="","",MAX(E136,IF(ISNUMBER(I136),I136,0),IFERROR(IF(ISNUMBER(INDEX('iCoA Register'!$F:$F,MATCH(S136,'iCoA Register'!$AA:$AA,0))),INDEX('iCoA Register'!$F:$F,MATCH(S136,'iCoA Register'!$AA:$AA,0)),0),0)))</f>
        <v/>
      </c>
      <c r="E136" s="235">
        <f>IF(ISNUMBER(F136),MAX(DATE(2026,6,6),F136+7),"— awaiting the retest certificates —")</f>
        <v/>
      </c>
      <c r="F136" s="235" t="n">
        <v>46276</v>
      </c>
      <c r="G136" s="233" t="inlineStr">
        <is>
          <t>220-22-M-26</t>
        </is>
      </c>
      <c r="H136" s="233">
        <f>IFERROR(INDEX('iCoA Register'!$B:$B,MATCH("P060042|R",'iCoA Register'!$AA:$AA,0)),"—")</f>
        <v/>
      </c>
      <c r="I136" s="235">
        <f>IFERROR(INDEX('iCoA Register'!$D:$D,MATCH("P060042|R",'iCoA Register'!$AA:$AA,0)),"")</f>
        <v/>
      </c>
      <c r="J136" s="233" t="inlineStr">
        <is>
          <t>legacy</t>
        </is>
      </c>
      <c r="K136" s="233" t="inlineStr">
        <is>
          <t>retest — Tranche 2 (sampled 12–14.08.2026)</t>
        </is>
      </c>
      <c r="L136" s="234" t="inlineStr">
        <is>
          <t>OPM092501</t>
        </is>
      </c>
      <c r="M136" s="233" t="inlineStr">
        <is>
          <t>P060042</t>
        </is>
      </c>
      <c r="N136" s="233" t="inlineStr">
        <is>
          <t>Orange Punch Mimosa</t>
        </is>
      </c>
      <c r="O136" s="238" t="inlineStr">
        <is>
          <t>— retest assay not yet on file —</t>
        </is>
      </c>
      <c r="P136" s="238" t="inlineStr">
        <is>
          <t>—</t>
        </is>
      </c>
      <c r="Q136" s="233" t="inlineStr">
        <is>
          <t>—</t>
        </is>
      </c>
      <c r="R136" s="233" t="inlineStr">
        <is>
          <t>CoQ reissue (assigned on issue)</t>
        </is>
      </c>
      <c r="S136" s="233" t="inlineStr">
        <is>
          <t>P060042|R</t>
        </is>
      </c>
      <c r="T136" s="241" t="inlineStr">
        <is>
          <t>not yet issuable — sampled — mycotoxins on file, retest assay pending; iCoA tested 13.08.2026, issued 17.08.2026 · issued 7 days after the latest retest certificate once the assay, the mycotoxins and the iCoA exist</t>
        </is>
      </c>
    </row>
    <row r="137">
      <c r="A137" s="233">
        <f>IF(C137="yes",COUNT(A$1:A136)+1,"")</f>
        <v/>
      </c>
      <c r="B137" s="234">
        <f>IF(A137&lt;&gt;"","CoQ-PP_26-"&amp;TEXT(A137,"000"),"— at issue —")</f>
        <v/>
      </c>
      <c r="C137" s="238" t="inlineStr">
        <is>
          <t>no</t>
        </is>
      </c>
      <c r="D137" s="235">
        <f>IF(A137="","",MAX(E137,IF(ISNUMBER(I137),I137,0),IFERROR(IF(ISNUMBER(INDEX('iCoA Register'!$F:$F,MATCH(S137,'iCoA Register'!$AA:$AA,0))),INDEX('iCoA Register'!$F:$F,MATCH(S137,'iCoA Register'!$AA:$AA,0)),0),0)))</f>
        <v/>
      </c>
      <c r="E137" s="235">
        <f>IF(ISNUMBER(F137),MAX(DATE(2026,6,6),F137+7),"— awaiting the retest certificates —")</f>
        <v/>
      </c>
      <c r="F137" s="235" t="n">
        <v>46276</v>
      </c>
      <c r="G137" s="233" t="inlineStr">
        <is>
          <t>220-5-M-26</t>
        </is>
      </c>
      <c r="H137" s="233">
        <f>IFERROR(INDEX('iCoA Register'!$B:$B,MATCH("P060072|R",'iCoA Register'!$AA:$AA,0)),"—")</f>
        <v/>
      </c>
      <c r="I137" s="235">
        <f>IFERROR(INDEX('iCoA Register'!$D:$D,MATCH("P060072|R",'iCoA Register'!$AA:$AA,0)),"")</f>
        <v/>
      </c>
      <c r="J137" s="233" t="inlineStr">
        <is>
          <t>legacy</t>
        </is>
      </c>
      <c r="K137" s="233" t="inlineStr">
        <is>
          <t>retest — Tranche 2 (sampled 12–14.08.2026)</t>
        </is>
      </c>
      <c r="L137" s="234" t="inlineStr">
        <is>
          <t>CJ092501</t>
        </is>
      </c>
      <c r="M137" s="233" t="inlineStr">
        <is>
          <t>P060072</t>
        </is>
      </c>
      <c r="N137" s="233" t="inlineStr">
        <is>
          <t>Cap Junky</t>
        </is>
      </c>
      <c r="O137" s="238" t="inlineStr">
        <is>
          <t>— retest assay not yet on file —</t>
        </is>
      </c>
      <c r="P137" s="238" t="inlineStr">
        <is>
          <t>—</t>
        </is>
      </c>
      <c r="Q137" s="233" t="inlineStr">
        <is>
          <t>—</t>
        </is>
      </c>
      <c r="R137" s="233" t="inlineStr">
        <is>
          <t>CoQ reissue (assigned on issue)</t>
        </is>
      </c>
      <c r="S137" s="233" t="inlineStr">
        <is>
          <t>P060072|R</t>
        </is>
      </c>
      <c r="T137" s="241" t="inlineStr">
        <is>
          <t>not yet issuable — sampled — mycotoxins on file, retest assay pending; iCoA tested 12.08.2026, issued 17.08.2026 · issued 7 days after the latest retest certificate once the assay, the mycotoxins and the iCoA exist</t>
        </is>
      </c>
    </row>
    <row r="138">
      <c r="A138" s="233">
        <f>IF(C138="yes",COUNT(A$1:A137)+1,"")</f>
        <v/>
      </c>
      <c r="B138" s="234">
        <f>IF(A138&lt;&gt;"","CoQ-PP_26-"&amp;TEXT(A138,"000"),"— at issue —")</f>
        <v/>
      </c>
      <c r="C138" s="238" t="inlineStr">
        <is>
          <t>no</t>
        </is>
      </c>
      <c r="D138" s="235">
        <f>IF(A138="","",MAX(E138,IF(ISNUMBER(I138),I138,0),IFERROR(IF(ISNUMBER(INDEX('iCoA Register'!$F:$F,MATCH(S138,'iCoA Register'!$AA:$AA,0))),INDEX('iCoA Register'!$F:$F,MATCH(S138,'iCoA Register'!$AA:$AA,0)),0),0)))</f>
        <v/>
      </c>
      <c r="E138" s="235">
        <f>IF(ISNUMBER(F138),MAX(DATE(2026,6,6),F138+7),"— awaiting the retest certificates —")</f>
        <v/>
      </c>
      <c r="F138" s="235" t="n">
        <v>46276</v>
      </c>
      <c r="G138" s="233" t="inlineStr">
        <is>
          <t>220-27-M-26</t>
        </is>
      </c>
      <c r="H138" s="233">
        <f>IFERROR(INDEX('iCoA Register'!$B:$B,MATCH("P060082|R",'iCoA Register'!$AA:$AA,0)),"—")</f>
        <v/>
      </c>
      <c r="I138" s="235">
        <f>IFERROR(INDEX('iCoA Register'!$D:$D,MATCH("P060082|R",'iCoA Register'!$AA:$AA,0)),"")</f>
        <v/>
      </c>
      <c r="J138" s="233" t="inlineStr">
        <is>
          <t>legacy</t>
        </is>
      </c>
      <c r="K138" s="233" t="inlineStr">
        <is>
          <t>retest — Tranche 2 (sampled 12–14.08.2026)</t>
        </is>
      </c>
      <c r="L138" s="234" t="inlineStr">
        <is>
          <t>SJ0925021</t>
        </is>
      </c>
      <c r="M138" s="233" t="inlineStr">
        <is>
          <t>P060082</t>
        </is>
      </c>
      <c r="N138" s="233" t="inlineStr">
        <is>
          <t>Sleepy Joe</t>
        </is>
      </c>
      <c r="O138" s="238" t="inlineStr">
        <is>
          <t>— retest assay not yet on file —</t>
        </is>
      </c>
      <c r="P138" s="238" t="inlineStr">
        <is>
          <t>—</t>
        </is>
      </c>
      <c r="Q138" s="233" t="inlineStr">
        <is>
          <t>—</t>
        </is>
      </c>
      <c r="R138" s="233" t="inlineStr">
        <is>
          <t>CoQ reissue (assigned on issue)</t>
        </is>
      </c>
      <c r="S138" s="233" t="inlineStr">
        <is>
          <t>P060082|R</t>
        </is>
      </c>
      <c r="T138" s="241" t="inlineStr">
        <is>
          <t>not yet issuable — sampled — mycotoxins on file, retest assay pending; iCoA tested 14.08.2026, issued 17.08.2026 · issued 7 days after the latest retest certificate once the assay, the mycotoxins and the iCoA exist</t>
        </is>
      </c>
    </row>
    <row r="139">
      <c r="A139" s="233">
        <f>IF(C139="yes",COUNT(A$1:A138)+1,"")</f>
        <v/>
      </c>
      <c r="B139" s="234">
        <f>IF(A139&lt;&gt;"","CoQ-PP_26-"&amp;TEXT(A139,"000"),"— at issue —")</f>
        <v/>
      </c>
      <c r="C139" s="238" t="inlineStr">
        <is>
          <t>no</t>
        </is>
      </c>
      <c r="D139" s="235">
        <f>IF(A139="","",MAX(E139,IF(ISNUMBER(I139),I139,0),IFERROR(IF(ISNUMBER(INDEX('iCoA Register'!$F:$F,MATCH(S139,'iCoA Register'!$AA:$AA,0))),INDEX('iCoA Register'!$F:$F,MATCH(S139,'iCoA Register'!$AA:$AA,0)),0),0)))</f>
        <v/>
      </c>
      <c r="E139" s="235">
        <f>IF(ISNUMBER(F139),MAX(DATE(2026,6,6),F139+7),"— awaiting the retest certificates —")</f>
        <v/>
      </c>
      <c r="F139" s="235" t="n">
        <v>46276</v>
      </c>
      <c r="G139" s="233" t="inlineStr">
        <is>
          <t>220-13-M-26</t>
        </is>
      </c>
      <c r="H139" s="233">
        <f>IFERROR(INDEX('iCoA Register'!$B:$B,MATCH("P060092|R",'iCoA Register'!$AA:$AA,0)),"—")</f>
        <v/>
      </c>
      <c r="I139" s="235">
        <f>IFERROR(INDEX('iCoA Register'!$D:$D,MATCH("P060092|R",'iCoA Register'!$AA:$AA,0)),"")</f>
        <v/>
      </c>
      <c r="J139" s="233" t="inlineStr">
        <is>
          <t>legacy</t>
        </is>
      </c>
      <c r="K139" s="233" t="inlineStr">
        <is>
          <t>retest — Tranche 2 (sampled 12–14.08.2026)</t>
        </is>
      </c>
      <c r="L139" s="234" t="inlineStr">
        <is>
          <t>GP092501</t>
        </is>
      </c>
      <c r="M139" s="233" t="inlineStr">
        <is>
          <t>P060092</t>
        </is>
      </c>
      <c r="N139" s="233" t="inlineStr">
        <is>
          <t>Grape Pie</t>
        </is>
      </c>
      <c r="O139" s="238" t="inlineStr">
        <is>
          <t>— retest assay not yet on file —</t>
        </is>
      </c>
      <c r="P139" s="238" t="inlineStr">
        <is>
          <t>—</t>
        </is>
      </c>
      <c r="Q139" s="233" t="inlineStr">
        <is>
          <t>—</t>
        </is>
      </c>
      <c r="R139" s="233" t="inlineStr">
        <is>
          <t>CoQ reissue (assigned on issue)</t>
        </is>
      </c>
      <c r="S139" s="233" t="inlineStr">
        <is>
          <t>P060092|R</t>
        </is>
      </c>
      <c r="T139" s="241" t="inlineStr">
        <is>
          <t>not yet issuable — sampled — mycotoxins on file, retest assay pending; iCoA tested 13.08.2026, issued 17.08.2026 · issued 7 days after the latest retest certificate once the assay, the mycotoxins and the iCoA exist</t>
        </is>
      </c>
    </row>
    <row r="140">
      <c r="A140" s="233">
        <f>IF(C140="yes",COUNT(A$1:A139)+1,"")</f>
        <v/>
      </c>
      <c r="B140" s="234">
        <f>IF(A140&lt;&gt;"","CoQ-PP_26-"&amp;TEXT(A140,"000"),"— at issue —")</f>
        <v/>
      </c>
      <c r="C140" s="238" t="inlineStr">
        <is>
          <t>no</t>
        </is>
      </c>
      <c r="D140" s="235">
        <f>IF(A140="","",MAX(E140,IF(ISNUMBER(I140),I140,0),IFERROR(IF(ISNUMBER(INDEX('iCoA Register'!$F:$F,MATCH(S140,'iCoA Register'!$AA:$AA,0))),INDEX('iCoA Register'!$F:$F,MATCH(S140,'iCoA Register'!$AA:$AA,0)),0),0)))</f>
        <v/>
      </c>
      <c r="E140" s="235">
        <f>IF(ISNUMBER(F140),MAX(DATE(2026,6,6),F140+7),"— awaiting the retest certificates —")</f>
        <v/>
      </c>
      <c r="F140" s="235" t="n">
        <v>46276</v>
      </c>
      <c r="G140" s="233" t="inlineStr">
        <is>
          <t>220-25-M-26</t>
        </is>
      </c>
      <c r="H140" s="233">
        <f>IFERROR(INDEX('iCoA Register'!$B:$B,MATCH("P060112|R",'iCoA Register'!$AA:$AA,0)),"—")</f>
        <v/>
      </c>
      <c r="I140" s="235">
        <f>IFERROR(INDEX('iCoA Register'!$D:$D,MATCH("P060112|R",'iCoA Register'!$AA:$AA,0)),"")</f>
        <v/>
      </c>
      <c r="J140" s="233" t="inlineStr">
        <is>
          <t>legacy</t>
        </is>
      </c>
      <c r="K140" s="233" t="inlineStr">
        <is>
          <t>retest — Tranche 2 (sampled 12–14.08.2026)</t>
        </is>
      </c>
      <c r="L140" s="234" t="inlineStr">
        <is>
          <t>PUM102501</t>
        </is>
      </c>
      <c r="M140" s="233" t="inlineStr">
        <is>
          <t>P060112</t>
        </is>
      </c>
      <c r="N140" s="233" t="inlineStr">
        <is>
          <t>Pure Michigen</t>
        </is>
      </c>
      <c r="O140" s="238" t="inlineStr">
        <is>
          <t>— retest assay not yet on file —</t>
        </is>
      </c>
      <c r="P140" s="238" t="inlineStr">
        <is>
          <t>—</t>
        </is>
      </c>
      <c r="Q140" s="233" t="inlineStr">
        <is>
          <t>—</t>
        </is>
      </c>
      <c r="R140" s="233" t="inlineStr">
        <is>
          <t>CoQ reissue (assigned on issue)</t>
        </is>
      </c>
      <c r="S140" s="233" t="inlineStr">
        <is>
          <t>P060112|R</t>
        </is>
      </c>
      <c r="T140" s="241" t="inlineStr">
        <is>
          <t>not yet issuable — sampled — mycotoxins on file, retest assay pending; iCoA tested 14.08.2026, issued 17.08.2026 · issued 7 days after the latest retest certificate once the assay, the mycotoxins and the iCoA exist</t>
        </is>
      </c>
    </row>
    <row r="141">
      <c r="A141" s="233">
        <f>IF(C141="yes",COUNT(A$1:A140)+1,"")</f>
        <v/>
      </c>
      <c r="B141" s="234">
        <f>IF(A141&lt;&gt;"","CoQ-PP_26-"&amp;TEXT(A141,"000"),"— at issue —")</f>
        <v/>
      </c>
      <c r="C141" s="238" t="inlineStr">
        <is>
          <t>no</t>
        </is>
      </c>
      <c r="D141" s="235">
        <f>IF(A141="","",MAX(E141,IF(ISNUMBER(I141),I141,0),IFERROR(IF(ISNUMBER(INDEX('iCoA Register'!$F:$F,MATCH(S141,'iCoA Register'!$AA:$AA,0))),INDEX('iCoA Register'!$F:$F,MATCH(S141,'iCoA Register'!$AA:$AA,0)),0),0)))</f>
        <v/>
      </c>
      <c r="E141" s="235">
        <f>IF(ISNUMBER(F141),MAX(DATE(2026,6,6),F141+7),"— awaiting the retest certificates —")</f>
        <v/>
      </c>
      <c r="F141" s="235" t="n">
        <v>46276</v>
      </c>
      <c r="G141" s="233" t="inlineStr">
        <is>
          <t>220-1-M-26</t>
        </is>
      </c>
      <c r="H141" s="233">
        <f>IFERROR(INDEX('iCoA Register'!$B:$B,MATCH("P060122|R",'iCoA Register'!$AA:$AA,0)),"—")</f>
        <v/>
      </c>
      <c r="I141" s="235">
        <f>IFERROR(INDEX('iCoA Register'!$D:$D,MATCH("P060122|R",'iCoA Register'!$AA:$AA,0)),"")</f>
        <v/>
      </c>
      <c r="J141" s="233" t="inlineStr">
        <is>
          <t>legacy</t>
        </is>
      </c>
      <c r="K141" s="233" t="inlineStr">
        <is>
          <t>retest — Tranche 2 (sampled 12–14.08.2026)</t>
        </is>
      </c>
      <c r="L141" s="234" t="inlineStr">
        <is>
          <t>ACC102501</t>
        </is>
      </c>
      <c r="M141" s="233" t="inlineStr">
        <is>
          <t>P060122</t>
        </is>
      </c>
      <c r="N141" s="233" t="inlineStr">
        <is>
          <t>Amnesia Core Cut</t>
        </is>
      </c>
      <c r="O141" s="238" t="inlineStr">
        <is>
          <t>— retest assay not yet on file —</t>
        </is>
      </c>
      <c r="P141" s="238" t="inlineStr">
        <is>
          <t>—</t>
        </is>
      </c>
      <c r="Q141" s="233" t="inlineStr">
        <is>
          <t>—</t>
        </is>
      </c>
      <c r="R141" s="233" t="inlineStr">
        <is>
          <t>CoQ reissue (assigned on issue)</t>
        </is>
      </c>
      <c r="S141" s="233" t="inlineStr">
        <is>
          <t>P060122|R</t>
        </is>
      </c>
      <c r="T141" s="241" t="inlineStr">
        <is>
          <t>not yet issuable — sampled — mycotoxins on file, retest assay pending; iCoA tested 12.08.2026, issued 17.08.2026 · issued 7 days after the latest retest certificate once the assay, the mycotoxins and the iCoA exist</t>
        </is>
      </c>
    </row>
    <row r="142">
      <c r="A142" s="233">
        <f>IF(C142="yes",COUNT(A$1:A141)+1,"")</f>
        <v/>
      </c>
      <c r="B142" s="234">
        <f>IF(A142&lt;&gt;"","CoQ-PP_26-"&amp;TEXT(A142,"000"),"— at issue —")</f>
        <v/>
      </c>
      <c r="C142" s="238" t="inlineStr">
        <is>
          <t>no</t>
        </is>
      </c>
      <c r="D142" s="235">
        <f>IF(A142="","",MAX(E142,IF(ISNUMBER(I142),I142,0),IFERROR(IF(ISNUMBER(INDEX('iCoA Register'!$F:$F,MATCH(S142,'iCoA Register'!$AA:$AA,0))),INDEX('iCoA Register'!$F:$F,MATCH(S142,'iCoA Register'!$AA:$AA,0)),0),0)))</f>
        <v/>
      </c>
      <c r="E142" s="235">
        <f>IF(ISNUMBER(F142),MAX(DATE(2026,6,6),F142+7),"— awaiting the retest certificates —")</f>
        <v/>
      </c>
      <c r="F142" s="235" t="n">
        <v>46276</v>
      </c>
      <c r="G142" s="233" t="inlineStr">
        <is>
          <t>220-6-M-26</t>
        </is>
      </c>
      <c r="H142" s="233">
        <f>IFERROR(INDEX('iCoA Register'!$B:$B,MATCH("P060132|R",'iCoA Register'!$AA:$AA,0)),"—")</f>
        <v/>
      </c>
      <c r="I142" s="235">
        <f>IFERROR(INDEX('iCoA Register'!$D:$D,MATCH("P060132|R",'iCoA Register'!$AA:$AA,0)),"")</f>
        <v/>
      </c>
      <c r="J142" s="233" t="inlineStr">
        <is>
          <t>legacy</t>
        </is>
      </c>
      <c r="K142" s="233" t="inlineStr">
        <is>
          <t>retest — Tranche 2 (sampled 12–14.08.2026)</t>
        </is>
      </c>
      <c r="L142" s="234" t="inlineStr">
        <is>
          <t>CF102501</t>
        </is>
      </c>
      <c r="M142" s="233" t="inlineStr">
        <is>
          <t>P060132</t>
        </is>
      </c>
      <c r="N142" s="233" t="inlineStr">
        <is>
          <t>Chem Flyer</t>
        </is>
      </c>
      <c r="O142" s="238" t="inlineStr">
        <is>
          <t>— retest assay not yet on file —</t>
        </is>
      </c>
      <c r="P142" s="238" t="inlineStr">
        <is>
          <t>—</t>
        </is>
      </c>
      <c r="Q142" s="233" t="inlineStr">
        <is>
          <t>—</t>
        </is>
      </c>
      <c r="R142" s="233" t="inlineStr">
        <is>
          <t>CoQ reissue (assigned on issue)</t>
        </is>
      </c>
      <c r="S142" s="233" t="inlineStr">
        <is>
          <t>P060132|R</t>
        </is>
      </c>
      <c r="T142" s="241" t="inlineStr">
        <is>
          <t>not yet issuable — sampled — mycotoxins on file, retest assay pending; iCoA tested 12.08.2026, issued 17.08.2026 · issued 7 days after the latest retest certificate once the assay, the mycotoxins and the iCoA exist</t>
        </is>
      </c>
    </row>
    <row r="143">
      <c r="A143" s="233">
        <f>IF(C143="yes",COUNT(A$1:A142)+1,"")</f>
        <v/>
      </c>
      <c r="B143" s="234">
        <f>IF(A143&lt;&gt;"","CoQ-PP_26-"&amp;TEXT(A143,"000"),"— at issue —")</f>
        <v/>
      </c>
      <c r="C143" s="238" t="inlineStr">
        <is>
          <t>no</t>
        </is>
      </c>
      <c r="D143" s="235">
        <f>IF(A143="","",MAX(E143,IF(ISNUMBER(I143),I143,0),IFERROR(IF(ISNUMBER(INDEX('iCoA Register'!$F:$F,MATCH(S143,'iCoA Register'!$AA:$AA,0))),INDEX('iCoA Register'!$F:$F,MATCH(S143,'iCoA Register'!$AA:$AA,0)),0),0)))</f>
        <v/>
      </c>
      <c r="E143" s="235">
        <f>IF(ISNUMBER(F143),MAX(DATE(2026,6,6),F143+7),"— awaiting the retest certificates —")</f>
        <v/>
      </c>
      <c r="F143" s="235" t="n">
        <v>46276</v>
      </c>
      <c r="G143" s="233" t="inlineStr">
        <is>
          <t>227-30-K-26</t>
        </is>
      </c>
      <c r="H143" s="233">
        <f>IFERROR(INDEX('iCoA Register'!$B:$B,MATCH("P060052|R",'iCoA Register'!$AA:$AA,0)),"—")</f>
        <v/>
      </c>
      <c r="I143" s="235">
        <f>IFERROR(INDEX('iCoA Register'!$D:$D,MATCH("P060052|R",'iCoA Register'!$AA:$AA,0)),"")</f>
        <v/>
      </c>
      <c r="J143" s="233" t="inlineStr">
        <is>
          <t>legacy</t>
        </is>
      </c>
      <c r="K143" s="233" t="inlineStr">
        <is>
          <t>retest — Tranche 3 (sampled 19–21.08.2026)</t>
        </is>
      </c>
      <c r="L143" s="234" t="inlineStr">
        <is>
          <t>AB092501</t>
        </is>
      </c>
      <c r="M143" s="233" t="inlineStr">
        <is>
          <t>P060052</t>
        </is>
      </c>
      <c r="N143" s="233" t="inlineStr">
        <is>
          <t>Apple and Banana</t>
        </is>
      </c>
      <c r="O143" s="233" t="inlineStr">
        <is>
          <t>227-30-K-26, (11.09.2026) [FHM-K]</t>
        </is>
      </c>
      <c r="P143" s="238" t="inlineStr">
        <is>
          <t>—</t>
        </is>
      </c>
      <c r="Q143" s="233" t="inlineStr">
        <is>
          <t>—</t>
        </is>
      </c>
      <c r="R143" s="233" t="inlineStr">
        <is>
          <t>CoQ reissue (assigned on issue)</t>
        </is>
      </c>
      <c r="S143" s="233" t="inlineStr">
        <is>
          <t>P060052|R</t>
        </is>
      </c>
      <c r="T143" s="241" t="inlineStr">
        <is>
          <t>not yet issuable — sampled — retest assay on file, mycotoxins pending; iCoA tested 21.08.2026, issued 24.08.2026 · issued 7 days after the latest retest certificate once the assay, the mycotoxins and the iCoA exist</t>
        </is>
      </c>
    </row>
    <row r="144">
      <c r="A144" s="233">
        <f>IF(C144="yes",COUNT(A$1:A143)+1,"")</f>
        <v/>
      </c>
      <c r="B144" s="234">
        <f>IF(A144&lt;&gt;"","CoQ-PP_26-"&amp;TEXT(A144,"000"),"— at issue —")</f>
        <v/>
      </c>
      <c r="C144" s="238" t="inlineStr">
        <is>
          <t>no</t>
        </is>
      </c>
      <c r="D144" s="235">
        <f>IF(A144="","",MAX(E144,IF(ISNUMBER(I144),I144,0),IFERROR(IF(ISNUMBER(INDEX('iCoA Register'!$F:$F,MATCH(S144,'iCoA Register'!$AA:$AA,0))),INDEX('iCoA Register'!$F:$F,MATCH(S144,'iCoA Register'!$AA:$AA,0)),0),0)))</f>
        <v/>
      </c>
      <c r="E144" s="235">
        <f>IF(ISNUMBER(F144),MAX(DATE(2026,6,6),F144+7),"— awaiting the retest certificates —")</f>
        <v/>
      </c>
      <c r="F144" s="235" t="n">
        <v>46276</v>
      </c>
      <c r="G144" s="233" t="inlineStr">
        <is>
          <t>227-6-K-26</t>
        </is>
      </c>
      <c r="H144" s="233">
        <f>IFERROR(INDEX('iCoA Register'!$B:$B,MATCH("P060162|R",'iCoA Register'!$AA:$AA,0)),"—")</f>
        <v/>
      </c>
      <c r="I144" s="235">
        <f>IFERROR(INDEX('iCoA Register'!$D:$D,MATCH("P060162|R",'iCoA Register'!$AA:$AA,0)),"")</f>
        <v/>
      </c>
      <c r="J144" s="233" t="inlineStr">
        <is>
          <t>legacy</t>
        </is>
      </c>
      <c r="K144" s="233" t="inlineStr">
        <is>
          <t>retest — Tranche 3 (sampled 19–21.08.2026)</t>
        </is>
      </c>
      <c r="L144" s="234" t="inlineStr">
        <is>
          <t>SJ102501</t>
        </is>
      </c>
      <c r="M144" s="233" t="inlineStr">
        <is>
          <t>P060162</t>
        </is>
      </c>
      <c r="N144" s="233" t="inlineStr">
        <is>
          <t>Sleepy Joe</t>
        </is>
      </c>
      <c r="O144" s="233" t="inlineStr">
        <is>
          <t>227-6-K-26, (11.09.2026) [FHM-K]</t>
        </is>
      </c>
      <c r="P144" s="238" t="inlineStr">
        <is>
          <t>—</t>
        </is>
      </c>
      <c r="Q144" s="233" t="inlineStr">
        <is>
          <t>—</t>
        </is>
      </c>
      <c r="R144" s="233" t="inlineStr">
        <is>
          <t>CoQ reissue (assigned on issue)</t>
        </is>
      </c>
      <c r="S144" s="233" t="inlineStr">
        <is>
          <t>P060162|R</t>
        </is>
      </c>
      <c r="T144" s="241" t="inlineStr">
        <is>
          <t>not yet issuable — sampled — retest assay on file, mycotoxins pending; iCoA tested 19.08.2026, issued 24.08.2026 · issued 7 days after the latest retest certificate once the assay, the mycotoxins and the iCoA exist</t>
        </is>
      </c>
    </row>
    <row r="145">
      <c r="A145" s="233">
        <f>IF(C145="yes",COUNT(A$1:A144)+1,"")</f>
        <v/>
      </c>
      <c r="B145" s="234">
        <f>IF(A145&lt;&gt;"","CoQ-PP_26-"&amp;TEXT(A145,"000"),"— at issue —")</f>
        <v/>
      </c>
      <c r="C145" s="238" t="inlineStr">
        <is>
          <t>no</t>
        </is>
      </c>
      <c r="D145" s="235">
        <f>IF(A145="","",MAX(E145,IF(ISNUMBER(I145),I145,0),IFERROR(IF(ISNUMBER(INDEX('iCoA Register'!$F:$F,MATCH(S145,'iCoA Register'!$AA:$AA,0))),INDEX('iCoA Register'!$F:$F,MATCH(S145,'iCoA Register'!$AA:$AA,0)),0),0)))</f>
        <v/>
      </c>
      <c r="E145" s="235">
        <f>IF(ISNUMBER(F145),MAX(DATE(2026,6,6),F145+7),"— awaiting the retest certificates —")</f>
        <v/>
      </c>
      <c r="F145" s="235" t="n">
        <v>46276</v>
      </c>
      <c r="G145" s="233" t="inlineStr">
        <is>
          <t>227-5-K-26</t>
        </is>
      </c>
      <c r="H145" s="233">
        <f>IFERROR(INDEX('iCoA Register'!$B:$B,MATCH("P060192|R",'iCoA Register'!$AA:$AA,0)),"—")</f>
        <v/>
      </c>
      <c r="I145" s="235">
        <f>IFERROR(INDEX('iCoA Register'!$D:$D,MATCH("P060192|R",'iCoA Register'!$AA:$AA,0)),"")</f>
        <v/>
      </c>
      <c r="J145" s="233" t="inlineStr">
        <is>
          <t>legacy</t>
        </is>
      </c>
      <c r="K145" s="233" t="inlineStr">
        <is>
          <t>retest — Tranche 3 (sampled 19–21.08.2026)</t>
        </is>
      </c>
      <c r="L145" s="234" t="inlineStr">
        <is>
          <t>SJ112501</t>
        </is>
      </c>
      <c r="M145" s="233" t="inlineStr">
        <is>
          <t>P060192</t>
        </is>
      </c>
      <c r="N145" s="233" t="inlineStr">
        <is>
          <t>Sleepy Joe</t>
        </is>
      </c>
      <c r="O145" s="233" t="inlineStr">
        <is>
          <t>227-5-K-26, (11.09.2026) [FHM-K]</t>
        </is>
      </c>
      <c r="P145" s="238" t="inlineStr">
        <is>
          <t>—</t>
        </is>
      </c>
      <c r="Q145" s="233" t="inlineStr">
        <is>
          <t>—</t>
        </is>
      </c>
      <c r="R145" s="233" t="inlineStr">
        <is>
          <t>CoQ reissue (assigned on issue)</t>
        </is>
      </c>
      <c r="S145" s="233" t="inlineStr">
        <is>
          <t>P060192|R</t>
        </is>
      </c>
      <c r="T145" s="241" t="inlineStr">
        <is>
          <t>not yet issuable — sampled — retest assay on file, mycotoxins pending; iCoA tested 19.08.2026, issued 24.08.2026 · issued 7 days after the latest retest certificate once the assay, the mycotoxins and the iCoA exist</t>
        </is>
      </c>
    </row>
    <row r="146">
      <c r="A146" s="233">
        <f>IF(C146="yes",COUNT(A$1:A145)+1,"")</f>
        <v/>
      </c>
      <c r="B146" s="234">
        <f>IF(A146&lt;&gt;"","CoQ-PP_26-"&amp;TEXT(A146,"000"),"— at issue —")</f>
        <v/>
      </c>
      <c r="C146" s="238" t="inlineStr">
        <is>
          <t>no</t>
        </is>
      </c>
      <c r="D146" s="235">
        <f>IF(A146="","",MAX(E146,IF(ISNUMBER(I146),I146,0),IFERROR(IF(ISNUMBER(INDEX('iCoA Register'!$F:$F,MATCH(S146,'iCoA Register'!$AA:$AA,0))),INDEX('iCoA Register'!$F:$F,MATCH(S146,'iCoA Register'!$AA:$AA,0)),0),0)))</f>
        <v/>
      </c>
      <c r="E146" s="235">
        <f>IF(ISNUMBER(F146),MAX(DATE(2026,6,6),F146+7),"— awaiting the retest certificates —")</f>
        <v/>
      </c>
      <c r="F146" s="235" t="n">
        <v>46276</v>
      </c>
      <c r="G146" s="233" t="inlineStr">
        <is>
          <t>227-10-K-26</t>
        </is>
      </c>
      <c r="H146" s="233">
        <f>IFERROR(INDEX('iCoA Register'!$B:$B,MATCH("P060222|R",'iCoA Register'!$AA:$AA,0)),"—")</f>
        <v/>
      </c>
      <c r="I146" s="235">
        <f>IFERROR(INDEX('iCoA Register'!$D:$D,MATCH("P060222|R",'iCoA Register'!$AA:$AA,0)),"")</f>
        <v/>
      </c>
      <c r="J146" s="233" t="inlineStr">
        <is>
          <t>legacy</t>
        </is>
      </c>
      <c r="K146" s="233" t="inlineStr">
        <is>
          <t>retest — Tranche 3 (sampled 19–21.08.2026)</t>
        </is>
      </c>
      <c r="L146" s="234" t="inlineStr">
        <is>
          <t>OPM112501</t>
        </is>
      </c>
      <c r="M146" s="233" t="inlineStr">
        <is>
          <t>P060222</t>
        </is>
      </c>
      <c r="N146" s="233" t="inlineStr">
        <is>
          <t>Orange Punch Mimosa</t>
        </is>
      </c>
      <c r="O146" s="233" t="inlineStr">
        <is>
          <t>227-10-K-26, (11.09.2026) [FHM-K]</t>
        </is>
      </c>
      <c r="P146" s="238" t="inlineStr">
        <is>
          <t>—</t>
        </is>
      </c>
      <c r="Q146" s="233" t="inlineStr">
        <is>
          <t>—</t>
        </is>
      </c>
      <c r="R146" s="233" t="inlineStr">
        <is>
          <t>CoQ reissue (assigned on issue)</t>
        </is>
      </c>
      <c r="S146" s="233" t="inlineStr">
        <is>
          <t>P060222|R</t>
        </is>
      </c>
      <c r="T146" s="241" t="inlineStr">
        <is>
          <t>not yet issuable — sampled — retest assay on file, mycotoxins pending; iCoA tested 19.08.2026, issued 24.08.2026 · issued 7 days after the latest retest certificate once the assay, the mycotoxins and the iCoA exist</t>
        </is>
      </c>
    </row>
    <row r="147">
      <c r="A147" s="233">
        <f>IF(C147="yes",COUNT(A$1:A146)+1,"")</f>
        <v/>
      </c>
      <c r="B147" s="234">
        <f>IF(A147&lt;&gt;"","CoQ-PP_26-"&amp;TEXT(A147,"000"),"— at issue —")</f>
        <v/>
      </c>
      <c r="C147" s="238" t="inlineStr">
        <is>
          <t>no</t>
        </is>
      </c>
      <c r="D147" s="235">
        <f>IF(A147="","",MAX(E147,IF(ISNUMBER(I147),I147,0),IFERROR(IF(ISNUMBER(INDEX('iCoA Register'!$F:$F,MATCH(S147,'iCoA Register'!$AA:$AA,0))),INDEX('iCoA Register'!$F:$F,MATCH(S147,'iCoA Register'!$AA:$AA,0)),0),0)))</f>
        <v/>
      </c>
      <c r="E147" s="235">
        <f>IF(ISNUMBER(F147),MAX(DATE(2026,6,6),F147+7),"— awaiting the retest certificates —")</f>
        <v/>
      </c>
      <c r="F147" s="235" t="n">
        <v>46276</v>
      </c>
      <c r="G147" s="233" t="inlineStr">
        <is>
          <t>220-19-M-26</t>
        </is>
      </c>
      <c r="H147" s="233">
        <f>IFERROR(INDEX('iCoA Register'!$B:$B,MATCH("P060172|R",'iCoA Register'!$AA:$AA,0)),"—")</f>
        <v/>
      </c>
      <c r="I147" s="235">
        <f>IFERROR(INDEX('iCoA Register'!$D:$D,MATCH("P060172|R",'iCoA Register'!$AA:$AA,0)),"")</f>
        <v/>
      </c>
      <c r="J147" s="233" t="inlineStr">
        <is>
          <t>legacy</t>
        </is>
      </c>
      <c r="K147" s="233" t="inlineStr">
        <is>
          <t>retest — Tranche 2 (sampled 12–14.08.2026)</t>
        </is>
      </c>
      <c r="L147" s="234" t="inlineStr">
        <is>
          <t>KC102501</t>
        </is>
      </c>
      <c r="M147" s="233" t="inlineStr">
        <is>
          <t>P060172</t>
        </is>
      </c>
      <c r="N147" s="233" t="inlineStr">
        <is>
          <t>Kush Crasher</t>
        </is>
      </c>
      <c r="O147" s="238" t="inlineStr">
        <is>
          <t>— retest assay not yet on file —</t>
        </is>
      </c>
      <c r="P147" s="238" t="inlineStr">
        <is>
          <t>—</t>
        </is>
      </c>
      <c r="Q147" s="233" t="inlineStr">
        <is>
          <t>—</t>
        </is>
      </c>
      <c r="R147" s="233" t="inlineStr">
        <is>
          <t>CoQ reissue (assigned on issue)</t>
        </is>
      </c>
      <c r="S147" s="233" t="inlineStr">
        <is>
          <t>P060172|R</t>
        </is>
      </c>
      <c r="T147" s="241" t="inlineStr">
        <is>
          <t>not yet issuable — sampled — mycotoxins on file, retest assay pending; iCoA tested 13.08.2026, issued 17.08.2026 · issued 7 days after the latest retest certificate once the assay, the mycotoxins and the iCoA exist</t>
        </is>
      </c>
    </row>
    <row r="148">
      <c r="A148" s="233">
        <f>IF(C148="yes",COUNT(A$1:A147)+1,"")</f>
        <v/>
      </c>
      <c r="B148" s="234">
        <f>IF(A148&lt;&gt;"","CoQ-PP_26-"&amp;TEXT(A148,"000"),"— at issue —")</f>
        <v/>
      </c>
      <c r="C148" s="238" t="inlineStr">
        <is>
          <t>no</t>
        </is>
      </c>
      <c r="D148" s="235">
        <f>IF(A148="","",MAX(E148,IF(ISNUMBER(I148),I148,0),IFERROR(IF(ISNUMBER(INDEX('iCoA Register'!$F:$F,MATCH(S148,'iCoA Register'!$AA:$AA,0))),INDEX('iCoA Register'!$F:$F,MATCH(S148,'iCoA Register'!$AA:$AA,0)),0),0)))</f>
        <v/>
      </c>
      <c r="E148" s="235">
        <f>IF(ISNUMBER(F148),MAX(DATE(2026,6,6),F148+7),"— awaiting the retest certificates —")</f>
        <v/>
      </c>
      <c r="F148" s="235" t="n">
        <v>46276</v>
      </c>
      <c r="G148" s="233" t="inlineStr">
        <is>
          <t>227-16-K-26</t>
        </is>
      </c>
      <c r="H148" s="233">
        <f>IFERROR(INDEX('iCoA Register'!$B:$B,MATCH("P060182|R",'iCoA Register'!$AA:$AA,0)),"—")</f>
        <v/>
      </c>
      <c r="I148" s="235">
        <f>IFERROR(INDEX('iCoA Register'!$D:$D,MATCH("P060182|R",'iCoA Register'!$AA:$AA,0)),"")</f>
        <v/>
      </c>
      <c r="J148" s="233" t="inlineStr">
        <is>
          <t>legacy</t>
        </is>
      </c>
      <c r="K148" s="233" t="inlineStr">
        <is>
          <t>retest — Tranche 2 (sampled 12–14.08.2026)</t>
        </is>
      </c>
      <c r="L148" s="234" t="inlineStr">
        <is>
          <t>GRC102501</t>
        </is>
      </c>
      <c r="M148" s="233" t="inlineStr">
        <is>
          <t>P060182</t>
        </is>
      </c>
      <c r="N148" s="233" t="inlineStr">
        <is>
          <t>Graps &amp; Creme</t>
        </is>
      </c>
      <c r="O148" s="238" t="inlineStr">
        <is>
          <t>— retest assay not yet on file —</t>
        </is>
      </c>
      <c r="P148" s="238" t="inlineStr">
        <is>
          <t>—</t>
        </is>
      </c>
      <c r="Q148" s="233" t="inlineStr">
        <is>
          <t>—</t>
        </is>
      </c>
      <c r="R148" s="233" t="inlineStr">
        <is>
          <t>CoQ reissue (assigned on issue)</t>
        </is>
      </c>
      <c r="S148" s="233" t="inlineStr">
        <is>
          <t>P060182|R</t>
        </is>
      </c>
      <c r="T148" s="241" t="inlineStr">
        <is>
          <t>not yet issuable — sampled — mycotoxins on file, retest assay pending; iCoA tested 13.08.2026, issued 17.08.2026 · issued 7 days after the latest retest certificate once the assay, the mycotoxins and the iCoA exist</t>
        </is>
      </c>
    </row>
    <row r="149">
      <c r="A149" s="233">
        <f>IF(C149="yes",COUNT(A$1:A148)+1,"")</f>
        <v/>
      </c>
      <c r="B149" s="234">
        <f>IF(A149&lt;&gt;"","CoQ-PP_26-"&amp;TEXT(A149,"000"),"— at issue —")</f>
        <v/>
      </c>
      <c r="C149" s="238" t="inlineStr">
        <is>
          <t>no</t>
        </is>
      </c>
      <c r="D149" s="235">
        <f>IF(A149="","",MAX(E149,IF(ISNUMBER(I149),I149,0),IFERROR(IF(ISNUMBER(INDEX('iCoA Register'!$F:$F,MATCH(S149,'iCoA Register'!$AA:$AA,0))),INDEX('iCoA Register'!$F:$F,MATCH(S149,'iCoA Register'!$AA:$AA,0)),0),0)))</f>
        <v/>
      </c>
      <c r="E149" s="235">
        <f>IF(ISNUMBER(F149),MAX(DATE(2026,6,6),F149+7),"— awaiting the retest certificates —")</f>
        <v/>
      </c>
      <c r="F149" s="235" t="n">
        <v>46276</v>
      </c>
      <c r="G149" s="233" t="inlineStr">
        <is>
          <t>227-14-K-26</t>
        </is>
      </c>
      <c r="H149" s="233">
        <f>IFERROR(INDEX('iCoA Register'!$B:$B,MATCH("P060202|R2",'iCoA Register'!$AA:$AA,0)),"—")</f>
        <v/>
      </c>
      <c r="I149" s="235">
        <f>IFERROR(INDEX('iCoA Register'!$D:$D,MATCH("P060202|R2",'iCoA Register'!$AA:$AA,0)),"")</f>
        <v/>
      </c>
      <c r="J149" s="233" t="inlineStr">
        <is>
          <t>legacy</t>
        </is>
      </c>
      <c r="K149" s="233" t="inlineStr">
        <is>
          <t>retest — Tranche 3 (sampled 19–21.08.2026)</t>
        </is>
      </c>
      <c r="L149" s="234" t="inlineStr">
        <is>
          <t>J31112501</t>
        </is>
      </c>
      <c r="M149" s="233" t="inlineStr">
        <is>
          <t>P060202</t>
        </is>
      </c>
      <c r="N149" s="233" t="inlineStr">
        <is>
          <t>Jokerz 31</t>
        </is>
      </c>
      <c r="O149" s="233" t="inlineStr">
        <is>
          <t>227-14-K-26, (11.09.2026) [FHM-K]</t>
        </is>
      </c>
      <c r="P149" s="238" t="inlineStr">
        <is>
          <t>—</t>
        </is>
      </c>
      <c r="Q149" s="233" t="inlineStr">
        <is>
          <t>—</t>
        </is>
      </c>
      <c r="R149" s="233" t="inlineStr">
        <is>
          <t>CoQ reissue (assigned on issue)</t>
        </is>
      </c>
      <c r="S149" s="233" t="inlineStr">
        <is>
          <t>P060202|R2</t>
        </is>
      </c>
      <c r="T149" s="241" t="inlineStr">
        <is>
          <t>not yet issuable — sampled — retest assay on file, mycotoxins pending; iCoA tested 20.08.2026, issued 24.08.2026 · issued 7 days after the latest retest certificate once the assay, the mycotoxins and the iCoA exist</t>
        </is>
      </c>
    </row>
    <row r="150">
      <c r="A150" s="233">
        <f>IF(C150="yes",COUNT(A$1:A149)+1,"")</f>
        <v/>
      </c>
      <c r="B150" s="234">
        <f>IF(A150&lt;&gt;"","CoQ-PP_26-"&amp;TEXT(A150,"000"),"— at issue —")</f>
        <v/>
      </c>
      <c r="C150" s="238" t="inlineStr">
        <is>
          <t>no</t>
        </is>
      </c>
      <c r="D150" s="235">
        <f>IF(A150="","",MAX(E150,IF(ISNUMBER(I150),I150,0),IFERROR(IF(ISNUMBER(INDEX('iCoA Register'!$F:$F,MATCH(S150,'iCoA Register'!$AA:$AA,0))),INDEX('iCoA Register'!$F:$F,MATCH(S150,'iCoA Register'!$AA:$AA,0)),0),0)))</f>
        <v/>
      </c>
      <c r="E150" s="235">
        <f>IF(ISNUMBER(F150),MAX(DATE(2026,6,6),F150+7),"— awaiting the retest certificates —")</f>
        <v/>
      </c>
      <c r="F150" s="235" t="inlineStr">
        <is>
          <t>— no retest certificate on file —</t>
        </is>
      </c>
      <c r="G150" s="233" t="inlineStr">
        <is>
          <t>—</t>
        </is>
      </c>
      <c r="H150" s="233">
        <f>IFERROR(INDEX('iCoA Register'!$B:$B,MATCH("JD112501|R",'iCoA Register'!$AA:$AA,0)),"—")</f>
        <v/>
      </c>
      <c r="I150" s="235">
        <f>IFERROR(INDEX('iCoA Register'!$D:$D,MATCH("JD112501|R",'iCoA Register'!$AA:$AA,0)),"")</f>
        <v/>
      </c>
      <c r="J150" s="233" t="inlineStr">
        <is>
          <t>—</t>
        </is>
      </c>
      <c r="K150" s="233" t="inlineStr">
        <is>
          <t>retest — not yet sampled</t>
        </is>
      </c>
      <c r="L150" s="234" t="inlineStr">
        <is>
          <t>JD112501＊</t>
        </is>
      </c>
      <c r="M150" s="233" t="inlineStr">
        <is>
          <t>N/A — no P batch assigned</t>
        </is>
      </c>
      <c r="N150" s="233" t="inlineStr">
        <is>
          <t>Jelly Donutz</t>
        </is>
      </c>
      <c r="O150" s="238" t="inlineStr">
        <is>
          <t>— retest assay not yet on file —</t>
        </is>
      </c>
      <c r="P150" s="238" t="inlineStr">
        <is>
          <t>—</t>
        </is>
      </c>
      <c r="Q150" s="233" t="inlineStr">
        <is>
          <t>—</t>
        </is>
      </c>
      <c r="R150" s="233" t="inlineStr">
        <is>
          <t>CoQ reissue (assigned on issue)</t>
        </is>
      </c>
      <c r="S150" s="233" t="inlineStr">
        <is>
          <t>JD112501|R</t>
        </is>
      </c>
      <c r="T150" s="241" t="inlineStr">
        <is>
          <t>not yet issuable — pending — not yet sampled · issued 7 days after the latest retest certificate once the assay, the mycotoxins and the iCoA exist</t>
        </is>
      </c>
    </row>
    <row r="151">
      <c r="A151" s="233">
        <f>IF(C151="yes",COUNT(A$1:A150)+1,"")</f>
        <v/>
      </c>
      <c r="B151" s="234">
        <f>IF(A151&lt;&gt;"","CoQ-PP_26-"&amp;TEXT(A151,"000"),"— at issue —")</f>
        <v/>
      </c>
      <c r="C151" s="238" t="inlineStr">
        <is>
          <t>no</t>
        </is>
      </c>
      <c r="D151" s="235">
        <f>IF(A151="","",MAX(E151,IF(ISNUMBER(I151),I151,0),IFERROR(IF(ISNUMBER(INDEX('iCoA Register'!$F:$F,MATCH(S151,'iCoA Register'!$AA:$AA,0))),INDEX('iCoA Register'!$F:$F,MATCH(S151,'iCoA Register'!$AA:$AA,0)),0),0)))</f>
        <v/>
      </c>
      <c r="E151" s="235">
        <f>IF(ISNUMBER(F151),MAX(DATE(2026,6,6),F151+7),"— awaiting the retest certificates —")</f>
        <v/>
      </c>
      <c r="F151" s="235" t="n">
        <v>46135</v>
      </c>
      <c r="G151" s="233" t="inlineStr">
        <is>
          <t>1628-2026</t>
        </is>
      </c>
      <c r="H151" s="233">
        <f>IFERROR(INDEX('iCoA Register'!$B:$B,MATCH("P060262|R",'iCoA Register'!$AA:$AA,0)),"—")</f>
        <v/>
      </c>
      <c r="I151" s="235">
        <f>IFERROR(INDEX('iCoA Register'!$D:$D,MATCH("P060262|R",'iCoA Register'!$AA:$AA,0)),"")</f>
        <v/>
      </c>
      <c r="J151" s="233" t="inlineStr">
        <is>
          <t>post-SOP</t>
        </is>
      </c>
      <c r="K151" s="233" t="inlineStr">
        <is>
          <t>retest — Tranche 3 (sampled 19–21.08.2026)</t>
        </is>
      </c>
      <c r="L151" s="234" t="inlineStr">
        <is>
          <t>J31122501</t>
        </is>
      </c>
      <c r="M151" s="233" t="inlineStr">
        <is>
          <t>P060262</t>
        </is>
      </c>
      <c r="N151" s="233" t="inlineStr">
        <is>
          <t>Jokerz 31</t>
        </is>
      </c>
      <c r="O151" s="238" t="inlineStr">
        <is>
          <t>— retest assay not yet on file —</t>
        </is>
      </c>
      <c r="P151" s="238" t="inlineStr">
        <is>
          <t>—</t>
        </is>
      </c>
      <c r="Q151" s="233" t="inlineStr">
        <is>
          <t>—</t>
        </is>
      </c>
      <c r="R151" s="233" t="inlineStr">
        <is>
          <t>CoQ reissue (assigned on issue)</t>
        </is>
      </c>
      <c r="S151" s="233" t="inlineStr">
        <is>
          <t>P060262|R</t>
        </is>
      </c>
      <c r="T151" s="241" t="inlineStr">
        <is>
          <t>not yet issuable — sampled — microbiology on file, retest assay pending · issued 7 days after the latest retest certificate once the assay, the mycotoxins and the iCoA exist</t>
        </is>
      </c>
    </row>
    <row r="152">
      <c r="A152" s="233">
        <f>IF(C152="yes",COUNT(A$1:A151)+1,"")</f>
        <v/>
      </c>
      <c r="B152" s="234">
        <f>IF(A152&lt;&gt;"","CoQ-PP_26-"&amp;TEXT(A152,"000"),"— at issue —")</f>
        <v/>
      </c>
      <c r="C152" s="238" t="inlineStr">
        <is>
          <t>no</t>
        </is>
      </c>
      <c r="D152" s="235">
        <f>IF(A152="","",MAX(E152,IF(ISNUMBER(I152),I152,0),IFERROR(IF(ISNUMBER(INDEX('iCoA Register'!$F:$F,MATCH(S152,'iCoA Register'!$AA:$AA,0))),INDEX('iCoA Register'!$F:$F,MATCH(S152,'iCoA Register'!$AA:$AA,0)),0),0)))</f>
        <v/>
      </c>
      <c r="E152" s="235">
        <f>IF(ISNUMBER(F152),MAX(DATE(2026,6,6),F152+7),"— awaiting the retest certificates —")</f>
        <v/>
      </c>
      <c r="F152" s="235" t="n">
        <v>46276</v>
      </c>
      <c r="G152" s="233" t="inlineStr">
        <is>
          <t>220-24-M-26</t>
        </is>
      </c>
      <c r="H152" s="233">
        <f>IFERROR(INDEX('iCoA Register'!$B:$B,MATCH("P060232|R",'iCoA Register'!$AA:$AA,0)),"—")</f>
        <v/>
      </c>
      <c r="I152" s="235">
        <f>IFERROR(INDEX('iCoA Register'!$D:$D,MATCH("P060232|R",'iCoA Register'!$AA:$AA,0)),"")</f>
        <v/>
      </c>
      <c r="J152" s="233" t="inlineStr">
        <is>
          <t>legacy</t>
        </is>
      </c>
      <c r="K152" s="233" t="inlineStr">
        <is>
          <t>retest — Tranche 2 (sampled 12–14.08.2026)</t>
        </is>
      </c>
      <c r="L152" s="234" t="inlineStr">
        <is>
          <t>PM112501</t>
        </is>
      </c>
      <c r="M152" s="233" t="inlineStr">
        <is>
          <t>P060232</t>
        </is>
      </c>
      <c r="N152" s="233" t="inlineStr">
        <is>
          <t>Permanent Marker</t>
        </is>
      </c>
      <c r="O152" s="238" t="inlineStr">
        <is>
          <t>— retest assay not yet on file —</t>
        </is>
      </c>
      <c r="P152" s="238" t="inlineStr">
        <is>
          <t>—</t>
        </is>
      </c>
      <c r="Q152" s="233" t="inlineStr">
        <is>
          <t>—</t>
        </is>
      </c>
      <c r="R152" s="233" t="inlineStr">
        <is>
          <t>CoQ reissue (assigned on issue)</t>
        </is>
      </c>
      <c r="S152" s="233" t="inlineStr">
        <is>
          <t>P060232|R</t>
        </is>
      </c>
      <c r="T152" s="241" t="inlineStr">
        <is>
          <t>not yet issuable — sampled — mycotoxins on file, retest assay pending; iCoA tested 14.08.2026, issued 17.08.2026 · issued 7 days after the latest retest certificate once the assay, the mycotoxins and the iCoA exist</t>
        </is>
      </c>
    </row>
    <row r="153">
      <c r="A153" s="233">
        <f>IF(C153="yes",COUNT(A$1:A152)+1,"")</f>
        <v/>
      </c>
      <c r="B153" s="234">
        <f>IF(A153&lt;&gt;"","CoQ-PP_26-"&amp;TEXT(A153,"000"),"— at issue —")</f>
        <v/>
      </c>
      <c r="C153" s="238" t="inlineStr">
        <is>
          <t>no</t>
        </is>
      </c>
      <c r="D153" s="235">
        <f>IF(A153="","",MAX(E153,IF(ISNUMBER(I153),I153,0),IFERROR(IF(ISNUMBER(INDEX('iCoA Register'!$F:$F,MATCH(S153,'iCoA Register'!$AA:$AA,0))),INDEX('iCoA Register'!$F:$F,MATCH(S153,'iCoA Register'!$AA:$AA,0)),0),0)))</f>
        <v/>
      </c>
      <c r="E153" s="235">
        <f>IF(ISNUMBER(F153),MAX(DATE(2026,6,6),F153+7),"— awaiting the retest certificates —")</f>
        <v/>
      </c>
      <c r="F153" s="235" t="n">
        <v>46276</v>
      </c>
      <c r="G153" s="233" t="inlineStr">
        <is>
          <t>227-25-K-26</t>
        </is>
      </c>
      <c r="H153" s="233">
        <f>IFERROR(INDEX('iCoA Register'!$B:$B,MATCH("P060272|R",'iCoA Register'!$AA:$AA,0)),"—")</f>
        <v/>
      </c>
      <c r="I153" s="235">
        <f>IFERROR(INDEX('iCoA Register'!$D:$D,MATCH("P060272|R",'iCoA Register'!$AA:$AA,0)),"")</f>
        <v/>
      </c>
      <c r="J153" s="233" t="inlineStr">
        <is>
          <t>post-SOP</t>
        </is>
      </c>
      <c r="K153" s="233" t="inlineStr">
        <is>
          <t>retest — Tranche 3 (sampled 19–21.08.2026)</t>
        </is>
      </c>
      <c r="L153" s="234" t="inlineStr">
        <is>
          <t>CC112501</t>
        </is>
      </c>
      <c r="M153" s="233" t="inlineStr">
        <is>
          <t>P060272</t>
        </is>
      </c>
      <c r="N153" s="233" t="inlineStr">
        <is>
          <t>Cash Cow</t>
        </is>
      </c>
      <c r="O153" s="233" t="inlineStr">
        <is>
          <t>227-25-K-26, (11.09.2026) [FHM-K]</t>
        </is>
      </c>
      <c r="P153" s="238" t="inlineStr">
        <is>
          <t>—</t>
        </is>
      </c>
      <c r="Q153" s="233" t="inlineStr">
        <is>
          <t>—</t>
        </is>
      </c>
      <c r="R153" s="233" t="inlineStr">
        <is>
          <t>CoQ reissue (assigned on issue)</t>
        </is>
      </c>
      <c r="S153" s="233" t="inlineStr">
        <is>
          <t>P060272|R</t>
        </is>
      </c>
      <c r="T153" s="241" t="inlineStr">
        <is>
          <t>not yet issuable — sampled — retest assay on file, mycotoxins pending; iCoA tested 21.08.2026, issued 24.08.2026 · issued 7 days after the latest retest certificate once the assay, the mycotoxins and the iCoA exist</t>
        </is>
      </c>
    </row>
    <row r="154">
      <c r="A154" s="233">
        <f>IF(C154="yes",COUNT(A$1:A153)+1,"")</f>
        <v/>
      </c>
      <c r="B154" s="234">
        <f>IF(A154&lt;&gt;"","CoQ-PP_26-"&amp;TEXT(A154,"000"),"— at issue —")</f>
        <v/>
      </c>
      <c r="C154" s="238" t="inlineStr">
        <is>
          <t>no</t>
        </is>
      </c>
      <c r="D154" s="235">
        <f>IF(A154="","",MAX(E154,IF(ISNUMBER(I154),I154,0),IFERROR(IF(ISNUMBER(INDEX('iCoA Register'!$F:$F,MATCH(S154,'iCoA Register'!$AA:$AA,0))),INDEX('iCoA Register'!$F:$F,MATCH(S154,'iCoA Register'!$AA:$AA,0)),0),0)))</f>
        <v/>
      </c>
      <c r="E154" s="235">
        <f>IF(ISNUMBER(F154),MAX(DATE(2026,6,6),F154+7),"— awaiting the retest certificates —")</f>
        <v/>
      </c>
      <c r="F154" s="235" t="n">
        <v>46276</v>
      </c>
      <c r="G154" s="233" t="inlineStr">
        <is>
          <t>227-22-K-26</t>
        </is>
      </c>
      <c r="H154" s="233">
        <f>IFERROR(INDEX('iCoA Register'!$B:$B,MATCH("P060292|R",'iCoA Register'!$AA:$AA,0)),"—")</f>
        <v/>
      </c>
      <c r="I154" s="235">
        <f>IFERROR(INDEX('iCoA Register'!$D:$D,MATCH("P060292|R",'iCoA Register'!$AA:$AA,0)),"")</f>
        <v/>
      </c>
      <c r="J154" s="233" t="inlineStr">
        <is>
          <t>post-SOP</t>
        </is>
      </c>
      <c r="K154" s="233" t="inlineStr">
        <is>
          <t>retest — Tranche 3 (sampled 19–21.08.2026)</t>
        </is>
      </c>
      <c r="L154" s="234" t="inlineStr">
        <is>
          <t>FB112501</t>
        </is>
      </c>
      <c r="M154" s="233" t="inlineStr">
        <is>
          <t>P060292</t>
        </is>
      </c>
      <c r="N154" s="233" t="inlineStr">
        <is>
          <t>Fat Bastard</t>
        </is>
      </c>
      <c r="O154" s="233" t="inlineStr">
        <is>
          <t>227-22-K-26, (11.09.2026) [FHM-K]</t>
        </is>
      </c>
      <c r="P154" s="238" t="inlineStr">
        <is>
          <t>—</t>
        </is>
      </c>
      <c r="Q154" s="233" t="inlineStr">
        <is>
          <t>—</t>
        </is>
      </c>
      <c r="R154" s="233" t="inlineStr">
        <is>
          <t>CoQ reissue (assigned on issue)</t>
        </is>
      </c>
      <c r="S154" s="233" t="inlineStr">
        <is>
          <t>P060292|R</t>
        </is>
      </c>
      <c r="T154" s="241" t="inlineStr">
        <is>
          <t>not yet issuable — sampled — retest assay on file, mycotoxins pending; iCoA tested 21.08.2026, issued 24.08.2026 · issued 7 days after the latest retest certificate once the assay, the mycotoxins and the iCoA exist</t>
        </is>
      </c>
    </row>
    <row r="155">
      <c r="A155" s="233">
        <f>IF(C155="yes",COUNT(A$1:A154)+1,"")</f>
        <v/>
      </c>
      <c r="B155" s="234">
        <f>IF(A155&lt;&gt;"","CoQ-PP_26-"&amp;TEXT(A155,"000"),"— at issue —")</f>
        <v/>
      </c>
      <c r="C155" s="238" t="inlineStr">
        <is>
          <t>no</t>
        </is>
      </c>
      <c r="D155" s="235">
        <f>IF(A155="","",MAX(E155,IF(ISNUMBER(I155),I155,0),IFERROR(IF(ISNUMBER(INDEX('iCoA Register'!$F:$F,MATCH(S155,'iCoA Register'!$AA:$AA,0))),INDEX('iCoA Register'!$F:$F,MATCH(S155,'iCoA Register'!$AA:$AA,0)),0),0)))</f>
        <v/>
      </c>
      <c r="E155" s="235">
        <f>IF(ISNUMBER(F155),MAX(DATE(2026,6,6),F155+7),"— awaiting the retest certificates —")</f>
        <v/>
      </c>
      <c r="F155" s="235" t="n">
        <v>46276</v>
      </c>
      <c r="G155" s="233" t="inlineStr">
        <is>
          <t>227-21-K-26</t>
        </is>
      </c>
      <c r="H155" s="233">
        <f>IFERROR(INDEX('iCoA Register'!$B:$B,MATCH("P060302|R",'iCoA Register'!$AA:$AA,0)),"—")</f>
        <v/>
      </c>
      <c r="I155" s="235">
        <f>IFERROR(INDEX('iCoA Register'!$D:$D,MATCH("P060302|R",'iCoA Register'!$AA:$AA,0)),"")</f>
        <v/>
      </c>
      <c r="J155" s="233" t="inlineStr">
        <is>
          <t>post-SOP</t>
        </is>
      </c>
      <c r="K155" s="233" t="inlineStr">
        <is>
          <t>retest — Tranche 3 (sampled 19–21.08.2026)</t>
        </is>
      </c>
      <c r="L155" s="234" t="inlineStr">
        <is>
          <t>GG012601＊</t>
        </is>
      </c>
      <c r="M155" s="233" t="inlineStr">
        <is>
          <t>P060302</t>
        </is>
      </c>
      <c r="N155" s="233" t="inlineStr">
        <is>
          <t>Gorilla Glue</t>
        </is>
      </c>
      <c r="O155" s="233" t="inlineStr">
        <is>
          <t>227-21-K-26, (11.09.2026) [FHM-K]</t>
        </is>
      </c>
      <c r="P155" s="238" t="inlineStr">
        <is>
          <t>—</t>
        </is>
      </c>
      <c r="Q155" s="233" t="inlineStr">
        <is>
          <t>—</t>
        </is>
      </c>
      <c r="R155" s="233" t="inlineStr">
        <is>
          <t>CoQ reissue (assigned on issue)</t>
        </is>
      </c>
      <c r="S155" s="233" t="inlineStr">
        <is>
          <t>P060302|R</t>
        </is>
      </c>
      <c r="T155" s="241" t="inlineStr">
        <is>
          <t>not yet issuable — sampled — retest assay on file, mycotoxins pending; iCoA tested 21.08.2026, issued 24.08.2026 · issued 7 days after the latest retest certificate once the assay, the mycotoxins and the iCoA exist</t>
        </is>
      </c>
    </row>
    <row r="156">
      <c r="A156" s="233">
        <f>IF(C156="yes",COUNT(A$1:A155)+1,"")</f>
        <v/>
      </c>
      <c r="B156" s="234">
        <f>IF(A156&lt;&gt;"","CoQ-PP_26-"&amp;TEXT(A156,"000"),"— at issue —")</f>
        <v/>
      </c>
      <c r="C156" s="238" t="inlineStr">
        <is>
          <t>no</t>
        </is>
      </c>
      <c r="D156" s="235">
        <f>IF(A156="","",MAX(E156,IF(ISNUMBER(I156),I156,0),IFERROR(IF(ISNUMBER(INDEX('iCoA Register'!$F:$F,MATCH(S156,'iCoA Register'!$AA:$AA,0))),INDEX('iCoA Register'!$F:$F,MATCH(S156,'iCoA Register'!$AA:$AA,0)),0),0)))</f>
        <v/>
      </c>
      <c r="E156" s="235">
        <f>IF(ISNUMBER(F156),MAX(DATE(2026,6,6),F156+7),"— awaiting the retest certificates —")</f>
        <v/>
      </c>
      <c r="F156" s="235" t="n">
        <v>46276</v>
      </c>
      <c r="G156" s="233" t="inlineStr">
        <is>
          <t>227-20-K-26</t>
        </is>
      </c>
      <c r="H156" s="233">
        <f>IFERROR(INDEX('iCoA Register'!$B:$B,MATCH("P060252|R",'iCoA Register'!$AA:$AA,0)),"—")</f>
        <v/>
      </c>
      <c r="I156" s="235">
        <f>IFERROR(INDEX('iCoA Register'!$D:$D,MATCH("P060252|R",'iCoA Register'!$AA:$AA,0)),"")</f>
        <v/>
      </c>
      <c r="J156" s="233" t="inlineStr">
        <is>
          <t>legacy</t>
        </is>
      </c>
      <c r="K156" s="233" t="inlineStr">
        <is>
          <t>retest — Tranche 3 (sampled 19–21.08.2026)</t>
        </is>
      </c>
      <c r="L156" s="234" t="inlineStr">
        <is>
          <t>GG112501</t>
        </is>
      </c>
      <c r="M156" s="233" t="inlineStr">
        <is>
          <t>P060252</t>
        </is>
      </c>
      <c r="N156" s="233" t="inlineStr">
        <is>
          <t>Gorilla Glue</t>
        </is>
      </c>
      <c r="O156" s="233" t="inlineStr">
        <is>
          <t>227-20-K-26, (11.09.2026) [FHM-K]</t>
        </is>
      </c>
      <c r="P156" s="238" t="inlineStr">
        <is>
          <t>—</t>
        </is>
      </c>
      <c r="Q156" s="233" t="inlineStr">
        <is>
          <t>—</t>
        </is>
      </c>
      <c r="R156" s="233" t="inlineStr">
        <is>
          <t>CoQ reissue (assigned on issue)</t>
        </is>
      </c>
      <c r="S156" s="233" t="inlineStr">
        <is>
          <t>P060252|R</t>
        </is>
      </c>
      <c r="T156" s="241" t="inlineStr">
        <is>
          <t>not yet issuable — sampled — retest assay on file, mycotoxins pending; iCoA tested 20.08.2026, issued 24.08.2026 · issued 7 days after the latest retest certificate once the assay, the mycotoxins and the iCoA exist</t>
        </is>
      </c>
    </row>
    <row r="157">
      <c r="A157" s="233">
        <f>IF(C157="yes",COUNT(A$1:A156)+1,"")</f>
        <v/>
      </c>
      <c r="B157" s="234">
        <f>IF(A157&lt;&gt;"","CoQ-PP_26-"&amp;TEXT(A157,"000"),"— at issue —")</f>
        <v/>
      </c>
      <c r="C157" s="238" t="inlineStr">
        <is>
          <t>no</t>
        </is>
      </c>
      <c r="D157" s="235">
        <f>IF(A157="","",MAX(E157,IF(ISNUMBER(I157),I157,0),IFERROR(IF(ISNUMBER(INDEX('iCoA Register'!$F:$F,MATCH(S157,'iCoA Register'!$AA:$AA,0))),INDEX('iCoA Register'!$F:$F,MATCH(S157,'iCoA Register'!$AA:$AA,0)),0),0)))</f>
        <v/>
      </c>
      <c r="E157" s="235">
        <f>IF(ISNUMBER(F157),MAX(DATE(2026,6,6),F157+7),"— awaiting the retest certificates —")</f>
        <v/>
      </c>
      <c r="F157" s="235" t="n">
        <v>46276</v>
      </c>
      <c r="G157" s="233" t="inlineStr">
        <is>
          <t>227-18-K-26</t>
        </is>
      </c>
      <c r="H157" s="233">
        <f>IFERROR(INDEX('iCoA Register'!$B:$B,MATCH("P050202|R5",'iCoA Register'!$AA:$AA,0)),"—")</f>
        <v/>
      </c>
      <c r="I157" s="235">
        <f>IFERROR(INDEX('iCoA Register'!$D:$D,MATCH("P050202|R5",'iCoA Register'!$AA:$AA,0)),"")</f>
        <v/>
      </c>
      <c r="J157" s="233" t="inlineStr">
        <is>
          <t>legacy</t>
        </is>
      </c>
      <c r="K157" s="233" t="inlineStr">
        <is>
          <t>retest — Tranche 3 (sampled 19–21.08.2026)</t>
        </is>
      </c>
      <c r="L157" s="234" t="inlineStr">
        <is>
          <t>GP062501</t>
        </is>
      </c>
      <c r="M157" s="233" t="inlineStr">
        <is>
          <t>P050202</t>
        </is>
      </c>
      <c r="N157" s="233" t="inlineStr">
        <is>
          <t>Grape Pie</t>
        </is>
      </c>
      <c r="O157" s="233" t="inlineStr">
        <is>
          <t>227-18-K-26, (11.09.2026) [FHM-K]</t>
        </is>
      </c>
      <c r="P157" s="238" t="inlineStr">
        <is>
          <t>—</t>
        </is>
      </c>
      <c r="Q157" s="233" t="inlineStr">
        <is>
          <t>—</t>
        </is>
      </c>
      <c r="R157" s="233" t="inlineStr">
        <is>
          <t>CoQ reissue (assigned on issue)</t>
        </is>
      </c>
      <c r="S157" s="233" t="inlineStr">
        <is>
          <t>P050202|R5</t>
        </is>
      </c>
      <c r="T157" s="241" t="inlineStr">
        <is>
          <t>not yet issuable — sampled — retest assay on file, mycotoxins pending; iCoA tested 20.08.2026, issued 24.08.2026 · issued 7 days after the latest retest certificate once the assay, the mycotoxins and the iCoA exist</t>
        </is>
      </c>
    </row>
    <row r="158">
      <c r="A158" s="233">
        <f>IF(C158="yes",COUNT(A$1:A157)+1,"")</f>
        <v/>
      </c>
      <c r="B158" s="234">
        <f>IF(A158&lt;&gt;"","CoQ-PP_26-"&amp;TEXT(A158,"000"),"— at issue —")</f>
        <v/>
      </c>
      <c r="C158" s="238" t="inlineStr">
        <is>
          <t>no</t>
        </is>
      </c>
      <c r="D158" s="235">
        <f>IF(A158="","",MAX(E158,IF(ISNUMBER(I158),I158,0),IFERROR(IF(ISNUMBER(INDEX('iCoA Register'!$F:$F,MATCH(S158,'iCoA Register'!$AA:$AA,0))),INDEX('iCoA Register'!$F:$F,MATCH(S158,'iCoA Register'!$AA:$AA,0)),0),0)))</f>
        <v/>
      </c>
      <c r="E158" s="235">
        <f>IF(ISNUMBER(F158),MAX(DATE(2026,6,6),F158+7),"— awaiting the retest certificates —")</f>
        <v/>
      </c>
      <c r="F158" s="235" t="n">
        <v>46276</v>
      </c>
      <c r="G158" s="233" t="inlineStr">
        <is>
          <t>227-15-K-26</t>
        </is>
      </c>
      <c r="H158" s="233">
        <f>IFERROR(INDEX('iCoA Register'!$B:$B,MATCH("P060312|R",'iCoA Register'!$AA:$AA,0)),"—")</f>
        <v/>
      </c>
      <c r="I158" s="235">
        <f>IFERROR(INDEX('iCoA Register'!$D:$D,MATCH("P060312|R",'iCoA Register'!$AA:$AA,0)),"")</f>
        <v/>
      </c>
      <c r="J158" s="233" t="inlineStr">
        <is>
          <t>post-SOP</t>
        </is>
      </c>
      <c r="K158" s="233" t="inlineStr">
        <is>
          <t>retest — Tranche 3 (sampled 19–21.08.2026)</t>
        </is>
      </c>
      <c r="L158" s="234" t="inlineStr">
        <is>
          <t>JD012601＊</t>
        </is>
      </c>
      <c r="M158" s="233" t="inlineStr">
        <is>
          <t>P060312</t>
        </is>
      </c>
      <c r="N158" s="233" t="inlineStr">
        <is>
          <t>Jelly Donutz</t>
        </is>
      </c>
      <c r="O158" s="233" t="inlineStr">
        <is>
          <t>227-15-K-26, (11.09.2026) [FHM-K]</t>
        </is>
      </c>
      <c r="P158" s="238" t="inlineStr">
        <is>
          <t>—</t>
        </is>
      </c>
      <c r="Q158" s="233" t="inlineStr">
        <is>
          <t>—</t>
        </is>
      </c>
      <c r="R158" s="233" t="inlineStr">
        <is>
          <t>CoQ reissue (assigned on issue)</t>
        </is>
      </c>
      <c r="S158" s="233" t="inlineStr">
        <is>
          <t>P060312|R</t>
        </is>
      </c>
      <c r="T158" s="241" t="inlineStr">
        <is>
          <t>not yet issuable — sampled — retest assay on file, mycotoxins pending; iCoA tested 20.08.2026, issued 24.08.2026 · issued 7 days after the latest retest certificate once the assay, the mycotoxins and the iCoA exist</t>
        </is>
      </c>
    </row>
    <row r="159">
      <c r="A159" s="233">
        <f>IF(C159="yes",COUNT(A$1:A158)+1,"")</f>
        <v/>
      </c>
      <c r="B159" s="234">
        <f>IF(A159&lt;&gt;"","CoQ-PP_26-"&amp;TEXT(A159,"000"),"— at issue —")</f>
        <v/>
      </c>
      <c r="C159" s="238" t="inlineStr">
        <is>
          <t>no</t>
        </is>
      </c>
      <c r="D159" s="235">
        <f>IF(A159="","",MAX(E159,IF(ISNUMBER(I159),I159,0),IFERROR(IF(ISNUMBER(INDEX('iCoA Register'!$F:$F,MATCH(S159,'iCoA Register'!$AA:$AA,0))),INDEX('iCoA Register'!$F:$F,MATCH(S159,'iCoA Register'!$AA:$AA,0)),0),0)))</f>
        <v/>
      </c>
      <c r="E159" s="235">
        <f>IF(ISNUMBER(F159),MAX(DATE(2026,6,6),F159+7),"— awaiting the retest certificates —")</f>
        <v/>
      </c>
      <c r="F159" s="235" t="n">
        <v>46276</v>
      </c>
      <c r="G159" s="233" t="inlineStr">
        <is>
          <t>220-26-M-26</t>
        </is>
      </c>
      <c r="H159" s="233">
        <f>IFERROR(INDEX('iCoA Register'!$B:$B,MATCH("P060282|R",'iCoA Register'!$AA:$AA,0)),"—")</f>
        <v/>
      </c>
      <c r="I159" s="235">
        <f>IFERROR(INDEX('iCoA Register'!$D:$D,MATCH("P060282|R",'iCoA Register'!$AA:$AA,0)),"")</f>
        <v/>
      </c>
      <c r="J159" s="233" t="inlineStr">
        <is>
          <t>post-SOP</t>
        </is>
      </c>
      <c r="K159" s="233" t="inlineStr">
        <is>
          <t>retest — Tranche 2 (sampled 12–14.08.2026)</t>
        </is>
      </c>
      <c r="L159" s="234" t="inlineStr">
        <is>
          <t>SCR112501</t>
        </is>
      </c>
      <c r="M159" s="233" t="inlineStr">
        <is>
          <t>P060282</t>
        </is>
      </c>
      <c r="N159" s="233" t="inlineStr">
        <is>
          <t>Scrambler</t>
        </is>
      </c>
      <c r="O159" s="238" t="inlineStr">
        <is>
          <t>— retest assay not yet on file —</t>
        </is>
      </c>
      <c r="P159" s="238" t="inlineStr">
        <is>
          <t>—</t>
        </is>
      </c>
      <c r="Q159" s="233" t="inlineStr">
        <is>
          <t>—</t>
        </is>
      </c>
      <c r="R159" s="233" t="inlineStr">
        <is>
          <t>CoQ reissue (assigned on issue)</t>
        </is>
      </c>
      <c r="S159" s="233" t="inlineStr">
        <is>
          <t>P060282|R</t>
        </is>
      </c>
      <c r="T159" s="241" t="inlineStr">
        <is>
          <t>not yet issuable — sampled — mycotoxins on file, retest assay pending; iCoA tested 14.08.2026, issued 17.08.2026 · issued 7 days after the latest retest certificate once the assay, the mycotoxins and the iCoA exist</t>
        </is>
      </c>
    </row>
    <row r="160">
      <c r="A160" s="233">
        <f>IF(C160="yes",COUNT(A$1:A159)+1,"")</f>
        <v/>
      </c>
      <c r="B160" s="234">
        <f>IF(A160&lt;&gt;"","CoQ-PP_26-"&amp;TEXT(A160,"000"),"— at issue —")</f>
        <v/>
      </c>
      <c r="C160" s="238" t="inlineStr">
        <is>
          <t>no</t>
        </is>
      </c>
      <c r="D160" s="235">
        <f>IF(A160="","",MAX(E160,IF(ISNUMBER(I160),I160,0),IFERROR(IF(ISNUMBER(INDEX('iCoA Register'!$F:$F,MATCH(S160,'iCoA Register'!$AA:$AA,0))),INDEX('iCoA Register'!$F:$F,MATCH(S160,'iCoA Register'!$AA:$AA,0)),0),0)))</f>
        <v/>
      </c>
      <c r="E160" s="235">
        <f>IF(ISNUMBER(F160),MAX(DATE(2026,6,6),F160+7),"— awaiting the retest certificates —")</f>
        <v/>
      </c>
      <c r="F160" s="235" t="n">
        <v>46276</v>
      </c>
      <c r="G160" s="233" t="inlineStr">
        <is>
          <t>220-8-M-26</t>
        </is>
      </c>
      <c r="H160" s="233">
        <f>IFERROR(INDEX('iCoA Register'!$B:$B,MATCH("P060322|R",'iCoA Register'!$AA:$AA,0)),"—")</f>
        <v/>
      </c>
      <c r="I160" s="235">
        <f>IFERROR(INDEX('iCoA Register'!$D:$D,MATCH("P060322|R",'iCoA Register'!$AA:$AA,0)),"")</f>
        <v/>
      </c>
      <c r="J160" s="233" t="inlineStr">
        <is>
          <t>post-SOP</t>
        </is>
      </c>
      <c r="K160" s="233" t="inlineStr">
        <is>
          <t>retest — Tranche 2 (sampled 12–14.08.2026)</t>
        </is>
      </c>
      <c r="L160" s="234" t="inlineStr">
        <is>
          <t>FB012601_1</t>
        </is>
      </c>
      <c r="M160" s="233" t="inlineStr">
        <is>
          <t>P060322</t>
        </is>
      </c>
      <c r="N160" s="233" t="inlineStr">
        <is>
          <t>Fat Bastard</t>
        </is>
      </c>
      <c r="O160" s="238" t="inlineStr">
        <is>
          <t>— retest assay not yet on file —</t>
        </is>
      </c>
      <c r="P160" s="238" t="inlineStr">
        <is>
          <t>—</t>
        </is>
      </c>
      <c r="Q160" s="233" t="inlineStr">
        <is>
          <t>—</t>
        </is>
      </c>
      <c r="R160" s="233" t="inlineStr">
        <is>
          <t>CoQ reissue (assigned on issue)</t>
        </is>
      </c>
      <c r="S160" s="233" t="inlineStr">
        <is>
          <t>P060322|R</t>
        </is>
      </c>
      <c r="T160" s="241" t="inlineStr">
        <is>
          <t>not yet issuable — sampled — mycotoxins on file, retest assay pending; iCoA tested 12.08.2026, issued 17.08.2026 · issued 7 days after the latest retest certificate once the assay, the mycotoxins and the iCoA exist</t>
        </is>
      </c>
    </row>
    <row r="161">
      <c r="A161" s="233">
        <f>IF(C161="yes",COUNT(A$1:A160)+1,"")</f>
        <v/>
      </c>
      <c r="B161" s="234">
        <f>IF(A161&lt;&gt;"","CoQ-PP_26-"&amp;TEXT(A161,"000"),"— at issue —")</f>
        <v/>
      </c>
      <c r="C161" s="238" t="inlineStr">
        <is>
          <t>no</t>
        </is>
      </c>
      <c r="D161" s="235">
        <f>IF(A161="","",MAX(E161,IF(ISNUMBER(I161),I161,0),IFERROR(IF(ISNUMBER(INDEX('iCoA Register'!$F:$F,MATCH(S161,'iCoA Register'!$AA:$AA,0))),INDEX('iCoA Register'!$F:$F,MATCH(S161,'iCoA Register'!$AA:$AA,0)),0),0)))</f>
        <v/>
      </c>
      <c r="E161" s="235">
        <f>IF(ISNUMBER(F161),MAX(DATE(2026,6,6),F161+7),"— awaiting the retest certificates —")</f>
        <v/>
      </c>
      <c r="F161" s="235" t="n">
        <v>46276</v>
      </c>
      <c r="G161" s="233" t="inlineStr">
        <is>
          <t>220-16-M-26</t>
        </is>
      </c>
      <c r="H161" s="233">
        <f>IFERROR(INDEX('iCoA Register'!$B:$B,MATCH("P060362|R",'iCoA Register'!$AA:$AA,0)),"—")</f>
        <v/>
      </c>
      <c r="I161" s="235">
        <f>IFERROR(INDEX('iCoA Register'!$D:$D,MATCH("P060362|R",'iCoA Register'!$AA:$AA,0)),"")</f>
        <v/>
      </c>
      <c r="J161" s="233" t="inlineStr">
        <is>
          <t>post-SOP</t>
        </is>
      </c>
      <c r="K161" s="233" t="inlineStr">
        <is>
          <t>retest — Tranche 2 (sampled 12–14.08.2026)</t>
        </is>
      </c>
      <c r="L161" s="234" t="inlineStr">
        <is>
          <t>JD012603</t>
        </is>
      </c>
      <c r="M161" s="233" t="inlineStr">
        <is>
          <t>P060362</t>
        </is>
      </c>
      <c r="N161" s="233" t="inlineStr">
        <is>
          <t>Jelly Donutz</t>
        </is>
      </c>
      <c r="O161" s="238" t="inlineStr">
        <is>
          <t>— retest assay not yet on file —</t>
        </is>
      </c>
      <c r="P161" s="238" t="inlineStr">
        <is>
          <t>—</t>
        </is>
      </c>
      <c r="Q161" s="233" t="inlineStr">
        <is>
          <t>—</t>
        </is>
      </c>
      <c r="R161" s="233" t="inlineStr">
        <is>
          <t>CoQ reissue (assigned on issue)</t>
        </is>
      </c>
      <c r="S161" s="233" t="inlineStr">
        <is>
          <t>P060362|R</t>
        </is>
      </c>
      <c r="T161" s="241" t="inlineStr">
        <is>
          <t>not yet issuable — sampled — mycotoxins on file, retest assay pending; iCoA tested 13.08.2026, issued 17.08.2026 · issued 7 days after the latest retest certificate once the assay, the mycotoxins and the iCoA exist</t>
        </is>
      </c>
    </row>
    <row r="162">
      <c r="A162" s="233">
        <f>IF(C162="yes",COUNT(A$1:A161)+1,"")</f>
        <v/>
      </c>
      <c r="B162" s="234">
        <f>IF(A162&lt;&gt;"","CoQ-PP_26-"&amp;TEXT(A162,"000"),"— at issue —")</f>
        <v/>
      </c>
      <c r="C162" s="238" t="inlineStr">
        <is>
          <t>no</t>
        </is>
      </c>
      <c r="D162" s="235">
        <f>IF(A162="","",MAX(E162,IF(ISNUMBER(I162),I162,0),IFERROR(IF(ISNUMBER(INDEX('iCoA Register'!$F:$F,MATCH(S162,'iCoA Register'!$AA:$AA,0))),INDEX('iCoA Register'!$F:$F,MATCH(S162,'iCoA Register'!$AA:$AA,0)),0),0)))</f>
        <v/>
      </c>
      <c r="E162" s="235">
        <f>IF(ISNUMBER(F162),MAX(DATE(2026,6,6),F162+7),"— awaiting the retest certificates —")</f>
        <v/>
      </c>
      <c r="F162" s="235" t="n">
        <v>46276</v>
      </c>
      <c r="G162" s="233" t="inlineStr">
        <is>
          <t>220-16-M-26</t>
        </is>
      </c>
      <c r="H162" s="233">
        <f>IFERROR(INDEX('iCoA Register'!$B:$B,MATCH("P060422|R",'iCoA Register'!$AA:$AA,0)),"—")</f>
        <v/>
      </c>
      <c r="I162" s="235">
        <f>IFERROR(INDEX('iCoA Register'!$D:$D,MATCH("P060422|R",'iCoA Register'!$AA:$AA,0)),"")</f>
        <v/>
      </c>
      <c r="J162" s="233" t="inlineStr">
        <is>
          <t>post-SOP</t>
        </is>
      </c>
      <c r="K162" s="233" t="inlineStr">
        <is>
          <t>retest — Tranche 2 (sampled 12–14.08.2026)</t>
        </is>
      </c>
      <c r="L162" s="234" t="inlineStr">
        <is>
          <t>JD012603</t>
        </is>
      </c>
      <c r="M162" s="233" t="inlineStr">
        <is>
          <t>P060422</t>
        </is>
      </c>
      <c r="N162" s="233" t="inlineStr">
        <is>
          <t>Jelly Donutz</t>
        </is>
      </c>
      <c r="O162" s="238" t="inlineStr">
        <is>
          <t>— retest assay not yet on file —</t>
        </is>
      </c>
      <c r="P162" s="238" t="inlineStr">
        <is>
          <t>—</t>
        </is>
      </c>
      <c r="Q162" s="233" t="inlineStr">
        <is>
          <t>—</t>
        </is>
      </c>
      <c r="R162" s="233" t="inlineStr">
        <is>
          <t>CoQ reissue (assigned on issue)</t>
        </is>
      </c>
      <c r="S162" s="233" t="inlineStr">
        <is>
          <t>P060422|R</t>
        </is>
      </c>
      <c r="T162" s="241" t="inlineStr">
        <is>
          <t>not yet issuable — sampled — mycotoxins on file, retest assay pending; iCoA tested 13.08.2026, issued 17.08.2026 · issued 7 days after the latest retest certificate once the assay, the mycotoxins and the iCoA exist</t>
        </is>
      </c>
    </row>
    <row r="163">
      <c r="A163" s="233">
        <f>IF(C163="yes",COUNT(A$1:A162)+1,"")</f>
        <v/>
      </c>
      <c r="B163" s="234">
        <f>IF(A163&lt;&gt;"","CoQ-PP_26-"&amp;TEXT(A163,"000"),"— at issue —")</f>
        <v/>
      </c>
      <c r="C163" s="238" t="inlineStr">
        <is>
          <t>no</t>
        </is>
      </c>
      <c r="D163" s="235">
        <f>IF(A163="","",MAX(E163,IF(ISNUMBER(I163),I163,0),IFERROR(IF(ISNUMBER(INDEX('iCoA Register'!$F:$F,MATCH(S163,'iCoA Register'!$AA:$AA,0))),INDEX('iCoA Register'!$F:$F,MATCH(S163,'iCoA Register'!$AA:$AA,0)),0),0)))</f>
        <v/>
      </c>
      <c r="E163" s="235">
        <f>IF(ISNUMBER(F163),MAX(DATE(2026,6,6),F163+7),"— awaiting the retest certificates —")</f>
        <v/>
      </c>
      <c r="F163" s="235" t="n">
        <v>46276</v>
      </c>
      <c r="G163" s="233" t="inlineStr">
        <is>
          <t>220-29-M-26</t>
        </is>
      </c>
      <c r="H163" s="233">
        <f>IFERROR(INDEX('iCoA Register'!$B:$B,MATCH("P060372|R",'iCoA Register'!$AA:$AA,0)),"—")</f>
        <v/>
      </c>
      <c r="I163" s="235">
        <f>IFERROR(INDEX('iCoA Register'!$D:$D,MATCH("P060372|R",'iCoA Register'!$AA:$AA,0)),"")</f>
        <v/>
      </c>
      <c r="J163" s="233" t="inlineStr">
        <is>
          <t>post-SOP</t>
        </is>
      </c>
      <c r="K163" s="233" t="inlineStr">
        <is>
          <t>retest — Tranche 2 (sampled 12–14.08.2026)</t>
        </is>
      </c>
      <c r="L163" s="234" t="inlineStr">
        <is>
          <t>CC012603</t>
        </is>
      </c>
      <c r="M163" s="233" t="inlineStr">
        <is>
          <t>P060372</t>
        </is>
      </c>
      <c r="N163" s="233" t="inlineStr">
        <is>
          <t>Cash Cow</t>
        </is>
      </c>
      <c r="O163" s="238" t="inlineStr">
        <is>
          <t>— retest assay not yet on file —</t>
        </is>
      </c>
      <c r="P163" s="238" t="inlineStr">
        <is>
          <t>—</t>
        </is>
      </c>
      <c r="Q163" s="233" t="inlineStr">
        <is>
          <t>—</t>
        </is>
      </c>
      <c r="R163" s="233" t="inlineStr">
        <is>
          <t>CoQ reissue (assigned on issue)</t>
        </is>
      </c>
      <c r="S163" s="233" t="inlineStr">
        <is>
          <t>P060372|R</t>
        </is>
      </c>
      <c r="T163" s="241" t="inlineStr">
        <is>
          <t>not yet issuable — sampled — mycotoxins on file, retest assay pending; iCoA tested 14.08.2026, issued 17.08.2026 · issued 7 days after the latest retest certificate once the assay, the mycotoxins and the iCoA exist</t>
        </is>
      </c>
    </row>
    <row r="164">
      <c r="A164" s="233">
        <f>IF(C164="yes",COUNT(A$1:A163)+1,"")</f>
        <v/>
      </c>
      <c r="B164" s="234">
        <f>IF(A164&lt;&gt;"","CoQ-PP_26-"&amp;TEXT(A164,"000"),"— at issue —")</f>
        <v/>
      </c>
      <c r="C164" s="238" t="inlineStr">
        <is>
          <t>no</t>
        </is>
      </c>
      <c r="D164" s="235">
        <f>IF(A164="","",MAX(E164,IF(ISNUMBER(I164),I164,0),IFERROR(IF(ISNUMBER(INDEX('iCoA Register'!$F:$F,MATCH(S164,'iCoA Register'!$AA:$AA,0))),INDEX('iCoA Register'!$F:$F,MATCH(S164,'iCoA Register'!$AA:$AA,0)),0),0)))</f>
        <v/>
      </c>
      <c r="E164" s="235">
        <f>IF(ISNUMBER(F164),MAX(DATE(2026,6,6),F164+7),"— awaiting the retest certificates —")</f>
        <v/>
      </c>
      <c r="F164" s="235" t="n">
        <v>46276</v>
      </c>
      <c r="G164" s="233" t="inlineStr">
        <is>
          <t>220-16-M-26</t>
        </is>
      </c>
      <c r="H164" s="233">
        <f>IFERROR(INDEX('iCoA Register'!$B:$B,MATCH("P060412|R",'iCoA Register'!$AA:$AA,0)),"—")</f>
        <v/>
      </c>
      <c r="I164" s="235">
        <f>IFERROR(INDEX('iCoA Register'!$D:$D,MATCH("P060412|R",'iCoA Register'!$AA:$AA,0)),"")</f>
        <v/>
      </c>
      <c r="J164" s="233" t="inlineStr">
        <is>
          <t>post-SOP</t>
        </is>
      </c>
      <c r="K164" s="233" t="inlineStr">
        <is>
          <t>retest — Tranche 2 (sampled 12–14.08.2026)</t>
        </is>
      </c>
      <c r="L164" s="234" t="inlineStr">
        <is>
          <t>JD012603</t>
        </is>
      </c>
      <c r="M164" s="233" t="inlineStr">
        <is>
          <t>P060412</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P060412|R</t>
        </is>
      </c>
      <c r="T164" s="241" t="inlineStr">
        <is>
          <t>not yet issuable — sampled — mycotoxins on file, retest assay pending; iCoA tested 13.08.2026, issued 17.08.2026 · issued 7 days after the latest retest certificate once the assay, the mycotoxins and the iCoA exist</t>
        </is>
      </c>
    </row>
    <row r="165">
      <c r="A165" s="233">
        <f>IF(C165="yes",COUNT(A$1:A164)+1,"")</f>
        <v/>
      </c>
      <c r="B165" s="234">
        <f>IF(A165&lt;&gt;"","CoQ-PP_26-"&amp;TEXT(A165,"000"),"— at issue —")</f>
        <v/>
      </c>
      <c r="C165" s="238" t="inlineStr">
        <is>
          <t>no</t>
        </is>
      </c>
      <c r="D165" s="235">
        <f>IF(A165="","",MAX(E165,IF(ISNUMBER(I165),I165,0),IFERROR(IF(ISNUMBER(INDEX('iCoA Register'!$F:$F,MATCH(S165,'iCoA Register'!$AA:$AA,0))),INDEX('iCoA Register'!$F:$F,MATCH(S165,'iCoA Register'!$AA:$AA,0)),0),0)))</f>
        <v/>
      </c>
      <c r="E165" s="235">
        <f>IF(ISNUMBER(F165),MAX(DATE(2026,6,6),F165+7),"— awaiting the retest certificates —")</f>
        <v/>
      </c>
      <c r="F165" s="235" t="n">
        <v>46276</v>
      </c>
      <c r="G165" s="233" t="inlineStr">
        <is>
          <t>227-24-K-26</t>
        </is>
      </c>
      <c r="H165" s="233">
        <f>IFERROR(INDEX('iCoA Register'!$B:$B,MATCH("P060432|R",'iCoA Register'!$AA:$AA,0)),"—")</f>
        <v/>
      </c>
      <c r="I165" s="235">
        <f>IFERROR(INDEX('iCoA Register'!$D:$D,MATCH("P060432|R",'iCoA Register'!$AA:$AA,0)),"")</f>
        <v/>
      </c>
      <c r="J165" s="233" t="inlineStr">
        <is>
          <t>post-SOP</t>
        </is>
      </c>
      <c r="K165" s="233" t="inlineStr">
        <is>
          <t>retest — Tranche 3 (sampled 19–21.08.2026)</t>
        </is>
      </c>
      <c r="L165" s="234" t="inlineStr">
        <is>
          <t>FB012603</t>
        </is>
      </c>
      <c r="M165" s="233" t="inlineStr">
        <is>
          <t>P060432</t>
        </is>
      </c>
      <c r="N165" s="233" t="inlineStr">
        <is>
          <t>Fat Bastard</t>
        </is>
      </c>
      <c r="O165" s="233" t="inlineStr">
        <is>
          <t>227-24-K-26, (11.09.2026) [FHM-K]</t>
        </is>
      </c>
      <c r="P165" s="238" t="inlineStr">
        <is>
          <t>—</t>
        </is>
      </c>
      <c r="Q165" s="233" t="inlineStr">
        <is>
          <t>—</t>
        </is>
      </c>
      <c r="R165" s="233" t="inlineStr">
        <is>
          <t>CoQ reissue (assigned on issue)</t>
        </is>
      </c>
      <c r="S165" s="233" t="inlineStr">
        <is>
          <t>P060432|R</t>
        </is>
      </c>
      <c r="T165" s="241" t="inlineStr">
        <is>
          <t>not yet issuable — sampled — retest assay on file, mycotoxins pending; iCoA tested 21.08.2026, issued 24.08.2026 · issued 7 days after the latest retest certificate once the assay, the mycotoxins and the iCoA exist</t>
        </is>
      </c>
    </row>
    <row r="166">
      <c r="A166" s="233">
        <f>IF(C166="yes",COUNT(A$1:A165)+1,"")</f>
        <v/>
      </c>
      <c r="B166" s="234">
        <f>IF(A166&lt;&gt;"","CoQ-PP_26-"&amp;TEXT(A166,"000"),"— at issue —")</f>
        <v/>
      </c>
      <c r="C166" s="238" t="inlineStr">
        <is>
          <t>no</t>
        </is>
      </c>
      <c r="D166" s="235">
        <f>IF(A166="","",MAX(E166,IF(ISNUMBER(I166),I166,0),IFERROR(IF(ISNUMBER(INDEX('iCoA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227-23-K-26</t>
        </is>
      </c>
      <c r="H166" s="233">
        <f>IFERROR(INDEX('iCoA Register'!$B:$B,MATCH("P060392|R",'iCoA Register'!$AA:$AA,0)),"—")</f>
        <v/>
      </c>
      <c r="I166" s="235">
        <f>IFERROR(INDEX('iCoA Register'!$D:$D,MATCH("P060392|R",'iCoA Register'!$AA:$AA,0)),"")</f>
        <v/>
      </c>
      <c r="J166" s="233" t="inlineStr">
        <is>
          <t>post-SOP</t>
        </is>
      </c>
      <c r="K166" s="233" t="inlineStr">
        <is>
          <t>retest — Tranche 3 (sampled 19–21.08.2026)</t>
        </is>
      </c>
      <c r="L166" s="234" t="inlineStr">
        <is>
          <t>FB012603V</t>
        </is>
      </c>
      <c r="M166" s="233" t="inlineStr">
        <is>
          <t>P060392</t>
        </is>
      </c>
      <c r="N166" s="233" t="inlineStr">
        <is>
          <t>Fat Bastard</t>
        </is>
      </c>
      <c r="O166" s="233" t="inlineStr">
        <is>
          <t>227-23-K-26, (11.09.2026) [FHM-K]</t>
        </is>
      </c>
      <c r="P166" s="238" t="inlineStr">
        <is>
          <t>—</t>
        </is>
      </c>
      <c r="Q166" s="233" t="inlineStr">
        <is>
          <t>—</t>
        </is>
      </c>
      <c r="R166" s="233" t="inlineStr">
        <is>
          <t>CoQ reissue (assigned on issue)</t>
        </is>
      </c>
      <c r="S166" s="233" t="inlineStr">
        <is>
          <t>P060392|R</t>
        </is>
      </c>
      <c r="T166" s="241" t="inlineStr">
        <is>
          <t>not yet issuable — sampled — retest assay on file, mycotoxins pending; iCoA tested 21.08.2026, issued 24.08.2026 · issued 7 days after the latest retest certificate once the assay, the mycotoxins and the iCoA exist</t>
        </is>
      </c>
    </row>
    <row r="167">
      <c r="A167" s="233">
        <f>IF(C167="yes",COUNT(A$1:A166)+1,"")</f>
        <v/>
      </c>
      <c r="B167" s="234">
        <f>IF(A167&lt;&gt;"","CoQ-PP_26-"&amp;TEXT(A167,"000"),"— at issue —")</f>
        <v/>
      </c>
      <c r="C167" s="238" t="inlineStr">
        <is>
          <t>no</t>
        </is>
      </c>
      <c r="D167" s="235">
        <f>IF(A167="","",MAX(E167,IF(ISNUMBER(I167),I167,0),IFERROR(IF(ISNUMBER(INDEX('iCoA Register'!$F:$F,MATCH(S167,'iCoA Register'!$AA:$AA,0))),INDEX('iCoA Register'!$F:$F,MATCH(S167,'iCoA Register'!$AA:$AA,0)),0),0)))</f>
        <v/>
      </c>
      <c r="E167" s="235">
        <f>IF(ISNUMBER(F167),MAX(DATE(2026,6,6),F167+7),"— awaiting the retest certificates —")</f>
        <v/>
      </c>
      <c r="F167" s="235" t="inlineStr">
        <is>
          <t>— no retest certificate on file —</t>
        </is>
      </c>
      <c r="G167" s="233" t="inlineStr">
        <is>
          <t>—</t>
        </is>
      </c>
      <c r="H167" s="233">
        <f>IFERROR(INDEX('iCoA Register'!$B:$B,MATCH("P060482|R",'iCoA Register'!$AA:$AA,0)),"—")</f>
        <v/>
      </c>
      <c r="I167" s="235">
        <f>IFERROR(INDEX('iCoA Register'!$D:$D,MATCH("P060482|R",'iCoA Register'!$AA:$AA,0)),"")</f>
        <v/>
      </c>
      <c r="J167" s="233" t="inlineStr">
        <is>
          <t>post-SOP</t>
        </is>
      </c>
      <c r="K167" s="233" t="inlineStr">
        <is>
          <t>retest — not yet sampled</t>
        </is>
      </c>
      <c r="L167" s="234" t="inlineStr">
        <is>
          <t>JD022601</t>
        </is>
      </c>
      <c r="M167" s="233" t="inlineStr">
        <is>
          <t>P060482</t>
        </is>
      </c>
      <c r="N167" s="233" t="inlineStr">
        <is>
          <t>Jelly Donutz</t>
        </is>
      </c>
      <c r="O167" s="238" t="inlineStr">
        <is>
          <t>— retest assay not yet on file —</t>
        </is>
      </c>
      <c r="P167" s="238" t="inlineStr">
        <is>
          <t>—</t>
        </is>
      </c>
      <c r="Q167" s="233" t="inlineStr">
        <is>
          <t>—</t>
        </is>
      </c>
      <c r="R167" s="233" t="inlineStr">
        <is>
          <t>CoQ reissue (assigned on issue)</t>
        </is>
      </c>
      <c r="S167" s="233" t="inlineStr">
        <is>
          <t>P060482|R</t>
        </is>
      </c>
      <c r="T167" s="241" t="inlineStr">
        <is>
          <t>not yet issuable — pending — not yet sampled · issued 7 days after the latest retest certificate once the assay, the mycotoxins and the iCoA exist</t>
        </is>
      </c>
    </row>
    <row r="168">
      <c r="A168" s="233">
        <f>IF(C168="yes",COUNT(A$1:A167)+1,"")</f>
        <v/>
      </c>
      <c r="B168" s="234">
        <f>IF(A168&lt;&gt;"","CoQ-PP_26-"&amp;TEXT(A168,"000"),"— at issue —")</f>
        <v/>
      </c>
      <c r="C168" s="238" t="inlineStr">
        <is>
          <t>no</t>
        </is>
      </c>
      <c r="D168" s="235">
        <f>IF(A168="","",MAX(E168,IF(ISNUMBER(I168),I168,0),IFERROR(IF(ISNUMBER(INDEX('iCoA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227-7-K-26</t>
        </is>
      </c>
      <c r="H168" s="233">
        <f>IFERROR(INDEX('iCoA Register'!$B:$B,MATCH("P060442|R",'iCoA Register'!$AA:$AA,0)),"—")</f>
        <v/>
      </c>
      <c r="I168" s="235">
        <f>IFERROR(INDEX('iCoA Register'!$D:$D,MATCH("P060442|R",'iCoA Register'!$AA:$AA,0)),"")</f>
        <v/>
      </c>
      <c r="J168" s="233" t="inlineStr">
        <is>
          <t>post-SOP</t>
        </is>
      </c>
      <c r="K168" s="233" t="inlineStr">
        <is>
          <t>retest — Tranche 3 (sampled 19–21.08.2026)</t>
        </is>
      </c>
      <c r="L168" s="234" t="inlineStr">
        <is>
          <t>SCR022601</t>
        </is>
      </c>
      <c r="M168" s="233" t="inlineStr">
        <is>
          <t>P060442</t>
        </is>
      </c>
      <c r="N168" s="233" t="inlineStr">
        <is>
          <t>Scrambler</t>
        </is>
      </c>
      <c r="O168" s="233" t="inlineStr">
        <is>
          <t>227-7-K-26, (11.09.2026) [FHM-K]</t>
        </is>
      </c>
      <c r="P168" s="238" t="inlineStr">
        <is>
          <t>—</t>
        </is>
      </c>
      <c r="Q168" s="233" t="inlineStr">
        <is>
          <t>—</t>
        </is>
      </c>
      <c r="R168" s="233" t="inlineStr">
        <is>
          <t>CoQ reissue (assigned on issue)</t>
        </is>
      </c>
      <c r="S168" s="233" t="inlineStr">
        <is>
          <t>P060442|R</t>
        </is>
      </c>
      <c r="T168" s="241" t="inlineStr">
        <is>
          <t>not yet issuable — sampled — retest assay on file, mycotoxins pending; iCoA tested 19.08.2026, issued 24.08.2026 · issued 7 days after the latest retest certificate once the assay, the mycotoxins and the iCoA exist</t>
        </is>
      </c>
    </row>
    <row r="169">
      <c r="A169" s="233">
        <f>IF(C169="yes",COUNT(A$1:A168)+1,"")</f>
        <v/>
      </c>
      <c r="B169" s="234">
        <f>IF(A169&lt;&gt;"","CoQ-PP_26-"&amp;TEXT(A169,"000"),"— at issue —")</f>
        <v/>
      </c>
      <c r="C169" s="238" t="inlineStr">
        <is>
          <t>no</t>
        </is>
      </c>
      <c r="D169" s="235">
        <f>IF(A169="","",MAX(E169,IF(ISNUMBER(I169),I169,0),IFERROR(IF(ISNUMBER(INDEX('iCoA Register'!$F:$F,MATCH(S169,'iCoA Register'!$AA:$AA,0))),INDEX('iCoA Register'!$F:$F,MATCH(S169,'iCoA Register'!$AA:$AA,0)),0),0)))</f>
        <v/>
      </c>
      <c r="E169" s="235">
        <f>IF(ISNUMBER(F169),MAX(DATE(2026,6,6),F169+7),"— awaiting the retest certificates —")</f>
        <v/>
      </c>
      <c r="F169" s="235" t="inlineStr">
        <is>
          <t>— no retest certificate on file —</t>
        </is>
      </c>
      <c r="G169" s="233" t="inlineStr">
        <is>
          <t>—</t>
        </is>
      </c>
      <c r="H169" s="233">
        <f>IFERROR(INDEX('iCoA Register'!$B:$B,MATCH("P160012|R",'iCoA Register'!$AA:$AA,0)),"—")</f>
        <v/>
      </c>
      <c r="I169" s="235">
        <f>IFERROR(INDEX('iCoA Register'!$D:$D,MATCH("P160012|R",'iCoA Register'!$AA:$AA,0)),"")</f>
        <v/>
      </c>
      <c r="J169" s="233" t="inlineStr">
        <is>
          <t>—</t>
        </is>
      </c>
      <c r="K169" s="233" t="inlineStr">
        <is>
          <t>retest — not yet sampled</t>
        </is>
      </c>
      <c r="L169" s="234" t="inlineStr">
        <is>
          <t>— not recorded — (P160012)</t>
        </is>
      </c>
      <c r="M169" s="233" t="inlineStr">
        <is>
          <t>P160012</t>
        </is>
      </c>
      <c r="N169" s="233" t="inlineStr"/>
      <c r="O169" s="238" t="inlineStr">
        <is>
          <t>— retest assay not yet on file —</t>
        </is>
      </c>
      <c r="P169" s="238" t="inlineStr">
        <is>
          <t>—</t>
        </is>
      </c>
      <c r="Q169" s="233" t="inlineStr">
        <is>
          <t>—</t>
        </is>
      </c>
      <c r="R169" s="233" t="inlineStr">
        <is>
          <t>CoQ reissue (assigned on issue)</t>
        </is>
      </c>
      <c r="S169" s="233" t="inlineStr">
        <is>
          <t>P160012|R</t>
        </is>
      </c>
      <c r="T169" s="241" t="inlineStr">
        <is>
          <t>not yet issuable — pending — not yet sampled · issued 7 days after the latest retest certificate once the assay, the mycotoxins and the iCoA exist</t>
        </is>
      </c>
    </row>
    <row r="170">
      <c r="A170" s="233">
        <f>IF(C170="yes",COUNT(A$1:A169)+1,"")</f>
        <v/>
      </c>
      <c r="B170" s="234">
        <f>IF(A170&lt;&gt;"","CoQ-PP_26-"&amp;TEXT(A170,"000"),"— at issue —")</f>
        <v/>
      </c>
      <c r="C170" s="238" t="inlineStr">
        <is>
          <t>no</t>
        </is>
      </c>
      <c r="D170" s="235">
        <f>IF(A170="","",MAX(E170,IF(ISNUMBER(I170),I170,0),IFERROR(IF(ISNUMBER(INDEX('iCoA Register'!$F:$F,MATCH(S170,'iCoA Register'!$AA:$AA,0))),INDEX('iCoA Register'!$F:$F,MATCH(S170,'iCoA Register'!$AA:$AA,0)),0),0)))</f>
        <v/>
      </c>
      <c r="E170" s="235">
        <f>IF(ISNUMBER(F170),MAX(DATE(2026,6,6),F170+7),"— awaiting the retest certificates —")</f>
        <v/>
      </c>
      <c r="F170" s="235" t="inlineStr">
        <is>
          <t>— no retest certificate on file —</t>
        </is>
      </c>
      <c r="G170" s="233" t="inlineStr">
        <is>
          <t>—</t>
        </is>
      </c>
      <c r="H170" s="233">
        <f>IFERROR(INDEX('iCoA Register'!$B:$B,MATCH("P160022|R",'iCoA Register'!$AA:$AA,0)),"—")</f>
        <v/>
      </c>
      <c r="I170" s="235">
        <f>IFERROR(INDEX('iCoA Register'!$D:$D,MATCH("P160022|R",'iCoA Register'!$AA:$AA,0)),"")</f>
        <v/>
      </c>
      <c r="J170" s="233" t="inlineStr">
        <is>
          <t>—</t>
        </is>
      </c>
      <c r="K170" s="233" t="inlineStr">
        <is>
          <t>retest — not yet sampled</t>
        </is>
      </c>
      <c r="L170" s="234" t="inlineStr">
        <is>
          <t>— not recorded — (P160022)</t>
        </is>
      </c>
      <c r="M170" s="233" t="inlineStr">
        <is>
          <t>P160022</t>
        </is>
      </c>
      <c r="N170" s="233" t="inlineStr"/>
      <c r="O170" s="238" t="inlineStr">
        <is>
          <t>— retest assay not yet on file —</t>
        </is>
      </c>
      <c r="P170" s="238" t="inlineStr">
        <is>
          <t>—</t>
        </is>
      </c>
      <c r="Q170" s="233" t="inlineStr">
        <is>
          <t>—</t>
        </is>
      </c>
      <c r="R170" s="233" t="inlineStr">
        <is>
          <t>CoQ reissue (assigned on issue)</t>
        </is>
      </c>
      <c r="S170" s="233" t="inlineStr">
        <is>
          <t>P160022|R</t>
        </is>
      </c>
      <c r="T170" s="241" t="inlineStr">
        <is>
          <t>not yet issuable — pending — not yet sampled · issued 7 days after the latest retest certificate once the assay, the mycotoxins and the iCoA exist</t>
        </is>
      </c>
    </row>
    <row r="171">
      <c r="A171" s="233">
        <f>IF(C171="yes",COUNT(A$1:A170)+1,"")</f>
        <v/>
      </c>
      <c r="B171" s="234">
        <f>IF(A171&lt;&gt;"","CoQ-PP_26-"&amp;TEXT(A171,"000"),"— at issue —")</f>
        <v/>
      </c>
      <c r="C171" s="238" t="inlineStr">
        <is>
          <t>no</t>
        </is>
      </c>
      <c r="D171" s="235">
        <f>IF(A171="","",MAX(E171,IF(ISNUMBER(I171),I171,0),IFERROR(IF(ISNUMBER(INDEX('iCoA Register'!$F:$F,MATCH(S171,'iCoA Register'!$AA:$AA,0))),INDEX('iCoA Register'!$F:$F,MATCH(S171,'iCoA Register'!$AA:$AA,0)),0),0)))</f>
        <v/>
      </c>
      <c r="E171" s="235">
        <f>IF(ISNUMBER(F171),MAX(DATE(2026,6,6),F171+7),"— awaiting the retest certificates —")</f>
        <v/>
      </c>
      <c r="F171" s="235" t="inlineStr">
        <is>
          <t>— no retest certificate on file —</t>
        </is>
      </c>
      <c r="G171" s="233" t="inlineStr">
        <is>
          <t>—</t>
        </is>
      </c>
      <c r="H171" s="233">
        <f>IFERROR(INDEX('iCoA Register'!$B:$B,MATCH("P160032|R",'iCoA Register'!$AA:$AA,0)),"—")</f>
        <v/>
      </c>
      <c r="I171" s="235">
        <f>IFERROR(INDEX('iCoA Register'!$D:$D,MATCH("P160032|R",'iCoA Register'!$AA:$AA,0)),"")</f>
        <v/>
      </c>
      <c r="J171" s="233" t="inlineStr">
        <is>
          <t>—</t>
        </is>
      </c>
      <c r="K171" s="233" t="inlineStr">
        <is>
          <t>retest — not yet sampled</t>
        </is>
      </c>
      <c r="L171" s="234" t="inlineStr">
        <is>
          <t>— not recorded — (P160032)</t>
        </is>
      </c>
      <c r="M171" s="233" t="inlineStr">
        <is>
          <t>P160032</t>
        </is>
      </c>
      <c r="N171" s="233" t="inlineStr"/>
      <c r="O171" s="238" t="inlineStr">
        <is>
          <t>— retest assay not yet on file —</t>
        </is>
      </c>
      <c r="P171" s="238" t="inlineStr">
        <is>
          <t>—</t>
        </is>
      </c>
      <c r="Q171" s="233" t="inlineStr">
        <is>
          <t>—</t>
        </is>
      </c>
      <c r="R171" s="233" t="inlineStr">
        <is>
          <t>CoQ reissue (assigned on issue)</t>
        </is>
      </c>
      <c r="S171" s="233" t="inlineStr">
        <is>
          <t>P160032|R</t>
        </is>
      </c>
      <c r="T171" s="241" t="inlineStr">
        <is>
          <t>not yet issuable — pending — not yet sampled · issued 7 days after the latest retest certificate once the assay, the mycotoxins and the iCoA exist</t>
        </is>
      </c>
    </row>
    <row r="172">
      <c r="A172" s="233">
        <f>IF(C172="yes",COUNT(A$1:A171)+1,"")</f>
        <v/>
      </c>
      <c r="B172" s="234">
        <f>IF(A172&lt;&gt;"","CoQ-PP_26-"&amp;TEXT(A172,"000"),"— at issue —")</f>
        <v/>
      </c>
      <c r="C172" s="238" t="inlineStr">
        <is>
          <t>no</t>
        </is>
      </c>
      <c r="D172" s="235">
        <f>IF(A172="","",MAX(E172,IF(ISNUMBER(I172),I172,0),IFERROR(IF(ISNUMBER(INDEX('iCoA Register'!$F:$F,MATCH(S172,'iCoA Register'!$AA:$AA,0))),INDEX('iCoA Register'!$F:$F,MATCH(S172,'iCoA Register'!$AA:$AA,0)),0),0)))</f>
        <v/>
      </c>
      <c r="E172" s="235">
        <f>IF(ISNUMBER(F172),MAX(DATE(2026,6,6),F172+7),"— awaiting the retest certificates —")</f>
        <v/>
      </c>
      <c r="F172" s="235" t="inlineStr">
        <is>
          <t>— no retest certificate on file —</t>
        </is>
      </c>
      <c r="G172" s="233" t="inlineStr">
        <is>
          <t>—</t>
        </is>
      </c>
      <c r="H172" s="233">
        <f>IFERROR(INDEX('iCoA Register'!$B:$B,MATCH("P060452|R",'iCoA Register'!$AA:$AA,0)),"—")</f>
        <v/>
      </c>
      <c r="I172" s="235">
        <f>IFERROR(INDEX('iCoA Register'!$D:$D,MATCH("P060452|R",'iCoA Register'!$AA:$AA,0)),"")</f>
        <v/>
      </c>
      <c r="J172" s="233" t="inlineStr">
        <is>
          <t>post-SOP</t>
        </is>
      </c>
      <c r="K172" s="233" t="inlineStr">
        <is>
          <t>retest — not yet sampled</t>
        </is>
      </c>
      <c r="L172" s="234" t="inlineStr">
        <is>
          <t>FB032601</t>
        </is>
      </c>
      <c r="M172" s="233" t="inlineStr">
        <is>
          <t>P060452</t>
        </is>
      </c>
      <c r="N172" s="233" t="inlineStr">
        <is>
          <t>Fat Bastard</t>
        </is>
      </c>
      <c r="O172" s="238" t="inlineStr">
        <is>
          <t>— retest assay not yet on file —</t>
        </is>
      </c>
      <c r="P172" s="238" t="inlineStr">
        <is>
          <t>—</t>
        </is>
      </c>
      <c r="Q172" s="233" t="inlineStr">
        <is>
          <t>—</t>
        </is>
      </c>
      <c r="R172" s="233" t="inlineStr">
        <is>
          <t>CoQ reissue (assigned on issue)</t>
        </is>
      </c>
      <c r="S172" s="233" t="inlineStr">
        <is>
          <t>P060452|R</t>
        </is>
      </c>
      <c r="T172" s="241" t="inlineStr">
        <is>
          <t>not yet issuable — pending — not yet sampled · issued 7 days after the latest retest certificate once the assay, the mycotoxins and the iCoA exist</t>
        </is>
      </c>
    </row>
    <row r="173">
      <c r="A173" s="233">
        <f>IF(C173="yes",COUNT(A$1:A172)+1,"")</f>
        <v/>
      </c>
      <c r="B173" s="234">
        <f>IF(A173&lt;&gt;"","CoQ-PP_26-"&amp;TEXT(A173,"000"),"— at issue —")</f>
        <v/>
      </c>
      <c r="C173" s="238" t="inlineStr">
        <is>
          <t>no</t>
        </is>
      </c>
      <c r="D173" s="235">
        <f>IF(A173="","",MAX(E173,IF(ISNUMBER(I173),I173,0),IFERROR(IF(ISNUMBER(INDEX('iCoA Register'!$F:$F,MATCH(S173,'iCoA Register'!$AA:$AA,0))),INDEX('iCoA Register'!$F:$F,MATCH(S173,'iCoA Register'!$AA:$AA,0)),0),0)))</f>
        <v/>
      </c>
      <c r="E173" s="235">
        <f>IF(ISNUMBER(F173),MAX(DATE(2026,6,6),F173+7),"— awaiting the retest certificates —")</f>
        <v/>
      </c>
      <c r="F173" s="235" t="inlineStr">
        <is>
          <t>— no retest certificate on file —</t>
        </is>
      </c>
      <c r="G173" s="233" t="inlineStr">
        <is>
          <t>—</t>
        </is>
      </c>
      <c r="H173" s="233">
        <f>IFERROR(INDEX('iCoA Register'!$B:$B,MATCH("P060462|R",'iCoA Register'!$AA:$AA,0)),"—")</f>
        <v/>
      </c>
      <c r="I173" s="235">
        <f>IFERROR(INDEX('iCoA Register'!$D:$D,MATCH("P060462|R",'iCoA Register'!$AA:$AA,0)),"")</f>
        <v/>
      </c>
      <c r="J173" s="233" t="inlineStr">
        <is>
          <t>post-SOP</t>
        </is>
      </c>
      <c r="K173" s="233" t="inlineStr">
        <is>
          <t>retest — not yet sampled</t>
        </is>
      </c>
      <c r="L173" s="234" t="inlineStr">
        <is>
          <t>GG032601</t>
        </is>
      </c>
      <c r="M173" s="233" t="inlineStr">
        <is>
          <t>P060462</t>
        </is>
      </c>
      <c r="N173" s="233" t="inlineStr">
        <is>
          <t>Gorilla Glue</t>
        </is>
      </c>
      <c r="O173" s="238" t="inlineStr">
        <is>
          <t>— retest assay not yet on file —</t>
        </is>
      </c>
      <c r="P173" s="238" t="inlineStr">
        <is>
          <t>—</t>
        </is>
      </c>
      <c r="Q173" s="233" t="inlineStr">
        <is>
          <t>—</t>
        </is>
      </c>
      <c r="R173" s="233" t="inlineStr">
        <is>
          <t>CoQ reissue (assigned on issue)</t>
        </is>
      </c>
      <c r="S173" s="233" t="inlineStr">
        <is>
          <t>P060462|R</t>
        </is>
      </c>
      <c r="T173" s="241" t="inlineStr">
        <is>
          <t>not yet issuable — pending — not yet sampled · issued 7 days after the latest retest certificate once the assay, the mycotoxins and the iCoA exist</t>
        </is>
      </c>
    </row>
    <row r="174"/>
    <row r="175" ht="150" customHeight="1" s="70">
      <c r="A175"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in this build; Tranche 2 waits for its potency certificates and Tranche 3 for its mycotoxin certificates. FORMULAS: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#10 — only the retest 220-9-M-26 of 11.09.2026; the legacy CoQ cannot cite it (Head of QC to rule: report as not tested at initial testing, or wait for the reissue) | P060142: no initial certificate for #9, #10 — only the retest 550-1081-26 of 01.09.2026 / 220-14-M-26 of 11.09.2026; the legacy CoQ cannot cite it (Head of QC to rule: report as not tested at initial testing, or wait for the reissue) | P060182: no initial certificate for #9, #10 — only the retest 550-1081-26 of 01.09.2026 /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#10 — only the retest 220-16-M-26 of 11.09.2026; the post-SOP CoQ cannot cite it (Head of QC to rule: report as not tested at initial testing, or wait for the reissue) | P060412: no initial certificate for #10 — only the retest 220-16-M-26 of 11.09.2026; the post-SOP CoQ cannot cite it (Head of QC to rule: report as not tested at initial testing, or wait for the reissue) | P060422: no initial certificate for #10 — only the retest 220-16-M-26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#10 — only the retest 220-1-M-26 of 11.09.2026; the legacy CoQ cannot cite it (Head of QC to rule: report as not tested at initial testing, or wait for the reissue) | P060132: no initial certificate for #10 — only the retest 220-6-M-26 of 11.09.2026; the legacy CoQ cannot cite it (Head of QC to rule: report as not tested at initial testing, or wait for the reissue) | P060112: no initial certificate for #10 — only the retest 220-25-M-26 of 11.09.2026; the legacy CoQ cannot cite it (Head of QC to rule: report as not tested at initial testing, or wait for the reissue) | P060372: no initial certificate on file — the CoQ keeps its planned number with a provisional date 06.06.2026 | P060372: no initial certificate for #10 — only the retest 220-29-M-26 of 11.09.2026; the post-SOP CoQ cannot cite it (Head of QC to rule: report as not tested at initial testing, or wait for the reissue) | P060492: no initial certificate on file — the CoQ keeps its planned number with a provisional date 13.08.2026 | P060492: no initial certificate for #10 — only the retest 220-30-M-26 of 11.09.2026; the post-SOP CoQ cannot cite it (Head of QC to rule: report as not tested at initial testing, or wait for the reissue) | FB042601: no initial certificate for #10 — only the retest 220-31-M-26 of 11.09.2026; the — CoQ cannot cite it (Head of QC to rule: report as not tested at initial testing, or wait for the reissue) | CC042601: no initial certificate for #10 — only the retest 220-32-M-26 of 11.09.2026; the — CoQ cannot cite it (Head of QC to rule: report as not tested at initial testing, or wait for the reissue)</t>
        </is>
      </c>
    </row>
  </sheetData>
  <mergeCells count="1">
    <mergeCell ref="A175:T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860"/>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52"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2" t="inlineStr">
        <is>
          <t>READ ME</t>
        </is>
      </c>
    </row>
    <row r="2">
      <c r="A2" s="243" t="inlineStr">
        <is>
          <t>CoQ Analysis Master — v28</t>
        </is>
      </c>
    </row>
    <row r="3" ht="39" customHeight="1" s="70">
      <c r="A3" s="244" t="inlineStr">
        <is>
          <t>What it is</t>
        </is>
      </c>
      <c r="B3" s="245"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46" t="inlineStr">
        <is>
          <t>SHEETS</t>
        </is>
      </c>
    </row>
    <row r="6" ht="52" customHeight="1" s="70">
      <c r="A6" s="244" t="inlineStr">
        <is>
          <t>Batch Coverage</t>
        </is>
      </c>
      <c r="B6" s="245"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44" t="inlineStr">
        <is>
          <t>CoQ Parameter Tracker v28</t>
        </is>
      </c>
      <c r="B7" s="245"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44" t="inlineStr">
        <is>
          <t>Batch Dates</t>
        </is>
      </c>
      <c r="B8" s="245" t="inlineStr">
        <is>
          <t>The Head of QC's harvest and packaging dates per batch (04.09.2026), as dates; the registers look their packaging dates up here.</t>
        </is>
      </c>
    </row>
    <row r="9" ht="39" customHeight="1" s="70">
      <c r="A9" s="244" t="inlineStr">
        <is>
          <t>iCoA Register</t>
        </is>
      </c>
      <c r="B9" s="245"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26" customHeight="1" s="70">
      <c r="A10" s="244" t="inlineStr">
        <is>
          <t>CoQ Register</t>
        </is>
      </c>
      <c r="B10" s="245" t="inlineStr">
        <is>
          <t>The preliminary CoQ issuance register: CoQ-PP_26-nnn in the order of issue, the latest eCoA each CoQ cites, its iCoA, the adherence flags under the table.</t>
        </is>
      </c>
    </row>
    <row r="11" ht="13" customHeight="1" s="70">
      <c r="A11" s="244" t="inlineStr">
        <is>
          <t>Parameters</t>
        </is>
      </c>
      <c r="B11" s="245" t="inlineStr">
        <is>
          <t>The 21 determinations with method, global acceptance criterion, source and tracker columns.</t>
        </is>
      </c>
    </row>
    <row r="12" ht="52" customHeight="1" s="70">
      <c r="A12" s="244" t="inlineStr">
        <is>
          <t>Reference</t>
        </is>
      </c>
      <c r="B12" s="245"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3" ht="39" customHeight="1" s="70">
      <c r="A13" s="244" t="inlineStr">
        <is>
          <t>(folded in)</t>
        </is>
      </c>
      <c r="B13" s="245"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Summary Dashboard.</t>
        </is>
      </c>
    </row>
    <row r="14">
      <c r="A14" s="90" t="n"/>
      <c r="B14" s="89" t="n"/>
    </row>
    <row r="15">
      <c r="A15" s="247" t="inlineStr">
        <is>
          <t>LEGEND (tracker and coverage)</t>
        </is>
      </c>
      <c r="B15" s="89" t="n"/>
    </row>
    <row r="16" ht="13" customHeight="1" s="70">
      <c r="A16" s="248" t="inlineStr">
        <is>
          <t>✓ green</t>
        </is>
      </c>
      <c r="B16" s="245" t="inlineStr">
        <is>
          <t>A certificate is on file and its value is on the desk: an outsourced certificate (eCoA) or the in-house iCoA.</t>
        </is>
      </c>
    </row>
    <row r="17" ht="26" customHeight="1" s="70">
      <c r="A17" s="249" t="inlineStr">
        <is>
          <t>✓ grey</t>
        </is>
      </c>
      <c r="B17" s="245" t="inlineStr">
        <is>
          <t>Covered by the in-house iCoA only (identification A, identification B, foreign matter, tested at Purely Plant at packaging): coverage for the release CoQ (Head of QC, 04.09.2026).</t>
        </is>
      </c>
    </row>
    <row r="18" ht="13" customHeight="1" s="70">
      <c r="A18" s="250" t="inlineStr">
        <is>
          <t>✓ orange</t>
        </is>
      </c>
      <c r="B18" s="245" t="inlineStr">
        <is>
          <t>Stability-timepoint certificate — its value is not a release result.</t>
        </is>
      </c>
    </row>
    <row r="19" ht="26" customHeight="1" s="70">
      <c r="A19" s="244" t="inlineStr">
        <is>
          <t>✗ amber</t>
        </is>
      </c>
      <c r="B19" s="245" t="inlineStr">
        <is>
          <t>Certificate credited on the tracker, but the desk holds no value for this determination from it — the determination is not on that certificate, or the certificate never entered the record.</t>
        </is>
      </c>
    </row>
    <row r="20" ht="13" customHeight="1" s="70">
      <c r="A20" s="244" t="inlineStr">
        <is>
          <t>✗ red</t>
        </is>
      </c>
      <c r="B20" s="245" t="inlineStr">
        <is>
          <t>No certificate credited for the parameter.</t>
        </is>
      </c>
    </row>
    <row r="21" ht="26" customHeight="1" s="70">
      <c r="A21" s="244" t="inlineStr">
        <is>
          <t>•</t>
        </is>
      </c>
      <c r="B21" s="245" t="inlineStr">
        <is>
          <t>A document on file that is not credited for the parameter (an old in-house Report of Analysis, an NGP form, the QCCoA 001 certificate): shown, not coverage.</t>
        </is>
      </c>
    </row>
    <row r="22" ht="26" customHeight="1" s="70">
      <c r="A22" s="244" t="inlineStr">
        <is>
          <t>Conforms (ImB spec.)</t>
        </is>
      </c>
      <c r="B22" s="245" t="inlineStr">
        <is>
          <t>Identification C: conforms to the ImB specification on the certificate that carries the cannabinoid assay; the CoQ cites that eCoA (Head of QC, 04.09.2026).</t>
        </is>
      </c>
    </row>
    <row r="23" ht="13" customHeight="1" s="70">
      <c r="A23" s="244" t="inlineStr">
        <is>
          <t>Red result</t>
        </is>
      </c>
      <c r="B23" s="245" t="inlineStr">
        <is>
          <t>Out of specification against the global acceptance criterion (row 3). Orange: undetermined (a Ph. Eur. band the result sits in).</t>
        </is>
      </c>
    </row>
    <row r="24">
      <c r="A24" s="88" t="n"/>
      <c r="B24" s="89" t="n"/>
    </row>
    <row r="25">
      <c r="A25" s="246" t="inlineStr">
        <is>
          <t>CONVENTIONS</t>
        </is>
      </c>
      <c r="B25" s="89" t="n"/>
    </row>
    <row r="26" ht="26" customHeight="1" s="70">
      <c r="A26" s="244" t="inlineStr">
        <is>
          <t>Batch names</t>
        </is>
      </c>
      <c r="B26" s="245" t="inlineStr">
        <is>
          <t>CU batch as the owner names it; a sub-lot digit belongs to the batch (FB012601_1), never to the certificate code; an asterisk (JD112501＊) marks a lot of its own. The laboratory prints the zero of a P-number as a letter O (PO60052); it is folded to P060052.</t>
        </is>
      </c>
    </row>
    <row r="27" ht="26" customHeight="1" s="70">
      <c r="A27" s="244" t="inlineStr">
        <is>
          <t>Certificate codes</t>
        </is>
      </c>
      <c r="B27" s="245" t="inlineStr">
        <is>
          <t>As printed on the certificate (Cyrillic ППК codes kept). [Lab]: CNP (Faculty of Pharmacy, Center for Natural Products), IJZ-MB / IPH (Institute of Public Health), FHM-K / FHM-M (Farmahem), PP (Purely Plant, in-house).</t>
        </is>
      </c>
    </row>
    <row r="28" ht="13" customHeight="1" s="70">
      <c r="A28" s="244" t="inlineStr">
        <is>
          <t>Dates</t>
        </is>
      </c>
      <c r="B28" s="245" t="inlineStr">
        <is>
          <t>DD.MM.YYYY. The Batch Dates and register sheets hold real dates; the tracker prints them as text inside the reference.</t>
        </is>
      </c>
    </row>
    <row r="29" ht="26" customHeight="1" s="70">
      <c r="A29" s="244" t="inlineStr">
        <is>
          <t>Results</t>
        </is>
      </c>
      <c r="B29" s="245" t="inlineStr">
        <is>
          <t>Numeric results with the certificate's printed precision; qualitative results as text (Conforms, absent, &lt;LOQ, ND). A microbiological range (&lt; 10³ и &gt; 10²) is judged by its upper bound.</t>
        </is>
      </c>
    </row>
    <row r="30" ht="13" customHeight="1" s="70">
      <c r="A30" s="244" t="inlineStr">
        <is>
          <t>OOS check</t>
        </is>
      </c>
      <c r="B30" s="245" t="inlineStr">
        <is>
          <t>A result is flagged only when it provably exceeds its criterion; ND, &lt;LOQ, &lt;10 and absent pass; a value that cannot be parsed is never flagged.</t>
        </is>
      </c>
    </row>
    <row r="31" ht="26" customHeight="1" s="70">
      <c r="A31" s="244" t="inlineStr">
        <is>
          <t>Formulas</t>
        </is>
      </c>
      <c r="B31" s="245" t="inlineStr">
        <is>
          <t>On the two registers the number, the code and the dates are formulas, and the iCoA Issuance sheet and the tracker's in-house cells look the registers up by key: insert a row and every code beneath moves by one.</t>
        </is>
      </c>
    </row>
    <row r="32" ht="13" customHeight="1" s="70">
      <c r="A32" s="244" t="inlineStr">
        <is>
          <t>Print</t>
        </is>
      </c>
      <c r="B32" s="245" t="inlineStr">
        <is>
          <t>Every sheet: landscape, A3, one page wide, the header rows repeated; panes frozen under the header.</t>
        </is>
      </c>
    </row>
    <row r="33" ht="26" customHeight="1" s="70">
      <c r="A33" s="244" t="inlineStr">
        <is>
          <t>Do not</t>
        </is>
      </c>
      <c r="B33" s="245" t="inlineStr">
        <is>
          <t>read counts from the eCOA_DB text layer. On five of six certificates checked it read the exponent or a digit too low, every time in the direction of a conforming result.</t>
        </is>
      </c>
    </row>
    <row r="35">
      <c r="A35" s="246" t="inlineStr">
        <is>
          <t>RULINGS IN FORCE (Head of QC)</t>
        </is>
      </c>
    </row>
    <row r="36" ht="39" customHeight="1" s="70">
      <c r="A36" s="244" t="inlineStr">
        <is>
          <t>04.09.2026 · iCoA</t>
        </is>
      </c>
      <c r="B36" s="245"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7" ht="13" customHeight="1" s="70">
      <c r="A37" s="244" t="inlineStr">
        <is>
          <t>04.09.2026 · Ident C</t>
        </is>
      </c>
      <c r="B37" s="245" t="inlineStr">
        <is>
          <t>Identification C is 'Conforms', referenced to the eCoA that covers Total THC (the cannabinoid assay); for a Farmahem lot the K certificate.</t>
        </is>
      </c>
    </row>
    <row r="38" ht="13" customHeight="1" s="70">
      <c r="A38" s="244" t="inlineStr">
        <is>
          <t>04.09.2026 · decisions</t>
        </is>
      </c>
      <c r="B38" s="245" t="inlineStr">
        <is>
          <t>The two bile-tolerant gram-negative rows the reads disagreed on: P060262 &lt; 10³ и &gt; 10² CFU/g, P060432 &lt; 10² и &gt; 10 CFU/g (decisions_2026-09-04.tsv).</t>
        </is>
      </c>
    </row>
    <row r="39" ht="52" customHeight="1" s="70">
      <c r="A39" s="244" t="inlineStr">
        <is>
          <t>05.09.2026 · issuance</t>
        </is>
      </c>
      <c r="B39" s="245"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0" ht="117" customHeight="1" s="70">
      <c r="A40" s="244" t="inlineStr">
        <is>
          <t>15.09.2026 · retest sampling and the reissued CoQ</t>
        </is>
      </c>
      <c r="B40" s="245"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1" ht="52" customHeight="1" s="70">
      <c r="A41" s="244" t="inlineStr">
        <is>
          <t>05.09.2026 · retest</t>
        </is>
      </c>
      <c r="B41" s="245"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2" ht="26" customHeight="1" s="70">
      <c r="A42" s="244" t="inlineStr">
        <is>
          <t>05.09.2026 · missing</t>
        </is>
      </c>
      <c r="B42" s="245" t="inlineStr">
        <is>
          <t>A production lot whose initial certificate for a determination is not on file keeps its planned CoQ and number: the initial testing exists at CNP (microbiology: IJZ) and the certificate is to be located (Work Order).</t>
        </is>
      </c>
    </row>
    <row r="43" ht="39" customHeight="1" s="70">
      <c r="A43" s="244" t="inlineStr">
        <is>
          <t>09.09.2026 · reconciliation</t>
        </is>
      </c>
      <c r="B43" s="245"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4" ht="39" customHeight="1" s="70">
      <c r="A44" s="244" t="inlineStr">
        <is>
          <t>10.09.2026 · release vs retest</t>
        </is>
      </c>
      <c r="B44" s="245"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5" ht="52" customHeight="1" s="70">
      <c r="A45" s="244" t="inlineStr">
        <is>
          <t>10.09.2026 · issuance dates</t>
        </is>
      </c>
      <c r="B45" s="245"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6" ht="52" customHeight="1" s="70">
      <c r="A46" s="244" t="inlineStr">
        <is>
          <t>10.09.2026 · internal CoA scope</t>
        </is>
      </c>
      <c r="B46" s="245"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7" ht="39" customHeight="1" s="70">
      <c r="A47" s="244" t="inlineStr">
        <is>
          <t>10.09.2026 · untested analytes</t>
        </is>
      </c>
      <c r="B47" s="245"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48" ht="26" customHeight="1" s="70">
      <c r="A48" s="244" t="inlineStr">
        <is>
          <t>10.09.2026 · conformity wording</t>
        </is>
      </c>
      <c r="B48" s="245"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49" ht="26" customHeight="1" s="70">
      <c r="A49" s="244" t="inlineStr">
        <is>
          <t>11.09.2026 · packaging date</t>
        </is>
      </c>
      <c r="B49" s="245" t="inlineStr">
        <is>
          <t>A batch packaged over more than one day is tested — and its internal certificate dated — on the FIRST day of that window, not the day packaging completed.</t>
        </is>
      </c>
    </row>
    <row r="51">
      <c r="A51" s="246" t="inlineStr">
        <is>
          <t>VERSION HISTORY</t>
        </is>
      </c>
    </row>
    <row r="52" ht="26" customHeight="1" s="70">
      <c r="A52" s="244" t="inlineStr">
        <is>
          <t>v7</t>
        </is>
      </c>
      <c r="B52" s="245" t="inlineStr">
        <is>
          <t>The two-row block tracker: one lot per block, certificates stacked in date order, sub-determinations in their own columns, acceptance criteria in row 3 and enforced, out-of-specification results in red and named in STATUS.</t>
        </is>
      </c>
    </row>
    <row r="53" ht="26" customHeight="1" s="70">
      <c r="A53" s="244" t="inlineStr">
        <is>
          <t>v9</t>
        </is>
      </c>
      <c r="B53" s="245" t="inlineStr">
        <is>
          <t>Verified and slimmed to live in Drive: every decision-bearing value checked against the filed page (review/V8_TRUTH_CHECK_2026-09-02.md); three sheets of v8 (a flat results register, a flat tracker, a document index) were retired to the repository.</t>
        </is>
      </c>
    </row>
    <row r="54" ht="26" customHeight="1" s="70">
      <c r="A54" s="244" t="inlineStr">
        <is>
          <t>v10</t>
        </is>
      </c>
      <c r="B54" s="245" t="inlineStr">
        <is>
          <t>The 30 IJZ-MB certificates of 31.08 and 01.09.2026 as testing instances credited to #9; the iCoA rule; the Head of QC's harvest and packaging dates (Batch Dates); one iCoA per P lot; the iCoA Issuance sheet.</t>
        </is>
      </c>
    </row>
    <row r="55" ht="26" customHeight="1" s="70">
      <c r="A55" s="244" t="inlineStr">
        <is>
          <t>v11</t>
        </is>
      </c>
      <c r="B55" s="245"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6" ht="26" customHeight="1" s="70">
      <c r="A56" s="244" t="inlineStr">
        <is>
          <t>v12</t>
        </is>
      </c>
      <c r="B56" s="245" t="inlineStr">
        <is>
          <t>The Delivery T1–T3 sheet: the 78 cultivation batches delivered in the three tranches of 31.07, 14.08 and 28.08.2026, each against its row on Batch Coverage.</t>
        </is>
      </c>
    </row>
    <row r="57" ht="26" customHeight="1" s="70">
      <c r="A57" s="244" t="inlineStr">
        <is>
          <t>v13</t>
        </is>
      </c>
      <c r="B57" s="245" t="inlineStr">
        <is>
          <t>The strain ruling (Cap Junky, Head of QC 07.09.2026) and the ImB Register: the customer's own certificate register, scanned 04.09.2026, 43 entries against their desk lots.</t>
        </is>
      </c>
    </row>
    <row r="58" ht="13" customHeight="1" s="70">
      <c r="A58" s="244" t="inlineStr">
        <is>
          <t>v20</t>
        </is>
      </c>
      <c r="B58" s="245" t="inlineStr">
        <is>
          <t>The owner's own workbook, built outside this pipeline and vendored in as the base for everything after it — not a version this desk produced.</t>
        </is>
      </c>
    </row>
    <row r="59" ht="26" customHeight="1" s="70">
      <c r="A59" s="244" t="inlineStr">
        <is>
          <t>v21</t>
        </is>
      </c>
      <c r="B59" s="245" t="inlineStr">
        <is>
          <t>The owner's v20 pass reconciled in: 387 certificates, all 600 determinations of Tranches 1 and 2 resolved through cell_resolution.py; 69 cells filled, 0 non-blank cells overwritten.</t>
        </is>
      </c>
    </row>
    <row r="60" ht="26" customHeight="1" s="70">
      <c r="A60" s="244" t="inlineStr">
        <is>
          <t>v22</t>
        </is>
      </c>
      <c r="B60" s="245" t="inlineStr">
        <is>
          <t>The rulings of 10.09.2026 written into the workbook's own live Excel formulas: release-versus-retest by position, the issuance dates, the internal-CoA register.</t>
        </is>
      </c>
    </row>
    <row r="61" ht="39" customHeight="1" s="70">
      <c r="A61" s="244" t="inlineStr">
        <is>
          <t>v23</t>
        </is>
      </c>
      <c r="B61" s="245"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2" ht="39" customHeight="1" s="70">
      <c r="A62" s="244" t="inlineStr">
        <is>
          <t>v24</t>
        </is>
      </c>
      <c r="B62" s="245"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3" ht="52" customHeight="1" s="70">
      <c r="A63" s="244" t="inlineStr">
        <is>
          <t>v25</t>
        </is>
      </c>
      <c r="B63" s="245"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4" ht="91" customHeight="1" s="70">
      <c r="A64" s="244" t="inlineStr">
        <is>
          <t>v26</t>
        </is>
      </c>
      <c r="B64" s="245"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5" ht="143" customHeight="1" s="70">
      <c r="A65" s="244" t="inlineStr">
        <is>
          <t>v28</t>
        </is>
      </c>
      <c r="B65" s="245"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66" ht="182" customHeight="1" s="70">
      <c r="A66" s="244" t="inlineStr">
        <is>
          <t>v27</t>
        </is>
      </c>
      <c r="B66" s="245"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69" ht="20" customHeight="1" s="70">
      <c r="A69" s="242" t="inlineStr">
        <is>
          <t>DELIVERY T1–T3</t>
        </is>
      </c>
    </row>
    <row r="70" ht="24" customHeight="1" s="70">
      <c r="A70" s="119" t="inlineStr">
        <is>
          <t>Tranche</t>
        </is>
      </c>
      <c r="B70" s="119" t="inlineStr">
        <is>
          <t>Delivered</t>
        </is>
      </c>
      <c r="C70" s="119" t="inlineStr">
        <is>
          <t>Batch (as delivered)</t>
        </is>
      </c>
      <c r="D70" s="119" t="inlineStr">
        <is>
          <t>Strain</t>
        </is>
      </c>
      <c r="E70" s="119" t="inlineStr">
        <is>
          <t>kg</t>
        </is>
      </c>
      <c r="F70" s="119" t="inlineStr">
        <is>
          <t>Bracket</t>
        </is>
      </c>
      <c r="G70" s="119" t="inlineStr">
        <is>
          <t>Declared</t>
        </is>
      </c>
      <c r="H70" s="119" t="inlineStr">
        <is>
          <t>P lot</t>
        </is>
      </c>
      <c r="I70" s="119" t="inlineStr">
        <is>
          <t>Desk lot</t>
        </is>
      </c>
      <c r="J70" s="119" t="inlineStr">
        <is>
          <t>CoQ status</t>
        </is>
      </c>
      <c r="K70" s="119" t="inlineStr">
        <is>
          <t>Missing</t>
        </is>
      </c>
      <c r="L70" s="119" t="inlineStr">
        <is>
          <t>Total THC on the eCoA</t>
        </is>
      </c>
      <c r="M70" s="119" t="inlineStr">
        <is>
          <t>Certificate</t>
        </is>
      </c>
      <c r="N70" s="119" t="inlineStr">
        <is>
          <t>Δ</t>
        </is>
      </c>
      <c r="O70" s="119" t="inlineStr">
        <is>
          <t>Ready to issue</t>
        </is>
      </c>
    </row>
    <row r="71">
      <c r="A71" s="233" t="n">
        <v>1</v>
      </c>
      <c r="B71" s="233" t="inlineStr">
        <is>
          <t>31.07.2026</t>
        </is>
      </c>
      <c r="C71" s="234" t="inlineStr">
        <is>
          <t>BG1024</t>
        </is>
      </c>
      <c r="D71" s="233" t="inlineStr">
        <is>
          <t>Blue Gelato</t>
        </is>
      </c>
      <c r="E71" s="251" t="n">
        <v>43.87</v>
      </c>
      <c r="F71" s="233" t="inlineStr">
        <is>
          <t>19–22%</t>
        </is>
      </c>
      <c r="G71" s="252" t="n">
        <v>0.218</v>
      </c>
      <c r="H71" s="233" t="inlineStr">
        <is>
          <t>—</t>
        </is>
      </c>
      <c r="I71" s="233" t="inlineStr">
        <is>
          <t>BG1024</t>
        </is>
      </c>
      <c r="J71" s="233" t="inlineStr">
        <is>
          <t>✓ COMPLETE</t>
        </is>
      </c>
      <c r="K71" s="236" t="inlineStr">
        <is>
          <t>—</t>
        </is>
      </c>
      <c r="L71" s="252" t="n">
        <v>0.218</v>
      </c>
      <c r="M71" s="233" t="inlineStr">
        <is>
          <t>ППК25050</t>
        </is>
      </c>
      <c r="N71" s="252" t="n">
        <v>0</v>
      </c>
      <c r="O71" s="240" t="inlineStr">
        <is>
          <t>yes — all 12 determinations covered</t>
        </is>
      </c>
    </row>
    <row r="72">
      <c r="A72" s="233" t="n">
        <v>1</v>
      </c>
      <c r="B72" s="233" t="inlineStr">
        <is>
          <t>31.07.2026</t>
        </is>
      </c>
      <c r="C72" s="234" t="inlineStr">
        <is>
          <t>BSS1024</t>
        </is>
      </c>
      <c r="D72" s="233" t="inlineStr">
        <is>
          <t>Blue Sunset Sherbet</t>
        </is>
      </c>
      <c r="E72" s="251" t="n">
        <v>50.2</v>
      </c>
      <c r="F72" s="233" t="inlineStr">
        <is>
          <t>19–22%</t>
        </is>
      </c>
      <c r="G72" s="252" t="n">
        <v>0.21</v>
      </c>
      <c r="H72" s="233" t="inlineStr">
        <is>
          <t>—</t>
        </is>
      </c>
      <c r="I72" s="233" t="inlineStr">
        <is>
          <t>BSS1024</t>
        </is>
      </c>
      <c r="J72" s="233" t="inlineStr">
        <is>
          <t>✓ COMPLETE</t>
        </is>
      </c>
      <c r="K72" s="236" t="inlineStr">
        <is>
          <t>—</t>
        </is>
      </c>
      <c r="L72" s="252" t="n">
        <v>0.2103</v>
      </c>
      <c r="M72" s="233" t="inlineStr">
        <is>
          <t>ППК25051</t>
        </is>
      </c>
      <c r="N72" s="252" t="n">
        <v>0.0003000000000000114</v>
      </c>
      <c r="O72" s="240" t="inlineStr">
        <is>
          <t>yes — all 12 determinations covered</t>
        </is>
      </c>
    </row>
    <row r="73">
      <c r="A73" s="233" t="n">
        <v>1</v>
      </c>
      <c r="B73" s="233" t="inlineStr">
        <is>
          <t>31.07.2026</t>
        </is>
      </c>
      <c r="C73" s="234" t="inlineStr">
        <is>
          <t>CC012601/1</t>
        </is>
      </c>
      <c r="D73" s="233" t="inlineStr">
        <is>
          <t>Cash Cow</t>
        </is>
      </c>
      <c r="E73" s="251" t="n">
        <v>9.15</v>
      </c>
      <c r="F73" s="233" t="inlineStr">
        <is>
          <t>13–16%</t>
        </is>
      </c>
      <c r="G73" s="252" t="n">
        <v>0.1563</v>
      </c>
      <c r="H73" s="233" t="inlineStr">
        <is>
          <t>P060332</t>
        </is>
      </c>
      <c r="I73" s="233" t="inlineStr">
        <is>
          <t>CC012601/1</t>
        </is>
      </c>
      <c r="J73" s="233" t="inlineStr">
        <is>
          <t>❌ 4 MISSING</t>
        </is>
      </c>
      <c r="K73" s="236" t="inlineStr">
        <is>
          <t>#8 LoD; #9 Microbiology (on file 09.09, not recorded); #11 Heavy metals; #12 Pesticides</t>
        </is>
      </c>
      <c r="L73" s="252" t="inlineStr">
        <is>
          <t>— none on the desk —</t>
        </is>
      </c>
      <c r="M73" s="233" t="inlineStr">
        <is>
          <t>—</t>
        </is>
      </c>
      <c r="N73" s="252" t="inlineStr">
        <is>
          <t>—</t>
        </is>
      </c>
      <c r="O73" s="241" t="inlineStr">
        <is>
          <t>no — 4 missing</t>
        </is>
      </c>
    </row>
    <row r="74">
      <c r="A74" s="233" t="n">
        <v>1</v>
      </c>
      <c r="B74" s="233" t="inlineStr">
        <is>
          <t>31.07.2026</t>
        </is>
      </c>
      <c r="C74" s="234" t="inlineStr">
        <is>
          <t>CJ052501/01</t>
        </is>
      </c>
      <c r="D74" s="233" t="inlineStr">
        <is>
          <t>Cap Junky</t>
        </is>
      </c>
      <c r="E74" s="251" t="n">
        <v>64.53</v>
      </c>
      <c r="F74" s="233" t="inlineStr">
        <is>
          <t>19–22%</t>
        </is>
      </c>
      <c r="G74" s="252" t="n">
        <v>0.2029</v>
      </c>
      <c r="H74" s="233" t="inlineStr">
        <is>
          <t>P050162</t>
        </is>
      </c>
      <c r="I74" s="233" t="inlineStr">
        <is>
          <t>CJ052501/01</t>
        </is>
      </c>
      <c r="J74" s="233" t="inlineStr">
        <is>
          <t>✓ COMPLETE</t>
        </is>
      </c>
      <c r="K74" s="236" t="inlineStr">
        <is>
          <t>—</t>
        </is>
      </c>
      <c r="L74" s="252" t="n">
        <v>0.2029</v>
      </c>
      <c r="M74" s="233" t="inlineStr">
        <is>
          <t>None</t>
        </is>
      </c>
      <c r="N74" s="252" t="n">
        <v>0</v>
      </c>
      <c r="O74" s="240" t="inlineStr">
        <is>
          <t>yes — all 12 determinations covered</t>
        </is>
      </c>
    </row>
    <row r="75">
      <c r="A75" s="233" t="n">
        <v>1</v>
      </c>
      <c r="B75" s="233" t="inlineStr">
        <is>
          <t>31.07.2026</t>
        </is>
      </c>
      <c r="C75" s="234" t="inlineStr">
        <is>
          <t>CJ062501/2</t>
        </is>
      </c>
      <c r="D75" s="233" t="inlineStr">
        <is>
          <t>Cap Junky</t>
        </is>
      </c>
      <c r="E75" s="251" t="n">
        <v>146.52</v>
      </c>
      <c r="F75" s="233" t="inlineStr">
        <is>
          <t>16–19%</t>
        </is>
      </c>
      <c r="G75" s="252" t="n">
        <v>0.1656</v>
      </c>
      <c r="H75" s="233" t="inlineStr">
        <is>
          <t>P050212</t>
        </is>
      </c>
      <c r="I75" s="233" t="inlineStr">
        <is>
          <t>CJ062501/2</t>
        </is>
      </c>
      <c r="J75" s="233" t="inlineStr">
        <is>
          <t>✓ COMPLETE</t>
        </is>
      </c>
      <c r="K75" s="236" t="inlineStr">
        <is>
          <t>—</t>
        </is>
      </c>
      <c r="L75" s="252" t="n">
        <v>0.1656</v>
      </c>
      <c r="M75" s="233" t="inlineStr">
        <is>
          <t>ППК25322</t>
        </is>
      </c>
      <c r="N75" s="252" t="n">
        <v>0</v>
      </c>
      <c r="O75" s="240" t="inlineStr">
        <is>
          <t>yes — all 12 determinations covered</t>
        </is>
      </c>
    </row>
    <row r="76">
      <c r="A76" s="233" t="n">
        <v>1</v>
      </c>
      <c r="B76" s="233" t="inlineStr">
        <is>
          <t>31.07.2026</t>
        </is>
      </c>
      <c r="C76" s="234" t="inlineStr">
        <is>
          <t>CJ082501/2</t>
        </is>
      </c>
      <c r="D76" s="233" t="inlineStr">
        <is>
          <t>Cap Junky</t>
        </is>
      </c>
      <c r="E76" s="251" t="n">
        <v>14.75</v>
      </c>
      <c r="F76" s="233" t="inlineStr">
        <is>
          <t>19–22%</t>
        </is>
      </c>
      <c r="G76" s="252" t="n">
        <v>0.2084</v>
      </c>
      <c r="H76" s="233" t="inlineStr">
        <is>
          <t>P060032</t>
        </is>
      </c>
      <c r="I76" s="233" t="inlineStr">
        <is>
          <t>CJ082501/2</t>
        </is>
      </c>
      <c r="J76" s="233" t="inlineStr">
        <is>
          <t>✓ COMPLETE</t>
        </is>
      </c>
      <c r="K76" s="236" t="inlineStr">
        <is>
          <t>—</t>
        </is>
      </c>
      <c r="L76" s="252" t="n">
        <v>0.2084</v>
      </c>
      <c r="M76" s="233" t="inlineStr">
        <is>
          <t>ППК26003</t>
        </is>
      </c>
      <c r="N76" s="252" t="n">
        <v>0</v>
      </c>
      <c r="O76" s="240" t="inlineStr">
        <is>
          <t>yes — all 12 determinations covered</t>
        </is>
      </c>
    </row>
    <row r="77">
      <c r="A77" s="233" t="n">
        <v>1</v>
      </c>
      <c r="B77" s="233" t="inlineStr">
        <is>
          <t>31.07.2026</t>
        </is>
      </c>
      <c r="C77" s="234" t="inlineStr">
        <is>
          <t>FB012602</t>
        </is>
      </c>
      <c r="D77" s="233" t="inlineStr">
        <is>
          <t>Fat Bastard</t>
        </is>
      </c>
      <c r="E77" s="251" t="n">
        <v>75.92</v>
      </c>
      <c r="F77" s="233" t="inlineStr">
        <is>
          <t>19–22%</t>
        </is>
      </c>
      <c r="G77" s="252" t="n">
        <v>0.1977</v>
      </c>
      <c r="H77" s="233" t="inlineStr">
        <is>
          <t>P060352</t>
        </is>
      </c>
      <c r="I77" s="233" t="inlineStr">
        <is>
          <t>FB012602* (the desk writes it FB012602*)</t>
        </is>
      </c>
      <c r="J77" s="233" t="inlineStr">
        <is>
          <t>❌ 4 MISSING</t>
        </is>
      </c>
      <c r="K77" s="236" t="inlineStr">
        <is>
          <t>#8 LoD; #9 Microbiology (on file 09.09, not recorded); #11 Heavy metals; #12 Pesticides</t>
        </is>
      </c>
      <c r="L77" s="252" t="inlineStr">
        <is>
          <t>— none on the desk —</t>
        </is>
      </c>
      <c r="M77" s="233" t="inlineStr">
        <is>
          <t>—</t>
        </is>
      </c>
      <c r="N77" s="252" t="inlineStr">
        <is>
          <t>—</t>
        </is>
      </c>
      <c r="O77" s="241" t="inlineStr">
        <is>
          <t>no — 4 missing</t>
        </is>
      </c>
    </row>
    <row r="78">
      <c r="A78" s="233" t="n">
        <v>1</v>
      </c>
      <c r="B78" s="233" t="inlineStr">
        <is>
          <t>31.07.2026</t>
        </is>
      </c>
      <c r="C78" s="234" t="inlineStr">
        <is>
          <t>GG012603</t>
        </is>
      </c>
      <c r="D78" s="233" t="inlineStr">
        <is>
          <t>GG4</t>
        </is>
      </c>
      <c r="E78" s="251" t="n">
        <v>40</v>
      </c>
      <c r="F78" s="233" t="inlineStr">
        <is>
          <t>13–16%</t>
        </is>
      </c>
      <c r="G78" s="252" t="n">
        <v>0.1559</v>
      </c>
      <c r="H78" s="233" t="inlineStr">
        <is>
          <t>P060402</t>
        </is>
      </c>
      <c r="I78" s="233" t="inlineStr">
        <is>
          <t>GG012603</t>
        </is>
      </c>
      <c r="J78" s="233" t="inlineStr">
        <is>
          <t>○ 3 ON FILE, NOT RECORDED</t>
        </is>
      </c>
      <c r="K78" s="236" t="inlineStr">
        <is>
          <t>#9 Microbiology (on file 09.09, not recorded); #11 Heavy metals (on file 09.09, not recorded); #12 Pesticides (on file 09.09, not recorded)</t>
        </is>
      </c>
      <c r="L78" s="253" t="n">
        <v>0.1759</v>
      </c>
      <c r="M78" s="254" t="inlineStr">
        <is>
          <t>ППК26114</t>
        </is>
      </c>
      <c r="N78" s="253" t="n">
        <v>0.02</v>
      </c>
      <c r="O78" s="255" t="inlineStr">
        <is>
          <t>no — 3 on file, not recorded  |  POTENCY: the certificate reads 17.59 %, outside the 13–16% it was delivered under</t>
        </is>
      </c>
    </row>
    <row r="79">
      <c r="A79" s="233" t="n">
        <v>1</v>
      </c>
      <c r="B79" s="233" t="inlineStr">
        <is>
          <t>31.07.2026</t>
        </is>
      </c>
      <c r="C79" s="234" t="inlineStr">
        <is>
          <t>GG1024_01</t>
        </is>
      </c>
      <c r="D79" s="233" t="inlineStr">
        <is>
          <t>Gorilla Glue</t>
        </is>
      </c>
      <c r="E79" s="251" t="n">
        <v>0.87</v>
      </c>
      <c r="F79" s="233" t="inlineStr">
        <is>
          <t>16–19%</t>
        </is>
      </c>
      <c r="G79" s="252" t="n">
        <v>0.17</v>
      </c>
      <c r="H79" s="233" t="inlineStr">
        <is>
          <t>P050092</t>
        </is>
      </c>
      <c r="I79" s="233" t="inlineStr">
        <is>
          <t>GG1024_01</t>
        </is>
      </c>
      <c r="J79" s="233" t="inlineStr">
        <is>
          <t>✓ COMPLETE</t>
        </is>
      </c>
      <c r="K79" s="236" t="inlineStr">
        <is>
          <t>—</t>
        </is>
      </c>
      <c r="L79" s="252" t="n">
        <v>0.1722</v>
      </c>
      <c r="M79" s="233" t="inlineStr">
        <is>
          <t>ППК25104</t>
        </is>
      </c>
      <c r="N79" s="252" t="n">
        <v>0.002199999999999988</v>
      </c>
      <c r="O79" s="240" t="inlineStr">
        <is>
          <t>yes — all 12 determinations covered</t>
        </is>
      </c>
    </row>
    <row r="80">
      <c r="A80" s="233" t="n">
        <v>1</v>
      </c>
      <c r="B80" s="233" t="inlineStr">
        <is>
          <t>31.07.2026</t>
        </is>
      </c>
      <c r="C80" s="234" t="inlineStr">
        <is>
          <t>GP052501</t>
        </is>
      </c>
      <c r="D80" s="233" t="inlineStr">
        <is>
          <t>Grape Pie</t>
        </is>
      </c>
      <c r="E80" s="251" t="n">
        <v>151.14</v>
      </c>
      <c r="F80" s="233" t="inlineStr">
        <is>
          <t>16–19%</t>
        </is>
      </c>
      <c r="G80" s="252" t="n">
        <v>0.1898</v>
      </c>
      <c r="H80" s="233" t="inlineStr">
        <is>
          <t>P050152</t>
        </is>
      </c>
      <c r="I80" s="233" t="inlineStr">
        <is>
          <t>GP052501</t>
        </is>
      </c>
      <c r="J80" s="233" t="inlineStr">
        <is>
          <t>✓ COMPLETE</t>
        </is>
      </c>
      <c r="K80" s="236" t="inlineStr">
        <is>
          <t>—</t>
        </is>
      </c>
      <c r="L80" s="252" t="n">
        <v>0.1898</v>
      </c>
      <c r="M80" s="233" t="inlineStr">
        <is>
          <t>ППК25279</t>
        </is>
      </c>
      <c r="N80" s="252" t="n">
        <v>0</v>
      </c>
      <c r="O80" s="240" t="inlineStr">
        <is>
          <t>yes — all 12 determinations covered</t>
        </is>
      </c>
    </row>
    <row r="81">
      <c r="A81" s="233" t="n">
        <v>1</v>
      </c>
      <c r="B81" s="233" t="inlineStr">
        <is>
          <t>31.07.2026</t>
        </is>
      </c>
      <c r="C81" s="234" t="inlineStr">
        <is>
          <t>GP0824_02</t>
        </is>
      </c>
      <c r="D81" s="233" t="inlineStr">
        <is>
          <t>Grape Pie</t>
        </is>
      </c>
      <c r="E81" s="251" t="n">
        <v>208.46</v>
      </c>
      <c r="F81" s="233" t="inlineStr">
        <is>
          <t>22–25%</t>
        </is>
      </c>
      <c r="G81" s="252" t="n">
        <v>0.2379</v>
      </c>
      <c r="H81" s="233" t="inlineStr">
        <is>
          <t>P050022</t>
        </is>
      </c>
      <c r="I81" s="233" t="inlineStr">
        <is>
          <t>GP0824_02</t>
        </is>
      </c>
      <c r="J81" s="233" t="inlineStr">
        <is>
          <t>✓ COMPLETE</t>
        </is>
      </c>
      <c r="K81" s="236" t="inlineStr">
        <is>
          <t>—</t>
        </is>
      </c>
      <c r="L81" s="252" t="n">
        <v>0.2379</v>
      </c>
      <c r="M81" s="233" t="inlineStr">
        <is>
          <t>ППК25139</t>
        </is>
      </c>
      <c r="N81" s="252" t="n">
        <v>0</v>
      </c>
      <c r="O81" s="240" t="inlineStr">
        <is>
          <t>yes — all 12 determinations covered</t>
        </is>
      </c>
    </row>
    <row r="82">
      <c r="A82" s="233" t="n">
        <v>1</v>
      </c>
      <c r="B82" s="233" t="inlineStr">
        <is>
          <t>31.07.2026</t>
        </is>
      </c>
      <c r="C82" s="234" t="inlineStr">
        <is>
          <t>GP082501/2</t>
        </is>
      </c>
      <c r="D82" s="233" t="inlineStr">
        <is>
          <t>Grape Pie</t>
        </is>
      </c>
      <c r="E82" s="251" t="n">
        <v>22.84</v>
      </c>
      <c r="F82" s="233" t="inlineStr">
        <is>
          <t>13–16%</t>
        </is>
      </c>
      <c r="G82" s="252" t="n">
        <v>0.1483</v>
      </c>
      <c r="H82" s="233" t="inlineStr">
        <is>
          <t>P050322</t>
        </is>
      </c>
      <c r="I82" s="233" t="inlineStr">
        <is>
          <t>GP082501/2</t>
        </is>
      </c>
      <c r="J82" s="233" t="inlineStr">
        <is>
          <t>✓ COMPLETE</t>
        </is>
      </c>
      <c r="K82" s="236" t="inlineStr">
        <is>
          <t>—</t>
        </is>
      </c>
      <c r="L82" s="252" t="n">
        <v>0.1483</v>
      </c>
      <c r="M82" s="233" t="inlineStr">
        <is>
          <t>ППК25381</t>
        </is>
      </c>
      <c r="N82" s="252" t="n">
        <v>0</v>
      </c>
      <c r="O82" s="240" t="inlineStr">
        <is>
          <t>yes — all 12 determinations covered</t>
        </is>
      </c>
    </row>
    <row r="83">
      <c r="A83" s="233" t="n">
        <v>1</v>
      </c>
      <c r="B83" s="233" t="inlineStr">
        <is>
          <t>31.07.2026</t>
        </is>
      </c>
      <c r="C83" s="234" t="inlineStr">
        <is>
          <t>HPA1024</t>
        </is>
      </c>
      <c r="D83" s="233" t="inlineStr">
        <is>
          <t>High Pro Amnesia</t>
        </is>
      </c>
      <c r="E83" s="251" t="n">
        <v>40.83</v>
      </c>
      <c r="F83" s="233" t="inlineStr">
        <is>
          <t>13–16%</t>
        </is>
      </c>
      <c r="G83" s="252" t="n">
        <v>0.1497</v>
      </c>
      <c r="H83" s="233" t="inlineStr">
        <is>
          <t>—</t>
        </is>
      </c>
      <c r="I83" s="233" t="inlineStr">
        <is>
          <t>HPA1024</t>
        </is>
      </c>
      <c r="J83" s="233" t="inlineStr">
        <is>
          <t>❌ 4 MISSING</t>
        </is>
      </c>
      <c r="K83" s="236" t="inlineStr">
        <is>
          <t>#8 LoD; #9 Microbiology; #11 Heavy metals; #12 Pesticides</t>
        </is>
      </c>
      <c r="L83" s="252" t="n">
        <v>0.1497</v>
      </c>
      <c r="M83" s="233" t="inlineStr">
        <is>
          <t>None</t>
        </is>
      </c>
      <c r="N83" s="252" t="n">
        <v>0</v>
      </c>
      <c r="O83" s="241" t="inlineStr">
        <is>
          <t>no — 4 missing</t>
        </is>
      </c>
    </row>
    <row r="84">
      <c r="A84" s="233" t="n">
        <v>1</v>
      </c>
      <c r="B84" s="233" t="inlineStr">
        <is>
          <t>31.07.2026</t>
        </is>
      </c>
      <c r="C84" s="234" t="inlineStr">
        <is>
          <t>HPA1024_01</t>
        </is>
      </c>
      <c r="D84" s="233" t="inlineStr">
        <is>
          <t>High Pro Amnesia</t>
        </is>
      </c>
      <c r="E84" s="251" t="n">
        <v>140.5</v>
      </c>
      <c r="F84" s="233" t="inlineStr">
        <is>
          <t>22–25%</t>
        </is>
      </c>
      <c r="G84" s="252" t="n">
        <v>0.2243</v>
      </c>
      <c r="H84" s="233" t="inlineStr">
        <is>
          <t>P050052</t>
        </is>
      </c>
      <c r="I84" s="233" t="inlineStr">
        <is>
          <t>HPA1024_01</t>
        </is>
      </c>
      <c r="J84" s="233" t="inlineStr">
        <is>
          <t>✓ COMPLETE</t>
        </is>
      </c>
      <c r="K84" s="236" t="inlineStr">
        <is>
          <t>—</t>
        </is>
      </c>
      <c r="L84" s="252" t="n">
        <v>0.2243</v>
      </c>
      <c r="M84" s="233" t="inlineStr">
        <is>
          <t>None</t>
        </is>
      </c>
      <c r="N84" s="252" t="n">
        <v>0</v>
      </c>
      <c r="O84" s="240" t="inlineStr">
        <is>
          <t>yes — all 12 determinations covered</t>
        </is>
      </c>
    </row>
    <row r="85">
      <c r="A85" s="233" t="n">
        <v>1</v>
      </c>
      <c r="B85" s="233" t="inlineStr">
        <is>
          <t>31.07.2026</t>
        </is>
      </c>
      <c r="C85" s="234" t="inlineStr">
        <is>
          <t>J31102501</t>
        </is>
      </c>
      <c r="D85" s="233" t="inlineStr">
        <is>
          <t>Jokerz 31</t>
        </is>
      </c>
      <c r="E85" s="251" t="n">
        <v>23.64</v>
      </c>
      <c r="F85" s="233" t="inlineStr">
        <is>
          <t>19–22%</t>
        </is>
      </c>
      <c r="G85" s="252" t="n">
        <v>0.1914</v>
      </c>
      <c r="H85" s="233" t="inlineStr">
        <is>
          <t>P060152</t>
        </is>
      </c>
      <c r="I85" s="233" t="inlineStr">
        <is>
          <t>J31102501</t>
        </is>
      </c>
      <c r="J85" s="233" t="inlineStr">
        <is>
          <t>○ 3 ON FILE, NOT RECORDED</t>
        </is>
      </c>
      <c r="K85" s="236" t="inlineStr">
        <is>
          <t>#9 Microbiology (on file 09.09, not recorded); #11 Heavy metals (on file 09.09, not recorded); #12 Pesticides (on file 09.09, not recorded)</t>
        </is>
      </c>
      <c r="L85" s="252" t="n">
        <v>0.1914</v>
      </c>
      <c r="M85" s="233" t="inlineStr">
        <is>
          <t>051-1-К/26</t>
        </is>
      </c>
      <c r="N85" s="252" t="n">
        <v>0</v>
      </c>
      <c r="O85" s="241" t="inlineStr">
        <is>
          <t>no — 3 on file, not recorded</t>
        </is>
      </c>
    </row>
    <row r="86">
      <c r="A86" s="233" t="n">
        <v>1</v>
      </c>
      <c r="B86" s="233" t="inlineStr">
        <is>
          <t>31.07.2026</t>
        </is>
      </c>
      <c r="C86" s="234" t="inlineStr">
        <is>
          <t>JD112501</t>
        </is>
      </c>
      <c r="D86" s="233" t="inlineStr">
        <is>
          <t>Jelly Donuts</t>
        </is>
      </c>
      <c r="E86" s="251" t="n">
        <v>41.54</v>
      </c>
      <c r="F86" s="233" t="inlineStr">
        <is>
          <t>19–22%</t>
        </is>
      </c>
      <c r="G86" s="252" t="n">
        <v>0.1964</v>
      </c>
      <c r="H86" s="233" t="inlineStr">
        <is>
          <t>P060212</t>
        </is>
      </c>
      <c r="I86" s="233" t="inlineStr">
        <is>
          <t>JD112501</t>
        </is>
      </c>
      <c r="J86" s="233" t="inlineStr">
        <is>
          <t>✓ COMPLETE</t>
        </is>
      </c>
      <c r="K86" s="236" t="inlineStr">
        <is>
          <t>—</t>
        </is>
      </c>
      <c r="L86" s="252" t="n">
        <v>0.1964</v>
      </c>
      <c r="M86" s="233" t="inlineStr">
        <is>
          <t>ППК26063</t>
        </is>
      </c>
      <c r="N86" s="252" t="n">
        <v>0</v>
      </c>
      <c r="O86" s="240" t="inlineStr">
        <is>
          <t>yes — all 12 determinations covered</t>
        </is>
      </c>
    </row>
    <row r="87">
      <c r="A87" s="233" t="n">
        <v>1</v>
      </c>
      <c r="B87" s="233" t="inlineStr">
        <is>
          <t>31.07.2026</t>
        </is>
      </c>
      <c r="C87" s="234" t="inlineStr">
        <is>
          <t>OPM1024</t>
        </is>
      </c>
      <c r="D87" s="233" t="inlineStr">
        <is>
          <t>Orange Punch Mimosa</t>
        </is>
      </c>
      <c r="E87" s="251" t="n">
        <v>45.46</v>
      </c>
      <c r="F87" s="233" t="inlineStr">
        <is>
          <t>19–22%</t>
        </is>
      </c>
      <c r="G87" s="252" t="n">
        <v>0.1996</v>
      </c>
      <c r="H87" s="233" t="inlineStr">
        <is>
          <t>—</t>
        </is>
      </c>
      <c r="I87" s="233" t="inlineStr">
        <is>
          <t>OPM1024</t>
        </is>
      </c>
      <c r="J87" s="233" t="inlineStr">
        <is>
          <t>❌ 4 MISSING</t>
        </is>
      </c>
      <c r="K87" s="236" t="inlineStr">
        <is>
          <t>#8 LoD; #9 Microbiology; #11 Heavy metals; #12 Pesticides</t>
        </is>
      </c>
      <c r="L87" s="252" t="n">
        <v>0.1996</v>
      </c>
      <c r="M87" s="233" t="inlineStr">
        <is>
          <t>None</t>
        </is>
      </c>
      <c r="N87" s="252" t="n">
        <v>0</v>
      </c>
      <c r="O87" s="241" t="inlineStr">
        <is>
          <t>no — 4 missing</t>
        </is>
      </c>
    </row>
    <row r="88">
      <c r="A88" s="233" t="n">
        <v>1</v>
      </c>
      <c r="B88" s="233" t="inlineStr">
        <is>
          <t>31.07.2026</t>
        </is>
      </c>
      <c r="C88" s="234" t="inlineStr">
        <is>
          <t>OPM1024_02</t>
        </is>
      </c>
      <c r="D88" s="233" t="inlineStr">
        <is>
          <t>Orange Punch Mimosa</t>
        </is>
      </c>
      <c r="E88" s="251" t="n">
        <v>156.14</v>
      </c>
      <c r="F88" s="233" t="inlineStr">
        <is>
          <t>16–19%</t>
        </is>
      </c>
      <c r="G88" s="252" t="n">
        <v>0.1827</v>
      </c>
      <c r="H88" s="233" t="inlineStr">
        <is>
          <t>P050062</t>
        </is>
      </c>
      <c r="I88" s="233" t="inlineStr">
        <is>
          <t>OPM1024_02</t>
        </is>
      </c>
      <c r="J88" s="233" t="inlineStr">
        <is>
          <t>✓ COMPLETE</t>
        </is>
      </c>
      <c r="K88" s="236" t="inlineStr">
        <is>
          <t>—</t>
        </is>
      </c>
      <c r="L88" s="252" t="n">
        <v>0.1827</v>
      </c>
      <c r="M88" s="233" t="inlineStr">
        <is>
          <t>ППК25154</t>
        </is>
      </c>
      <c r="N88" s="252" t="n">
        <v>0</v>
      </c>
      <c r="O88" s="240" t="inlineStr">
        <is>
          <t>yes — all 12 determinations covered</t>
        </is>
      </c>
    </row>
    <row r="89">
      <c r="A89" s="233" t="n">
        <v>1</v>
      </c>
      <c r="B89" s="233" t="inlineStr">
        <is>
          <t>31.07.2026</t>
        </is>
      </c>
      <c r="C89" s="234" t="inlineStr">
        <is>
          <t>OPM122501</t>
        </is>
      </c>
      <c r="D89" s="233" t="inlineStr">
        <is>
          <t>Orange Punch Mimosa</t>
        </is>
      </c>
      <c r="E89" s="251" t="n">
        <v>104.26</v>
      </c>
      <c r="F89" s="233" t="inlineStr">
        <is>
          <t>10–13%</t>
        </is>
      </c>
      <c r="G89" s="252" t="n">
        <v>0.11</v>
      </c>
      <c r="H89" s="233" t="inlineStr">
        <is>
          <t>P060242</t>
        </is>
      </c>
      <c r="I89" s="233" t="inlineStr">
        <is>
          <t>OPM122501</t>
        </is>
      </c>
      <c r="J89" s="233" t="inlineStr">
        <is>
          <t>✓ COMPLETE</t>
        </is>
      </c>
      <c r="K89" s="236" t="inlineStr">
        <is>
          <t>—</t>
        </is>
      </c>
      <c r="L89" s="253" t="n">
        <v>0.0809</v>
      </c>
      <c r="M89" s="254" t="inlineStr">
        <is>
          <t>100-4-К/26</t>
        </is>
      </c>
      <c r="N89" s="253" t="n">
        <v>-0.0291</v>
      </c>
      <c r="O89" s="255" t="inlineStr">
        <is>
          <t>yes — all 12 determinations covered  |  POTENCY: the certificate reads 8.09 %, outside the 10–13% it was delivered under</t>
        </is>
      </c>
    </row>
    <row r="90">
      <c r="A90" s="233" t="n">
        <v>1</v>
      </c>
      <c r="B90" s="233" t="inlineStr">
        <is>
          <t>31.07.2026</t>
        </is>
      </c>
      <c r="C90" s="234" t="inlineStr">
        <is>
          <t>PM092501</t>
        </is>
      </c>
      <c r="D90" s="233" t="inlineStr">
        <is>
          <t>Permanent Marker</t>
        </is>
      </c>
      <c r="E90" s="251" t="n">
        <v>20.23</v>
      </c>
      <c r="F90" s="233" t="inlineStr">
        <is>
          <t>13–16%</t>
        </is>
      </c>
      <c r="G90" s="252" t="n">
        <v>0.1406</v>
      </c>
      <c r="H90" s="233" t="inlineStr">
        <is>
          <t>P060062</t>
        </is>
      </c>
      <c r="I90" s="233" t="inlineStr">
        <is>
          <t>PM092501</t>
        </is>
      </c>
      <c r="J90" s="233" t="inlineStr">
        <is>
          <t>✓ COMPLETE</t>
        </is>
      </c>
      <c r="K90" s="236" t="inlineStr">
        <is>
          <t>—</t>
        </is>
      </c>
      <c r="L90" s="252" t="inlineStr">
        <is>
          <t>— none on the desk —</t>
        </is>
      </c>
      <c r="M90" s="233" t="inlineStr">
        <is>
          <t>—</t>
        </is>
      </c>
      <c r="N90" s="252" t="inlineStr">
        <is>
          <t>—</t>
        </is>
      </c>
      <c r="O90" s="240" t="inlineStr">
        <is>
          <t>yes — all 12 determinations covered</t>
        </is>
      </c>
    </row>
    <row r="91">
      <c r="A91" s="233" t="n">
        <v>1</v>
      </c>
      <c r="B91" s="233" t="inlineStr">
        <is>
          <t>31.07.2026</t>
        </is>
      </c>
      <c r="C91" s="234" t="inlineStr">
        <is>
          <t>SCR012603</t>
        </is>
      </c>
      <c r="D91" s="233" t="inlineStr">
        <is>
          <t>Scrambler</t>
        </is>
      </c>
      <c r="E91" s="251" t="n">
        <v>79.81</v>
      </c>
      <c r="F91" s="233" t="inlineStr">
        <is>
          <t>16–19%</t>
        </is>
      </c>
      <c r="G91" s="252" t="n">
        <v>0.17</v>
      </c>
      <c r="H91" s="233" t="inlineStr">
        <is>
          <t>P060382</t>
        </is>
      </c>
      <c r="I91" s="233" t="inlineStr">
        <is>
          <t>SCR012603</t>
        </is>
      </c>
      <c r="J91" s="233" t="inlineStr">
        <is>
          <t>❌ 4 MISSING</t>
        </is>
      </c>
      <c r="K91" s="236" t="inlineStr">
        <is>
          <t>#8 LoD; #9 Microbiology (on file 09.09, not recorded); #11 Heavy metals; #12 Pesticides</t>
        </is>
      </c>
      <c r="L91" s="252" t="inlineStr">
        <is>
          <t>— none on the desk —</t>
        </is>
      </c>
      <c r="M91" s="233" t="inlineStr">
        <is>
          <t>—</t>
        </is>
      </c>
      <c r="N91" s="252" t="inlineStr">
        <is>
          <t>—</t>
        </is>
      </c>
      <c r="O91" s="241" t="inlineStr">
        <is>
          <t>no — 4 missing</t>
        </is>
      </c>
    </row>
    <row r="92">
      <c r="A92" s="233" t="n">
        <v>2</v>
      </c>
      <c r="B92" s="233" t="inlineStr">
        <is>
          <t>14.08.2026</t>
        </is>
      </c>
      <c r="C92" s="234" t="inlineStr">
        <is>
          <t>ACC102501</t>
        </is>
      </c>
      <c r="D92" s="233" t="inlineStr">
        <is>
          <t>Amnesia Core Cut</t>
        </is>
      </c>
      <c r="E92" s="251" t="n">
        <v>38.88</v>
      </c>
      <c r="F92" s="233" t="inlineStr">
        <is>
          <t>10–13%</t>
        </is>
      </c>
      <c r="G92" s="252" t="n">
        <v>0.1291</v>
      </c>
      <c r="H92" s="233" t="inlineStr">
        <is>
          <t>P060122</t>
        </is>
      </c>
      <c r="I92" s="233" t="inlineStr">
        <is>
          <t>ACC102501</t>
        </is>
      </c>
      <c r="J92" s="233" t="inlineStr">
        <is>
          <t>○ 8 ON FILE, NOT RECORDED</t>
        </is>
      </c>
      <c r="K92"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2" s="252" t="inlineStr">
        <is>
          <t>— none on the desk —</t>
        </is>
      </c>
      <c r="M92" s="233" t="inlineStr">
        <is>
          <t>—</t>
        </is>
      </c>
      <c r="N92" s="252" t="inlineStr">
        <is>
          <t>—</t>
        </is>
      </c>
      <c r="O92" s="241" t="inlineStr">
        <is>
          <t>no — 8 on file, not recorded</t>
        </is>
      </c>
    </row>
    <row r="93">
      <c r="A93" s="233" t="n">
        <v>2</v>
      </c>
      <c r="B93" s="233" t="inlineStr">
        <is>
          <t>14.08.2026</t>
        </is>
      </c>
      <c r="C93" s="234" t="inlineStr">
        <is>
          <t>BSS052501</t>
        </is>
      </c>
      <c r="D93" s="233" t="inlineStr">
        <is>
          <t>Blue Sunset Sherbet</t>
        </is>
      </c>
      <c r="E93" s="251" t="n">
        <v>345.71</v>
      </c>
      <c r="F93" s="233" t="inlineStr">
        <is>
          <t>19–22%</t>
        </is>
      </c>
      <c r="G93" s="252" t="n">
        <v>0.2047</v>
      </c>
      <c r="H93" s="233" t="inlineStr">
        <is>
          <t>P050192</t>
        </is>
      </c>
      <c r="I93" s="233" t="inlineStr">
        <is>
          <t>BSS052501</t>
        </is>
      </c>
      <c r="J93" s="233" t="inlineStr">
        <is>
          <t>⚠ 2 MISSING</t>
        </is>
      </c>
      <c r="K93" s="236" t="inlineStr">
        <is>
          <t>#6 CBN; #8 LoD</t>
        </is>
      </c>
      <c r="L93" s="252" t="n">
        <v>0.2039</v>
      </c>
      <c r="M93" s="233" t="inlineStr">
        <is>
          <t>2025/</t>
        </is>
      </c>
      <c r="N93" s="252" t="n">
        <v>-0.0007999999999999829</v>
      </c>
      <c r="O93" s="241" t="inlineStr">
        <is>
          <t>no — 2 missing</t>
        </is>
      </c>
    </row>
    <row r="94">
      <c r="A94" s="233" t="n">
        <v>2</v>
      </c>
      <c r="B94" s="233" t="inlineStr">
        <is>
          <t>14.08.2026</t>
        </is>
      </c>
      <c r="C94" s="234" t="inlineStr">
        <is>
          <t>CC012603</t>
        </is>
      </c>
      <c r="D94" s="233" t="inlineStr">
        <is>
          <t>Cash Cow</t>
        </is>
      </c>
      <c r="E94" s="251" t="n">
        <v>56.18</v>
      </c>
      <c r="F94" s="233" t="inlineStr">
        <is>
          <t>10–13%</t>
        </is>
      </c>
      <c r="G94" s="252" t="n">
        <v>0.1232</v>
      </c>
      <c r="H94" s="233" t="inlineStr">
        <is>
          <t>P060372</t>
        </is>
      </c>
      <c r="I94" s="233" t="inlineStr">
        <is>
          <t>CC012603</t>
        </is>
      </c>
      <c r="J94" s="233" t="inlineStr">
        <is>
          <t>❌ 8 MISSING</t>
        </is>
      </c>
      <c r="K94" s="236" t="inlineStr">
        <is>
          <t>#3 Ident. C; #4 Δ⁹-THC; #5 CBD; #6 CBN; #8 LoD; #9 Microbiology (on file 09.09, not recorded); #11 Heavy metals; #12 Pesticides</t>
        </is>
      </c>
      <c r="L94" s="252" t="inlineStr">
        <is>
          <t>— none on the desk —</t>
        </is>
      </c>
      <c r="M94" s="233" t="inlineStr">
        <is>
          <t>—</t>
        </is>
      </c>
      <c r="N94" s="252" t="inlineStr">
        <is>
          <t>—</t>
        </is>
      </c>
      <c r="O94" s="241" t="inlineStr">
        <is>
          <t>no — 8 missing</t>
        </is>
      </c>
    </row>
    <row r="95">
      <c r="A95" s="233" t="n">
        <v>2</v>
      </c>
      <c r="B95" s="233" t="inlineStr">
        <is>
          <t>14.08.2026</t>
        </is>
      </c>
      <c r="C95" s="234" t="inlineStr">
        <is>
          <t>CF102501</t>
        </is>
      </c>
      <c r="D95" s="233" t="inlineStr">
        <is>
          <t>Chem Flyer</t>
        </is>
      </c>
      <c r="E95" s="251" t="n">
        <v>48.35</v>
      </c>
      <c r="F95" s="233" t="inlineStr">
        <is>
          <t>7–10%</t>
        </is>
      </c>
      <c r="G95" s="252" t="n">
        <v>0.0983</v>
      </c>
      <c r="H95" s="233" t="inlineStr">
        <is>
          <t>P060132</t>
        </is>
      </c>
      <c r="I95" s="233" t="inlineStr">
        <is>
          <t>CF102501</t>
        </is>
      </c>
      <c r="J95" s="233" t="inlineStr">
        <is>
          <t>○ 8 ON FILE, NOT RECORDED</t>
        </is>
      </c>
      <c r="K95"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5" s="252" t="inlineStr">
        <is>
          <t>— none on the desk —</t>
        </is>
      </c>
      <c r="M95" s="233" t="inlineStr">
        <is>
          <t>—</t>
        </is>
      </c>
      <c r="N95" s="252" t="inlineStr">
        <is>
          <t>—</t>
        </is>
      </c>
      <c r="O95" s="241" t="inlineStr">
        <is>
          <t>no — 8 on file, not recorded</t>
        </is>
      </c>
    </row>
    <row r="96">
      <c r="A96" s="233" t="n">
        <v>2</v>
      </c>
      <c r="B96" s="233" t="inlineStr">
        <is>
          <t>14.08.2026</t>
        </is>
      </c>
      <c r="C96" s="234" t="inlineStr">
        <is>
          <t>CJ062501/1</t>
        </is>
      </c>
      <c r="D96" s="233" t="inlineStr">
        <is>
          <t>Cap Junky</t>
        </is>
      </c>
      <c r="E96" s="251" t="n">
        <v>77.72</v>
      </c>
      <c r="F96" s="233" t="inlineStr">
        <is>
          <t>19–22%</t>
        </is>
      </c>
      <c r="G96" s="252" t="n">
        <v>0.2151</v>
      </c>
      <c r="H96" s="233" t="inlineStr">
        <is>
          <t>P050222</t>
        </is>
      </c>
      <c r="I96" s="233" t="inlineStr">
        <is>
          <t>CJ062501/1</t>
        </is>
      </c>
      <c r="J96" s="233" t="inlineStr">
        <is>
          <t>✓ COMPLETE</t>
        </is>
      </c>
      <c r="K96" s="236" t="inlineStr">
        <is>
          <t>—</t>
        </is>
      </c>
      <c r="L96" s="252" t="n">
        <v>0.2151</v>
      </c>
      <c r="M96" s="233" t="inlineStr">
        <is>
          <t>ППК25321</t>
        </is>
      </c>
      <c r="N96" s="252" t="n">
        <v>0</v>
      </c>
      <c r="O96" s="240" t="inlineStr">
        <is>
          <t>yes — all 12 determinations covered</t>
        </is>
      </c>
    </row>
    <row r="97">
      <c r="A97" s="233" t="n">
        <v>2</v>
      </c>
      <c r="B97" s="233" t="inlineStr">
        <is>
          <t>14.08.2026</t>
        </is>
      </c>
      <c r="C97" s="234" t="inlineStr">
        <is>
          <t>CJ082501/1</t>
        </is>
      </c>
      <c r="D97" s="233" t="inlineStr">
        <is>
          <t>Cap Junky</t>
        </is>
      </c>
      <c r="E97" s="251" t="n">
        <v>115.6</v>
      </c>
      <c r="F97" s="233" t="inlineStr">
        <is>
          <t>22–25%</t>
        </is>
      </c>
      <c r="G97" s="252" t="n">
        <v>0.2496</v>
      </c>
      <c r="H97" s="233" t="inlineStr">
        <is>
          <t>P060022</t>
        </is>
      </c>
      <c r="I97" s="233" t="inlineStr">
        <is>
          <t>CJ082501/1</t>
        </is>
      </c>
      <c r="J97" s="233" t="inlineStr">
        <is>
          <t>✓ COMPLETE</t>
        </is>
      </c>
      <c r="K97" s="236" t="inlineStr">
        <is>
          <t>—</t>
        </is>
      </c>
      <c r="L97" s="252" t="n">
        <v>0.2496</v>
      </c>
      <c r="M97" s="233" t="inlineStr">
        <is>
          <t>ППК26002</t>
        </is>
      </c>
      <c r="N97" s="252" t="n">
        <v>0</v>
      </c>
      <c r="O97" s="240" t="inlineStr">
        <is>
          <t>yes — all 12 determinations covered</t>
        </is>
      </c>
    </row>
    <row r="98">
      <c r="A98" s="233" t="n">
        <v>2</v>
      </c>
      <c r="B98" s="233" t="inlineStr">
        <is>
          <t>14.08.2026</t>
        </is>
      </c>
      <c r="C98" s="234" t="inlineStr">
        <is>
          <t>CJ092501</t>
        </is>
      </c>
      <c r="D98" s="233" t="inlineStr">
        <is>
          <t>Cap Junky</t>
        </is>
      </c>
      <c r="E98" s="251" t="n">
        <v>28.38</v>
      </c>
      <c r="F98" s="233" t="inlineStr">
        <is>
          <t>22–25%</t>
        </is>
      </c>
      <c r="G98" s="252" t="n">
        <v>0.223</v>
      </c>
      <c r="H98" s="233" t="inlineStr">
        <is>
          <t>P060072</t>
        </is>
      </c>
      <c r="I98" s="233" t="inlineStr">
        <is>
          <t>CJ092501</t>
        </is>
      </c>
      <c r="J98" s="233" t="inlineStr">
        <is>
          <t>✓ COMPLETE</t>
        </is>
      </c>
      <c r="K98" s="236" t="inlineStr">
        <is>
          <t>—</t>
        </is>
      </c>
      <c r="L98" s="252" t="n">
        <v>0.223</v>
      </c>
      <c r="M98" s="233" t="inlineStr">
        <is>
          <t>ППК26007</t>
        </is>
      </c>
      <c r="N98" s="252" t="n">
        <v>0</v>
      </c>
      <c r="O98" s="240" t="inlineStr">
        <is>
          <t>yes — all 12 determinations covered</t>
        </is>
      </c>
    </row>
    <row r="99">
      <c r="A99" s="233" t="n">
        <v>2</v>
      </c>
      <c r="B99" s="233" t="inlineStr">
        <is>
          <t>14.08.2026</t>
        </is>
      </c>
      <c r="C99" s="234" t="inlineStr">
        <is>
          <t>CLE072501</t>
        </is>
      </c>
      <c r="D99" s="233" t="inlineStr">
        <is>
          <t>Clemosa</t>
        </is>
      </c>
      <c r="E99" s="251" t="n">
        <v>27.07</v>
      </c>
      <c r="F99" s="233" t="inlineStr">
        <is>
          <t>7–10%</t>
        </is>
      </c>
      <c r="G99" s="252" t="n">
        <v>0.08019999999999999</v>
      </c>
      <c r="H99" s="233" t="inlineStr">
        <is>
          <t>P050282</t>
        </is>
      </c>
      <c r="I99" s="233" t="inlineStr">
        <is>
          <t>CLE072501</t>
        </is>
      </c>
      <c r="J99" s="233" t="inlineStr">
        <is>
          <t>✓ COMPLETE</t>
        </is>
      </c>
      <c r="K99" s="236" t="inlineStr">
        <is>
          <t>—</t>
        </is>
      </c>
      <c r="L99" s="252" t="n">
        <v>0.08019999999999999</v>
      </c>
      <c r="M99" s="233" t="inlineStr">
        <is>
          <t>ППК25370</t>
        </is>
      </c>
      <c r="N99" s="252" t="n">
        <v>0</v>
      </c>
      <c r="O99" s="240" t="inlineStr">
        <is>
          <t>yes — all 12 determinations covered</t>
        </is>
      </c>
    </row>
    <row r="100">
      <c r="A100" s="233" t="n">
        <v>2</v>
      </c>
      <c r="B100" s="233" t="inlineStr">
        <is>
          <t>14.08.2026</t>
        </is>
      </c>
      <c r="C100" s="234" t="inlineStr">
        <is>
          <t>FB012601/1</t>
        </is>
      </c>
      <c r="D100" s="233" t="inlineStr">
        <is>
          <t>Fat Bastard</t>
        </is>
      </c>
      <c r="E100" s="251" t="n">
        <v>8.85</v>
      </c>
      <c r="F100" s="233" t="inlineStr">
        <is>
          <t>13–16%</t>
        </is>
      </c>
      <c r="G100" s="252" t="n">
        <v>0.1468</v>
      </c>
      <c r="H100" s="233" t="inlineStr">
        <is>
          <t>P060322</t>
        </is>
      </c>
      <c r="I100" s="233" t="inlineStr">
        <is>
          <t>FB012601_1</t>
        </is>
      </c>
      <c r="J100" s="233" t="inlineStr">
        <is>
          <t>✓ COMPLETE</t>
        </is>
      </c>
      <c r="K100" s="236" t="inlineStr">
        <is>
          <t>—</t>
        </is>
      </c>
      <c r="L100" s="252" t="n">
        <v>0.1468</v>
      </c>
      <c r="M100" s="233" t="inlineStr">
        <is>
          <t>ППК26067</t>
        </is>
      </c>
      <c r="N100" s="252" t="n">
        <v>0</v>
      </c>
      <c r="O100" s="240" t="inlineStr">
        <is>
          <t>yes — all 12 determinations covered</t>
        </is>
      </c>
    </row>
    <row r="101">
      <c r="A101" s="233" t="n">
        <v>2</v>
      </c>
      <c r="B101" s="233" t="inlineStr">
        <is>
          <t>14.08.2026</t>
        </is>
      </c>
      <c r="C101" s="234" t="inlineStr">
        <is>
          <t>GG1024</t>
        </is>
      </c>
      <c r="D101" s="233" t="inlineStr">
        <is>
          <t>Gorilla Glue</t>
        </is>
      </c>
      <c r="E101" s="251" t="n">
        <v>44.84</v>
      </c>
      <c r="F101" s="233" t="inlineStr">
        <is>
          <t>13–16%</t>
        </is>
      </c>
      <c r="G101" s="252" t="n">
        <v>0.1334</v>
      </c>
      <c r="H101" s="233" t="inlineStr">
        <is>
          <t>—</t>
        </is>
      </c>
      <c r="I101" s="233" t="inlineStr">
        <is>
          <t>GG1024</t>
        </is>
      </c>
      <c r="J101" s="233" t="inlineStr">
        <is>
          <t>❌ 8 MISSING</t>
        </is>
      </c>
      <c r="K101" s="236"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L101" s="252" t="n">
        <v>0.1334</v>
      </c>
      <c r="M101" s="233" t="inlineStr">
        <is>
          <t>None</t>
        </is>
      </c>
      <c r="N101" s="252" t="n">
        <v>0</v>
      </c>
      <c r="O101" s="241" t="inlineStr">
        <is>
          <t>no — 8 missing</t>
        </is>
      </c>
    </row>
    <row r="102">
      <c r="A102" s="233" t="n">
        <v>2</v>
      </c>
      <c r="B102" s="233" t="inlineStr">
        <is>
          <t>14.08.2026</t>
        </is>
      </c>
      <c r="C102" s="234" t="inlineStr">
        <is>
          <t>GP072501/2</t>
        </is>
      </c>
      <c r="D102" s="233" t="inlineStr">
        <is>
          <t>Grape Pie</t>
        </is>
      </c>
      <c r="E102" s="251" t="n">
        <v>13.63</v>
      </c>
      <c r="F102" s="233" t="inlineStr">
        <is>
          <t>19–22%</t>
        </is>
      </c>
      <c r="G102" s="252" t="n">
        <v>0.1981</v>
      </c>
      <c r="H102" s="233" t="inlineStr">
        <is>
          <t>P050302</t>
        </is>
      </c>
      <c r="I102" s="233" t="inlineStr">
        <is>
          <t>GP072501/2</t>
        </is>
      </c>
      <c r="J102" s="233" t="inlineStr">
        <is>
          <t>✓ COMPLETE</t>
        </is>
      </c>
      <c r="K102" s="236" t="inlineStr">
        <is>
          <t>—</t>
        </is>
      </c>
      <c r="L102" s="252" t="n">
        <v>0.1981</v>
      </c>
      <c r="M102" s="233" t="inlineStr">
        <is>
          <t>ППК25379</t>
        </is>
      </c>
      <c r="N102" s="252" t="n">
        <v>0</v>
      </c>
      <c r="O102" s="240" t="inlineStr">
        <is>
          <t>yes — all 12 determinations covered</t>
        </is>
      </c>
    </row>
    <row r="103">
      <c r="A103" s="233" t="n">
        <v>2</v>
      </c>
      <c r="B103" s="233" t="inlineStr">
        <is>
          <t>14.08.2026</t>
        </is>
      </c>
      <c r="C103" s="234" t="inlineStr">
        <is>
          <t>GP0824_03</t>
        </is>
      </c>
      <c r="D103" s="233" t="inlineStr">
        <is>
          <t>Grape Pie</t>
        </is>
      </c>
      <c r="E103" s="251" t="n">
        <v>237.67</v>
      </c>
      <c r="F103" s="233" t="inlineStr">
        <is>
          <t>≥ 25%</t>
        </is>
      </c>
      <c r="G103" s="252" t="n">
        <v>0.2545</v>
      </c>
      <c r="H103" s="233" t="inlineStr">
        <is>
          <t>P050072</t>
        </is>
      </c>
      <c r="I103" s="233" t="inlineStr">
        <is>
          <t>GP0824_03</t>
        </is>
      </c>
      <c r="J103" s="233" t="inlineStr">
        <is>
          <t>✓ COMPLETE</t>
        </is>
      </c>
      <c r="K103" s="236" t="inlineStr">
        <is>
          <t>—</t>
        </is>
      </c>
      <c r="L103" s="252" t="n">
        <v>0.2545</v>
      </c>
      <c r="M103" s="233" t="inlineStr">
        <is>
          <t>ППК25175</t>
        </is>
      </c>
      <c r="N103" s="252" t="n">
        <v>0</v>
      </c>
      <c r="O103" s="240" t="inlineStr">
        <is>
          <t>yes — all 12 determinations covered</t>
        </is>
      </c>
    </row>
    <row r="104">
      <c r="A104" s="233" t="n">
        <v>2</v>
      </c>
      <c r="B104" s="233" t="inlineStr">
        <is>
          <t>14.08.2026</t>
        </is>
      </c>
      <c r="C104" s="234" t="inlineStr">
        <is>
          <t>GP082501/1</t>
        </is>
      </c>
      <c r="D104" s="233" t="inlineStr">
        <is>
          <t>Grape Pie</t>
        </is>
      </c>
      <c r="E104" s="251" t="n">
        <v>200.42</v>
      </c>
      <c r="F104" s="233" t="inlineStr">
        <is>
          <t>19–22%</t>
        </is>
      </c>
      <c r="G104" s="252" t="n">
        <v>0.2129</v>
      </c>
      <c r="H104" s="233" t="inlineStr">
        <is>
          <t>P050312</t>
        </is>
      </c>
      <c r="I104" s="233" t="inlineStr">
        <is>
          <t>GP082501/1</t>
        </is>
      </c>
      <c r="J104" s="233" t="inlineStr">
        <is>
          <t>✓ COMPLETE</t>
        </is>
      </c>
      <c r="K104" s="236" t="inlineStr">
        <is>
          <t>—</t>
        </is>
      </c>
      <c r="L104" s="252" t="n">
        <v>0.2129</v>
      </c>
      <c r="M104" s="233" t="inlineStr">
        <is>
          <t>ППК25380</t>
        </is>
      </c>
      <c r="N104" s="252" t="n">
        <v>0</v>
      </c>
      <c r="O104" s="240" t="inlineStr">
        <is>
          <t>yes — all 12 determinations covered</t>
        </is>
      </c>
    </row>
    <row r="105">
      <c r="A105" s="233" t="n">
        <v>2</v>
      </c>
      <c r="B105" s="233" t="inlineStr">
        <is>
          <t>14.08.2026</t>
        </is>
      </c>
      <c r="C105" s="234" t="inlineStr">
        <is>
          <t>GP092501</t>
        </is>
      </c>
      <c r="D105" s="233" t="inlineStr">
        <is>
          <t>Grape Pie</t>
        </is>
      </c>
      <c r="E105" s="251" t="n">
        <v>171.03</v>
      </c>
      <c r="F105" s="233" t="inlineStr">
        <is>
          <t>≥ 25%</t>
        </is>
      </c>
      <c r="G105" s="252" t="n">
        <v>0.2573</v>
      </c>
      <c r="H105" s="233" t="inlineStr">
        <is>
          <t>P060092</t>
        </is>
      </c>
      <c r="I105" s="233" t="inlineStr">
        <is>
          <t>GP092501</t>
        </is>
      </c>
      <c r="J105" s="233" t="inlineStr">
        <is>
          <t>✓ COMPLETE</t>
        </is>
      </c>
      <c r="K105" s="236" t="inlineStr">
        <is>
          <t>—</t>
        </is>
      </c>
      <c r="L105" s="252" t="n">
        <v>0.2573</v>
      </c>
      <c r="M105" s="233" t="inlineStr">
        <is>
          <t>ППК26009</t>
        </is>
      </c>
      <c r="N105" s="252" t="n">
        <v>0</v>
      </c>
      <c r="O105" s="240" t="inlineStr">
        <is>
          <t>yes — all 12 determinations covered</t>
        </is>
      </c>
    </row>
    <row r="106">
      <c r="A106" s="233" t="n">
        <v>2</v>
      </c>
      <c r="B106" s="233" t="inlineStr">
        <is>
          <t>14.08.2026</t>
        </is>
      </c>
      <c r="C106" s="234" t="inlineStr">
        <is>
          <t>GRC102501/2</t>
        </is>
      </c>
      <c r="D106" s="233" t="inlineStr">
        <is>
          <t>Grapes and Cream</t>
        </is>
      </c>
      <c r="E106" s="251" t="n">
        <v>20.17</v>
      </c>
      <c r="F106" s="233" t="inlineStr">
        <is>
          <t>10–13%</t>
        </is>
      </c>
      <c r="G106" s="252" t="n">
        <v>0.1153</v>
      </c>
      <c r="H106" s="233" t="inlineStr">
        <is>
          <t>P060182</t>
        </is>
      </c>
      <c r="I106" s="233" t="inlineStr">
        <is>
          <t>GRC102501 (through its P lot; the desk row is the roll-up GRC102501)</t>
        </is>
      </c>
      <c r="J106" s="233" t="inlineStr">
        <is>
          <t>○ 2 ON FILE, NOT RECORDED</t>
        </is>
      </c>
      <c r="K106" s="236" t="inlineStr">
        <is>
          <t>#11 Heavy metals (on file 09.09, not recorded); #12 Pesticides (on file 09.09, not recorded)</t>
        </is>
      </c>
      <c r="L106" s="252" t="n">
        <v>0.1153</v>
      </c>
      <c r="M106" s="233" t="inlineStr">
        <is>
          <t>None</t>
        </is>
      </c>
      <c r="N106" s="252" t="n">
        <v>0</v>
      </c>
      <c r="O106" s="241" t="inlineStr">
        <is>
          <t>no — 2 on file, not recorded</t>
        </is>
      </c>
    </row>
    <row r="107">
      <c r="A107" s="233" t="n">
        <v>2</v>
      </c>
      <c r="B107" s="233" t="inlineStr">
        <is>
          <t>14.08.2026</t>
        </is>
      </c>
      <c r="C107" s="234" t="inlineStr">
        <is>
          <t>HPA052501</t>
        </is>
      </c>
      <c r="D107" s="233" t="inlineStr">
        <is>
          <t>High Pro Amnesia</t>
        </is>
      </c>
      <c r="E107" s="251" t="n">
        <v>249.95</v>
      </c>
      <c r="F107" s="233" t="inlineStr">
        <is>
          <t>19–22%</t>
        </is>
      </c>
      <c r="G107" s="252" t="n">
        <v>0.2039</v>
      </c>
      <c r="H107" s="233" t="inlineStr">
        <is>
          <t>P050182</t>
        </is>
      </c>
      <c r="I107" s="233" t="inlineStr">
        <is>
          <t>HPA052501</t>
        </is>
      </c>
      <c r="J107" s="233" t="inlineStr">
        <is>
          <t>✓ COMPLETE</t>
        </is>
      </c>
      <c r="K107" s="236" t="inlineStr">
        <is>
          <t>—</t>
        </is>
      </c>
      <c r="L107" s="252" t="n">
        <v>0.2039</v>
      </c>
      <c r="M107" s="233" t="inlineStr">
        <is>
          <t>ППК25278</t>
        </is>
      </c>
      <c r="N107" s="252" t="n">
        <v>0</v>
      </c>
      <c r="O107" s="240" t="inlineStr">
        <is>
          <t>yes — all 12 determinations covered</t>
        </is>
      </c>
    </row>
    <row r="108">
      <c r="A108" s="233" t="n">
        <v>2</v>
      </c>
      <c r="B108" s="233" t="inlineStr">
        <is>
          <t>14.08.2026</t>
        </is>
      </c>
      <c r="C108" s="234" t="inlineStr">
        <is>
          <t>JD012603/01</t>
        </is>
      </c>
      <c r="D108" s="233" t="inlineStr">
        <is>
          <t>Jelly Donuts</t>
        </is>
      </c>
      <c r="E108" s="251" t="n">
        <v>12</v>
      </c>
      <c r="F108" s="233" t="inlineStr">
        <is>
          <t>16–19%</t>
        </is>
      </c>
      <c r="G108" s="252" t="n">
        <v>0.1671</v>
      </c>
      <c r="H108" s="233" t="inlineStr">
        <is>
          <t>P060362</t>
        </is>
      </c>
      <c r="I108" s="233" t="inlineStr">
        <is>
          <t>JD012603 (through its P lot; the desk row is the roll-up JD012603)</t>
        </is>
      </c>
      <c r="J108" s="233" t="inlineStr">
        <is>
          <t>○ 3 ON FILE, NOT RECORDED</t>
        </is>
      </c>
      <c r="K108" s="236" t="inlineStr">
        <is>
          <t>#9 Microbiology (on file 09.09, not recorded); #11 Heavy metals (on file 09.09, not recorded); #12 Pesticides (on file 09.09, not recorded)</t>
        </is>
      </c>
      <c r="L108" s="252" t="inlineStr">
        <is>
          <t>— none on the desk —</t>
        </is>
      </c>
      <c r="M108" s="233" t="inlineStr">
        <is>
          <t>—</t>
        </is>
      </c>
      <c r="N108" s="252" t="inlineStr">
        <is>
          <t>—</t>
        </is>
      </c>
      <c r="O108" s="241" t="inlineStr">
        <is>
          <t>no — 3 on file, not recorded</t>
        </is>
      </c>
    </row>
    <row r="109">
      <c r="A109" s="233" t="n">
        <v>2</v>
      </c>
      <c r="B109" s="233" t="inlineStr">
        <is>
          <t>14.08.2026</t>
        </is>
      </c>
      <c r="C109" s="234" t="inlineStr">
        <is>
          <t>JD012603/02</t>
        </is>
      </c>
      <c r="D109" s="233" t="inlineStr">
        <is>
          <t>Jelly Donuts</t>
        </is>
      </c>
      <c r="E109" s="251" t="n">
        <v>46</v>
      </c>
      <c r="F109" s="233" t="inlineStr">
        <is>
          <t>13–16%</t>
        </is>
      </c>
      <c r="G109" s="252" t="n">
        <v>0.133</v>
      </c>
      <c r="H109" s="233" t="inlineStr">
        <is>
          <t>P060412</t>
        </is>
      </c>
      <c r="I109" s="233" t="inlineStr">
        <is>
          <t>JD012603 (through its P lot; the desk row is the roll-up JD012603)</t>
        </is>
      </c>
      <c r="J109" s="233" t="inlineStr">
        <is>
          <t>○ 3 ON FILE, NOT RECORDED</t>
        </is>
      </c>
      <c r="K109" s="236" t="inlineStr">
        <is>
          <t>#9 Microbiology (on file 09.09, not recorded); #11 Heavy metals (on file 09.09, not recorded); #12 Pesticides (on file 09.09, not recorded)</t>
        </is>
      </c>
      <c r="L109" s="253" t="n">
        <v>0.2054</v>
      </c>
      <c r="M109" s="254" t="inlineStr">
        <is>
          <t>ППК26113</t>
        </is>
      </c>
      <c r="N109" s="253" t="n">
        <v>0.07239999999999998</v>
      </c>
      <c r="O109" s="255" t="inlineStr">
        <is>
          <t>no — 3 on file, not recorded  |  POTENCY: the certificate reads 20.54 %, outside the 13–16% it was delivered under</t>
        </is>
      </c>
    </row>
    <row r="110">
      <c r="A110" s="233" t="n">
        <v>2</v>
      </c>
      <c r="B110" s="233" t="inlineStr">
        <is>
          <t>14.08.2026</t>
        </is>
      </c>
      <c r="C110" s="234" t="inlineStr">
        <is>
          <t>JD012603/02V</t>
        </is>
      </c>
      <c r="D110" s="233" t="inlineStr">
        <is>
          <t>Jelly Donuts</t>
        </is>
      </c>
      <c r="E110" s="251" t="n">
        <v>11</v>
      </c>
      <c r="F110" s="233" t="inlineStr">
        <is>
          <t>13–16%</t>
        </is>
      </c>
      <c r="G110" s="252" t="n">
        <v>0.1497</v>
      </c>
      <c r="H110" s="233" t="inlineStr">
        <is>
          <t>P060422</t>
        </is>
      </c>
      <c r="I110" s="233" t="inlineStr">
        <is>
          <t>JD012603 (through its P lot; the desk row is the roll-up JD012603)</t>
        </is>
      </c>
      <c r="J110" s="233" t="inlineStr">
        <is>
          <t>○ 3 ON FILE, NOT RECORDED</t>
        </is>
      </c>
      <c r="K110" s="236" t="inlineStr">
        <is>
          <t>#9 Microbiology (on file 09.09, not recorded); #11 Heavy metals (on file 09.09, not recorded); #12 Pesticides (on file 09.09, not recorded)</t>
        </is>
      </c>
      <c r="L110" s="252" t="n">
        <v>0.1516</v>
      </c>
      <c r="M110" s="233" t="inlineStr">
        <is>
          <t>ППК26111</t>
        </is>
      </c>
      <c r="N110" s="252" t="n">
        <v>0.001899999999999995</v>
      </c>
      <c r="O110" s="241" t="inlineStr">
        <is>
          <t>no — 3 on file, not recorded</t>
        </is>
      </c>
    </row>
    <row r="111">
      <c r="A111" s="233" t="n">
        <v>2</v>
      </c>
      <c r="B111" s="233" t="inlineStr">
        <is>
          <t>14.08.2026</t>
        </is>
      </c>
      <c r="C111" s="234" t="inlineStr">
        <is>
          <t>KC102501</t>
        </is>
      </c>
      <c r="D111" s="233" t="inlineStr">
        <is>
          <t>Kush Crasher</t>
        </is>
      </c>
      <c r="E111" s="251" t="n">
        <v>21.67</v>
      </c>
      <c r="F111" s="233" t="inlineStr">
        <is>
          <t>16–19%</t>
        </is>
      </c>
      <c r="G111" s="252" t="n">
        <v>0.174</v>
      </c>
      <c r="H111" s="233" t="inlineStr">
        <is>
          <t>P060172</t>
        </is>
      </c>
      <c r="I111" s="233" t="inlineStr">
        <is>
          <t>KC102501</t>
        </is>
      </c>
      <c r="J111" s="233" t="inlineStr">
        <is>
          <t>○ 3 ON FILE, NOT RECORDED</t>
        </is>
      </c>
      <c r="K111" s="236" t="inlineStr">
        <is>
          <t>#9 Microbiology (on file 09.09, not recorded); #11 Heavy metals (on file 09.09, not recorded); #12 Pesticides (on file 09.09, not recorded)</t>
        </is>
      </c>
      <c r="L111" s="252" t="n">
        <v>0.1704</v>
      </c>
      <c r="M111" s="233" t="inlineStr">
        <is>
          <t>051-4-К/26</t>
        </is>
      </c>
      <c r="N111" s="252" t="n">
        <v>-0.003599999999999994</v>
      </c>
      <c r="O111" s="241" t="inlineStr">
        <is>
          <t>no — 3 on file, not recorded</t>
        </is>
      </c>
    </row>
    <row r="112">
      <c r="A112" s="233" t="n">
        <v>2</v>
      </c>
      <c r="B112" s="233" t="inlineStr">
        <is>
          <t>14.08.2026</t>
        </is>
      </c>
      <c r="C112" s="234" t="inlineStr">
        <is>
          <t>MB0824_05</t>
        </is>
      </c>
      <c r="D112" s="233" t="inlineStr">
        <is>
          <t>Motor Breath</t>
        </is>
      </c>
      <c r="E112" s="251" t="n">
        <v>244.06</v>
      </c>
      <c r="F112" s="233" t="inlineStr">
        <is>
          <t>16–19%</t>
        </is>
      </c>
      <c r="G112" s="252" t="n">
        <v>0.1682</v>
      </c>
      <c r="H112" s="233" t="inlineStr">
        <is>
          <t>P050112</t>
        </is>
      </c>
      <c r="I112" s="233" t="inlineStr">
        <is>
          <t>MB0824_05</t>
        </is>
      </c>
      <c r="J112" s="233" t="inlineStr">
        <is>
          <t>✓ COMPLETE</t>
        </is>
      </c>
      <c r="K112" s="236" t="inlineStr">
        <is>
          <t>—</t>
        </is>
      </c>
      <c r="L112" s="252" t="n">
        <v>0.1682</v>
      </c>
      <c r="M112" s="233" t="inlineStr">
        <is>
          <t>None</t>
        </is>
      </c>
      <c r="N112" s="252" t="n">
        <v>0</v>
      </c>
      <c r="O112" s="240" t="inlineStr">
        <is>
          <t>yes — all 12 determinations covered</t>
        </is>
      </c>
    </row>
    <row r="113">
      <c r="A113" s="233" t="n">
        <v>2</v>
      </c>
      <c r="B113" s="233" t="inlineStr">
        <is>
          <t>14.08.2026</t>
        </is>
      </c>
      <c r="C113" s="234" t="inlineStr">
        <is>
          <t>OMP1024_01</t>
        </is>
      </c>
      <c r="D113" s="233" t="inlineStr">
        <is>
          <t>Orange Punch Mimosa</t>
        </is>
      </c>
      <c r="E113" s="251" t="n">
        <v>213.59</v>
      </c>
      <c r="F113" s="233" t="inlineStr">
        <is>
          <t>13–16%</t>
        </is>
      </c>
      <c r="G113" s="252" t="n">
        <v>0.1538</v>
      </c>
      <c r="H113" s="233" t="inlineStr">
        <is>
          <t>P050042</t>
        </is>
      </c>
      <c r="I113" s="233" t="inlineStr">
        <is>
          <t>OMP1024_01</t>
        </is>
      </c>
      <c r="J113" s="233" t="inlineStr">
        <is>
          <t>✓ COMPLETE</t>
        </is>
      </c>
      <c r="K113" s="236" t="inlineStr">
        <is>
          <t>—</t>
        </is>
      </c>
      <c r="L113" s="252" t="inlineStr">
        <is>
          <t>— none on the desk —</t>
        </is>
      </c>
      <c r="M113" s="233" t="inlineStr">
        <is>
          <t>—</t>
        </is>
      </c>
      <c r="N113" s="252" t="inlineStr">
        <is>
          <t>—</t>
        </is>
      </c>
      <c r="O113" s="240" t="inlineStr">
        <is>
          <t>yes — all 12 determinations covered</t>
        </is>
      </c>
    </row>
    <row r="114">
      <c r="A114" s="233" t="n">
        <v>2</v>
      </c>
      <c r="B114" s="233" t="inlineStr">
        <is>
          <t>14.08.2026</t>
        </is>
      </c>
      <c r="C114" s="234" t="inlineStr">
        <is>
          <t>OPM092501</t>
        </is>
      </c>
      <c r="D114" s="233" t="inlineStr">
        <is>
          <t>Orange Punch Mimosa</t>
        </is>
      </c>
      <c r="E114" s="251" t="n">
        <v>14.76</v>
      </c>
      <c r="F114" s="233" t="inlineStr">
        <is>
          <t>7–10%</t>
        </is>
      </c>
      <c r="G114" s="252" t="n">
        <v>0.09429999999999999</v>
      </c>
      <c r="H114" s="233" t="inlineStr">
        <is>
          <t>P060042</t>
        </is>
      </c>
      <c r="I114" s="233" t="inlineStr">
        <is>
          <t>OPM092501</t>
        </is>
      </c>
      <c r="J114" s="233" t="inlineStr">
        <is>
          <t>✓ COMPLETE</t>
        </is>
      </c>
      <c r="K114" s="236" t="inlineStr">
        <is>
          <t>—</t>
        </is>
      </c>
      <c r="L114" s="252" t="n">
        <v>0.09429999999999999</v>
      </c>
      <c r="M114" s="233" t="inlineStr">
        <is>
          <t>ППК26008</t>
        </is>
      </c>
      <c r="N114" s="252" t="n">
        <v>0</v>
      </c>
      <c r="O114" s="240" t="inlineStr">
        <is>
          <t>yes — all 12 determinations covered</t>
        </is>
      </c>
    </row>
    <row r="115">
      <c r="A115" s="233" t="n">
        <v>2</v>
      </c>
      <c r="B115" s="233" t="inlineStr">
        <is>
          <t>14.08.2026</t>
        </is>
      </c>
      <c r="C115" s="234" t="inlineStr">
        <is>
          <t>OPM1024_03</t>
        </is>
      </c>
      <c r="D115" s="233" t="inlineStr">
        <is>
          <t>Orange Punch Mimosa</t>
        </is>
      </c>
      <c r="E115" s="251" t="n">
        <v>267.59</v>
      </c>
      <c r="F115" s="233" t="inlineStr">
        <is>
          <t>16–19%</t>
        </is>
      </c>
      <c r="G115" s="252" t="n">
        <v>0.1655</v>
      </c>
      <c r="H115" s="233" t="inlineStr">
        <is>
          <t>P050082</t>
        </is>
      </c>
      <c r="I115" s="233" t="inlineStr">
        <is>
          <t>OPM1024_03</t>
        </is>
      </c>
      <c r="J115" s="233" t="inlineStr">
        <is>
          <t>✓ COMPLETE</t>
        </is>
      </c>
      <c r="K115" s="236" t="inlineStr">
        <is>
          <t>—</t>
        </is>
      </c>
      <c r="L115" s="252" t="n">
        <v>0.1655</v>
      </c>
      <c r="M115" s="233" t="inlineStr">
        <is>
          <t>ППК25210</t>
        </is>
      </c>
      <c r="N115" s="252" t="n">
        <v>0</v>
      </c>
      <c r="O115" s="240" t="inlineStr">
        <is>
          <t>yes — all 12 determinations covered</t>
        </is>
      </c>
    </row>
    <row r="116">
      <c r="A116" s="233" t="n">
        <v>2</v>
      </c>
      <c r="B116" s="233" t="inlineStr">
        <is>
          <t>14.08.2026</t>
        </is>
      </c>
      <c r="C116" s="234" t="inlineStr">
        <is>
          <t>PM112501</t>
        </is>
      </c>
      <c r="D116" s="233" t="inlineStr">
        <is>
          <t>Permanent Marker</t>
        </is>
      </c>
      <c r="E116" s="251" t="n">
        <v>48.09</v>
      </c>
      <c r="F116" s="233" t="inlineStr">
        <is>
          <t>13–16%</t>
        </is>
      </c>
      <c r="G116" s="252" t="n">
        <v>0.13</v>
      </c>
      <c r="H116" s="233" t="inlineStr">
        <is>
          <t>P060232</t>
        </is>
      </c>
      <c r="I116" s="233" t="inlineStr">
        <is>
          <t>PM112501</t>
        </is>
      </c>
      <c r="J116" s="233" t="inlineStr">
        <is>
          <t>○ 3 ON FILE, NOT RECORDED</t>
        </is>
      </c>
      <c r="K116" s="236" t="inlineStr">
        <is>
          <t>#9 Microbiology (on file 09.09, not recorded); #11 Heavy metals (on file 09.09, not recorded); #12 Pesticides (on file 09.09, not recorded)</t>
        </is>
      </c>
      <c r="L116" s="252" t="n">
        <v>0.1333</v>
      </c>
      <c r="M116" s="233" t="inlineStr">
        <is>
          <t>ППК26030</t>
        </is>
      </c>
      <c r="N116" s="252" t="n">
        <v>0.003300000000000001</v>
      </c>
      <c r="O116" s="241" t="inlineStr">
        <is>
          <t>no — 3 on file, not recorded</t>
        </is>
      </c>
    </row>
    <row r="117">
      <c r="A117" s="233" t="n">
        <v>2</v>
      </c>
      <c r="B117" s="233" t="inlineStr">
        <is>
          <t>14.08.2026</t>
        </is>
      </c>
      <c r="C117" s="234" t="inlineStr">
        <is>
          <t>PUM102501</t>
        </is>
      </c>
      <c r="D117" s="233" t="inlineStr">
        <is>
          <t>Pure Michigen</t>
        </is>
      </c>
      <c r="E117" s="251" t="n">
        <v>49.91</v>
      </c>
      <c r="F117" s="233" t="inlineStr">
        <is>
          <t>13–16%</t>
        </is>
      </c>
      <c r="G117" s="252" t="n">
        <v>0.1563</v>
      </c>
      <c r="H117" s="233" t="inlineStr">
        <is>
          <t>P060112</t>
        </is>
      </c>
      <c r="I117" s="233" t="inlineStr">
        <is>
          <t>PUM102501</t>
        </is>
      </c>
      <c r="J117" s="233" t="inlineStr">
        <is>
          <t>○ 8 ON FILE, NOT RECORDED</t>
        </is>
      </c>
      <c r="K117" s="236"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117" s="252" t="inlineStr">
        <is>
          <t>— none on the desk —</t>
        </is>
      </c>
      <c r="M117" s="233" t="inlineStr">
        <is>
          <t>—</t>
        </is>
      </c>
      <c r="N117" s="252" t="inlineStr">
        <is>
          <t>—</t>
        </is>
      </c>
      <c r="O117" s="241" t="inlineStr">
        <is>
          <t>no — 8 on file, not recorded</t>
        </is>
      </c>
    </row>
    <row r="118">
      <c r="A118" s="233" t="n">
        <v>2</v>
      </c>
      <c r="B118" s="233" t="inlineStr">
        <is>
          <t>14.08.2026</t>
        </is>
      </c>
      <c r="C118" s="234" t="inlineStr">
        <is>
          <t>SCR112501</t>
        </is>
      </c>
      <c r="D118" s="233" t="inlineStr">
        <is>
          <t>Scrambler</t>
        </is>
      </c>
      <c r="E118" s="251" t="n">
        <v>23.44</v>
      </c>
      <c r="F118" s="233" t="inlineStr">
        <is>
          <t>16–19%</t>
        </is>
      </c>
      <c r="G118" s="252" t="n">
        <v>0.1713</v>
      </c>
      <c r="H118" s="233" t="inlineStr">
        <is>
          <t>P060282</t>
        </is>
      </c>
      <c r="I118" s="233" t="inlineStr">
        <is>
          <t>SCR112501</t>
        </is>
      </c>
      <c r="J118" s="233" t="inlineStr">
        <is>
          <t>✓ COMPLETE</t>
        </is>
      </c>
      <c r="K118" s="236" t="inlineStr">
        <is>
          <t>—</t>
        </is>
      </c>
      <c r="L118" s="252" t="n">
        <v>0.1713</v>
      </c>
      <c r="M118" s="233" t="inlineStr">
        <is>
          <t>ППК26069</t>
        </is>
      </c>
      <c r="N118" s="252" t="n">
        <v>0</v>
      </c>
      <c r="O118" s="240" t="inlineStr">
        <is>
          <t>yes — all 12 determinations covered</t>
        </is>
      </c>
    </row>
    <row r="119">
      <c r="A119" s="233" t="n">
        <v>2</v>
      </c>
      <c r="B119" s="233" t="inlineStr">
        <is>
          <t>14.08.2026</t>
        </is>
      </c>
      <c r="C119" s="234" t="inlineStr">
        <is>
          <t>SJ092501</t>
        </is>
      </c>
      <c r="D119" s="233" t="inlineStr">
        <is>
          <t>Sleepy Joe</t>
        </is>
      </c>
      <c r="E119" s="251" t="n">
        <v>28.68</v>
      </c>
      <c r="F119" s="233" t="inlineStr">
        <is>
          <t>10–13%</t>
        </is>
      </c>
      <c r="G119" s="252" t="n">
        <v>0.1096</v>
      </c>
      <c r="H119" s="233" t="inlineStr">
        <is>
          <t>—</t>
        </is>
      </c>
      <c r="I119" s="233" t="inlineStr">
        <is>
          <t>SJ0925021 (through the certificates that print this batch (85/2026, 9/0012/26, ППК26006); the desk names the lot SJ0925021)</t>
        </is>
      </c>
      <c r="J119" s="233" t="inlineStr">
        <is>
          <t>✓ COMPLETE</t>
        </is>
      </c>
      <c r="K119" s="236" t="inlineStr">
        <is>
          <t>—</t>
        </is>
      </c>
      <c r="L119" s="252" t="n">
        <v>0.1096</v>
      </c>
      <c r="M119" s="233" t="inlineStr">
        <is>
          <t>ППК26006</t>
        </is>
      </c>
      <c r="N119" s="252" t="n">
        <v>0</v>
      </c>
      <c r="O119" s="240" t="inlineStr">
        <is>
          <t>yes — all 12 determinations covered</t>
        </is>
      </c>
    </row>
    <row r="120">
      <c r="A120" s="233" t="n">
        <v>2</v>
      </c>
      <c r="B120" s="233" t="inlineStr">
        <is>
          <t>14.08.2026</t>
        </is>
      </c>
      <c r="C120" s="234" t="inlineStr">
        <is>
          <t>WC082501</t>
        </is>
      </c>
      <c r="D120" s="233" t="inlineStr">
        <is>
          <t>Wedding Crusher</t>
        </is>
      </c>
      <c r="E120" s="251" t="n">
        <v>82.63</v>
      </c>
      <c r="F120" s="233" t="inlineStr">
        <is>
          <t>19–22%</t>
        </is>
      </c>
      <c r="G120" s="252" t="n">
        <v>0.2167</v>
      </c>
      <c r="H120" s="233" t="inlineStr">
        <is>
          <t>P060012</t>
        </is>
      </c>
      <c r="I120" s="233" t="inlineStr">
        <is>
          <t>WC082501</t>
        </is>
      </c>
      <c r="J120" s="233" t="inlineStr">
        <is>
          <t>✓ COMPLETE</t>
        </is>
      </c>
      <c r="K120" s="236" t="inlineStr">
        <is>
          <t>—</t>
        </is>
      </c>
      <c r="L120" s="252" t="n">
        <v>0.2167</v>
      </c>
      <c r="M120" s="233" t="inlineStr">
        <is>
          <t>ППК26001</t>
        </is>
      </c>
      <c r="N120" s="252" t="n">
        <v>0</v>
      </c>
      <c r="O120" s="240" t="inlineStr">
        <is>
          <t>yes — all 12 determinations covered</t>
        </is>
      </c>
    </row>
    <row r="121">
      <c r="A121" s="233" t="n">
        <v>3</v>
      </c>
      <c r="B121" s="233" t="inlineStr">
        <is>
          <t>28.08.2026</t>
        </is>
      </c>
      <c r="C121" s="234" t="inlineStr">
        <is>
          <t>AB092501</t>
        </is>
      </c>
      <c r="D121" s="233" t="inlineStr">
        <is>
          <t>Appels &amp; Bananas</t>
        </is>
      </c>
      <c r="E121" s="251" t="n">
        <v>24.37</v>
      </c>
      <c r="F121" s="233" t="inlineStr">
        <is>
          <t>16–19%</t>
        </is>
      </c>
      <c r="G121" s="252" t="n">
        <v>0.1693</v>
      </c>
      <c r="H121" s="233" t="inlineStr">
        <is>
          <t>P060052</t>
        </is>
      </c>
      <c r="I121" s="233" t="inlineStr">
        <is>
          <t>AB092501</t>
        </is>
      </c>
      <c r="J121" s="233" t="inlineStr">
        <is>
          <t>✓ COMPLETE</t>
        </is>
      </c>
      <c r="K121" s="236" t="inlineStr">
        <is>
          <t>—</t>
        </is>
      </c>
      <c r="L121" s="252" t="n">
        <v>0.1693</v>
      </c>
      <c r="M121" s="233" t="inlineStr">
        <is>
          <t>ППК26005</t>
        </is>
      </c>
      <c r="N121" s="252" t="n">
        <v>0</v>
      </c>
      <c r="O121" s="240" t="inlineStr">
        <is>
          <t>yes — all 12 determinations covered</t>
        </is>
      </c>
    </row>
    <row r="122">
      <c r="A122" s="233" t="n">
        <v>3</v>
      </c>
      <c r="B122" s="233" t="inlineStr">
        <is>
          <t>28.08.2026</t>
        </is>
      </c>
      <c r="C122" s="234" t="inlineStr">
        <is>
          <t>BSS1024_01/1</t>
        </is>
      </c>
      <c r="D122" s="233" t="inlineStr">
        <is>
          <t>Blue Sunset Sherbet</t>
        </is>
      </c>
      <c r="E122" s="251" t="n">
        <v>251.02</v>
      </c>
      <c r="F122" s="233" t="inlineStr">
        <is>
          <t>22–25%</t>
        </is>
      </c>
      <c r="G122" s="252" t="n">
        <v>0.2342</v>
      </c>
      <c r="H122" s="233" t="inlineStr">
        <is>
          <t>P050122</t>
        </is>
      </c>
      <c r="I122" s="233" t="inlineStr">
        <is>
          <t>BSS1024_01/1</t>
        </is>
      </c>
      <c r="J122" s="233" t="inlineStr">
        <is>
          <t>✓ COMPLETE</t>
        </is>
      </c>
      <c r="K122" s="236" t="inlineStr">
        <is>
          <t>—</t>
        </is>
      </c>
      <c r="L122" s="252" t="inlineStr">
        <is>
          <t>— none on the desk —</t>
        </is>
      </c>
      <c r="M122" s="233" t="inlineStr">
        <is>
          <t>—</t>
        </is>
      </c>
      <c r="N122" s="252" t="inlineStr">
        <is>
          <t>—</t>
        </is>
      </c>
      <c r="O122" s="240" t="inlineStr">
        <is>
          <t>yes — all 12 determinations covered</t>
        </is>
      </c>
    </row>
    <row r="123">
      <c r="A123" s="233" t="n">
        <v>3</v>
      </c>
      <c r="B123" s="233" t="inlineStr">
        <is>
          <t>28.08.2026</t>
        </is>
      </c>
      <c r="C123" s="234" t="inlineStr">
        <is>
          <t>CC112501</t>
        </is>
      </c>
      <c r="D123" s="233" t="inlineStr">
        <is>
          <t>Cash Cow</t>
        </is>
      </c>
      <c r="E123" s="251" t="n">
        <v>13.94</v>
      </c>
      <c r="F123" s="233" t="inlineStr">
        <is>
          <t>13–16%</t>
        </is>
      </c>
      <c r="G123" s="252" t="n">
        <v>0.1335</v>
      </c>
      <c r="H123" s="233" t="inlineStr">
        <is>
          <t>P060272</t>
        </is>
      </c>
      <c r="I123" s="233" t="inlineStr">
        <is>
          <t>CC112501</t>
        </is>
      </c>
      <c r="J123" s="233" t="inlineStr">
        <is>
          <t>✓ COMPLETE</t>
        </is>
      </c>
      <c r="K123" s="236" t="inlineStr">
        <is>
          <t>—</t>
        </is>
      </c>
      <c r="L123" s="252" t="n">
        <v>0.1335</v>
      </c>
      <c r="M123" s="233" t="inlineStr">
        <is>
          <t>ППК26068</t>
        </is>
      </c>
      <c r="N123" s="252" t="n">
        <v>0</v>
      </c>
      <c r="O123" s="240" t="inlineStr">
        <is>
          <t>yes — all 12 determinations covered</t>
        </is>
      </c>
    </row>
    <row r="124">
      <c r="A124" s="233" t="n">
        <v>3</v>
      </c>
      <c r="B124" s="233" t="inlineStr">
        <is>
          <t>28.08.2026</t>
        </is>
      </c>
      <c r="C124" s="234" t="inlineStr">
        <is>
          <t>CJ052501/02</t>
        </is>
      </c>
      <c r="D124" s="233" t="inlineStr">
        <is>
          <t>Cap Junky</t>
        </is>
      </c>
      <c r="E124" s="251" t="n">
        <v>43.95</v>
      </c>
      <c r="F124" s="233" t="inlineStr">
        <is>
          <t>13–16%</t>
        </is>
      </c>
      <c r="G124" s="252" t="n">
        <v>0.1449</v>
      </c>
      <c r="H124" s="233" t="inlineStr">
        <is>
          <t>P050172</t>
        </is>
      </c>
      <c r="I124" s="233" t="inlineStr">
        <is>
          <t>CJ052501/02</t>
        </is>
      </c>
      <c r="J124" s="233" t="inlineStr">
        <is>
          <t>✓ COMPLETE</t>
        </is>
      </c>
      <c r="K124" s="236" t="inlineStr">
        <is>
          <t>—</t>
        </is>
      </c>
      <c r="L124" s="252" t="n">
        <v>0.1493</v>
      </c>
      <c r="M124" s="233" t="inlineStr">
        <is>
          <t>ППК25281</t>
        </is>
      </c>
      <c r="N124" s="252" t="n">
        <v>0.004399999999999995</v>
      </c>
      <c r="O124" s="240" t="inlineStr">
        <is>
          <t>yes — all 12 determinations covered</t>
        </is>
      </c>
    </row>
    <row r="125">
      <c r="A125" s="233" t="n">
        <v>3</v>
      </c>
      <c r="B125" s="233" t="inlineStr">
        <is>
          <t>28.08.2026</t>
        </is>
      </c>
      <c r="C125" s="234" t="inlineStr">
        <is>
          <t>CJ072501</t>
        </is>
      </c>
      <c r="D125" s="233" t="inlineStr">
        <is>
          <t>Cap Junky</t>
        </is>
      </c>
      <c r="E125" s="251" t="n">
        <v>39.72</v>
      </c>
      <c r="F125" s="233" t="inlineStr">
        <is>
          <t>22–25%</t>
        </is>
      </c>
      <c r="G125" s="252" t="n">
        <v>0.237</v>
      </c>
      <c r="H125" s="233" t="inlineStr">
        <is>
          <t>P050252</t>
        </is>
      </c>
      <c r="I125" s="233" t="inlineStr">
        <is>
          <t>CJ072501</t>
        </is>
      </c>
      <c r="J125" s="233" t="inlineStr">
        <is>
          <t>✓ COMPLETE</t>
        </is>
      </c>
      <c r="K125" s="236" t="inlineStr">
        <is>
          <t>—</t>
        </is>
      </c>
      <c r="L125" s="252" t="n">
        <v>0.237</v>
      </c>
      <c r="M125" s="233" t="inlineStr">
        <is>
          <t>ППК25367</t>
        </is>
      </c>
      <c r="N125" s="252" t="n">
        <v>0</v>
      </c>
      <c r="O125" s="240" t="inlineStr">
        <is>
          <t>yes — all 12 determinations covered</t>
        </is>
      </c>
    </row>
    <row r="126">
      <c r="A126" s="233" t="n">
        <v>3</v>
      </c>
      <c r="B126" s="233" t="inlineStr">
        <is>
          <t>28.08.2026</t>
        </is>
      </c>
      <c r="C126" s="234" t="inlineStr">
        <is>
          <t>CJ1024</t>
        </is>
      </c>
      <c r="D126" s="233" t="inlineStr">
        <is>
          <t>Cap Junky</t>
        </is>
      </c>
      <c r="E126" s="251" t="n">
        <v>21.21</v>
      </c>
      <c r="F126" s="233" t="inlineStr">
        <is>
          <t>22–25%</t>
        </is>
      </c>
      <c r="G126" s="252" t="n">
        <v>0.23</v>
      </c>
      <c r="H126" s="233" t="inlineStr">
        <is>
          <t>—</t>
        </is>
      </c>
      <c r="I126" s="233" t="inlineStr">
        <is>
          <t>CJ1024</t>
        </is>
      </c>
      <c r="J126" s="233" t="inlineStr">
        <is>
          <t>✓ COMPLETE</t>
        </is>
      </c>
      <c r="K126" s="236" t="inlineStr">
        <is>
          <t>—</t>
        </is>
      </c>
      <c r="L126" s="252" t="n">
        <v>0.23</v>
      </c>
      <c r="M126" s="233" t="inlineStr">
        <is>
          <t>ППК25052</t>
        </is>
      </c>
      <c r="N126" s="252" t="n">
        <v>0</v>
      </c>
      <c r="O126" s="240" t="inlineStr">
        <is>
          <t>yes — all 12 determinations covered</t>
        </is>
      </c>
    </row>
    <row r="127">
      <c r="A127" s="233" t="n">
        <v>3</v>
      </c>
      <c r="B127" s="233" t="inlineStr">
        <is>
          <t>28.08.2026</t>
        </is>
      </c>
      <c r="C127" s="234" t="inlineStr">
        <is>
          <t>FB012603</t>
        </is>
      </c>
      <c r="D127" s="233" t="inlineStr">
        <is>
          <t>Fat Bastard</t>
        </is>
      </c>
      <c r="E127" s="251" t="n">
        <v>75</v>
      </c>
      <c r="F127" s="233" t="inlineStr">
        <is>
          <t>13–16%</t>
        </is>
      </c>
      <c r="G127" s="252" t="n">
        <v>0.1465</v>
      </c>
      <c r="H127" s="233" t="inlineStr">
        <is>
          <t>P060432</t>
        </is>
      </c>
      <c r="I127" s="233" t="inlineStr">
        <is>
          <t>FB012603</t>
        </is>
      </c>
      <c r="J127" s="233" t="inlineStr">
        <is>
          <t>○ 3 ON FILE, NOT RECORDED</t>
        </is>
      </c>
      <c r="K127" s="236" t="inlineStr">
        <is>
          <t>#10 Mycotoxins (on file 09.09, not recorded); #11 Heavy metals (on file 09.09, not recorded); #12 Pesticides (on file 09.09, not recorded)</t>
        </is>
      </c>
      <c r="L127" s="253" t="n">
        <v>0.2083</v>
      </c>
      <c r="M127" s="254" t="inlineStr">
        <is>
          <t>ППК26112</t>
        </is>
      </c>
      <c r="N127" s="253" t="n">
        <v>0.06179999999999998</v>
      </c>
      <c r="O127" s="255" t="inlineStr">
        <is>
          <t>no — 3 on file, not recorded  |  POTENCY: the certificate reads 20.83 %, outside the 13–16% it was delivered under</t>
        </is>
      </c>
    </row>
    <row r="128">
      <c r="A128" s="233" t="n">
        <v>3</v>
      </c>
      <c r="B128" s="233" t="inlineStr">
        <is>
          <t>28.08.2026</t>
        </is>
      </c>
      <c r="C128" s="234" t="inlineStr">
        <is>
          <t>FB012603V</t>
        </is>
      </c>
      <c r="D128" s="233" t="inlineStr">
        <is>
          <t>Fat Bastard</t>
        </is>
      </c>
      <c r="E128" s="251" t="n">
        <v>16</v>
      </c>
      <c r="F128" s="233" t="inlineStr">
        <is>
          <t>13–16%</t>
        </is>
      </c>
      <c r="G128" s="252" t="n">
        <v>0.156</v>
      </c>
      <c r="H128" s="233" t="inlineStr">
        <is>
          <t>P060392</t>
        </is>
      </c>
      <c r="I128" s="233" t="inlineStr">
        <is>
          <t>FB012603V</t>
        </is>
      </c>
      <c r="J128" s="233" t="inlineStr">
        <is>
          <t>○ 3 ON FILE, NOT RECORDED</t>
        </is>
      </c>
      <c r="K128" s="236" t="inlineStr">
        <is>
          <t>#10 Mycotoxins (on file 09.09, not recorded); #11 Heavy metals (on file 09.09, not recorded); #12 Pesticides (on file 09.09, not recorded)</t>
        </is>
      </c>
      <c r="L128" s="253" t="n">
        <v>0.1829</v>
      </c>
      <c r="M128" s="254" t="inlineStr">
        <is>
          <t>ППК26110</t>
        </is>
      </c>
      <c r="N128" s="253" t="n">
        <v>0.02689999999999999</v>
      </c>
      <c r="O128" s="255" t="inlineStr">
        <is>
          <t>no — 3 on file, not recorded  |  POTENCY: the certificate reads 18.29 %, outside the 13–16% it was delivered under</t>
        </is>
      </c>
    </row>
    <row r="129">
      <c r="A129" s="233" t="n">
        <v>3</v>
      </c>
      <c r="B129" s="233" t="inlineStr">
        <is>
          <t>28.08.2026</t>
        </is>
      </c>
      <c r="C129" s="234" t="inlineStr">
        <is>
          <t>FB112501</t>
        </is>
      </c>
      <c r="D129" s="233" t="inlineStr">
        <is>
          <t>Fat Bastard</t>
        </is>
      </c>
      <c r="E129" s="251" t="n">
        <v>42.1</v>
      </c>
      <c r="F129" s="233" t="inlineStr">
        <is>
          <t>16–19%</t>
        </is>
      </c>
      <c r="G129" s="252" t="n">
        <v>0.1669</v>
      </c>
      <c r="H129" s="233" t="inlineStr">
        <is>
          <t>P060292</t>
        </is>
      </c>
      <c r="I129" s="233" t="inlineStr">
        <is>
          <t>FB112501</t>
        </is>
      </c>
      <c r="J129" s="233" t="inlineStr">
        <is>
          <t>✓ COMPLETE</t>
        </is>
      </c>
      <c r="K129" s="236" t="inlineStr">
        <is>
          <t>—</t>
        </is>
      </c>
      <c r="L129" s="252" t="n">
        <v>0.1669</v>
      </c>
      <c r="M129" s="233" t="inlineStr">
        <is>
          <t>ППК26066</t>
        </is>
      </c>
      <c r="N129" s="252" t="n">
        <v>0</v>
      </c>
      <c r="O129" s="240" t="inlineStr">
        <is>
          <t>yes — all 12 determinations covered</t>
        </is>
      </c>
    </row>
    <row r="130">
      <c r="A130" s="233" t="n">
        <v>3</v>
      </c>
      <c r="B130" s="233" t="inlineStr">
        <is>
          <t>28.08.2026</t>
        </is>
      </c>
      <c r="C130" s="234" t="inlineStr">
        <is>
          <t>GG012601</t>
        </is>
      </c>
      <c r="D130" s="233" t="inlineStr">
        <is>
          <t>GG4</t>
        </is>
      </c>
      <c r="E130" s="251" t="n">
        <v>77.84999999999999</v>
      </c>
      <c r="F130" s="233" t="inlineStr">
        <is>
          <t>13–16%</t>
        </is>
      </c>
      <c r="G130" s="252" t="n">
        <v>0.1535</v>
      </c>
      <c r="H130" s="233" t="inlineStr">
        <is>
          <t>P060302</t>
        </is>
      </c>
      <c r="I130" s="233" t="inlineStr">
        <is>
          <t>GG012601＊ (the desk writes it GG012601*)</t>
        </is>
      </c>
      <c r="J130" s="233" t="inlineStr">
        <is>
          <t>✓ COMPLETE</t>
        </is>
      </c>
      <c r="K130" s="236" t="inlineStr">
        <is>
          <t>—</t>
        </is>
      </c>
      <c r="L130" s="252" t="n">
        <v>0.1535</v>
      </c>
      <c r="M130" s="233" t="inlineStr">
        <is>
          <t>ППК26062</t>
        </is>
      </c>
      <c r="N130" s="252" t="n">
        <v>0</v>
      </c>
      <c r="O130" s="240" t="inlineStr">
        <is>
          <t>yes — all 12 determinations covered</t>
        </is>
      </c>
    </row>
    <row r="131">
      <c r="A131" s="233" t="n">
        <v>3</v>
      </c>
      <c r="B131" s="233" t="inlineStr">
        <is>
          <t>28.08.2026</t>
        </is>
      </c>
      <c r="C131" s="234" t="inlineStr">
        <is>
          <t>GG1024_02</t>
        </is>
      </c>
      <c r="D131" s="233" t="inlineStr">
        <is>
          <t>Gorilla Glue</t>
        </is>
      </c>
      <c r="E131" s="251" t="n">
        <v>184.89</v>
      </c>
      <c r="F131" s="233" t="inlineStr">
        <is>
          <t>13–16%</t>
        </is>
      </c>
      <c r="G131" s="252" t="n">
        <v>0.1595</v>
      </c>
      <c r="H131" s="233" t="inlineStr">
        <is>
          <t>P050012</t>
        </is>
      </c>
      <c r="I131" s="233" t="inlineStr">
        <is>
          <t>GG1024_02</t>
        </is>
      </c>
      <c r="J131" s="233" t="inlineStr">
        <is>
          <t>✓ COMPLETE</t>
        </is>
      </c>
      <c r="K131" s="236" t="inlineStr">
        <is>
          <t>—</t>
        </is>
      </c>
      <c r="L131" s="252" t="n">
        <v>0.1595</v>
      </c>
      <c r="M131" s="233" t="inlineStr">
        <is>
          <t>ППК25140</t>
        </is>
      </c>
      <c r="N131" s="252" t="n">
        <v>0</v>
      </c>
      <c r="O131" s="240" t="inlineStr">
        <is>
          <t>yes — all 12 determinations covered</t>
        </is>
      </c>
    </row>
    <row r="132">
      <c r="A132" s="233" t="n">
        <v>3</v>
      </c>
      <c r="B132" s="233" t="inlineStr">
        <is>
          <t>28.08.2026</t>
        </is>
      </c>
      <c r="C132" s="234" t="inlineStr">
        <is>
          <t>GG112501</t>
        </is>
      </c>
      <c r="D132" s="233" t="inlineStr">
        <is>
          <t>GG4</t>
        </is>
      </c>
      <c r="E132" s="251" t="n">
        <v>56.19</v>
      </c>
      <c r="F132" s="233" t="inlineStr">
        <is>
          <t>16–19%</t>
        </is>
      </c>
      <c r="G132" s="252" t="n">
        <v>0.1794</v>
      </c>
      <c r="H132" s="233" t="inlineStr">
        <is>
          <t>P060252</t>
        </is>
      </c>
      <c r="I132" s="233" t="inlineStr">
        <is>
          <t>GG112501</t>
        </is>
      </c>
      <c r="J132" s="233" t="inlineStr">
        <is>
          <t>✓ COMPLETE</t>
        </is>
      </c>
      <c r="K132" s="236" t="inlineStr">
        <is>
          <t>—</t>
        </is>
      </c>
      <c r="L132" s="252" t="n">
        <v>0.1794</v>
      </c>
      <c r="M132" s="233" t="inlineStr">
        <is>
          <t>ППК26061</t>
        </is>
      </c>
      <c r="N132" s="252" t="n">
        <v>0</v>
      </c>
      <c r="O132" s="240" t="inlineStr">
        <is>
          <t>yes — all 12 determinations covered</t>
        </is>
      </c>
    </row>
    <row r="133">
      <c r="A133" s="233" t="n">
        <v>3</v>
      </c>
      <c r="B133" s="233" t="inlineStr">
        <is>
          <t>28.08.2026</t>
        </is>
      </c>
      <c r="C133" s="234" t="inlineStr">
        <is>
          <t>GP062501</t>
        </is>
      </c>
      <c r="D133" s="233" t="inlineStr">
        <is>
          <t>Grape Pie</t>
        </is>
      </c>
      <c r="E133" s="251" t="n">
        <v>303.41</v>
      </c>
      <c r="F133" s="233" t="inlineStr">
        <is>
          <t>22–25%</t>
        </is>
      </c>
      <c r="G133" s="252" t="n">
        <v>0.2289</v>
      </c>
      <c r="H133" s="233" t="inlineStr">
        <is>
          <t>P050202</t>
        </is>
      </c>
      <c r="I133" s="233" t="inlineStr">
        <is>
          <t>GP062501</t>
        </is>
      </c>
      <c r="J133" s="233" t="inlineStr">
        <is>
          <t>✓ COMPLETE</t>
        </is>
      </c>
      <c r="K133" s="236" t="inlineStr">
        <is>
          <t>—</t>
        </is>
      </c>
      <c r="L133" s="252" t="n">
        <v>0.2489</v>
      </c>
      <c r="M133" s="233" t="inlineStr">
        <is>
          <t>NGP/QCG/SOP-024-Ver02 F3-Ver.02</t>
        </is>
      </c>
      <c r="N133" s="252" t="n">
        <v>0.02</v>
      </c>
      <c r="O133" s="240" t="inlineStr">
        <is>
          <t>yes — all 12 determinations covered</t>
        </is>
      </c>
    </row>
    <row r="134">
      <c r="A134" s="233" t="n">
        <v>3</v>
      </c>
      <c r="B134" s="233" t="inlineStr">
        <is>
          <t>28.08.2026</t>
        </is>
      </c>
      <c r="C134" s="234" t="inlineStr">
        <is>
          <t>GP072501/1</t>
        </is>
      </c>
      <c r="D134" s="233" t="inlineStr">
        <is>
          <t>Grape Pie</t>
        </is>
      </c>
      <c r="E134" s="251" t="n">
        <v>229.79</v>
      </c>
      <c r="F134" s="233" t="inlineStr">
        <is>
          <t>19–22%</t>
        </is>
      </c>
      <c r="G134" s="252" t="n">
        <v>0.2136</v>
      </c>
      <c r="H134" s="233" t="inlineStr">
        <is>
          <t>P050292</t>
        </is>
      </c>
      <c r="I134" s="233" t="inlineStr">
        <is>
          <t>GP072501/1</t>
        </is>
      </c>
      <c r="J134" s="233" t="inlineStr">
        <is>
          <t>✓ COMPLETE</t>
        </is>
      </c>
      <c r="K134" s="236" t="inlineStr">
        <is>
          <t>—</t>
        </is>
      </c>
      <c r="L134" s="252" t="n">
        <v>0.2136</v>
      </c>
      <c r="M134" s="233" t="inlineStr">
        <is>
          <t>ППК25378</t>
        </is>
      </c>
      <c r="N134" s="252" t="n">
        <v>0</v>
      </c>
      <c r="O134" s="240" t="inlineStr">
        <is>
          <t>yes — all 12 determinations covered</t>
        </is>
      </c>
    </row>
    <row r="135">
      <c r="A135" s="233" t="n">
        <v>3</v>
      </c>
      <c r="B135" s="233" t="inlineStr">
        <is>
          <t>28.08.2026</t>
        </is>
      </c>
      <c r="C135" s="234" t="inlineStr">
        <is>
          <t>GRC102501/1</t>
        </is>
      </c>
      <c r="D135" s="233" t="inlineStr">
        <is>
          <t>Grapes and Cream</t>
        </is>
      </c>
      <c r="E135" s="251" t="n">
        <v>10.69</v>
      </c>
      <c r="F135" s="233" t="inlineStr">
        <is>
          <t>7–10%</t>
        </is>
      </c>
      <c r="G135" s="252" t="n">
        <v>0.07049999999999999</v>
      </c>
      <c r="H135" s="233" t="inlineStr">
        <is>
          <t>P060142</t>
        </is>
      </c>
      <c r="I135" s="233" t="inlineStr">
        <is>
          <t>GRC102501 (through its P lot; the desk row is the roll-up GRC102501)</t>
        </is>
      </c>
      <c r="J135" s="233" t="inlineStr">
        <is>
          <t>○ 2 ON FILE, NOT RECORDED</t>
        </is>
      </c>
      <c r="K135" s="236" t="inlineStr">
        <is>
          <t>#11 Heavy metals (on file 09.09, not recorded); #12 Pesticides (on file 09.09, not recorded)</t>
        </is>
      </c>
      <c r="L135" s="252" t="inlineStr">
        <is>
          <t>— none on the desk —</t>
        </is>
      </c>
      <c r="M135" s="233" t="inlineStr">
        <is>
          <t>—</t>
        </is>
      </c>
      <c r="N135" s="252" t="inlineStr">
        <is>
          <t>—</t>
        </is>
      </c>
      <c r="O135" s="241" t="inlineStr">
        <is>
          <t>no — 2 on file, not recorded</t>
        </is>
      </c>
    </row>
    <row r="136">
      <c r="A136" s="233" t="n">
        <v>3</v>
      </c>
      <c r="B136" s="233" t="inlineStr">
        <is>
          <t>28.08.2026</t>
        </is>
      </c>
      <c r="C136" s="234" t="inlineStr">
        <is>
          <t>J31112501</t>
        </is>
      </c>
      <c r="D136" s="233" t="inlineStr">
        <is>
          <t>Jokerz 31</t>
        </is>
      </c>
      <c r="E136" s="251" t="n">
        <v>86.38</v>
      </c>
      <c r="F136" s="233" t="inlineStr">
        <is>
          <t>≥ 25%</t>
        </is>
      </c>
      <c r="G136" s="252" t="n">
        <v>0.25</v>
      </c>
      <c r="H136" s="233" t="inlineStr">
        <is>
          <t>P060202</t>
        </is>
      </c>
      <c r="I136" s="233" t="inlineStr">
        <is>
          <t>J31112501</t>
        </is>
      </c>
      <c r="J136" s="233" t="inlineStr">
        <is>
          <t>○ 3 ON FILE, NOT RECORDED</t>
        </is>
      </c>
      <c r="K136" s="236" t="inlineStr">
        <is>
          <t>#10 Mycotoxins (on file 09.09, not recorded); #11 Heavy metals (on file 09.09, not recorded); #12 Pesticides (on file 09.09, not recorded)</t>
        </is>
      </c>
      <c r="L136" s="252" t="n">
        <v>0.2527</v>
      </c>
      <c r="M136" s="233" t="inlineStr">
        <is>
          <t>None</t>
        </is>
      </c>
      <c r="N136" s="252" t="n">
        <v>0.002699999999999996</v>
      </c>
      <c r="O136" s="241" t="inlineStr">
        <is>
          <t>no — 3 on file, not recorded</t>
        </is>
      </c>
    </row>
    <row r="137">
      <c r="A137" s="233" t="n">
        <v>3</v>
      </c>
      <c r="B137" s="233" t="inlineStr">
        <is>
          <t>28.08.2026</t>
        </is>
      </c>
      <c r="C137" s="234" t="inlineStr">
        <is>
          <t>J31122501</t>
        </is>
      </c>
      <c r="D137" s="233" t="inlineStr">
        <is>
          <t>Jokerz 31</t>
        </is>
      </c>
      <c r="E137" s="251" t="n">
        <v>136.64</v>
      </c>
      <c r="F137" s="233" t="inlineStr">
        <is>
          <t>19–22%</t>
        </is>
      </c>
      <c r="G137" s="252" t="n">
        <v>0.2177</v>
      </c>
      <c r="H137" s="233" t="inlineStr">
        <is>
          <t>P060262</t>
        </is>
      </c>
      <c r="I137" s="233" t="inlineStr">
        <is>
          <t>J31122501</t>
        </is>
      </c>
      <c r="J137" s="233" t="inlineStr">
        <is>
          <t>⚠ 1 MISSING</t>
        </is>
      </c>
      <c r="K137" s="236" t="inlineStr">
        <is>
          <t>#8 LoD</t>
        </is>
      </c>
      <c r="L137" s="252" t="inlineStr">
        <is>
          <t>— none on the desk —</t>
        </is>
      </c>
      <c r="M137" s="233" t="inlineStr">
        <is>
          <t>—</t>
        </is>
      </c>
      <c r="N137" s="252" t="inlineStr">
        <is>
          <t>—</t>
        </is>
      </c>
      <c r="O137" s="241" t="inlineStr">
        <is>
          <t>no — 1 missing</t>
        </is>
      </c>
    </row>
    <row r="138">
      <c r="A138" s="233" t="n">
        <v>3</v>
      </c>
      <c r="B138" s="233" t="inlineStr">
        <is>
          <t>28.08.2026</t>
        </is>
      </c>
      <c r="C138" s="234" t="inlineStr">
        <is>
          <t>JD012601</t>
        </is>
      </c>
      <c r="D138" s="233" t="inlineStr">
        <is>
          <t>Jelly Donuts</t>
        </is>
      </c>
      <c r="E138" s="251" t="n">
        <v>78.93000000000001</v>
      </c>
      <c r="F138" s="233" t="inlineStr">
        <is>
          <t>16–19%</t>
        </is>
      </c>
      <c r="G138" s="252" t="n">
        <v>0.1816</v>
      </c>
      <c r="H138" s="233" t="inlineStr">
        <is>
          <t>P060312</t>
        </is>
      </c>
      <c r="I138" s="233" t="inlineStr">
        <is>
          <t>JD012601＊ (the desk writes it JD012601*)</t>
        </is>
      </c>
      <c r="J138" s="233" t="inlineStr">
        <is>
          <t>✓ COMPLETE</t>
        </is>
      </c>
      <c r="K138" s="236" t="inlineStr">
        <is>
          <t>—</t>
        </is>
      </c>
      <c r="L138" s="252" t="n">
        <v>0.1816</v>
      </c>
      <c r="M138" s="233" t="inlineStr">
        <is>
          <t>ППК26064</t>
        </is>
      </c>
      <c r="N138" s="252" t="n">
        <v>0</v>
      </c>
      <c r="O138" s="240" t="inlineStr">
        <is>
          <t>yes — all 12 determinations covered</t>
        </is>
      </c>
    </row>
    <row r="139">
      <c r="A139" s="233" t="n">
        <v>3</v>
      </c>
      <c r="B139" s="233" t="inlineStr">
        <is>
          <t>28.08.2026</t>
        </is>
      </c>
      <c r="C139" s="234" t="inlineStr">
        <is>
          <t>MB0824_04</t>
        </is>
      </c>
      <c r="D139" s="233" t="inlineStr">
        <is>
          <t>Motor Breath</t>
        </is>
      </c>
      <c r="E139" s="251" t="n">
        <v>175.22</v>
      </c>
      <c r="F139" s="233" t="inlineStr">
        <is>
          <t>16–19%</t>
        </is>
      </c>
      <c r="G139" s="252" t="n">
        <v>0.1867</v>
      </c>
      <c r="H139" s="233" t="inlineStr">
        <is>
          <t>P050032</t>
        </is>
      </c>
      <c r="I139" s="233" t="inlineStr">
        <is>
          <t>MB0824_04</t>
        </is>
      </c>
      <c r="J139" s="233" t="inlineStr">
        <is>
          <t>✓ COMPLETE</t>
        </is>
      </c>
      <c r="K139" s="236" t="inlineStr">
        <is>
          <t>—</t>
        </is>
      </c>
      <c r="L139" s="252" t="inlineStr">
        <is>
          <t>— none on the desk —</t>
        </is>
      </c>
      <c r="M139" s="233" t="inlineStr">
        <is>
          <t>—</t>
        </is>
      </c>
      <c r="N139" s="252" t="inlineStr">
        <is>
          <t>—</t>
        </is>
      </c>
      <c r="O139" s="240" t="inlineStr">
        <is>
          <t>yes — all 12 determinations covered</t>
        </is>
      </c>
    </row>
    <row r="140">
      <c r="A140" s="233" t="n">
        <v>3</v>
      </c>
      <c r="B140" s="233" t="inlineStr">
        <is>
          <t>28.08.2026</t>
        </is>
      </c>
      <c r="C140" s="234" t="inlineStr">
        <is>
          <t>OPM052501</t>
        </is>
      </c>
      <c r="D140" s="233" t="inlineStr">
        <is>
          <t>Orange Punch Mimosa</t>
        </is>
      </c>
      <c r="E140" s="251" t="n">
        <v>292.95</v>
      </c>
      <c r="F140" s="233" t="inlineStr">
        <is>
          <t>13–16%</t>
        </is>
      </c>
      <c r="G140" s="252" t="n">
        <v>0.1416</v>
      </c>
      <c r="H140" s="233" t="inlineStr">
        <is>
          <t>P050132</t>
        </is>
      </c>
      <c r="I140" s="233" t="inlineStr">
        <is>
          <t>OPM052501</t>
        </is>
      </c>
      <c r="J140" s="233" t="inlineStr">
        <is>
          <t>✓ COMPLETE</t>
        </is>
      </c>
      <c r="K140" s="236" t="inlineStr">
        <is>
          <t>—</t>
        </is>
      </c>
      <c r="L140" s="252" t="inlineStr">
        <is>
          <t>— none on the desk —</t>
        </is>
      </c>
      <c r="M140" s="233" t="inlineStr">
        <is>
          <t>—</t>
        </is>
      </c>
      <c r="N140" s="252" t="inlineStr">
        <is>
          <t>—</t>
        </is>
      </c>
      <c r="O140" s="240" t="inlineStr">
        <is>
          <t>yes — all 12 determinations covered</t>
        </is>
      </c>
    </row>
    <row r="141">
      <c r="A141" s="233" t="n">
        <v>3</v>
      </c>
      <c r="B141" s="233" t="inlineStr">
        <is>
          <t>28.08.2026</t>
        </is>
      </c>
      <c r="C141" s="234" t="inlineStr">
        <is>
          <t>OPM112501</t>
        </is>
      </c>
      <c r="D141" s="233" t="inlineStr">
        <is>
          <t>Orange Punch Mimosa</t>
        </is>
      </c>
      <c r="E141" s="251" t="n">
        <v>39.37</v>
      </c>
      <c r="F141" s="233" t="inlineStr">
        <is>
          <t>7–10%</t>
        </is>
      </c>
      <c r="G141" s="252" t="n">
        <v>0.08</v>
      </c>
      <c r="H141" s="233" t="inlineStr">
        <is>
          <t>P060222</t>
        </is>
      </c>
      <c r="I141" s="233" t="inlineStr">
        <is>
          <t>OPM112501</t>
        </is>
      </c>
      <c r="J141" s="233" t="inlineStr">
        <is>
          <t>⚠ 3 MISSING</t>
        </is>
      </c>
      <c r="K141" s="236" t="inlineStr">
        <is>
          <t>#10 Mycotoxins; #11 Heavy metals (on file 09.09, not recorded); #12 Pesticides (on file 09.09, not recorded)</t>
        </is>
      </c>
      <c r="L141" s="252" t="inlineStr">
        <is>
          <t>— none on the desk —</t>
        </is>
      </c>
      <c r="M141" s="233" t="inlineStr">
        <is>
          <t>—</t>
        </is>
      </c>
      <c r="N141" s="252" t="inlineStr">
        <is>
          <t>—</t>
        </is>
      </c>
      <c r="O141" s="241" t="inlineStr">
        <is>
          <t>no — 3 missing</t>
        </is>
      </c>
    </row>
    <row r="142">
      <c r="A142" s="233" t="n">
        <v>3</v>
      </c>
      <c r="B142" s="233" t="inlineStr">
        <is>
          <t>28.08.2026</t>
        </is>
      </c>
      <c r="C142" s="234" t="inlineStr">
        <is>
          <t>PM072501</t>
        </is>
      </c>
      <c r="D142" s="233" t="inlineStr">
        <is>
          <t>Permanent Marker</t>
        </is>
      </c>
      <c r="E142" s="251" t="n">
        <v>26.78</v>
      </c>
      <c r="F142" s="233" t="inlineStr">
        <is>
          <t>10–13%</t>
        </is>
      </c>
      <c r="G142" s="252" t="n">
        <v>0.1001</v>
      </c>
      <c r="H142" s="233" t="inlineStr">
        <is>
          <t>P050272</t>
        </is>
      </c>
      <c r="I142" s="233" t="inlineStr">
        <is>
          <t>PM072501</t>
        </is>
      </c>
      <c r="J142" s="233" t="inlineStr">
        <is>
          <t>✓ COMPLETE</t>
        </is>
      </c>
      <c r="K142" s="236" t="inlineStr">
        <is>
          <t>—</t>
        </is>
      </c>
      <c r="L142" s="252" t="inlineStr">
        <is>
          <t>— none on the desk —</t>
        </is>
      </c>
      <c r="M142" s="233" t="inlineStr">
        <is>
          <t>—</t>
        </is>
      </c>
      <c r="N142" s="252" t="inlineStr">
        <is>
          <t>—</t>
        </is>
      </c>
      <c r="O142" s="240" t="inlineStr">
        <is>
          <t>yes — all 12 determinations covered</t>
        </is>
      </c>
    </row>
    <row r="143">
      <c r="A143" s="233" t="n">
        <v>3</v>
      </c>
      <c r="B143" s="233" t="inlineStr">
        <is>
          <t>28.08.2026</t>
        </is>
      </c>
      <c r="C143" s="234" t="inlineStr">
        <is>
          <t>SCR012601</t>
        </is>
      </c>
      <c r="D143" s="233" t="inlineStr">
        <is>
          <t>Scrambler</t>
        </is>
      </c>
      <c r="E143" s="251" t="n">
        <v>90</v>
      </c>
      <c r="F143" s="233" t="inlineStr">
        <is>
          <t>16–19%</t>
        </is>
      </c>
      <c r="G143" s="252" t="n">
        <v>0.1807</v>
      </c>
      <c r="H143" s="233" t="inlineStr">
        <is>
          <t>P060342</t>
        </is>
      </c>
      <c r="I143" s="233" t="inlineStr">
        <is>
          <t>SCR012601* (the desk writes it SCR012601*)</t>
        </is>
      </c>
      <c r="J143" s="233" t="inlineStr">
        <is>
          <t>❌ 4 MISSING</t>
        </is>
      </c>
      <c r="K143" s="236" t="inlineStr">
        <is>
          <t>#8 LoD; #10 Mycotoxins; #11 Heavy metals; #12 Pesticides</t>
        </is>
      </c>
      <c r="L143" s="252" t="inlineStr">
        <is>
          <t>— none on the desk —</t>
        </is>
      </c>
      <c r="M143" s="233" t="inlineStr">
        <is>
          <t>—</t>
        </is>
      </c>
      <c r="N143" s="252" t="inlineStr">
        <is>
          <t>—</t>
        </is>
      </c>
      <c r="O143" s="241" t="inlineStr">
        <is>
          <t>no — 4 missing</t>
        </is>
      </c>
    </row>
    <row r="144">
      <c r="A144" s="233" t="n">
        <v>3</v>
      </c>
      <c r="B144" s="233" t="inlineStr">
        <is>
          <t>28.08.2026</t>
        </is>
      </c>
      <c r="C144" s="234" t="inlineStr">
        <is>
          <t>SCR022601</t>
        </is>
      </c>
      <c r="D144" s="233" t="inlineStr">
        <is>
          <t>Scrambler</t>
        </is>
      </c>
      <c r="E144" s="251" t="n">
        <v>210</v>
      </c>
      <c r="F144" s="233" t="inlineStr">
        <is>
          <t>16–19%</t>
        </is>
      </c>
      <c r="G144" s="252" t="n">
        <v>0.16</v>
      </c>
      <c r="H144" s="233" t="inlineStr">
        <is>
          <t>P060442</t>
        </is>
      </c>
      <c r="I144" s="233" t="inlineStr">
        <is>
          <t>SCR022601</t>
        </is>
      </c>
      <c r="J144" s="233" t="inlineStr">
        <is>
          <t>○ 3 ON FILE, NOT RECORDED</t>
        </is>
      </c>
      <c r="K144" s="236" t="inlineStr">
        <is>
          <t>#10 Mycotoxins (on file 09.09, not recorded); #11 Heavy metals (on file 09.09, not recorded); #12 Pesticides (on file 09.09, not recorded)</t>
        </is>
      </c>
      <c r="L144" s="252" t="inlineStr">
        <is>
          <t>— none on the desk —</t>
        </is>
      </c>
      <c r="M144" s="233" t="inlineStr">
        <is>
          <t>—</t>
        </is>
      </c>
      <c r="N144" s="252" t="inlineStr">
        <is>
          <t>—</t>
        </is>
      </c>
      <c r="O144" s="241" t="inlineStr">
        <is>
          <t>no — 3 on file, not recorded</t>
        </is>
      </c>
    </row>
    <row r="145">
      <c r="A145" s="233" t="n">
        <v>3</v>
      </c>
      <c r="B145" s="233" t="inlineStr">
        <is>
          <t>28.08.2026</t>
        </is>
      </c>
      <c r="C145" s="234" t="inlineStr">
        <is>
          <t>SJ102501</t>
        </is>
      </c>
      <c r="D145" s="233" t="inlineStr">
        <is>
          <t>Sleepy Joe</t>
        </is>
      </c>
      <c r="E145" s="251" t="n">
        <v>66.37</v>
      </c>
      <c r="F145" s="233" t="inlineStr">
        <is>
          <t>10–13%</t>
        </is>
      </c>
      <c r="G145" s="252" t="n">
        <v>0.112</v>
      </c>
      <c r="H145" s="233" t="inlineStr">
        <is>
          <t>P060162</t>
        </is>
      </c>
      <c r="I145" s="233" t="inlineStr">
        <is>
          <t>SJ102501</t>
        </is>
      </c>
      <c r="J145" s="233" t="inlineStr">
        <is>
          <t>⚠ 3 MISSING</t>
        </is>
      </c>
      <c r="K145" s="236" t="inlineStr">
        <is>
          <t>#10 Mycotoxins; #11 Heavy metals; #12 Pesticides (on file 09.09, not recorded)</t>
        </is>
      </c>
      <c r="L145" s="252" t="n">
        <v>0.112</v>
      </c>
      <c r="M145" s="233" t="inlineStr">
        <is>
          <t>051-3-К/26</t>
        </is>
      </c>
      <c r="N145" s="252" t="n">
        <v>0</v>
      </c>
      <c r="O145" s="241" t="inlineStr">
        <is>
          <t>no — 3 missing</t>
        </is>
      </c>
    </row>
    <row r="146">
      <c r="A146" s="233" t="n">
        <v>3</v>
      </c>
      <c r="B146" s="233" t="inlineStr">
        <is>
          <t>28.08.2026</t>
        </is>
      </c>
      <c r="C146" s="234" t="inlineStr">
        <is>
          <t>SJ112501</t>
        </is>
      </c>
      <c r="D146" s="233" t="inlineStr">
        <is>
          <t>Sleepy Joe</t>
        </is>
      </c>
      <c r="E146" s="251" t="n">
        <v>48.6</v>
      </c>
      <c r="F146" s="233" t="inlineStr">
        <is>
          <t>7–10%</t>
        </is>
      </c>
      <c r="G146" s="252" t="n">
        <v>0.09</v>
      </c>
      <c r="H146" s="233" t="inlineStr">
        <is>
          <t>P060192</t>
        </is>
      </c>
      <c r="I146" s="233" t="inlineStr">
        <is>
          <t>SJ112501</t>
        </is>
      </c>
      <c r="J146" s="233" t="inlineStr">
        <is>
          <t>○ 4 ON FILE, NOT RECORDED</t>
        </is>
      </c>
      <c r="K146" s="236" t="inlineStr">
        <is>
          <t>#9 Microbiology (on file 09.09, not recorded); #10 Mycotoxins (on file 09.09, not recorded); #11 Heavy metals (on file 09.09, not recorded); #12 Pesticides (on file 09.09, not recorded)</t>
        </is>
      </c>
      <c r="L146" s="252" t="inlineStr">
        <is>
          <t>— none on the desk —</t>
        </is>
      </c>
      <c r="M146" s="233" t="inlineStr">
        <is>
          <t>—</t>
        </is>
      </c>
      <c r="N146" s="252" t="inlineStr">
        <is>
          <t>—</t>
        </is>
      </c>
      <c r="O146" s="241" t="inlineStr">
        <is>
          <t>no — 4 on file, not recorded</t>
        </is>
      </c>
    </row>
    <row r="147">
      <c r="A147" s="233" t="n">
        <v>3</v>
      </c>
      <c r="B147" s="233" t="inlineStr">
        <is>
          <t>28.08.2026</t>
        </is>
      </c>
      <c r="C147" s="234" t="inlineStr">
        <is>
          <t>WC072501</t>
        </is>
      </c>
      <c r="D147" s="233" t="inlineStr">
        <is>
          <t>Wedding Crusher</t>
        </is>
      </c>
      <c r="E147" s="251" t="n">
        <v>29.95</v>
      </c>
      <c r="F147" s="233" t="inlineStr">
        <is>
          <t>22–25%</t>
        </is>
      </c>
      <c r="G147" s="252" t="n">
        <v>0.2211</v>
      </c>
      <c r="H147" s="233" t="inlineStr">
        <is>
          <t>P050262</t>
        </is>
      </c>
      <c r="I147" s="233" t="inlineStr">
        <is>
          <t>WC072501</t>
        </is>
      </c>
      <c r="J147" s="233" t="inlineStr">
        <is>
          <t>✓ COMPLETE</t>
        </is>
      </c>
      <c r="K147" s="236" t="inlineStr">
        <is>
          <t>—</t>
        </is>
      </c>
      <c r="L147" s="252" t="n">
        <v>0.2211</v>
      </c>
      <c r="M147" s="233" t="inlineStr">
        <is>
          <t>ППК25369</t>
        </is>
      </c>
      <c r="N147" s="252" t="n">
        <v>0</v>
      </c>
      <c r="O147" s="240" t="inlineStr">
        <is>
          <t>yes — all 12 determinations covered</t>
        </is>
      </c>
    </row>
    <row r="148">
      <c r="A148" s="233" t="n">
        <v>3</v>
      </c>
      <c r="B148" s="233" t="inlineStr">
        <is>
          <t>28.08.2026</t>
        </is>
      </c>
      <c r="C148" s="234" t="inlineStr">
        <is>
          <t>WED102501</t>
        </is>
      </c>
      <c r="D148" s="233" t="inlineStr">
        <is>
          <t>Wedding Cake</t>
        </is>
      </c>
      <c r="E148" s="251" t="n">
        <v>34.41</v>
      </c>
      <c r="F148" s="233" t="inlineStr">
        <is>
          <t>22–25%</t>
        </is>
      </c>
      <c r="G148" s="252" t="n">
        <v>0.2205</v>
      </c>
      <c r="H148" s="233" t="inlineStr">
        <is>
          <t>P060102</t>
        </is>
      </c>
      <c r="I148" s="233" t="inlineStr">
        <is>
          <t>WED102501</t>
        </is>
      </c>
      <c r="J148" s="233" t="inlineStr">
        <is>
          <t>○ 4 ON FILE, NOT RECORDED</t>
        </is>
      </c>
      <c r="K148" s="236" t="inlineStr">
        <is>
          <t>#8 LoD (on file 09.09, not recorded); #10 Mycotoxins (on file 09.09, not recorded); #11 Heavy metals (on file 09.09, not recorded); #12 Pesticides (on file 09.09, not recorded)</t>
        </is>
      </c>
      <c r="L148" s="252" t="inlineStr">
        <is>
          <t>— none on the desk —</t>
        </is>
      </c>
      <c r="M148" s="233" t="inlineStr">
        <is>
          <t>—</t>
        </is>
      </c>
      <c r="N148" s="252" t="inlineStr">
        <is>
          <t>—</t>
        </is>
      </c>
      <c r="O148" s="241" t="inlineStr">
        <is>
          <t>no — 4 on file, not recorded</t>
        </is>
      </c>
    </row>
    <row r="150" ht="62" customHeight="1" s="70">
      <c r="A150"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50" s="120" t="n"/>
      <c r="C150" s="120" t="n"/>
      <c r="D150" s="120" t="n"/>
      <c r="E150" s="120" t="n"/>
      <c r="F150" s="120" t="n"/>
      <c r="G150" s="120" t="n"/>
      <c r="H150" s="120" t="n"/>
      <c r="I150" s="120" t="n"/>
      <c r="J150" s="120" t="n"/>
      <c r="K150" s="120" t="n"/>
      <c r="L150" s="120" t="n"/>
      <c r="M150" s="120" t="n"/>
      <c r="N150" s="120" t="n"/>
      <c r="O150" s="121" t="n"/>
    </row>
    <row r="153" ht="20" customHeight="1" s="70">
      <c r="A153" s="242" t="inlineStr">
        <is>
          <t>IMB REGISTER</t>
        </is>
      </c>
    </row>
    <row r="154" ht="22" customHeight="1" s="70">
      <c r="A154" s="119" t="inlineStr">
        <is>
          <t>Cert No</t>
        </is>
      </c>
      <c r="B154" s="119" t="inlineStr">
        <is>
          <t>Strain (as printed)</t>
        </is>
      </c>
      <c r="C154" s="119" t="inlineStr">
        <is>
          <t>Strain (ruled)</t>
        </is>
      </c>
      <c r="D154" s="119" t="inlineStr">
        <is>
          <t>Batch</t>
        </is>
      </c>
      <c r="E154" s="119" t="inlineStr">
        <is>
          <t>Manufactured</t>
        </is>
      </c>
      <c r="F154" s="119" t="inlineStr">
        <is>
          <t>Retest</t>
        </is>
      </c>
      <c r="G154" s="119" t="inlineStr">
        <is>
          <t>Desk lot</t>
        </is>
      </c>
      <c r="H154" s="119" t="inlineStr">
        <is>
          <t>CoQ status</t>
        </is>
      </c>
      <c r="I154" s="119" t="inlineStr">
        <is>
          <t>Note</t>
        </is>
      </c>
    </row>
    <row r="155">
      <c r="A155" s="233" t="inlineStr">
        <is>
          <t>041</t>
        </is>
      </c>
      <c r="B155" s="233" t="inlineStr">
        <is>
          <t>Cap Junky</t>
        </is>
      </c>
      <c r="C155" s="233" t="inlineStr">
        <is>
          <t>Cap Junky</t>
        </is>
      </c>
      <c r="D155" s="234" t="inlineStr">
        <is>
          <t>P060022</t>
        </is>
      </c>
      <c r="E155" s="233" t="inlineStr">
        <is>
          <t>December 2025</t>
        </is>
      </c>
      <c r="F155" s="233" t="inlineStr">
        <is>
          <t>July 2026</t>
        </is>
      </c>
      <c r="G155" s="233" t="inlineStr">
        <is>
          <t>CJ082501/1</t>
        </is>
      </c>
      <c r="H155" s="233" t="inlineStr">
        <is>
          <t>✓ COMPLETE</t>
        </is>
      </c>
      <c r="I155" s="236" t="inlineStr"/>
    </row>
    <row r="156">
      <c r="A156" s="233" t="inlineStr">
        <is>
          <t>040</t>
        </is>
      </c>
      <c r="B156" s="233" t="inlineStr">
        <is>
          <t>Orange Punch Mimosa</t>
        </is>
      </c>
      <c r="C156" s="233" t="inlineStr">
        <is>
          <t>Orange Punch Mimosa</t>
        </is>
      </c>
      <c r="D156" s="234" t="inlineStr">
        <is>
          <t>P060042</t>
        </is>
      </c>
      <c r="E156" s="233" t="inlineStr">
        <is>
          <t>December 2026</t>
        </is>
      </c>
      <c r="F156" s="233" t="inlineStr">
        <is>
          <t>July 2026</t>
        </is>
      </c>
      <c r="G156" s="233" t="inlineStr">
        <is>
          <t>OPM092501</t>
        </is>
      </c>
      <c r="H156" s="233" t="inlineStr">
        <is>
          <t>✓ COMPLETE</t>
        </is>
      </c>
      <c r="I156" s="236" t="inlineStr"/>
    </row>
    <row r="157">
      <c r="A157" s="233" t="inlineStr">
        <is>
          <t>039</t>
        </is>
      </c>
      <c r="B157" s="233" t="inlineStr">
        <is>
          <t>Cap Junky</t>
        </is>
      </c>
      <c r="C157" s="233" t="inlineStr">
        <is>
          <t>Cap Junky</t>
        </is>
      </c>
      <c r="D157" s="234" t="inlineStr">
        <is>
          <t>P060072</t>
        </is>
      </c>
      <c r="E157" s="233" t="inlineStr">
        <is>
          <t>December 2026</t>
        </is>
      </c>
      <c r="F157" s="233" t="inlineStr">
        <is>
          <t>July 2026</t>
        </is>
      </c>
      <c r="G157" s="233" t="inlineStr">
        <is>
          <t>CJ092501</t>
        </is>
      </c>
      <c r="H157" s="233" t="inlineStr">
        <is>
          <t>✓ COMPLETE</t>
        </is>
      </c>
      <c r="I157" s="236" t="inlineStr"/>
    </row>
    <row r="158">
      <c r="A158" s="233" t="inlineStr">
        <is>
          <t>038</t>
        </is>
      </c>
      <c r="B158" s="233" t="inlineStr">
        <is>
          <t>Sleepy Joy</t>
        </is>
      </c>
      <c r="C158" s="233" t="inlineStr">
        <is>
          <t>Sleepy Joy</t>
        </is>
      </c>
      <c r="D158" s="234" t="inlineStr">
        <is>
          <t>P060082</t>
        </is>
      </c>
      <c r="E158" s="233" t="inlineStr">
        <is>
          <t>December 2025</t>
        </is>
      </c>
      <c r="F158" s="233" t="inlineStr">
        <is>
          <t>July 2026</t>
        </is>
      </c>
      <c r="G158" s="233" t="inlineStr">
        <is>
          <t>SJ0925021</t>
        </is>
      </c>
      <c r="H158" s="233" t="inlineStr">
        <is>
          <t>✓ COMPLETE</t>
        </is>
      </c>
      <c r="I158" s="236" t="inlineStr">
        <is>
          <t>strain unresolved: Sleepy Joe (delivery sheet) vs Sleepy Joy (certificate register, P060082)</t>
        </is>
      </c>
    </row>
    <row r="159">
      <c r="A159" s="233" t="inlineStr">
        <is>
          <t>037</t>
        </is>
      </c>
      <c r="B159" s="233" t="inlineStr">
        <is>
          <t>Apple and Banana</t>
        </is>
      </c>
      <c r="C159" s="233" t="inlineStr">
        <is>
          <t>Apple and Banana</t>
        </is>
      </c>
      <c r="D159" s="234" t="inlineStr">
        <is>
          <t>P060052</t>
        </is>
      </c>
      <c r="E159" s="233" t="inlineStr">
        <is>
          <t>December 2025</t>
        </is>
      </c>
      <c r="F159" s="233" t="inlineStr">
        <is>
          <t>July 2026</t>
        </is>
      </c>
      <c r="G159" s="233" t="inlineStr">
        <is>
          <t>AB092501</t>
        </is>
      </c>
      <c r="H159" s="233" t="inlineStr">
        <is>
          <t>✓ COMPLETE</t>
        </is>
      </c>
      <c r="I159" s="236" t="inlineStr">
        <is>
          <t>strain unresolved: Appels &amp; Bananas (delivery sheet) vs Apple and Banana (certificate register, P060052)</t>
        </is>
      </c>
    </row>
    <row r="160">
      <c r="A160" s="233" t="inlineStr">
        <is>
          <t>036</t>
        </is>
      </c>
      <c r="B160" s="233" t="inlineStr">
        <is>
          <t>Permanent Market</t>
        </is>
      </c>
      <c r="C160" s="233" t="inlineStr">
        <is>
          <t>Permanent Market</t>
        </is>
      </c>
      <c r="D160" s="234" t="inlineStr">
        <is>
          <t>P060062</t>
        </is>
      </c>
      <c r="E160" s="233" t="inlineStr">
        <is>
          <t>December 2026</t>
        </is>
      </c>
      <c r="F160" s="233" t="inlineStr">
        <is>
          <t>July 2026</t>
        </is>
      </c>
      <c r="G160" s="233" t="inlineStr">
        <is>
          <t>PM092501</t>
        </is>
      </c>
      <c r="H160" s="233" t="inlineStr">
        <is>
          <t>✓ COMPLETE</t>
        </is>
      </c>
      <c r="I160" s="236" t="inlineStr">
        <is>
          <t>strain unresolved: Permanent Marker (delivery sheet) vs Permanent Market (certificate register, P060062 and P050272)</t>
        </is>
      </c>
    </row>
    <row r="161">
      <c r="A161" s="233" t="inlineStr">
        <is>
          <t>035</t>
        </is>
      </c>
      <c r="B161" s="233" t="inlineStr">
        <is>
          <t>Wedding Crasher</t>
        </is>
      </c>
      <c r="C161" s="233" t="inlineStr">
        <is>
          <t>Wedding Crasher</t>
        </is>
      </c>
      <c r="D161" s="234" t="inlineStr">
        <is>
          <t>P060012</t>
        </is>
      </c>
      <c r="E161" s="233" t="inlineStr">
        <is>
          <t>December 2026</t>
        </is>
      </c>
      <c r="F161" s="233" t="inlineStr">
        <is>
          <t>July 2026</t>
        </is>
      </c>
      <c r="G161" s="233" t="inlineStr">
        <is>
          <t>WC082501</t>
        </is>
      </c>
      <c r="H161" s="233" t="inlineStr">
        <is>
          <t>✓ COMPLETE</t>
        </is>
      </c>
      <c r="I161" s="236" t="inlineStr">
        <is>
          <t>strain unresolved: Wedding Crusher (delivery sheet) vs Wedding Crasher (certificate register, P060012 and P050262)</t>
        </is>
      </c>
    </row>
    <row r="162">
      <c r="A162" s="233" t="inlineStr">
        <is>
          <t>034</t>
        </is>
      </c>
      <c r="B162" s="233" t="inlineStr">
        <is>
          <t>Cap Junky</t>
        </is>
      </c>
      <c r="C162" s="233" t="inlineStr">
        <is>
          <t>Cap Junky</t>
        </is>
      </c>
      <c r="D162" s="234" t="inlineStr">
        <is>
          <t>P060032</t>
        </is>
      </c>
      <c r="E162" s="233" t="inlineStr">
        <is>
          <t>December 2025</t>
        </is>
      </c>
      <c r="F162" s="233" t="inlineStr">
        <is>
          <t>July 2026</t>
        </is>
      </c>
      <c r="G162" s="233" t="inlineStr">
        <is>
          <t>CJ082501/2</t>
        </is>
      </c>
      <c r="H162" s="233" t="inlineStr">
        <is>
          <t>✓ COMPLETE</t>
        </is>
      </c>
      <c r="I162" s="236" t="inlineStr"/>
    </row>
    <row r="163">
      <c r="A163" s="233" t="inlineStr">
        <is>
          <t>033</t>
        </is>
      </c>
      <c r="B163" s="233" t="inlineStr">
        <is>
          <t>Grape Pie</t>
        </is>
      </c>
      <c r="C163" s="233" t="inlineStr">
        <is>
          <t>Grape Pie</t>
        </is>
      </c>
      <c r="D163" s="234" t="inlineStr">
        <is>
          <t>P060092</t>
        </is>
      </c>
      <c r="E163" s="233" t="inlineStr">
        <is>
          <t>December 2025</t>
        </is>
      </c>
      <c r="F163" s="233" t="inlineStr">
        <is>
          <t>July 2026</t>
        </is>
      </c>
      <c r="G163" s="233" t="inlineStr">
        <is>
          <t>GP092501</t>
        </is>
      </c>
      <c r="H163" s="233" t="inlineStr">
        <is>
          <t>✓ COMPLETE</t>
        </is>
      </c>
      <c r="I163" s="236" t="inlineStr"/>
    </row>
    <row r="164">
      <c r="A164" s="233" t="inlineStr">
        <is>
          <t>032</t>
        </is>
      </c>
      <c r="B164" s="233" t="inlineStr">
        <is>
          <t>Cap Junky</t>
        </is>
      </c>
      <c r="C164" s="233" t="inlineStr">
        <is>
          <t>Cap Junky</t>
        </is>
      </c>
      <c r="D164" s="234" t="inlineStr">
        <is>
          <t>P050222</t>
        </is>
      </c>
      <c r="E164" s="233" t="inlineStr">
        <is>
          <t>September 2025</t>
        </is>
      </c>
      <c r="F164" s="233" t="inlineStr">
        <is>
          <t>April 2026</t>
        </is>
      </c>
      <c r="G164" s="233" t="inlineStr">
        <is>
          <t>CJ062501/1</t>
        </is>
      </c>
      <c r="H164" s="233" t="inlineStr">
        <is>
          <t>✓ COMPLETE</t>
        </is>
      </c>
      <c r="I164" s="236" t="inlineStr"/>
    </row>
    <row r="165">
      <c r="A165" s="233" t="inlineStr">
        <is>
          <t>031</t>
        </is>
      </c>
      <c r="B165" s="233" t="inlineStr">
        <is>
          <t>Cap Junky</t>
        </is>
      </c>
      <c r="C165" s="233" t="inlineStr">
        <is>
          <t>Cap Junky</t>
        </is>
      </c>
      <c r="D165" s="234" t="inlineStr">
        <is>
          <t>P050252</t>
        </is>
      </c>
      <c r="E165" s="233" t="inlineStr">
        <is>
          <t>October 2025</t>
        </is>
      </c>
      <c r="F165" s="233" t="inlineStr">
        <is>
          <t>May 2026</t>
        </is>
      </c>
      <c r="G165" s="233" t="inlineStr">
        <is>
          <t>CJ072501</t>
        </is>
      </c>
      <c r="H165" s="233" t="inlineStr">
        <is>
          <t>✓ COMPLETE</t>
        </is>
      </c>
      <c r="I165" s="236" t="inlineStr"/>
    </row>
    <row r="166">
      <c r="A166" s="233" t="inlineStr">
        <is>
          <t>030</t>
        </is>
      </c>
      <c r="B166" s="233" t="inlineStr">
        <is>
          <t>Wedding Crasher</t>
        </is>
      </c>
      <c r="C166" s="233" t="inlineStr">
        <is>
          <t>Wedding Crasher</t>
        </is>
      </c>
      <c r="D166" s="234" t="inlineStr">
        <is>
          <t>P050262</t>
        </is>
      </c>
      <c r="E166" s="233" t="inlineStr">
        <is>
          <t>October 2025</t>
        </is>
      </c>
      <c r="F166" s="233" t="inlineStr">
        <is>
          <t>May 2026</t>
        </is>
      </c>
      <c r="G166" s="233" t="inlineStr">
        <is>
          <t>WC072501</t>
        </is>
      </c>
      <c r="H166" s="233" t="inlineStr">
        <is>
          <t>✓ COMPLETE</t>
        </is>
      </c>
      <c r="I166" s="236" t="inlineStr">
        <is>
          <t>strain unresolved: Wedding Crusher (delivery sheet) vs Wedding Crasher (certificate register, P060012 and P050262)</t>
        </is>
      </c>
    </row>
    <row r="167">
      <c r="A167" s="233" t="inlineStr">
        <is>
          <t>029</t>
        </is>
      </c>
      <c r="B167" s="233" t="inlineStr">
        <is>
          <t>Grape Pie</t>
        </is>
      </c>
      <c r="C167" s="233" t="inlineStr">
        <is>
          <t>Grape Pie</t>
        </is>
      </c>
      <c r="D167" s="234" t="inlineStr">
        <is>
          <t>P050152</t>
        </is>
      </c>
      <c r="E167" s="233" t="inlineStr">
        <is>
          <t>August 2025</t>
        </is>
      </c>
      <c r="F167" s="233" t="inlineStr">
        <is>
          <t>March 2026</t>
        </is>
      </c>
      <c r="G167" s="233" t="inlineStr">
        <is>
          <t>GP052501</t>
        </is>
      </c>
      <c r="H167" s="233" t="inlineStr">
        <is>
          <t>✓ COMPLETE</t>
        </is>
      </c>
      <c r="I167" s="236" t="inlineStr"/>
    </row>
    <row r="168">
      <c r="A168" s="233" t="inlineStr">
        <is>
          <t>028</t>
        </is>
      </c>
      <c r="B168" s="233" t="inlineStr">
        <is>
          <t>Cap Junkie</t>
        </is>
      </c>
      <c r="C168" s="239" t="inlineStr">
        <is>
          <t>Cap Junky</t>
        </is>
      </c>
      <c r="D168" s="234" t="inlineStr">
        <is>
          <t>P050212</t>
        </is>
      </c>
      <c r="E168" s="233" t="inlineStr">
        <is>
          <t>September 2025</t>
        </is>
      </c>
      <c r="F168" s="233" t="inlineStr">
        <is>
          <t>April 2026</t>
        </is>
      </c>
      <c r="G168" s="233" t="inlineStr">
        <is>
          <t>CJ062501/2</t>
        </is>
      </c>
      <c r="H168" s="233" t="inlineStr">
        <is>
          <t>✓ COMPLETE</t>
        </is>
      </c>
      <c r="I168" s="236" t="inlineStr">
        <is>
          <t>strain ruled Cap Junky; the register prints Cap Junkie</t>
        </is>
      </c>
    </row>
    <row r="169">
      <c r="A169" s="233" t="inlineStr">
        <is>
          <t>027</t>
        </is>
      </c>
      <c r="B169" s="233" t="inlineStr">
        <is>
          <t>Clemosa a Bud</t>
        </is>
      </c>
      <c r="C169" s="233" t="inlineStr">
        <is>
          <t>Clemosa a Bud</t>
        </is>
      </c>
      <c r="D169" s="234" t="inlineStr">
        <is>
          <t>P050282</t>
        </is>
      </c>
      <c r="E169" s="233" t="inlineStr">
        <is>
          <t>October 2025</t>
        </is>
      </c>
      <c r="F169" s="233" t="inlineStr">
        <is>
          <t>May 2026</t>
        </is>
      </c>
      <c r="G169" s="233" t="inlineStr">
        <is>
          <t>CLE072501</t>
        </is>
      </c>
      <c r="H169" s="233" t="inlineStr">
        <is>
          <t>✓ COMPLETE</t>
        </is>
      </c>
      <c r="I169" s="236" t="inlineStr">
        <is>
          <t>strain unresolved: Clemosa (delivery sheet) vs Clemosa a Bud (certificate register, P050282)</t>
        </is>
      </c>
    </row>
    <row r="170">
      <c r="A170" s="233" t="inlineStr">
        <is>
          <t>026</t>
        </is>
      </c>
      <c r="B170" s="233" t="inlineStr">
        <is>
          <t>Permanent Market</t>
        </is>
      </c>
      <c r="C170" s="233" t="inlineStr">
        <is>
          <t>Permanent Market</t>
        </is>
      </c>
      <c r="D170" s="234" t="inlineStr">
        <is>
          <t>P050272</t>
        </is>
      </c>
      <c r="E170" s="233" t="inlineStr">
        <is>
          <t>October 2025</t>
        </is>
      </c>
      <c r="F170" s="233" t="inlineStr">
        <is>
          <t>May 2026</t>
        </is>
      </c>
      <c r="G170" s="233" t="inlineStr">
        <is>
          <t>PM072501</t>
        </is>
      </c>
      <c r="H170" s="233" t="inlineStr">
        <is>
          <t>✓ COMPLETE</t>
        </is>
      </c>
      <c r="I170" s="236" t="inlineStr">
        <is>
          <t>strain unresolved: Permanent Marker (delivery sheet) vs Permanent Market (certificate register, P060062 and P050272)</t>
        </is>
      </c>
    </row>
    <row r="171">
      <c r="A171" s="233" t="inlineStr">
        <is>
          <t>025</t>
        </is>
      </c>
      <c r="B171" s="233" t="inlineStr">
        <is>
          <t>Motor Breath</t>
        </is>
      </c>
      <c r="C171" s="233" t="inlineStr">
        <is>
          <t>Motor Breath</t>
        </is>
      </c>
      <c r="D171" s="234" t="inlineStr">
        <is>
          <t>P050112</t>
        </is>
      </c>
      <c r="E171" s="233" t="inlineStr">
        <is>
          <t>July 2025</t>
        </is>
      </c>
      <c r="F171" s="233" t="inlineStr">
        <is>
          <t>February 2025</t>
        </is>
      </c>
      <c r="G171" s="233" t="inlineStr">
        <is>
          <t>MB0824_05</t>
        </is>
      </c>
      <c r="H171" s="233" t="inlineStr">
        <is>
          <t>✓ COMPLETE</t>
        </is>
      </c>
      <c r="I171" s="236" t="inlineStr"/>
    </row>
    <row r="172">
      <c r="A172" s="233" t="inlineStr">
        <is>
          <t>024</t>
        </is>
      </c>
      <c r="B172" s="233" t="inlineStr">
        <is>
          <t>Orange Punch Mimosa</t>
        </is>
      </c>
      <c r="C172" s="233" t="inlineStr">
        <is>
          <t>Orange Punch Mimosa</t>
        </is>
      </c>
      <c r="D172" s="234" t="inlineStr">
        <is>
          <t>P050132</t>
        </is>
      </c>
      <c r="E172" s="233" t="inlineStr">
        <is>
          <t>August 2025</t>
        </is>
      </c>
      <c r="F172" s="233" t="inlineStr">
        <is>
          <t>March 2026</t>
        </is>
      </c>
      <c r="G172" s="233" t="inlineStr">
        <is>
          <t>OPM052501</t>
        </is>
      </c>
      <c r="H172" s="233" t="inlineStr">
        <is>
          <t>✓ COMPLETE</t>
        </is>
      </c>
      <c r="I172" s="236" t="inlineStr"/>
    </row>
    <row r="173">
      <c r="A173" s="233" t="inlineStr">
        <is>
          <t>023</t>
        </is>
      </c>
      <c r="B173" s="233" t="inlineStr">
        <is>
          <t>Orange Punch Mimosa</t>
        </is>
      </c>
      <c r="C173" s="233" t="inlineStr">
        <is>
          <t>Orange Punch Mimosa</t>
        </is>
      </c>
      <c r="D173" s="234" t="inlineStr">
        <is>
          <t>P050082</t>
        </is>
      </c>
      <c r="E173" s="233" t="inlineStr">
        <is>
          <t>June 2025</t>
        </is>
      </c>
      <c r="F173" s="233" t="inlineStr">
        <is>
          <t>January 2026</t>
        </is>
      </c>
      <c r="G173" s="233" t="inlineStr">
        <is>
          <t>OPM1024_03</t>
        </is>
      </c>
      <c r="H173" s="233" t="inlineStr">
        <is>
          <t>✓ COMPLETE</t>
        </is>
      </c>
      <c r="I173" s="236" t="inlineStr"/>
    </row>
    <row r="174">
      <c r="A174" s="233" t="inlineStr">
        <is>
          <t>022</t>
        </is>
      </c>
      <c r="B174" s="233" t="inlineStr">
        <is>
          <t>Cap Junky</t>
        </is>
      </c>
      <c r="C174" s="233" t="inlineStr">
        <is>
          <t>Cap Junky</t>
        </is>
      </c>
      <c r="D174" s="234" t="inlineStr">
        <is>
          <t>P050172</t>
        </is>
      </c>
      <c r="E174" s="233" t="inlineStr">
        <is>
          <t>August 2025</t>
        </is>
      </c>
      <c r="F174" s="233" t="inlineStr">
        <is>
          <t>March 2026</t>
        </is>
      </c>
      <c r="G174" s="233" t="inlineStr">
        <is>
          <t>CJ052501/02</t>
        </is>
      </c>
      <c r="H174" s="233" t="inlineStr">
        <is>
          <t>✓ COMPLETE</t>
        </is>
      </c>
      <c r="I174" s="236" t="inlineStr"/>
    </row>
    <row r="175">
      <c r="A175" s="233" t="inlineStr">
        <is>
          <t>020</t>
        </is>
      </c>
      <c r="B175" s="233" t="inlineStr">
        <is>
          <t>Grape Pie</t>
        </is>
      </c>
      <c r="C175" s="233" t="inlineStr">
        <is>
          <t>Grape Pie</t>
        </is>
      </c>
      <c r="D175" s="234" t="inlineStr">
        <is>
          <t>P050312</t>
        </is>
      </c>
      <c r="E175" s="233" t="inlineStr">
        <is>
          <t>November 2025</t>
        </is>
      </c>
      <c r="F175" s="233" t="inlineStr">
        <is>
          <t>June 2026</t>
        </is>
      </c>
      <c r="G175" s="233" t="inlineStr">
        <is>
          <t>GP082501/1</t>
        </is>
      </c>
      <c r="H175" s="233" t="inlineStr">
        <is>
          <t>✓ COMPLETE</t>
        </is>
      </c>
      <c r="I175" s="236" t="inlineStr"/>
    </row>
    <row r="176">
      <c r="A176" s="233" t="inlineStr">
        <is>
          <t>021</t>
        </is>
      </c>
      <c r="B176" s="233" t="inlineStr">
        <is>
          <t>Grape Pie</t>
        </is>
      </c>
      <c r="C176" s="233" t="inlineStr">
        <is>
          <t>Grape Pie</t>
        </is>
      </c>
      <c r="D176" s="234" t="inlineStr">
        <is>
          <t>P050322</t>
        </is>
      </c>
      <c r="E176" s="233" t="inlineStr">
        <is>
          <t>November 2025</t>
        </is>
      </c>
      <c r="F176" s="233" t="inlineStr">
        <is>
          <t>June 2026</t>
        </is>
      </c>
      <c r="G176" s="233" t="inlineStr">
        <is>
          <t>GP082501/2</t>
        </is>
      </c>
      <c r="H176" s="233" t="inlineStr">
        <is>
          <t>✓ COMPLETE</t>
        </is>
      </c>
      <c r="I176" s="236" t="inlineStr"/>
    </row>
    <row r="177">
      <c r="A177" s="233" t="inlineStr">
        <is>
          <t>019</t>
        </is>
      </c>
      <c r="B177" s="233" t="inlineStr">
        <is>
          <t>Grape Pie</t>
        </is>
      </c>
      <c r="C177" s="233" t="inlineStr">
        <is>
          <t>Grape Pie</t>
        </is>
      </c>
      <c r="D177" s="234" t="inlineStr">
        <is>
          <t>P050302</t>
        </is>
      </c>
      <c r="E177" s="233" t="inlineStr">
        <is>
          <t>November 2025</t>
        </is>
      </c>
      <c r="F177" s="233" t="inlineStr">
        <is>
          <t>June 2026</t>
        </is>
      </c>
      <c r="G177" s="233" t="inlineStr">
        <is>
          <t>GP072501/2</t>
        </is>
      </c>
      <c r="H177" s="233" t="inlineStr">
        <is>
          <t>✓ COMPLETE</t>
        </is>
      </c>
      <c r="I177" s="236" t="inlineStr"/>
    </row>
    <row r="178">
      <c r="A178" s="233" t="inlineStr">
        <is>
          <t>018</t>
        </is>
      </c>
      <c r="B178" s="233" t="inlineStr">
        <is>
          <t>Grape Pie</t>
        </is>
      </c>
      <c r="C178" s="233" t="inlineStr">
        <is>
          <t>Grape Pie</t>
        </is>
      </c>
      <c r="D178" s="234" t="inlineStr">
        <is>
          <t>P050292</t>
        </is>
      </c>
      <c r="E178" s="233" t="inlineStr">
        <is>
          <t>November 2025</t>
        </is>
      </c>
      <c r="F178" s="233" t="inlineStr">
        <is>
          <t>June 2026</t>
        </is>
      </c>
      <c r="G178" s="233" t="inlineStr">
        <is>
          <t>GP072501/1</t>
        </is>
      </c>
      <c r="H178" s="233" t="inlineStr">
        <is>
          <t>✓ COMPLETE</t>
        </is>
      </c>
      <c r="I178" s="236" t="inlineStr"/>
    </row>
    <row r="179">
      <c r="A179" s="233" t="inlineStr">
        <is>
          <t>017</t>
        </is>
      </c>
      <c r="B179" s="233" t="inlineStr">
        <is>
          <t>Blue Sunset Sherbet</t>
        </is>
      </c>
      <c r="C179" s="233" t="inlineStr">
        <is>
          <t>Blue Sunset Sherbet</t>
        </is>
      </c>
      <c r="D179" s="234" t="inlineStr">
        <is>
          <t>P050192</t>
        </is>
      </c>
      <c r="E179" s="233" t="inlineStr">
        <is>
          <t>August 2025</t>
        </is>
      </c>
      <c r="F179" s="233" t="inlineStr">
        <is>
          <t>— none printed —</t>
        </is>
      </c>
      <c r="G179" s="233" t="inlineStr">
        <is>
          <t>BSS052501</t>
        </is>
      </c>
      <c r="H179" s="233" t="inlineStr">
        <is>
          <t>⚠ 2 MISSING</t>
        </is>
      </c>
      <c r="I179" s="236" t="inlineStr"/>
    </row>
    <row r="180">
      <c r="A180" s="238" t="inlineStr">
        <is>
          <t>— not read —</t>
        </is>
      </c>
      <c r="B180" s="233" t="inlineStr">
        <is>
          <t>Cup Junkie</t>
        </is>
      </c>
      <c r="C180" s="239" t="inlineStr">
        <is>
          <t>Cap Junky</t>
        </is>
      </c>
      <c r="D180" s="234" t="inlineStr">
        <is>
          <t>P050162</t>
        </is>
      </c>
      <c r="E180" s="233" t="inlineStr">
        <is>
          <t>August 2025</t>
        </is>
      </c>
      <c r="F180" s="233" t="inlineStr">
        <is>
          <t>— none printed —</t>
        </is>
      </c>
      <c r="G180" s="233" t="inlineStr">
        <is>
          <t>CJ052501/01</t>
        </is>
      </c>
      <c r="H180" s="233" t="inlineStr">
        <is>
          <t>✓ COMPLETE</t>
        </is>
      </c>
      <c r="I180" s="236" t="inlineStr">
        <is>
          <t>strain ruled Cap Junky; the register prints Cup Junkie</t>
        </is>
      </c>
    </row>
    <row r="181">
      <c r="A181" s="238" t="inlineStr">
        <is>
          <t>— not read —</t>
        </is>
      </c>
      <c r="B181" s="233" t="inlineStr">
        <is>
          <t>High Pro Amnesia</t>
        </is>
      </c>
      <c r="C181" s="233" t="inlineStr">
        <is>
          <t>High Pro Amnesia</t>
        </is>
      </c>
      <c r="D181" s="234" t="inlineStr">
        <is>
          <t>P050182</t>
        </is>
      </c>
      <c r="E181" s="233" t="inlineStr">
        <is>
          <t>August 2025</t>
        </is>
      </c>
      <c r="F181" s="233" t="inlineStr">
        <is>
          <t>— none printed —</t>
        </is>
      </c>
      <c r="G181" s="233" t="inlineStr">
        <is>
          <t>HPA052501</t>
        </is>
      </c>
      <c r="H181" s="233" t="inlineStr">
        <is>
          <t>✓ COMPLETE</t>
        </is>
      </c>
      <c r="I181" s="236" t="inlineStr"/>
    </row>
    <row r="182">
      <c r="A182" s="238" t="inlineStr">
        <is>
          <t>— not read —</t>
        </is>
      </c>
      <c r="B182" s="233" t="inlineStr">
        <is>
          <t>Blue Sunset Sherbet</t>
        </is>
      </c>
      <c r="C182" s="233" t="inlineStr">
        <is>
          <t>Blue Sunset Sherbet</t>
        </is>
      </c>
      <c r="D182" s="234" t="inlineStr">
        <is>
          <t>P050122</t>
        </is>
      </c>
      <c r="E182" s="233" t="inlineStr">
        <is>
          <t>June 2025</t>
        </is>
      </c>
      <c r="F182" s="233" t="inlineStr">
        <is>
          <t>— none printed —</t>
        </is>
      </c>
      <c r="G182" s="233" t="inlineStr">
        <is>
          <t>BSS1024_01/1</t>
        </is>
      </c>
      <c r="H182" s="233" t="inlineStr">
        <is>
          <t>✓ COMPLETE</t>
        </is>
      </c>
      <c r="I182" s="236" t="inlineStr"/>
    </row>
    <row r="183">
      <c r="A183" s="238" t="inlineStr">
        <is>
          <t>— not read —</t>
        </is>
      </c>
      <c r="B183" s="233" t="inlineStr">
        <is>
          <t>Gorilla Glue</t>
        </is>
      </c>
      <c r="C183" s="233" t="inlineStr">
        <is>
          <t>Gorilla Glue</t>
        </is>
      </c>
      <c r="D183" s="234" t="inlineStr">
        <is>
          <t>P050092</t>
        </is>
      </c>
      <c r="E183" s="233" t="inlineStr">
        <is>
          <t>March 2025</t>
        </is>
      </c>
      <c r="F183" s="233" t="inlineStr">
        <is>
          <t>— none printed —</t>
        </is>
      </c>
      <c r="G183" s="233" t="inlineStr">
        <is>
          <t>GG1024_01</t>
        </is>
      </c>
      <c r="H183" s="233" t="inlineStr">
        <is>
          <t>✓ COMPLETE</t>
        </is>
      </c>
      <c r="I183" s="236" t="inlineStr"/>
    </row>
    <row r="184">
      <c r="A184" s="238" t="inlineStr">
        <is>
          <t>— not read —</t>
        </is>
      </c>
      <c r="B184" s="233" t="inlineStr">
        <is>
          <t>Grape Pie</t>
        </is>
      </c>
      <c r="C184" s="233" t="inlineStr">
        <is>
          <t>Grape Pie</t>
        </is>
      </c>
      <c r="D184" s="234" t="inlineStr">
        <is>
          <t>P050102</t>
        </is>
      </c>
      <c r="E184" s="233" t="inlineStr">
        <is>
          <t>March 2025</t>
        </is>
      </c>
      <c r="F184" s="233" t="inlineStr">
        <is>
          <t>October 2025</t>
        </is>
      </c>
      <c r="G184" s="233" t="inlineStr">
        <is>
          <t>GP0824_01</t>
        </is>
      </c>
      <c r="H184" s="233" t="inlineStr">
        <is>
          <t>✓ COMPLETE</t>
        </is>
      </c>
      <c r="I184" s="236" t="inlineStr"/>
    </row>
    <row r="185">
      <c r="A185" s="238" t="inlineStr">
        <is>
          <t>— not read —</t>
        </is>
      </c>
      <c r="B185" s="233" t="inlineStr">
        <is>
          <t>Grape Pie</t>
        </is>
      </c>
      <c r="C185" s="233" t="inlineStr">
        <is>
          <t>Grape Pie</t>
        </is>
      </c>
      <c r="D185" s="234" t="inlineStr">
        <is>
          <t>P050072</t>
        </is>
      </c>
      <c r="E185" s="233" t="inlineStr">
        <is>
          <t>June 2025</t>
        </is>
      </c>
      <c r="F185" s="233" t="inlineStr">
        <is>
          <t>January 2026</t>
        </is>
      </c>
      <c r="G185" s="233" t="inlineStr">
        <is>
          <t>GP0824_03</t>
        </is>
      </c>
      <c r="H185" s="233" t="inlineStr">
        <is>
          <t>✓ COMPLETE</t>
        </is>
      </c>
      <c r="I185" s="236" t="inlineStr"/>
    </row>
    <row r="186">
      <c r="A186" s="238" t="inlineStr">
        <is>
          <t>— not read —</t>
        </is>
      </c>
      <c r="B186" s="233" t="inlineStr">
        <is>
          <t>Orange Punch Mimosa</t>
        </is>
      </c>
      <c r="C186" s="233" t="inlineStr">
        <is>
          <t>Orange Punch Mimosa</t>
        </is>
      </c>
      <c r="D186" s="234" t="inlineStr">
        <is>
          <t>P050062</t>
        </is>
      </c>
      <c r="E186" s="233" t="inlineStr">
        <is>
          <t>May 2025</t>
        </is>
      </c>
      <c r="F186" s="233" t="inlineStr">
        <is>
          <t>December 2025</t>
        </is>
      </c>
      <c r="G186" s="233" t="inlineStr">
        <is>
          <t>OPM1024_02</t>
        </is>
      </c>
      <c r="H186" s="233" t="inlineStr">
        <is>
          <t>✓ COMPLETE</t>
        </is>
      </c>
      <c r="I186" s="236" t="inlineStr"/>
    </row>
    <row r="187">
      <c r="A187" s="238" t="inlineStr">
        <is>
          <t>— not read —</t>
        </is>
      </c>
      <c r="B187" s="233" t="inlineStr">
        <is>
          <t>High Pro Amnesia</t>
        </is>
      </c>
      <c r="C187" s="233" t="inlineStr">
        <is>
          <t>High Pro Amnesia</t>
        </is>
      </c>
      <c r="D187" s="234" t="inlineStr">
        <is>
          <t>P050052</t>
        </is>
      </c>
      <c r="E187" s="233" t="inlineStr">
        <is>
          <t>May 2025</t>
        </is>
      </c>
      <c r="F187" s="233" t="inlineStr">
        <is>
          <t>December 2025</t>
        </is>
      </c>
      <c r="G187" s="233" t="inlineStr">
        <is>
          <t>HPA1024_01</t>
        </is>
      </c>
      <c r="H187" s="233" t="inlineStr">
        <is>
          <t>✓ COMPLETE</t>
        </is>
      </c>
      <c r="I187" s="236" t="inlineStr"/>
    </row>
    <row r="188">
      <c r="A188" s="238" t="inlineStr">
        <is>
          <t>— not read —</t>
        </is>
      </c>
      <c r="B188" s="233" t="inlineStr">
        <is>
          <t>Grape Pie</t>
        </is>
      </c>
      <c r="C188" s="233" t="inlineStr">
        <is>
          <t>Grape Pie</t>
        </is>
      </c>
      <c r="D188" s="234" t="inlineStr">
        <is>
          <t>P050022</t>
        </is>
      </c>
      <c r="E188" s="233" t="inlineStr">
        <is>
          <t>May 2025</t>
        </is>
      </c>
      <c r="F188" s="233" t="inlineStr">
        <is>
          <t>December 2025</t>
        </is>
      </c>
      <c r="G188" s="233" t="inlineStr">
        <is>
          <t>GP0824_02</t>
        </is>
      </c>
      <c r="H188" s="233" t="inlineStr">
        <is>
          <t>✓ COMPLETE</t>
        </is>
      </c>
      <c r="I188" s="236" t="inlineStr"/>
    </row>
    <row r="189">
      <c r="A189" s="238" t="inlineStr">
        <is>
          <t>— not read —</t>
        </is>
      </c>
      <c r="B189" s="233" t="inlineStr">
        <is>
          <t>Orange Punch Mimosa</t>
        </is>
      </c>
      <c r="C189" s="233" t="inlineStr">
        <is>
          <t>Orange Punch Mimosa</t>
        </is>
      </c>
      <c r="D189" s="234" t="inlineStr">
        <is>
          <t>P050042</t>
        </is>
      </c>
      <c r="E189" s="233" t="inlineStr">
        <is>
          <t>March 2025</t>
        </is>
      </c>
      <c r="F189" s="233" t="inlineStr">
        <is>
          <t>November 2025</t>
        </is>
      </c>
      <c r="G189" s="233" t="inlineStr">
        <is>
          <t>OMP1024_01</t>
        </is>
      </c>
      <c r="H189" s="233" t="inlineStr">
        <is>
          <t>✓ COMPLETE</t>
        </is>
      </c>
      <c r="I189" s="236" t="inlineStr"/>
    </row>
    <row r="190">
      <c r="A190" s="238" t="inlineStr">
        <is>
          <t>— not read —</t>
        </is>
      </c>
      <c r="B190" s="233" t="inlineStr">
        <is>
          <t>Motor Breath</t>
        </is>
      </c>
      <c r="C190" s="233" t="inlineStr">
        <is>
          <t>Motor Breath</t>
        </is>
      </c>
      <c r="D190" s="234" t="inlineStr">
        <is>
          <t>P050032</t>
        </is>
      </c>
      <c r="E190" s="233" t="inlineStr">
        <is>
          <t>April 2025</t>
        </is>
      </c>
      <c r="F190" s="233" t="inlineStr">
        <is>
          <t>November 2025</t>
        </is>
      </c>
      <c r="G190" s="233" t="inlineStr">
        <is>
          <t>MB0824_04</t>
        </is>
      </c>
      <c r="H190" s="233" t="inlineStr">
        <is>
          <t>✓ COMPLETE</t>
        </is>
      </c>
      <c r="I190" s="236" t="inlineStr"/>
    </row>
    <row r="191">
      <c r="A191" s="238" t="inlineStr">
        <is>
          <t>— not read —</t>
        </is>
      </c>
      <c r="B191" s="233" t="inlineStr">
        <is>
          <t>Gorilla Glue</t>
        </is>
      </c>
      <c r="C191" s="233" t="inlineStr">
        <is>
          <t>Gorilla Glue</t>
        </is>
      </c>
      <c r="D191" s="234" t="inlineStr">
        <is>
          <t>P050012</t>
        </is>
      </c>
      <c r="E191" s="233" t="inlineStr">
        <is>
          <t>April 2025</t>
        </is>
      </c>
      <c r="F191" s="233" t="inlineStr">
        <is>
          <t>November 2025</t>
        </is>
      </c>
      <c r="G191" s="233" t="inlineStr">
        <is>
          <t>GG1024_02</t>
        </is>
      </c>
      <c r="H191" s="233" t="inlineStr">
        <is>
          <t>✓ COMPLETE</t>
        </is>
      </c>
      <c r="I191" s="236" t="inlineStr"/>
    </row>
    <row r="192">
      <c r="A192" s="238" t="inlineStr">
        <is>
          <t>— not read —</t>
        </is>
      </c>
      <c r="B192" s="233" t="inlineStr">
        <is>
          <t>Blue Gelato</t>
        </is>
      </c>
      <c r="C192" s="233" t="inlineStr">
        <is>
          <t>Blue Gelato</t>
        </is>
      </c>
      <c r="D192" s="234" t="inlineStr">
        <is>
          <t>BG1024</t>
        </is>
      </c>
      <c r="E192" s="233" t="inlineStr">
        <is>
          <t>January 2025</t>
        </is>
      </c>
      <c r="F192" s="233" t="inlineStr">
        <is>
          <t>June 2025</t>
        </is>
      </c>
      <c r="G192" s="233" t="inlineStr">
        <is>
          <t>BG1024</t>
        </is>
      </c>
      <c r="H192" s="233" t="inlineStr">
        <is>
          <t>✓ COMPLETE</t>
        </is>
      </c>
      <c r="I192" s="236" t="inlineStr"/>
    </row>
    <row r="193">
      <c r="A193" s="238" t="inlineStr">
        <is>
          <t>— not read —</t>
        </is>
      </c>
      <c r="B193" s="233" t="inlineStr">
        <is>
          <t>Blue Sunset Sherbet</t>
        </is>
      </c>
      <c r="C193" s="233" t="inlineStr">
        <is>
          <t>Blue Sunset Sherbet</t>
        </is>
      </c>
      <c r="D193" s="234" t="inlineStr">
        <is>
          <t>BSS1024</t>
        </is>
      </c>
      <c r="E193" s="233" t="inlineStr">
        <is>
          <t>January 2025</t>
        </is>
      </c>
      <c r="F193" s="233" t="inlineStr">
        <is>
          <t>June 2025</t>
        </is>
      </c>
      <c r="G193" s="233" t="inlineStr">
        <is>
          <t>BSS1024</t>
        </is>
      </c>
      <c r="H193" s="233" t="inlineStr">
        <is>
          <t>✓ COMPLETE</t>
        </is>
      </c>
      <c r="I193" s="236" t="inlineStr"/>
    </row>
    <row r="194">
      <c r="A194" s="238" t="inlineStr">
        <is>
          <t>— not read —</t>
        </is>
      </c>
      <c r="B194" s="233" t="inlineStr">
        <is>
          <t>Cap Junky</t>
        </is>
      </c>
      <c r="C194" s="233" t="inlineStr">
        <is>
          <t>Cap Junky</t>
        </is>
      </c>
      <c r="D194" s="234" t="inlineStr">
        <is>
          <t>CJ1024</t>
        </is>
      </c>
      <c r="E194" s="233" t="inlineStr">
        <is>
          <t>January 2025</t>
        </is>
      </c>
      <c r="F194" s="233" t="inlineStr">
        <is>
          <t>June 2025</t>
        </is>
      </c>
      <c r="G194" s="233" t="inlineStr">
        <is>
          <t>CJ1024</t>
        </is>
      </c>
      <c r="H194" s="233" t="inlineStr">
        <is>
          <t>✓ COMPLETE</t>
        </is>
      </c>
      <c r="I194" s="236" t="inlineStr"/>
    </row>
    <row r="195">
      <c r="A195" s="238" t="inlineStr">
        <is>
          <t>— not read —</t>
        </is>
      </c>
      <c r="B195" s="233" t="inlineStr">
        <is>
          <t>Gorilla Glue</t>
        </is>
      </c>
      <c r="C195" s="233" t="inlineStr">
        <is>
          <t>Gorilla Glue</t>
        </is>
      </c>
      <c r="D195" s="234" t="inlineStr">
        <is>
          <t>GG1024</t>
        </is>
      </c>
      <c r="E195" s="233" t="inlineStr">
        <is>
          <t>January 2025</t>
        </is>
      </c>
      <c r="F195" s="233" t="inlineStr">
        <is>
          <t>— none printed —</t>
        </is>
      </c>
      <c r="G195" s="233" t="inlineStr">
        <is>
          <t>GG1024</t>
        </is>
      </c>
      <c r="H195" s="233" t="inlineStr">
        <is>
          <t>❌ 8 MISSING</t>
        </is>
      </c>
      <c r="I195" s="236" t="inlineStr"/>
    </row>
    <row r="196">
      <c r="A196" s="238" t="inlineStr">
        <is>
          <t>— not read —</t>
        </is>
      </c>
      <c r="B196" s="233" t="inlineStr">
        <is>
          <t>Orange Punch Mimosa</t>
        </is>
      </c>
      <c r="C196" s="233" t="inlineStr">
        <is>
          <t>Orange Punch Mimosa</t>
        </is>
      </c>
      <c r="D196" s="234" t="inlineStr">
        <is>
          <t>OPM1024</t>
        </is>
      </c>
      <c r="E196" s="233" t="inlineStr">
        <is>
          <t>January 2025</t>
        </is>
      </c>
      <c r="F196" s="233" t="inlineStr">
        <is>
          <t>June 2025</t>
        </is>
      </c>
      <c r="G196" s="233" t="inlineStr">
        <is>
          <t>OPM1024</t>
        </is>
      </c>
      <c r="H196" s="233" t="inlineStr">
        <is>
          <t>❌ 4 MISSING</t>
        </is>
      </c>
      <c r="I196" s="236" t="inlineStr"/>
    </row>
    <row r="197">
      <c r="A197" s="238" t="inlineStr">
        <is>
          <t>— not read —</t>
        </is>
      </c>
      <c r="B197" s="233" t="inlineStr">
        <is>
          <t>High Pro Amnesia</t>
        </is>
      </c>
      <c r="C197" s="233" t="inlineStr">
        <is>
          <t>High Pro Amnesia</t>
        </is>
      </c>
      <c r="D197" s="234" t="inlineStr">
        <is>
          <t>HPA1024</t>
        </is>
      </c>
      <c r="E197" s="233" t="inlineStr">
        <is>
          <t>January 2025</t>
        </is>
      </c>
      <c r="F197" s="233" t="inlineStr">
        <is>
          <t>— none printed —</t>
        </is>
      </c>
      <c r="G197" s="233" t="inlineStr">
        <is>
          <t>HPA1024</t>
        </is>
      </c>
      <c r="H197" s="233" t="inlineStr">
        <is>
          <t>❌ 4 MISSING</t>
        </is>
      </c>
      <c r="I197" s="236" t="inlineStr"/>
    </row>
    <row r="199" ht="58" customHeight="1" s="70">
      <c r="A199"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199" s="120" t="n"/>
      <c r="C199" s="120" t="n"/>
      <c r="D199" s="120" t="n"/>
      <c r="E199" s="120" t="n"/>
      <c r="F199" s="120" t="n"/>
      <c r="G199" s="120" t="n"/>
      <c r="H199" s="120" t="n"/>
      <c r="I199" s="121" t="n"/>
    </row>
    <row r="202" ht="20" customHeight="1" s="70">
      <c r="A202" s="242" t="inlineStr">
        <is>
          <t>MIKRO COQ PARAMETER</t>
        </is>
      </c>
    </row>
    <row r="203" ht="16" customHeight="1" s="70">
      <c r="A203" s="119" t="inlineStr">
        <is>
          <t>BATCH IDENTIFICATION</t>
        </is>
      </c>
      <c r="B203" s="120" t="n"/>
      <c r="C203" s="121" t="n"/>
      <c r="D203" s="119" t="inlineStr">
        <is>
          <t>PHYSICAL  7–8</t>
        </is>
      </c>
      <c r="E203" s="120" t="n"/>
      <c r="F203" s="120" t="n"/>
      <c r="G203" s="120" t="n"/>
      <c r="H203" s="120" t="n"/>
      <c r="I203" s="121" t="n"/>
      <c r="J203" s="119" t="inlineStr">
        <is>
          <t>MICROBIOLOGY  9</t>
        </is>
      </c>
      <c r="K203" s="120" t="n"/>
      <c r="L203" s="120" t="n"/>
      <c r="M203" s="120" t="n"/>
      <c r="N203" s="120" t="n"/>
      <c r="O203" s="121" t="n"/>
      <c r="P203" s="119" t="inlineStr">
        <is>
          <t>CONTAMINANTS  10–12</t>
        </is>
      </c>
      <c r="Q203" s="120" t="n"/>
      <c r="R203" s="120" t="n"/>
      <c r="S203" s="120" t="n"/>
      <c r="T203" s="120" t="n"/>
      <c r="U203" s="120" t="n"/>
      <c r="V203" s="120" t="n"/>
      <c r="W203" s="120" t="n"/>
      <c r="X203" s="120" t="n"/>
      <c r="Y203" s="120" t="n"/>
      <c r="Z203" s="120" t="n"/>
      <c r="AA203" s="121" t="n"/>
    </row>
    <row r="204" ht="30" customHeight="1" s="70">
      <c r="A204" s="122" t="inlineStr">
        <is>
          <t>CU Batch</t>
        </is>
      </c>
      <c r="B204" s="122" t="inlineStr">
        <is>
          <t>P Batch</t>
        </is>
      </c>
      <c r="C204" s="122" t="inlineStr">
        <is>
          <t>STATUS</t>
        </is>
      </c>
      <c r="D204" s="119" t="inlineStr">
        <is>
          <t>#7 Foreign Matter
Ph. Eur. 2.8.2 / in-house</t>
        </is>
      </c>
      <c r="E204" s="120" t="n"/>
      <c r="F204" s="121" t="n"/>
      <c r="G204" s="119" t="inlineStr">
        <is>
          <t>#8 Loss on Drying
Ph. Eur. 2.2.32 · 40 °C, 24 h, 15–25 mbar</t>
        </is>
      </c>
      <c r="H204" s="120" t="n"/>
      <c r="I204" s="121" t="n"/>
      <c r="J204" s="119" t="inlineStr">
        <is>
          <t>#9 Microbiological Purity
Ph. Eur. 2.6.12 / 2.6.13 / 2.6.31 · cat. C</t>
        </is>
      </c>
      <c r="K204" s="120" t="n"/>
      <c r="L204" s="120" t="n"/>
      <c r="M204" s="120" t="n"/>
      <c r="N204" s="120" t="n"/>
      <c r="O204" s="121" t="n"/>
      <c r="P204" s="119" t="inlineStr">
        <is>
          <t>#10 Mycotoxins
Ph. Eur. 2.8.18 / 2.8.22 (HPLC-FLD)</t>
        </is>
      </c>
      <c r="Q204" s="120" t="n"/>
      <c r="R204" s="120" t="n"/>
      <c r="S204" s="121" t="n"/>
      <c r="T204" s="119" t="inlineStr">
        <is>
          <t>#11 Heavy Metals
Ph. Eur. 2.4.27 (ICP-MS)</t>
        </is>
      </c>
      <c r="U204" s="120" t="n"/>
      <c r="V204" s="120" t="n"/>
      <c r="W204" s="120" t="n"/>
      <c r="X204" s="121" t="n"/>
      <c r="Y204" s="119" t="inlineStr">
        <is>
          <t>#12 Pesticide Residues
Ph. Eur. 2.8.13 (LC-MS/MS) · CUMCS equivalency</t>
        </is>
      </c>
      <c r="Z204" s="120" t="n"/>
      <c r="AA204" s="121" t="n"/>
    </row>
    <row r="205" ht="26" customHeight="1" s="70">
      <c r="A205" s="256" t="n"/>
      <c r="B205" s="256" t="n"/>
      <c r="C205" s="256" t="n"/>
      <c r="D205" s="123" t="inlineStr">
        <is>
          <t>A.C.: ≤ 2.0 % (25–50 g); leaves &lt; 1 cm; no seeds</t>
        </is>
      </c>
      <c r="E205" s="121" t="n"/>
      <c r="F205" s="123" t="inlineStr"/>
      <c r="G205" s="123" t="inlineStr">
        <is>
          <t>A.C.: ≤ 12.0 %</t>
        </is>
      </c>
      <c r="H205" s="121" t="n"/>
      <c r="I205" s="123" t="inlineStr"/>
      <c r="J205" s="123" t="inlineStr">
        <is>
          <t>A.C.: ≤ 10⁵ CFU/g</t>
        </is>
      </c>
      <c r="K205" s="123" t="inlineStr">
        <is>
          <t>A.C.: ≤ 10⁴ CFU/g</t>
        </is>
      </c>
      <c r="L205" s="123" t="inlineStr">
        <is>
          <t>A.C.: ≤ 10⁴ CFU/g</t>
        </is>
      </c>
      <c r="M205" s="123" t="inlineStr">
        <is>
          <t>A.C.: Absence / 25 g</t>
        </is>
      </c>
      <c r="N205" s="123" t="inlineStr">
        <is>
          <t>A.C.: Absence / 1 g</t>
        </is>
      </c>
      <c r="O205" s="123" t="inlineStr"/>
      <c r="P205" s="123" t="inlineStr">
        <is>
          <t>A.C.: ≤ 2 µg/kg</t>
        </is>
      </c>
      <c r="Q205" s="123" t="inlineStr">
        <is>
          <t>A.C.: ≤ 4 µg/kg</t>
        </is>
      </c>
      <c r="R205" s="123" t="inlineStr">
        <is>
          <t>A.C.: ≤ 20 µg/kg</t>
        </is>
      </c>
      <c r="S205" s="123" t="inlineStr"/>
      <c r="T205" s="123" t="inlineStr">
        <is>
          <t>A.C.: ≤ 0.5 mg/kg</t>
        </is>
      </c>
      <c r="U205" s="123" t="inlineStr">
        <is>
          <t>A.C.: ≤ 0.3 mg/kg</t>
        </is>
      </c>
      <c r="V205" s="123" t="inlineStr">
        <is>
          <t>A.C.: ≤ 0.2 mg/kg</t>
        </is>
      </c>
      <c r="W205" s="123" t="inlineStr">
        <is>
          <t>A.C.: ≤ 0.1 mg/kg</t>
        </is>
      </c>
      <c r="X205" s="123" t="inlineStr"/>
      <c r="Y205" s="123" t="inlineStr">
        <is>
          <t>A.C.: ≤ LOQ (Ph. Eur. 2.8.13 / CUMCS equivalency)</t>
        </is>
      </c>
      <c r="Z205" s="121" t="n"/>
      <c r="AA205" s="123" t="inlineStr"/>
    </row>
    <row r="206" ht="24" customHeight="1" s="70">
      <c r="A206" s="257" t="n"/>
      <c r="B206" s="257" t="n"/>
      <c r="C206" s="257" t="n"/>
      <c r="D206" s="124" t="inlineStr">
        <is>
          <t>Result</t>
        </is>
      </c>
      <c r="E206" s="124" t="inlineStr">
        <is>
          <t xml:space="preserve">[eCOA code],[date],[Lab] </t>
        </is>
      </c>
      <c r="F206" s="124" t="inlineStr">
        <is>
          <t>✓   ✗</t>
        </is>
      </c>
      <c r="G206" s="124" t="inlineStr">
        <is>
          <t>Result</t>
        </is>
      </c>
      <c r="H206" s="124" t="inlineStr">
        <is>
          <t xml:space="preserve">[eCOA code],[date],[Lab] </t>
        </is>
      </c>
      <c r="I206" s="124" t="inlineStr">
        <is>
          <t>✓   ✗</t>
        </is>
      </c>
      <c r="J206" s="124" t="inlineStr">
        <is>
          <t>TAMC</t>
        </is>
      </c>
      <c r="K206" s="124" t="inlineStr">
        <is>
          <t>TYMC</t>
        </is>
      </c>
      <c r="L206" s="124" t="inlineStr">
        <is>
          <t>GNB</t>
        </is>
      </c>
      <c r="M206" s="124" t="inlineStr">
        <is>
          <t>Salm.</t>
        </is>
      </c>
      <c r="N206" s="124" t="inlineStr">
        <is>
          <t>E. coli</t>
        </is>
      </c>
      <c r="O206" s="124" t="inlineStr">
        <is>
          <t>✓   ✗</t>
        </is>
      </c>
      <c r="P206" s="124" t="inlineStr">
        <is>
          <t>AfB₁</t>
        </is>
      </c>
      <c r="Q206" s="124" t="inlineStr">
        <is>
          <t>ΣAf</t>
        </is>
      </c>
      <c r="R206" s="124" t="inlineStr">
        <is>
          <t>OTA</t>
        </is>
      </c>
      <c r="S206" s="124" t="inlineStr">
        <is>
          <t>✓   ✗</t>
        </is>
      </c>
      <c r="T206" s="124" t="inlineStr">
        <is>
          <t>Pb</t>
        </is>
      </c>
      <c r="U206" s="124" t="inlineStr">
        <is>
          <t>Cd</t>
        </is>
      </c>
      <c r="V206" s="124" t="inlineStr">
        <is>
          <t>As</t>
        </is>
      </c>
      <c r="W206" s="124" t="inlineStr">
        <is>
          <t>Hg</t>
        </is>
      </c>
      <c r="X206" s="124" t="inlineStr">
        <is>
          <t>✓   ✗</t>
        </is>
      </c>
      <c r="Y206" s="124" t="inlineStr">
        <is>
          <t>Result</t>
        </is>
      </c>
      <c r="Z206" s="124" t="inlineStr">
        <is>
          <t xml:space="preserve">[eCOA code],[date],[Lab] </t>
        </is>
      </c>
      <c r="AA206" s="124" t="inlineStr">
        <is>
          <t>✓   ✗</t>
        </is>
      </c>
    </row>
    <row r="207" ht="21" customHeight="1" s="70">
      <c r="A207" s="125" t="inlineStr">
        <is>
          <t>FB012603</t>
        </is>
      </c>
      <c r="B207" s="126" t="inlineStr">
        <is>
          <t>P060432</t>
        </is>
      </c>
      <c r="C207" s="164" t="inlineStr">
        <is>
          <t>⚠ 3 NO RESULT
(3 no cert / 0 cert w/o result)
2 testing instances</t>
        </is>
      </c>
      <c r="D207" s="128" t="inlineStr">
        <is>
          <t>Conforms (no value printed)</t>
        </is>
      </c>
      <c r="E207" s="129" t="inlineStr">
        <is>
          <t>ППК26112, (30.06.2026) [CNP]</t>
        </is>
      </c>
      <c r="F207" s="130" t="inlineStr">
        <is>
          <t>✓</t>
        </is>
      </c>
      <c r="G207" s="128" t="inlineStr">
        <is>
          <t>7.04</t>
        </is>
      </c>
      <c r="H207" s="129" t="inlineStr">
        <is>
          <t>ППК26112, (30.06.2026) [CNP]</t>
        </is>
      </c>
      <c r="I207" s="130" t="inlineStr">
        <is>
          <t>✓</t>
        </is>
      </c>
      <c r="J207" s="128" t="inlineStr">
        <is>
          <t>9.8 × 10³</t>
        </is>
      </c>
      <c r="K207" s="136" t="inlineStr">
        <is>
          <t>2.5 × 10³</t>
        </is>
      </c>
      <c r="L207" s="136" t="inlineStr">
        <is>
          <t>&lt; 10² and &gt; 10</t>
        </is>
      </c>
      <c r="M207" s="136" t="inlineStr">
        <is>
          <t>Absent</t>
        </is>
      </c>
      <c r="N207" s="136" t="inlineStr">
        <is>
          <t>Absent</t>
        </is>
      </c>
      <c r="O207" s="130" t="inlineStr">
        <is>
          <t>✓</t>
        </is>
      </c>
      <c r="P207" s="165" t="inlineStr">
        <is>
          <t>— MISSING —</t>
        </is>
      </c>
      <c r="Q207" s="166" t="inlineStr">
        <is>
          <t>— MISSING —</t>
        </is>
      </c>
      <c r="R207" s="166" t="inlineStr">
        <is>
          <t>— MISSING —</t>
        </is>
      </c>
      <c r="S207" s="167" t="inlineStr">
        <is>
          <t>✗</t>
        </is>
      </c>
      <c r="T207" s="165" t="inlineStr">
        <is>
          <t>— MISSING —</t>
        </is>
      </c>
      <c r="U207" s="166" t="inlineStr">
        <is>
          <t>— MISSING —</t>
        </is>
      </c>
      <c r="V207" s="166" t="inlineStr">
        <is>
          <t>— MISSING —</t>
        </is>
      </c>
      <c r="W207" s="166" t="inlineStr">
        <is>
          <t>— MISSING —</t>
        </is>
      </c>
      <c r="X207" s="167" t="inlineStr">
        <is>
          <t>✗</t>
        </is>
      </c>
      <c r="Y207" s="165" t="inlineStr">
        <is>
          <t>— MISSING —</t>
        </is>
      </c>
      <c r="Z207" s="168" t="inlineStr">
        <is>
          <t>— no certificate —</t>
        </is>
      </c>
      <c r="AA207" s="169" t="inlineStr">
        <is>
          <t>✗</t>
        </is>
      </c>
    </row>
    <row r="208" ht="15.375" customHeight="1" s="70">
      <c r="A208" s="258" t="n"/>
      <c r="B208" s="256" t="n"/>
      <c r="C208" s="256" t="n"/>
      <c r="D208" s="259" t="n"/>
      <c r="E208" s="257" t="n"/>
      <c r="F208" s="260" t="n"/>
      <c r="G208" s="259" t="n"/>
      <c r="H208" s="257" t="n"/>
      <c r="I208" s="260" t="n"/>
      <c r="J208" s="141" t="inlineStr">
        <is>
          <t>537-1068-26, (31.08.2026) [IJZ-MB]</t>
        </is>
      </c>
      <c r="K208" s="120" t="n"/>
      <c r="L208" s="120" t="n"/>
      <c r="M208" s="120" t="n"/>
      <c r="N208" s="121" t="n"/>
      <c r="O208" s="260" t="n"/>
      <c r="P208" s="170" t="inlineStr">
        <is>
          <t>— no certificate —</t>
        </is>
      </c>
      <c r="Q208" s="120" t="n"/>
      <c r="R208" s="121" t="n"/>
      <c r="S208" s="260" t="n"/>
      <c r="T208" s="170" t="inlineStr">
        <is>
          <t>— no certificate —</t>
        </is>
      </c>
      <c r="U208" s="120" t="n"/>
      <c r="V208" s="120" t="n"/>
      <c r="W208" s="121" t="n"/>
      <c r="X208" s="260" t="n"/>
      <c r="Y208" s="259" t="n"/>
      <c r="Z208" s="257" t="n"/>
      <c r="AA208" s="261" t="n"/>
    </row>
    <row r="209" ht="17.625" customHeight="1" s="70">
      <c r="A209" s="258" t="n"/>
      <c r="B209" s="256" t="n"/>
      <c r="C209" s="256" t="n"/>
      <c r="D209" s="145" t="n"/>
      <c r="E209" s="144" t="n"/>
      <c r="F209" s="146" t="n"/>
      <c r="G209" s="145" t="n"/>
      <c r="H209" s="144" t="n"/>
      <c r="I209" s="146" t="n"/>
      <c r="J209" s="145" t="n"/>
      <c r="K209" s="144" t="n"/>
      <c r="L209" s="144" t="n"/>
      <c r="M209" s="144" t="n"/>
      <c r="N209" s="144" t="n"/>
      <c r="O209" s="146" t="n"/>
      <c r="P209" s="145" t="n"/>
      <c r="Q209" s="144" t="n"/>
      <c r="R209" s="144" t="n"/>
      <c r="S209" s="146" t="n"/>
      <c r="T209" s="145" t="n"/>
      <c r="U209" s="144" t="n"/>
      <c r="V209" s="144" t="n"/>
      <c r="W209" s="144" t="n"/>
      <c r="X209" s="146" t="n"/>
      <c r="Y209" s="145" t="n"/>
      <c r="Z209" s="144" t="n"/>
      <c r="AA209" s="157" t="n"/>
    </row>
    <row r="210" ht="13" customHeight="1" s="70">
      <c r="A210" s="262" t="n"/>
      <c r="B210" s="263" t="n"/>
      <c r="C210" s="263" t="n"/>
      <c r="D210" s="160" t="n"/>
      <c r="E210" s="159" t="n"/>
      <c r="F210" s="161" t="n"/>
      <c r="G210" s="160" t="n"/>
      <c r="H210" s="159" t="n"/>
      <c r="I210" s="161" t="n"/>
      <c r="J210" s="160" t="n"/>
      <c r="K210" s="159" t="n"/>
      <c r="L210" s="159" t="n"/>
      <c r="M210" s="159" t="n"/>
      <c r="N210" s="159" t="n"/>
      <c r="O210" s="161" t="n"/>
      <c r="P210" s="160" t="n"/>
      <c r="Q210" s="159" t="n"/>
      <c r="R210" s="159" t="n"/>
      <c r="S210" s="161" t="n"/>
      <c r="T210" s="160" t="n"/>
      <c r="U210" s="159" t="n"/>
      <c r="V210" s="159" t="n"/>
      <c r="W210" s="159" t="n"/>
      <c r="X210" s="161" t="n"/>
      <c r="Y210" s="160" t="n"/>
      <c r="Z210" s="159" t="n"/>
      <c r="AA210" s="163" t="n"/>
    </row>
    <row r="211" ht="21" customHeight="1" s="70">
      <c r="A211" s="125" t="inlineStr">
        <is>
          <t>FB012603V</t>
        </is>
      </c>
      <c r="B211" s="126" t="inlineStr">
        <is>
          <t>P060392</t>
        </is>
      </c>
      <c r="C211" s="164" t="inlineStr">
        <is>
          <t>⚠ 3 NO RESULT
(3 no cert / 0 cert w/o result)
2 testing instances</t>
        </is>
      </c>
      <c r="D211" s="128" t="inlineStr">
        <is>
          <t>Conforms (no value printed)</t>
        </is>
      </c>
      <c r="E211" s="129" t="inlineStr">
        <is>
          <t>ППК26110, (30.06.2026) [CNP]</t>
        </is>
      </c>
      <c r="F211" s="130" t="inlineStr">
        <is>
          <t>✓</t>
        </is>
      </c>
      <c r="G211" s="128" t="inlineStr">
        <is>
          <t>6.36</t>
        </is>
      </c>
      <c r="H211" s="129" t="inlineStr">
        <is>
          <t>ППК26110, (30.06.2026) [CNP]</t>
        </is>
      </c>
      <c r="I211" s="130" t="inlineStr">
        <is>
          <t>✓</t>
        </is>
      </c>
      <c r="J211" s="128" t="inlineStr">
        <is>
          <t>2.9 × 10³</t>
        </is>
      </c>
      <c r="K211" s="136" t="inlineStr">
        <is>
          <t>2.5 × 10³</t>
        </is>
      </c>
      <c r="L211" s="136" t="inlineStr">
        <is>
          <t>&lt; 10</t>
        </is>
      </c>
      <c r="M211" s="136" t="inlineStr">
        <is>
          <t>Absent</t>
        </is>
      </c>
      <c r="N211" s="136" t="inlineStr">
        <is>
          <t>Absent</t>
        </is>
      </c>
      <c r="O211" s="130" t="inlineStr">
        <is>
          <t>✓</t>
        </is>
      </c>
      <c r="P211" s="165" t="inlineStr">
        <is>
          <t>— MISSING —</t>
        </is>
      </c>
      <c r="Q211" s="166" t="inlineStr">
        <is>
          <t>— MISSING —</t>
        </is>
      </c>
      <c r="R211" s="166" t="inlineStr">
        <is>
          <t>— MISSING —</t>
        </is>
      </c>
      <c r="S211" s="167" t="inlineStr">
        <is>
          <t>✗</t>
        </is>
      </c>
      <c r="T211" s="165" t="inlineStr">
        <is>
          <t>— MISSING —</t>
        </is>
      </c>
      <c r="U211" s="166" t="inlineStr">
        <is>
          <t>— MISSING —</t>
        </is>
      </c>
      <c r="V211" s="166" t="inlineStr">
        <is>
          <t>— MISSING —</t>
        </is>
      </c>
      <c r="W211" s="166" t="inlineStr">
        <is>
          <t>— MISSING —</t>
        </is>
      </c>
      <c r="X211" s="167" t="inlineStr">
        <is>
          <t>✗</t>
        </is>
      </c>
      <c r="Y211" s="165" t="inlineStr">
        <is>
          <t>— MISSING —</t>
        </is>
      </c>
      <c r="Z211" s="168" t="inlineStr">
        <is>
          <t>— no certificate —</t>
        </is>
      </c>
      <c r="AA211" s="169" t="inlineStr">
        <is>
          <t>✗</t>
        </is>
      </c>
    </row>
    <row r="212" ht="15.375" customHeight="1" s="70">
      <c r="A212" s="258" t="n"/>
      <c r="B212" s="256" t="n"/>
      <c r="C212" s="256" t="n"/>
      <c r="D212" s="259" t="n"/>
      <c r="E212" s="257" t="n"/>
      <c r="F212" s="260" t="n"/>
      <c r="G212" s="259" t="n"/>
      <c r="H212" s="257" t="n"/>
      <c r="I212" s="260" t="n"/>
      <c r="J212" s="141" t="inlineStr">
        <is>
          <t>538-1069-26, (31.08.2026) [IJZ-MB]</t>
        </is>
      </c>
      <c r="K212" s="120" t="n"/>
      <c r="L212" s="120" t="n"/>
      <c r="M212" s="120" t="n"/>
      <c r="N212" s="121" t="n"/>
      <c r="O212" s="260" t="n"/>
      <c r="P212" s="170" t="inlineStr">
        <is>
          <t>— no certificate —</t>
        </is>
      </c>
      <c r="Q212" s="120" t="n"/>
      <c r="R212" s="121" t="n"/>
      <c r="S212" s="260" t="n"/>
      <c r="T212" s="170" t="inlineStr">
        <is>
          <t>— no certificate —</t>
        </is>
      </c>
      <c r="U212" s="120" t="n"/>
      <c r="V212" s="120" t="n"/>
      <c r="W212" s="121" t="n"/>
      <c r="X212" s="260" t="n"/>
      <c r="Y212" s="259" t="n"/>
      <c r="Z212" s="257" t="n"/>
      <c r="AA212" s="261" t="n"/>
    </row>
    <row r="213" ht="17.625" customHeight="1" s="70">
      <c r="A213" s="258" t="n"/>
      <c r="B213" s="256" t="n"/>
      <c r="C213" s="256" t="n"/>
      <c r="D213" s="145" t="n"/>
      <c r="E213" s="144" t="n"/>
      <c r="F213" s="146" t="n"/>
      <c r="G213" s="145" t="n"/>
      <c r="H213" s="144" t="n"/>
      <c r="I213" s="146" t="n"/>
      <c r="J213" s="145" t="n"/>
      <c r="K213" s="144" t="n"/>
      <c r="L213" s="144" t="n"/>
      <c r="M213" s="144" t="n"/>
      <c r="N213" s="144" t="n"/>
      <c r="O213" s="146" t="n"/>
      <c r="P213" s="145" t="n"/>
      <c r="Q213" s="144" t="n"/>
      <c r="R213" s="144" t="n"/>
      <c r="S213" s="146" t="n"/>
      <c r="T213" s="145" t="n"/>
      <c r="U213" s="144" t="n"/>
      <c r="V213" s="144" t="n"/>
      <c r="W213" s="144" t="n"/>
      <c r="X213" s="146" t="n"/>
      <c r="Y213" s="145" t="n"/>
      <c r="Z213" s="144" t="n"/>
      <c r="AA213" s="157" t="n"/>
    </row>
    <row r="214" ht="13" customHeight="1" s="70">
      <c r="A214" s="262" t="n"/>
      <c r="B214" s="263" t="n"/>
      <c r="C214" s="263" t="n"/>
      <c r="D214" s="160" t="n"/>
      <c r="E214" s="159" t="n"/>
      <c r="F214" s="161" t="n"/>
      <c r="G214" s="160" t="n"/>
      <c r="H214" s="159" t="n"/>
      <c r="I214" s="161" t="n"/>
      <c r="J214" s="160" t="n"/>
      <c r="K214" s="159" t="n"/>
      <c r="L214" s="159" t="n"/>
      <c r="M214" s="159" t="n"/>
      <c r="N214" s="159" t="n"/>
      <c r="O214" s="161" t="n"/>
      <c r="P214" s="160" t="n"/>
      <c r="Q214" s="159" t="n"/>
      <c r="R214" s="159" t="n"/>
      <c r="S214" s="161" t="n"/>
      <c r="T214" s="160" t="n"/>
      <c r="U214" s="159" t="n"/>
      <c r="V214" s="159" t="n"/>
      <c r="W214" s="159" t="n"/>
      <c r="X214" s="161" t="n"/>
      <c r="Y214" s="160" t="n"/>
      <c r="Z214" s="159" t="n"/>
      <c r="AA214" s="163" t="n"/>
    </row>
    <row r="215" ht="21" customHeight="1" s="70">
      <c r="A215" s="125" t="inlineStr">
        <is>
          <t>FB032601</t>
        </is>
      </c>
      <c r="B215" s="126" t="inlineStr">
        <is>
          <t>P060452</t>
        </is>
      </c>
      <c r="C215" s="171" t="inlineStr">
        <is>
          <t>✗ 4 NO RESULT
(4 no cert / 0 cert w/o result)
✗ OUT OF SPECIFICATION: #7</t>
        </is>
      </c>
      <c r="D215" s="177" t="inlineStr">
        <is>
          <t>0.08 % (Does not conform)</t>
        </is>
      </c>
      <c r="E215" s="173" t="inlineStr">
        <is>
          <t>ППК26127, (21.07.2026) [CNP]</t>
        </is>
      </c>
      <c r="F215" s="174" t="inlineStr">
        <is>
          <t>✓</t>
        </is>
      </c>
      <c r="G215" s="172" t="inlineStr">
        <is>
          <t>7.77</t>
        </is>
      </c>
      <c r="H215" s="173" t="inlineStr">
        <is>
          <t>ППК26127, (21.07.2026) [CNP]</t>
        </is>
      </c>
      <c r="I215" s="174" t="inlineStr">
        <is>
          <t>✓</t>
        </is>
      </c>
      <c r="J215" s="165" t="inlineStr">
        <is>
          <t>— MISSING —</t>
        </is>
      </c>
      <c r="K215" s="166" t="inlineStr">
        <is>
          <t>— MISSING —</t>
        </is>
      </c>
      <c r="L215" s="166" t="inlineStr">
        <is>
          <t>— MISSING —</t>
        </is>
      </c>
      <c r="M215" s="166" t="inlineStr">
        <is>
          <t>— MISSING —</t>
        </is>
      </c>
      <c r="N215" s="166" t="inlineStr">
        <is>
          <t>— MISSING —</t>
        </is>
      </c>
      <c r="O215" s="178" t="inlineStr">
        <is>
          <t>✗</t>
        </is>
      </c>
      <c r="P215" s="165" t="inlineStr">
        <is>
          <t>— MISSING —</t>
        </is>
      </c>
      <c r="Q215" s="166" t="inlineStr">
        <is>
          <t>— MISSING —</t>
        </is>
      </c>
      <c r="R215" s="166" t="inlineStr">
        <is>
          <t>— MISSING —</t>
        </is>
      </c>
      <c r="S215" s="178" t="inlineStr">
        <is>
          <t>✗</t>
        </is>
      </c>
      <c r="T215" s="165" t="inlineStr">
        <is>
          <t>— MISSING —</t>
        </is>
      </c>
      <c r="U215" s="166" t="inlineStr">
        <is>
          <t>— MISSING —</t>
        </is>
      </c>
      <c r="V215" s="166" t="inlineStr">
        <is>
          <t>— MISSING —</t>
        </is>
      </c>
      <c r="W215" s="166" t="inlineStr">
        <is>
          <t>— MISSING —</t>
        </is>
      </c>
      <c r="X215" s="178" t="inlineStr">
        <is>
          <t>✗</t>
        </is>
      </c>
      <c r="Y215" s="179" t="inlineStr">
        <is>
          <t>— MISSING —</t>
        </is>
      </c>
      <c r="Z215" s="180" t="inlineStr">
        <is>
          <t>— no certificate —</t>
        </is>
      </c>
      <c r="AA215" s="181" t="inlineStr">
        <is>
          <t>✗</t>
        </is>
      </c>
    </row>
    <row r="216" ht="15.375" customHeight="1" s="70">
      <c r="A216" s="262" t="n"/>
      <c r="B216" s="263" t="n"/>
      <c r="C216" s="263" t="n"/>
      <c r="D216" s="264" t="n"/>
      <c r="E216" s="263" t="n"/>
      <c r="F216" s="265" t="n"/>
      <c r="G216" s="264" t="n"/>
      <c r="H216" s="263" t="n"/>
      <c r="I216" s="265" t="n"/>
      <c r="J216" s="182" t="inlineStr">
        <is>
          <t>— no certificate —</t>
        </is>
      </c>
      <c r="K216" s="266" t="n"/>
      <c r="L216" s="266" t="n"/>
      <c r="M216" s="266" t="n"/>
      <c r="N216" s="267" t="n"/>
      <c r="O216" s="265" t="n"/>
      <c r="P216" s="182" t="inlineStr">
        <is>
          <t>— no certificate —</t>
        </is>
      </c>
      <c r="Q216" s="266" t="n"/>
      <c r="R216" s="267" t="n"/>
      <c r="S216" s="265" t="n"/>
      <c r="T216" s="182" t="inlineStr">
        <is>
          <t>— no certificate —</t>
        </is>
      </c>
      <c r="U216" s="266" t="n"/>
      <c r="V216" s="266" t="n"/>
      <c r="W216" s="267" t="n"/>
      <c r="X216" s="265" t="n"/>
      <c r="Y216" s="264" t="n"/>
      <c r="Z216" s="263" t="n"/>
      <c r="AA216" s="268" t="n"/>
    </row>
    <row r="217" ht="21" customHeight="1" s="70">
      <c r="A217" s="125" t="inlineStr">
        <is>
          <t>GG012603</t>
        </is>
      </c>
      <c r="B217" s="126" t="inlineStr">
        <is>
          <t>P060402</t>
        </is>
      </c>
      <c r="C217" s="164" t="inlineStr">
        <is>
          <t>⚠ 3 NO RESULT
(3 no cert / 0 cert w/o result)
2 testing instances
• 1 document(s) on file, not credited</t>
        </is>
      </c>
      <c r="D217" s="128" t="inlineStr">
        <is>
          <t>0.09 % (Conforms)</t>
        </is>
      </c>
      <c r="E217" s="129" t="inlineStr">
        <is>
          <t>ППК26114, (30.06.2026) [CNP]</t>
        </is>
      </c>
      <c r="F217" s="130" t="inlineStr">
        <is>
          <t>✓</t>
        </is>
      </c>
      <c r="G217" s="128" t="inlineStr">
        <is>
          <t>6.48</t>
        </is>
      </c>
      <c r="H217" s="129" t="inlineStr">
        <is>
          <t>ППК26114, (30.06.2026) [CNP]</t>
        </is>
      </c>
      <c r="I217" s="130" t="inlineStr">
        <is>
          <t>✓</t>
        </is>
      </c>
      <c r="J217" s="165" t="inlineStr">
        <is>
          <t>— MISSING —</t>
        </is>
      </c>
      <c r="K217" s="166" t="inlineStr">
        <is>
          <t>— MISSING —</t>
        </is>
      </c>
      <c r="L217" s="166" t="inlineStr">
        <is>
          <t>— MISSING —</t>
        </is>
      </c>
      <c r="M217" s="166" t="inlineStr">
        <is>
          <t>— MISSING —</t>
        </is>
      </c>
      <c r="N217" s="166" t="inlineStr">
        <is>
          <t>— MISSING —</t>
        </is>
      </c>
      <c r="O217" s="167" t="inlineStr">
        <is>
          <t>✗</t>
        </is>
      </c>
      <c r="P217" s="128" t="inlineStr">
        <is>
          <t>ND</t>
        </is>
      </c>
      <c r="Q217" s="136" t="inlineStr">
        <is>
          <t>ND</t>
        </is>
      </c>
      <c r="R217" s="136" t="inlineStr">
        <is>
          <t>ND</t>
        </is>
      </c>
      <c r="S217" s="130" t="inlineStr">
        <is>
          <t>✓</t>
        </is>
      </c>
      <c r="T217" s="165" t="inlineStr">
        <is>
          <t>— MISSING —</t>
        </is>
      </c>
      <c r="U217" s="166" t="inlineStr">
        <is>
          <t>— MISSING —</t>
        </is>
      </c>
      <c r="V217" s="166" t="inlineStr">
        <is>
          <t>— MISSING —</t>
        </is>
      </c>
      <c r="W217" s="166" t="inlineStr">
        <is>
          <t>— MISSING —</t>
        </is>
      </c>
      <c r="X217" s="167" t="inlineStr">
        <is>
          <t>✗</t>
        </is>
      </c>
      <c r="Y217" s="165" t="inlineStr">
        <is>
          <t>— MISSING —</t>
        </is>
      </c>
      <c r="Z217" s="168" t="inlineStr">
        <is>
          <t>— no certificate —</t>
        </is>
      </c>
      <c r="AA217" s="169" t="inlineStr">
        <is>
          <t>✗</t>
        </is>
      </c>
    </row>
    <row r="218" ht="13" customHeight="1" s="70">
      <c r="A218" s="258" t="n"/>
      <c r="B218" s="256" t="n"/>
      <c r="C218" s="256" t="n"/>
      <c r="D218" s="259" t="n"/>
      <c r="E218" s="257" t="n"/>
      <c r="F218" s="260" t="n"/>
      <c r="G218" s="259" t="n"/>
      <c r="H218" s="257" t="n"/>
      <c r="I218" s="260" t="n"/>
      <c r="J218" s="170" t="inlineStr">
        <is>
          <t>— no certificate —</t>
        </is>
      </c>
      <c r="K218" s="120" t="n"/>
      <c r="L218" s="120" t="n"/>
      <c r="M218" s="120" t="n"/>
      <c r="N218" s="121" t="n"/>
      <c r="O218" s="260" t="n"/>
      <c r="P218" s="141" t="inlineStr">
        <is>
          <t>197-8-M-26, (10.08.2026) [FHM-M]</t>
        </is>
      </c>
      <c r="Q218" s="120" t="n"/>
      <c r="R218" s="121" t="n"/>
      <c r="S218" s="260" t="n"/>
      <c r="T218" s="170" t="inlineStr">
        <is>
          <t>— no certificate —</t>
        </is>
      </c>
      <c r="U218" s="120" t="n"/>
      <c r="V218" s="120" t="n"/>
      <c r="W218" s="121" t="n"/>
      <c r="X218" s="260" t="n"/>
      <c r="Y218" s="259" t="n"/>
      <c r="Z218" s="257" t="n"/>
      <c r="AA218" s="261" t="n"/>
    </row>
    <row r="219" ht="17.625" customHeight="1" s="70">
      <c r="A219" s="258" t="n"/>
      <c r="B219" s="256" t="n"/>
      <c r="C219" s="256" t="n"/>
      <c r="D219" s="145" t="n"/>
      <c r="E219" s="144" t="n"/>
      <c r="F219" s="146" t="n"/>
      <c r="G219" s="152" t="inlineStr">
        <is>
          <t>not on this certificate</t>
        </is>
      </c>
      <c r="H219" s="153" t="inlineStr">
        <is>
          <t>197-8-K-26, (07.08.2026) [FHM-K] · on file, not credited</t>
        </is>
      </c>
      <c r="I219" s="154" t="inlineStr">
        <is>
          <t>•</t>
        </is>
      </c>
      <c r="J219" s="145" t="n"/>
      <c r="K219" s="144" t="n"/>
      <c r="L219" s="144" t="n"/>
      <c r="M219" s="144" t="n"/>
      <c r="N219" s="144" t="n"/>
      <c r="O219" s="146" t="n"/>
      <c r="P219" s="145" t="n"/>
      <c r="Q219" s="144" t="n"/>
      <c r="R219" s="144" t="n"/>
      <c r="S219" s="146" t="n"/>
      <c r="T219" s="145" t="n"/>
      <c r="U219" s="144" t="n"/>
      <c r="V219" s="144" t="n"/>
      <c r="W219" s="144" t="n"/>
      <c r="X219" s="146" t="n"/>
      <c r="Y219" s="145" t="n"/>
      <c r="Z219" s="144" t="n"/>
      <c r="AA219" s="157" t="n"/>
    </row>
    <row r="220" ht="15.375" customHeight="1" s="70">
      <c r="A220" s="262" t="n"/>
      <c r="B220" s="263" t="n"/>
      <c r="C220" s="263" t="n"/>
      <c r="D220" s="160" t="n"/>
      <c r="E220" s="159" t="n"/>
      <c r="F220" s="161" t="n"/>
      <c r="G220" s="264" t="n"/>
      <c r="H220" s="263" t="n"/>
      <c r="I220" s="265" t="n"/>
      <c r="J220" s="160" t="n"/>
      <c r="K220" s="159" t="n"/>
      <c r="L220" s="159" t="n"/>
      <c r="M220" s="159" t="n"/>
      <c r="N220" s="159" t="n"/>
      <c r="O220" s="161" t="n"/>
      <c r="P220" s="160" t="n"/>
      <c r="Q220" s="159" t="n"/>
      <c r="R220" s="159" t="n"/>
      <c r="S220" s="161" t="n"/>
      <c r="T220" s="160" t="n"/>
      <c r="U220" s="159" t="n"/>
      <c r="V220" s="159" t="n"/>
      <c r="W220" s="159" t="n"/>
      <c r="X220" s="161" t="n"/>
      <c r="Y220" s="160" t="n"/>
      <c r="Z220" s="159" t="n"/>
      <c r="AA220" s="163" t="n"/>
    </row>
    <row r="221" ht="21" customHeight="1" s="70">
      <c r="A221" s="125" t="inlineStr">
        <is>
          <t>GG032601</t>
        </is>
      </c>
      <c r="B221" s="126" t="inlineStr">
        <is>
          <t>P060462</t>
        </is>
      </c>
      <c r="C221" s="171" t="inlineStr">
        <is>
          <t>✗ 4 NO RESULT
(4 no cert / 0 cert w/o result)</t>
        </is>
      </c>
      <c r="D221" s="172" t="inlineStr">
        <is>
          <t>Conforms (no value printed)</t>
        </is>
      </c>
      <c r="E221" s="173" t="inlineStr">
        <is>
          <t>ППК26128, (21.07.2026) [CNP]</t>
        </is>
      </c>
      <c r="F221" s="174" t="inlineStr">
        <is>
          <t>✓</t>
        </is>
      </c>
      <c r="G221" s="172" t="inlineStr">
        <is>
          <t>7.88</t>
        </is>
      </c>
      <c r="H221" s="173" t="inlineStr">
        <is>
          <t>ППК26128, (21.07.2026) [CNP]</t>
        </is>
      </c>
      <c r="I221" s="174" t="inlineStr">
        <is>
          <t>✓</t>
        </is>
      </c>
      <c r="J221" s="165" t="inlineStr">
        <is>
          <t>— MISSING —</t>
        </is>
      </c>
      <c r="K221" s="166" t="inlineStr">
        <is>
          <t>— MISSING —</t>
        </is>
      </c>
      <c r="L221" s="166" t="inlineStr">
        <is>
          <t>— MISSING —</t>
        </is>
      </c>
      <c r="M221" s="166" t="inlineStr">
        <is>
          <t>— MISSING —</t>
        </is>
      </c>
      <c r="N221" s="166" t="inlineStr">
        <is>
          <t>— MISSING —</t>
        </is>
      </c>
      <c r="O221" s="178" t="inlineStr">
        <is>
          <t>✗</t>
        </is>
      </c>
      <c r="P221" s="165" t="inlineStr">
        <is>
          <t>— MISSING —</t>
        </is>
      </c>
      <c r="Q221" s="166" t="inlineStr">
        <is>
          <t>— MISSING —</t>
        </is>
      </c>
      <c r="R221" s="166" t="inlineStr">
        <is>
          <t>— MISSING —</t>
        </is>
      </c>
      <c r="S221" s="178" t="inlineStr">
        <is>
          <t>✗</t>
        </is>
      </c>
      <c r="T221" s="165" t="inlineStr">
        <is>
          <t>— MISSING —</t>
        </is>
      </c>
      <c r="U221" s="166" t="inlineStr">
        <is>
          <t>— MISSING —</t>
        </is>
      </c>
      <c r="V221" s="166" t="inlineStr">
        <is>
          <t>— MISSING —</t>
        </is>
      </c>
      <c r="W221" s="166" t="inlineStr">
        <is>
          <t>— MISSING —</t>
        </is>
      </c>
      <c r="X221" s="178" t="inlineStr">
        <is>
          <t>✗</t>
        </is>
      </c>
      <c r="Y221" s="179" t="inlineStr">
        <is>
          <t>— MISSING —</t>
        </is>
      </c>
      <c r="Z221" s="180" t="inlineStr">
        <is>
          <t>— no certificate —</t>
        </is>
      </c>
      <c r="AA221" s="181" t="inlineStr">
        <is>
          <t>✗</t>
        </is>
      </c>
    </row>
    <row r="222" ht="15.375" customHeight="1" s="70">
      <c r="A222" s="262" t="n"/>
      <c r="B222" s="263" t="n"/>
      <c r="C222" s="263" t="n"/>
      <c r="D222" s="264" t="n"/>
      <c r="E222" s="263" t="n"/>
      <c r="F222" s="265" t="n"/>
      <c r="G222" s="264" t="n"/>
      <c r="H222" s="263" t="n"/>
      <c r="I222" s="265" t="n"/>
      <c r="J222" s="182" t="inlineStr">
        <is>
          <t>— no certificate —</t>
        </is>
      </c>
      <c r="K222" s="266" t="n"/>
      <c r="L222" s="266" t="n"/>
      <c r="M222" s="266" t="n"/>
      <c r="N222" s="267" t="n"/>
      <c r="O222" s="265" t="n"/>
      <c r="P222" s="182" t="inlineStr">
        <is>
          <t>— no certificate —</t>
        </is>
      </c>
      <c r="Q222" s="266" t="n"/>
      <c r="R222" s="267" t="n"/>
      <c r="S222" s="265" t="n"/>
      <c r="T222" s="182" t="inlineStr">
        <is>
          <t>— no certificate —</t>
        </is>
      </c>
      <c r="U222" s="266" t="n"/>
      <c r="V222" s="266" t="n"/>
      <c r="W222" s="267" t="n"/>
      <c r="X222" s="265" t="n"/>
      <c r="Y222" s="264" t="n"/>
      <c r="Z222" s="263" t="n"/>
      <c r="AA222" s="268" t="n"/>
    </row>
    <row r="223" ht="21" customHeight="1" s="70">
      <c r="A223" s="125" t="inlineStr">
        <is>
          <t>GG1024</t>
        </is>
      </c>
      <c r="B223" s="126" t="inlineStr">
        <is>
          <t>N/A — no P batch assigned</t>
        </is>
      </c>
      <c r="C223" s="171" t="inlineStr">
        <is>
          <t>✗ 8 NO RESULT
(8 no cert / 0 cert w/o result)
2 testing instances</t>
        </is>
      </c>
      <c r="D223" s="128" t="inlineStr">
        <is>
          <t>Conforms</t>
        </is>
      </c>
      <c r="E223" s="129">
        <f>IFERROR(INDEX('iCoA Register'!$B:$B,MATCH("GG1024|I",'iCoA Register'!$AA:$AA,0)),"iCoA — at issue")&amp;", (11.03.2025) [PP]"</f>
        <v/>
      </c>
      <c r="F223" s="130" t="inlineStr">
        <is>
          <t>✓</t>
        </is>
      </c>
      <c r="G223" s="165" t="inlineStr">
        <is>
          <t>— MISSING —</t>
        </is>
      </c>
      <c r="H223" s="168" t="inlineStr">
        <is>
          <t>— no certificate —</t>
        </is>
      </c>
      <c r="I223" s="167" t="inlineStr">
        <is>
          <t>✗</t>
        </is>
      </c>
      <c r="J223" s="165" t="inlineStr">
        <is>
          <t>— MISSING —</t>
        </is>
      </c>
      <c r="K223" s="166" t="inlineStr">
        <is>
          <t>— MISSING —</t>
        </is>
      </c>
      <c r="L223" s="166" t="inlineStr">
        <is>
          <t>— MISSING —</t>
        </is>
      </c>
      <c r="M223" s="166" t="inlineStr">
        <is>
          <t>— MISSING —</t>
        </is>
      </c>
      <c r="N223" s="166" t="inlineStr">
        <is>
          <t>— MISSING —</t>
        </is>
      </c>
      <c r="O223" s="167" t="inlineStr">
        <is>
          <t>✗</t>
        </is>
      </c>
      <c r="P223" s="128" t="inlineStr">
        <is>
          <t>ND</t>
        </is>
      </c>
      <c r="Q223" s="136" t="inlineStr">
        <is>
          <t>ND</t>
        </is>
      </c>
      <c r="R223" s="136" t="inlineStr">
        <is>
          <t>ND</t>
        </is>
      </c>
      <c r="S223" s="130" t="inlineStr">
        <is>
          <t>✓</t>
        </is>
      </c>
      <c r="T223" s="165" t="inlineStr">
        <is>
          <t>— MISSING —</t>
        </is>
      </c>
      <c r="U223" s="166" t="inlineStr">
        <is>
          <t>— MISSING —</t>
        </is>
      </c>
      <c r="V223" s="166" t="inlineStr">
        <is>
          <t>— MISSING —</t>
        </is>
      </c>
      <c r="W223" s="166" t="inlineStr">
        <is>
          <t>— MISSING —</t>
        </is>
      </c>
      <c r="X223" s="167" t="inlineStr">
        <is>
          <t>✗</t>
        </is>
      </c>
      <c r="Y223" s="165" t="inlineStr">
        <is>
          <t>— MISSING —</t>
        </is>
      </c>
      <c r="Z223" s="168" t="inlineStr">
        <is>
          <t>— no certificate —</t>
        </is>
      </c>
      <c r="AA223" s="169" t="inlineStr">
        <is>
          <t>✗</t>
        </is>
      </c>
    </row>
    <row r="224" ht="13" customHeight="1" s="70">
      <c r="A224" s="258" t="n"/>
      <c r="B224" s="256" t="n"/>
      <c r="C224" s="256" t="n"/>
      <c r="D224" s="259" t="n"/>
      <c r="E224" s="257" t="n"/>
      <c r="F224" s="260" t="n"/>
      <c r="G224" s="259" t="n"/>
      <c r="H224" s="257" t="n"/>
      <c r="I224" s="260" t="n"/>
      <c r="J224" s="170" t="inlineStr">
        <is>
          <t>— no certificate —</t>
        </is>
      </c>
      <c r="K224" s="120" t="n"/>
      <c r="L224" s="120" t="n"/>
      <c r="M224" s="120" t="n"/>
      <c r="N224" s="121" t="n"/>
      <c r="O224" s="260" t="n"/>
      <c r="P224" s="141" t="inlineStr">
        <is>
          <t>220-9-M-26, (11.09.2026) [FHM-M]</t>
        </is>
      </c>
      <c r="Q224" s="120" t="n"/>
      <c r="R224" s="121" t="n"/>
      <c r="S224" s="260" t="n"/>
      <c r="T224" s="170" t="inlineStr">
        <is>
          <t>— no certificate —</t>
        </is>
      </c>
      <c r="U224" s="120" t="n"/>
      <c r="V224" s="120" t="n"/>
      <c r="W224" s="121" t="n"/>
      <c r="X224" s="260" t="n"/>
      <c r="Y224" s="259" t="n"/>
      <c r="Z224" s="257" t="n"/>
      <c r="AA224" s="261" t="n"/>
    </row>
    <row r="225" ht="14" customHeight="1" s="70">
      <c r="A225" s="258" t="n"/>
      <c r="B225" s="256" t="n"/>
      <c r="C225" s="256" t="n"/>
      <c r="D225" s="147" t="inlineStr">
        <is>
          <t>Conforms</t>
        </is>
      </c>
      <c r="E225" s="148" t="inlineStr">
        <is>
          <t>iCoA — at issue (GG1024), (23.04.2025) [PP]</t>
        </is>
      </c>
      <c r="F225" s="149" t="inlineStr">
        <is>
          <t>✓</t>
        </is>
      </c>
      <c r="G225" s="145" t="n"/>
      <c r="H225" s="144" t="n"/>
      <c r="I225" s="146" t="n"/>
      <c r="J225" s="145" t="n"/>
      <c r="K225" s="144" t="n"/>
      <c r="L225" s="144" t="n"/>
      <c r="M225" s="144" t="n"/>
      <c r="N225" s="144" t="n"/>
      <c r="O225" s="146" t="n"/>
      <c r="P225" s="145" t="n"/>
      <c r="Q225" s="144" t="n"/>
      <c r="R225" s="144" t="n"/>
      <c r="S225" s="146" t="n"/>
      <c r="T225" s="145" t="n"/>
      <c r="U225" s="144" t="n"/>
      <c r="V225" s="144" t="n"/>
      <c r="W225" s="144" t="n"/>
      <c r="X225" s="146" t="n"/>
      <c r="Y225" s="145" t="n"/>
      <c r="Z225" s="144" t="n"/>
      <c r="AA225" s="157" t="n"/>
    </row>
    <row r="226" ht="13" customHeight="1" s="70">
      <c r="A226" s="262" t="n"/>
      <c r="B226" s="263" t="n"/>
      <c r="C226" s="263" t="n"/>
      <c r="D226" s="264" t="n"/>
      <c r="E226" s="263" t="n"/>
      <c r="F226" s="265" t="n"/>
      <c r="G226" s="160" t="n"/>
      <c r="H226" s="159" t="n"/>
      <c r="I226" s="161" t="n"/>
      <c r="J226" s="160" t="n"/>
      <c r="K226" s="159" t="n"/>
      <c r="L226" s="159" t="n"/>
      <c r="M226" s="159" t="n"/>
      <c r="N226" s="159" t="n"/>
      <c r="O226" s="161" t="n"/>
      <c r="P226" s="160" t="n"/>
      <c r="Q226" s="159" t="n"/>
      <c r="R226" s="159" t="n"/>
      <c r="S226" s="161" t="n"/>
      <c r="T226" s="160" t="n"/>
      <c r="U226" s="159" t="n"/>
      <c r="V226" s="159" t="n"/>
      <c r="W226" s="159" t="n"/>
      <c r="X226" s="161" t="n"/>
      <c r="Y226" s="160" t="n"/>
      <c r="Z226" s="159" t="n"/>
      <c r="AA226" s="163" t="n"/>
    </row>
    <row r="227" ht="21" customHeight="1" s="70">
      <c r="A227" s="125" t="inlineStr">
        <is>
          <t>GRC102501</t>
        </is>
      </c>
      <c r="B227" s="126" t="inlineStr">
        <is>
          <t>P060142 / P060182</t>
        </is>
      </c>
      <c r="C227" s="164" t="inlineStr">
        <is>
          <t>⚠ 2 NO RESULT
(2 no cert / 0 cert w/o result)
3 testing instances
• 2 document(s) on file, not credited</t>
        </is>
      </c>
      <c r="D227" s="128" t="inlineStr">
        <is>
          <t>Conforms</t>
        </is>
      </c>
      <c r="E227" s="129">
        <f>IFERROR(INDEX('iCoA Register'!$B:$B,MATCH("P060142|I",'iCoA Register'!$AA:$AA,0)),"iCoA — at issue")&amp;", (23.02.2026) [PP]"</f>
        <v/>
      </c>
      <c r="F227" s="130" t="inlineStr">
        <is>
          <t>✓</t>
        </is>
      </c>
      <c r="G227" s="128" t="inlineStr">
        <is>
          <t>7.7</t>
        </is>
      </c>
      <c r="H227" s="129" t="inlineStr">
        <is>
          <t>051-6-LoD-26, (02.03.2026) [FHM-K]</t>
        </is>
      </c>
      <c r="I227" s="130" t="inlineStr">
        <is>
          <t>✓</t>
        </is>
      </c>
      <c r="J227" s="128" t="inlineStr">
        <is>
          <t>10</t>
        </is>
      </c>
      <c r="K227" s="136" t="inlineStr">
        <is>
          <t>&lt; 10</t>
        </is>
      </c>
      <c r="L227" s="136" t="inlineStr">
        <is>
          <t>&lt; 10</t>
        </is>
      </c>
      <c r="M227" s="136" t="inlineStr">
        <is>
          <t>Absent</t>
        </is>
      </c>
      <c r="N227" s="136" t="inlineStr">
        <is>
          <t>Absent</t>
        </is>
      </c>
      <c r="O227" s="130" t="inlineStr">
        <is>
          <t>✓</t>
        </is>
      </c>
      <c r="P227" s="128" t="inlineStr">
        <is>
          <t>ND</t>
        </is>
      </c>
      <c r="Q227" s="136" t="inlineStr">
        <is>
          <t>ND</t>
        </is>
      </c>
      <c r="R227" s="136" t="inlineStr">
        <is>
          <t>ND</t>
        </is>
      </c>
      <c r="S227" s="130" t="inlineStr">
        <is>
          <t>✓</t>
        </is>
      </c>
      <c r="T227" s="165" t="inlineStr">
        <is>
          <t>— MISSING —</t>
        </is>
      </c>
      <c r="U227" s="166" t="inlineStr">
        <is>
          <t>— MISSING —</t>
        </is>
      </c>
      <c r="V227" s="166" t="inlineStr">
        <is>
          <t>— MISSING —</t>
        </is>
      </c>
      <c r="W227" s="166" t="inlineStr">
        <is>
          <t>— MISSING —</t>
        </is>
      </c>
      <c r="X227" s="167" t="inlineStr">
        <is>
          <t>✗</t>
        </is>
      </c>
      <c r="Y227" s="165" t="inlineStr">
        <is>
          <t>— MISSING —</t>
        </is>
      </c>
      <c r="Z227" s="168" t="inlineStr">
        <is>
          <t>— no certificate —</t>
        </is>
      </c>
      <c r="AA227" s="169" t="inlineStr">
        <is>
          <t>✗</t>
        </is>
      </c>
    </row>
    <row r="228" ht="21" customHeight="1" s="70">
      <c r="A228" s="258" t="n"/>
      <c r="B228" s="256" t="n"/>
      <c r="C228" s="256" t="n"/>
      <c r="D228" s="259" t="n"/>
      <c r="E228" s="257" t="n"/>
      <c r="F228" s="260" t="n"/>
      <c r="G228" s="259" t="n"/>
      <c r="H228" s="257" t="n"/>
      <c r="I228" s="260" t="n"/>
      <c r="J228" s="141" t="inlineStr">
        <is>
          <t>550-1081-26, (01.09.2026) [IJZ-MB]</t>
        </is>
      </c>
      <c r="K228" s="120" t="n"/>
      <c r="L228" s="120" t="n"/>
      <c r="M228" s="120" t="n"/>
      <c r="N228" s="121" t="n"/>
      <c r="O228" s="260" t="n"/>
      <c r="P228" s="141" t="inlineStr">
        <is>
          <t>220-14-M-26, (11.09.2026) [FHM-M]</t>
        </is>
      </c>
      <c r="Q228" s="120" t="n"/>
      <c r="R228" s="121" t="n"/>
      <c r="S228" s="260" t="n"/>
      <c r="T228" s="170" t="inlineStr">
        <is>
          <t>— no certificate —</t>
        </is>
      </c>
      <c r="U228" s="120" t="n"/>
      <c r="V228" s="120" t="n"/>
      <c r="W228" s="121" t="n"/>
      <c r="X228" s="260" t="n"/>
      <c r="Y228" s="259" t="n"/>
      <c r="Z228" s="257" t="n"/>
      <c r="AA228" s="261" t="n"/>
    </row>
    <row r="229" ht="17.625" customHeight="1" s="70">
      <c r="A229" s="258" t="n"/>
      <c r="B229" s="256" t="n"/>
      <c r="C229" s="256" t="n"/>
      <c r="D229" s="155" t="inlineStr">
        <is>
          <t>Conforms</t>
        </is>
      </c>
      <c r="E229" s="185">
        <f>IFERROR(INDEX('iCoA Register'!$B:$B,MATCH("P060182|I",'iCoA Register'!$AA:$AA,0)),"iCoA — at issue")&amp;", (14.03.2026) [PP]"</f>
        <v/>
      </c>
      <c r="F229" s="186" t="inlineStr">
        <is>
          <t>✓</t>
        </is>
      </c>
      <c r="G229" s="189" t="inlineStr">
        <is>
          <t>not on this certificate</t>
        </is>
      </c>
      <c r="H229" s="190" t="inlineStr">
        <is>
          <t>051-6-K-26, (04.03.2026) [FHM-K] · on file, not credited</t>
        </is>
      </c>
      <c r="I229" s="191" t="inlineStr">
        <is>
          <t>•</t>
        </is>
      </c>
      <c r="J229" s="145" t="n"/>
      <c r="K229" s="144" t="n"/>
      <c r="L229" s="144" t="n"/>
      <c r="M229" s="144" t="n"/>
      <c r="N229" s="144" t="n"/>
      <c r="O229" s="146" t="n"/>
      <c r="P229" s="145" t="n"/>
      <c r="Q229" s="144" t="n"/>
      <c r="R229" s="144" t="n"/>
      <c r="S229" s="146" t="n"/>
      <c r="T229" s="145" t="n"/>
      <c r="U229" s="144" t="n"/>
      <c r="V229" s="144" t="n"/>
      <c r="W229" s="144" t="n"/>
      <c r="X229" s="146" t="n"/>
      <c r="Y229" s="145" t="n"/>
      <c r="Z229" s="144" t="n"/>
      <c r="AA229" s="157" t="n"/>
    </row>
    <row r="230" ht="15.375" customHeight="1" s="70">
      <c r="A230" s="258" t="n"/>
      <c r="B230" s="256" t="n"/>
      <c r="C230" s="256" t="n"/>
      <c r="D230" s="259" t="n"/>
      <c r="E230" s="257" t="n"/>
      <c r="F230" s="260" t="n"/>
      <c r="G230" s="259" t="n"/>
      <c r="H230" s="257" t="n"/>
      <c r="I230" s="260" t="n"/>
      <c r="J230" s="194" t="n"/>
      <c r="K230" s="193" t="n"/>
      <c r="L230" s="193" t="n"/>
      <c r="M230" s="193" t="n"/>
      <c r="N230" s="193" t="n"/>
      <c r="O230" s="195" t="n"/>
      <c r="P230" s="194" t="n"/>
      <c r="Q230" s="193" t="n"/>
      <c r="R230" s="193" t="n"/>
      <c r="S230" s="195" t="n"/>
      <c r="T230" s="194" t="n"/>
      <c r="U230" s="193" t="n"/>
      <c r="V230" s="193" t="n"/>
      <c r="W230" s="193" t="n"/>
      <c r="X230" s="195" t="n"/>
      <c r="Y230" s="194" t="n"/>
      <c r="Z230" s="193" t="n"/>
      <c r="AA230" s="196" t="n"/>
    </row>
    <row r="231" ht="17.625" customHeight="1" s="70">
      <c r="A231" s="258" t="n"/>
      <c r="B231" s="256" t="n"/>
      <c r="C231" s="256" t="n"/>
      <c r="D231" s="145" t="n"/>
      <c r="E231" s="144" t="n"/>
      <c r="F231" s="146" t="n"/>
      <c r="G231" s="145" t="n"/>
      <c r="H231" s="144" t="n"/>
      <c r="I231" s="146" t="n"/>
      <c r="J231" s="145" t="n"/>
      <c r="K231" s="144" t="n"/>
      <c r="L231" s="144" t="n"/>
      <c r="M231" s="144" t="n"/>
      <c r="N231" s="144" t="n"/>
      <c r="O231" s="146" t="n"/>
      <c r="P231" s="145" t="n"/>
      <c r="Q231" s="144" t="n"/>
      <c r="R231" s="144" t="n"/>
      <c r="S231" s="146" t="n"/>
      <c r="T231" s="145" t="n"/>
      <c r="U231" s="144" t="n"/>
      <c r="V231" s="144" t="n"/>
      <c r="W231" s="144" t="n"/>
      <c r="X231" s="146" t="n"/>
      <c r="Y231" s="145" t="n"/>
      <c r="Z231" s="144" t="n"/>
      <c r="AA231" s="157" t="n"/>
    </row>
    <row r="232" ht="13" customHeight="1" s="70">
      <c r="A232" s="262" t="n"/>
      <c r="B232" s="263" t="n"/>
      <c r="C232" s="263" t="n"/>
      <c r="D232" s="160" t="n"/>
      <c r="E232" s="159" t="n"/>
      <c r="F232" s="161" t="n"/>
      <c r="G232" s="160" t="n"/>
      <c r="H232" s="159" t="n"/>
      <c r="I232" s="161" t="n"/>
      <c r="J232" s="160" t="n"/>
      <c r="K232" s="159" t="n"/>
      <c r="L232" s="159" t="n"/>
      <c r="M232" s="159" t="n"/>
      <c r="N232" s="159" t="n"/>
      <c r="O232" s="161" t="n"/>
      <c r="P232" s="160" t="n"/>
      <c r="Q232" s="159" t="n"/>
      <c r="R232" s="159" t="n"/>
      <c r="S232" s="161" t="n"/>
      <c r="T232" s="160" t="n"/>
      <c r="U232" s="159" t="n"/>
      <c r="V232" s="159" t="n"/>
      <c r="W232" s="159" t="n"/>
      <c r="X232" s="161" t="n"/>
      <c r="Y232" s="160" t="n"/>
      <c r="Z232" s="159" t="n"/>
      <c r="AA232" s="163" t="n"/>
    </row>
    <row r="233" ht="21" customHeight="1" s="70">
      <c r="A233" s="125" t="inlineStr">
        <is>
          <t>HPA1024</t>
        </is>
      </c>
      <c r="B233" s="126" t="inlineStr">
        <is>
          <t>N/A — no P batch assigned</t>
        </is>
      </c>
      <c r="C233" s="171" t="inlineStr">
        <is>
          <t>✗ 4 NO RESULT
(4 no cert / 0 cert w/o result)
2 testing instances
• 2 document(s) on file, not credited</t>
        </is>
      </c>
      <c r="D233" s="128" t="inlineStr">
        <is>
          <t>Conforms</t>
        </is>
      </c>
      <c r="E233" s="129">
        <f>IFERROR(INDEX('iCoA Register'!$B:$B,MATCH("HPA1024|I",'iCoA Register'!$AA:$AA,0)),"iCoA — at issue")&amp;", (11.04.2025) [PP]"</f>
        <v/>
      </c>
      <c r="F233" s="130" t="inlineStr">
        <is>
          <t>✓</t>
        </is>
      </c>
      <c r="G233" s="131" t="inlineStr">
        <is>
          <t>not on this certificate</t>
        </is>
      </c>
      <c r="H233" s="132" t="inlineStr">
        <is>
          <t>197-13-K-26, (07.08.2026) [FHM-K] · on file, not credited</t>
        </is>
      </c>
      <c r="I233" s="133" t="inlineStr">
        <is>
          <t>•</t>
        </is>
      </c>
      <c r="J233" s="131" t="inlineStr">
        <is>
          <t>5.2 × 10⁴ ᴿ</t>
        </is>
      </c>
      <c r="K233" s="197" t="inlineStr">
        <is>
          <t>7 × 10² ᴿ</t>
        </is>
      </c>
      <c r="L233" s="197" t="inlineStr">
        <is>
          <t>&lt; 10 ᴿ</t>
        </is>
      </c>
      <c r="M233" s="197" t="inlineStr">
        <is>
          <t>Absent ᴿ</t>
        </is>
      </c>
      <c r="N233" s="197" t="inlineStr">
        <is>
          <t>Absent ᴿ</t>
        </is>
      </c>
      <c r="O233" s="133" t="inlineStr">
        <is>
          <t>•</t>
        </is>
      </c>
      <c r="P233" s="131" t="inlineStr">
        <is>
          <t>not reported</t>
        </is>
      </c>
      <c r="Q233" s="197" t="inlineStr">
        <is>
          <t>&lt; 2 ᴿ</t>
        </is>
      </c>
      <c r="R233" s="197" t="inlineStr">
        <is>
          <t>not reported</t>
        </is>
      </c>
      <c r="S233" s="133" t="inlineStr">
        <is>
          <t>•</t>
        </is>
      </c>
      <c r="T233" s="131" t="inlineStr">
        <is>
          <t>0.02 ᴿ</t>
        </is>
      </c>
      <c r="U233" s="197" t="inlineStr">
        <is>
          <t>0.013 ᴿ</t>
        </is>
      </c>
      <c r="V233" s="197" t="inlineStr">
        <is>
          <t>0.017 ᴿ</t>
        </is>
      </c>
      <c r="W233" s="197" t="inlineStr">
        <is>
          <t>0.0026 ᴿ</t>
        </is>
      </c>
      <c r="X233" s="133" t="inlineStr">
        <is>
          <t>•</t>
        </is>
      </c>
      <c r="Y233" s="131" t="inlineStr">
        <is>
          <t>ND ᴿ</t>
        </is>
      </c>
      <c r="Z233" s="132">
        <f>IFERROR(INDEX('iCoA Register'!$B:$B,MATCH("HPA1024|I",'iCoA Register'!$AA:$AA,0)),"iCoA — at issue")&amp;", (11.04.2025) [PP] · on file, not credited"</f>
        <v/>
      </c>
      <c r="AA233" s="198" t="inlineStr">
        <is>
          <t>•</t>
        </is>
      </c>
    </row>
    <row r="234" ht="21" customHeight="1" s="70">
      <c r="A234" s="258" t="n"/>
      <c r="B234" s="256" t="n"/>
      <c r="C234" s="256" t="n"/>
      <c r="D234" s="259" t="n"/>
      <c r="E234" s="257" t="n"/>
      <c r="F234" s="260" t="n"/>
      <c r="G234" s="259" t="n"/>
      <c r="H234" s="257" t="n"/>
      <c r="I234" s="260" t="n"/>
      <c r="J234" s="199">
        <f>IFERROR(INDEX('iCoA Register'!$B:$B,MATCH("HPA1024|I",'iCoA Register'!$AA:$AA,0)),"iCoA — at issue")&amp;", (11.04.2025) [PP] · on file, not credited"</f>
        <v/>
      </c>
      <c r="K234" s="120" t="n"/>
      <c r="L234" s="120" t="n"/>
      <c r="M234" s="120" t="n"/>
      <c r="N234" s="121" t="n"/>
      <c r="O234" s="260" t="n"/>
      <c r="P234" s="199">
        <f>IFERROR(INDEX('iCoA Register'!$B:$B,MATCH("HPA1024|I",'iCoA Register'!$AA:$AA,0)),"iCoA — at issue")&amp;", (11.04.2025) [PP] · on file, not credited"</f>
        <v/>
      </c>
      <c r="Q234" s="120" t="n"/>
      <c r="R234" s="121" t="n"/>
      <c r="S234" s="260" t="n"/>
      <c r="T234" s="199">
        <f>IFERROR(INDEX('iCoA Register'!$B:$B,MATCH("HPA1024|I",'iCoA Register'!$AA:$AA,0)),"iCoA — at issue")&amp;", (11.04.2025) [PP] · on file, not credited"</f>
        <v/>
      </c>
      <c r="U234" s="120" t="n"/>
      <c r="V234" s="120" t="n"/>
      <c r="W234" s="121" t="n"/>
      <c r="X234" s="260" t="n"/>
      <c r="Y234" s="259" t="n"/>
      <c r="Z234" s="257" t="n"/>
      <c r="AA234" s="261" t="n"/>
    </row>
    <row r="235" ht="17.625" customHeight="1" s="70">
      <c r="A235" s="258" t="n"/>
      <c r="B235" s="256" t="n"/>
      <c r="C235" s="256" t="n"/>
      <c r="D235" s="147" t="inlineStr">
        <is>
          <t>Conforms</t>
        </is>
      </c>
      <c r="E235" s="148" t="inlineStr">
        <is>
          <t>iCoA — at issue (HPA1024), (23.04.2025) [PP]</t>
        </is>
      </c>
      <c r="F235" s="149" t="inlineStr">
        <is>
          <t>✓</t>
        </is>
      </c>
      <c r="G235" s="145" t="n"/>
      <c r="H235" s="144" t="n"/>
      <c r="I235" s="146" t="n"/>
      <c r="J235" s="145" t="n"/>
      <c r="K235" s="144" t="n"/>
      <c r="L235" s="144" t="n"/>
      <c r="M235" s="144" t="n"/>
      <c r="N235" s="144" t="n"/>
      <c r="O235" s="146" t="n"/>
      <c r="P235" s="155" t="inlineStr">
        <is>
          <t>ND</t>
        </is>
      </c>
      <c r="Q235" s="156" t="inlineStr">
        <is>
          <t>ND</t>
        </is>
      </c>
      <c r="R235" s="156" t="inlineStr">
        <is>
          <t>&lt; LOQ</t>
        </is>
      </c>
      <c r="S235" s="149" t="inlineStr">
        <is>
          <t>✓</t>
        </is>
      </c>
      <c r="T235" s="145" t="n"/>
      <c r="U235" s="144" t="n"/>
      <c r="V235" s="144" t="n"/>
      <c r="W235" s="144" t="n"/>
      <c r="X235" s="146" t="n"/>
      <c r="Y235" s="145" t="n"/>
      <c r="Z235" s="144" t="n"/>
      <c r="AA235" s="157" t="n"/>
    </row>
    <row r="236" ht="13" customHeight="1" s="70">
      <c r="A236" s="262" t="n"/>
      <c r="B236" s="263" t="n"/>
      <c r="C236" s="263" t="n"/>
      <c r="D236" s="264" t="n"/>
      <c r="E236" s="263" t="n"/>
      <c r="F236" s="265" t="n"/>
      <c r="G236" s="160" t="n"/>
      <c r="H236" s="159" t="n"/>
      <c r="I236" s="161" t="n"/>
      <c r="J236" s="160" t="n"/>
      <c r="K236" s="159" t="n"/>
      <c r="L236" s="159" t="n"/>
      <c r="M236" s="159" t="n"/>
      <c r="N236" s="159" t="n"/>
      <c r="O236" s="161" t="n"/>
      <c r="P236" s="162" t="inlineStr">
        <is>
          <t>197-13-M-26, (10.08.2026) [FHM-M]</t>
        </is>
      </c>
      <c r="Q236" s="266" t="n"/>
      <c r="R236" s="267" t="n"/>
      <c r="S236" s="265" t="n"/>
      <c r="T236" s="160" t="n"/>
      <c r="U236" s="159" t="n"/>
      <c r="V236" s="159" t="n"/>
      <c r="W236" s="159" t="n"/>
      <c r="X236" s="161" t="n"/>
      <c r="Y236" s="160" t="n"/>
      <c r="Z236" s="159" t="n"/>
      <c r="AA236" s="163" t="n"/>
    </row>
    <row r="237" ht="21" customHeight="1" s="70">
      <c r="A237" s="125" t="inlineStr">
        <is>
          <t>J31102501</t>
        </is>
      </c>
      <c r="B237" s="126" t="inlineStr">
        <is>
          <t>P060152</t>
        </is>
      </c>
      <c r="C237" s="164" t="inlineStr">
        <is>
          <t>⚠ 3 NO RESULT
(3 no cert / 0 cert w/o result)
3 testing instances
• 3 document(s) on file, not credited</t>
        </is>
      </c>
      <c r="D237" s="128" t="inlineStr">
        <is>
          <t>Conforms</t>
        </is>
      </c>
      <c r="E237" s="129">
        <f>IFERROR(INDEX('iCoA Register'!$B:$B,MATCH("P060152|I",'iCoA Register'!$AA:$AA,0)),"iCoA — at issue")&amp;", (05.03.2026) [PP]"</f>
        <v/>
      </c>
      <c r="F237" s="130" t="inlineStr">
        <is>
          <t>✓</t>
        </is>
      </c>
      <c r="G237" s="128" t="inlineStr">
        <is>
          <t>6.3</t>
        </is>
      </c>
      <c r="H237" s="129" t="inlineStr">
        <is>
          <t>051-1-LoD-26, (02.03.2026) [FHM-K]</t>
        </is>
      </c>
      <c r="I237" s="130" t="inlineStr">
        <is>
          <t>✓</t>
        </is>
      </c>
      <c r="J237" s="165" t="inlineStr">
        <is>
          <t>— MISSING —</t>
        </is>
      </c>
      <c r="K237" s="166" t="inlineStr">
        <is>
          <t>— MISSING —</t>
        </is>
      </c>
      <c r="L237" s="166" t="inlineStr">
        <is>
          <t>— MISSING —</t>
        </is>
      </c>
      <c r="M237" s="166" t="inlineStr">
        <is>
          <t>— MISSING —</t>
        </is>
      </c>
      <c r="N237" s="166" t="inlineStr">
        <is>
          <t>— MISSING —</t>
        </is>
      </c>
      <c r="O237" s="167" t="inlineStr">
        <is>
          <t>✗</t>
        </is>
      </c>
      <c r="P237" s="128" t="inlineStr">
        <is>
          <t>ND</t>
        </is>
      </c>
      <c r="Q237" s="136" t="inlineStr">
        <is>
          <t>ND</t>
        </is>
      </c>
      <c r="R237" s="136" t="inlineStr">
        <is>
          <t>ND</t>
        </is>
      </c>
      <c r="S237" s="130" t="inlineStr">
        <is>
          <t>✓</t>
        </is>
      </c>
      <c r="T237" s="165" t="inlineStr">
        <is>
          <t>— MISSING —</t>
        </is>
      </c>
      <c r="U237" s="166" t="inlineStr">
        <is>
          <t>— MISSING —</t>
        </is>
      </c>
      <c r="V237" s="166" t="inlineStr">
        <is>
          <t>— MISSING —</t>
        </is>
      </c>
      <c r="W237" s="166" t="inlineStr">
        <is>
          <t>— MISSING —</t>
        </is>
      </c>
      <c r="X237" s="167" t="inlineStr">
        <is>
          <t>✗</t>
        </is>
      </c>
      <c r="Y237" s="165" t="inlineStr">
        <is>
          <t>— MISSING —</t>
        </is>
      </c>
      <c r="Z237" s="168" t="inlineStr">
        <is>
          <t>— no certificate —</t>
        </is>
      </c>
      <c r="AA237" s="169" t="inlineStr">
        <is>
          <t>✗</t>
        </is>
      </c>
    </row>
    <row r="238" ht="21" customHeight="1" s="70">
      <c r="A238" s="258" t="n"/>
      <c r="B238" s="256" t="n"/>
      <c r="C238" s="256" t="n"/>
      <c r="D238" s="259" t="n"/>
      <c r="E238" s="257" t="n"/>
      <c r="F238" s="260" t="n"/>
      <c r="G238" s="259" t="n"/>
      <c r="H238" s="257" t="n"/>
      <c r="I238" s="260" t="n"/>
      <c r="J238" s="170" t="inlineStr">
        <is>
          <t>— no certificate —</t>
        </is>
      </c>
      <c r="K238" s="120" t="n"/>
      <c r="L238" s="120" t="n"/>
      <c r="M238" s="120" t="n"/>
      <c r="N238" s="121" t="n"/>
      <c r="O238" s="260" t="n"/>
      <c r="P238" s="141" t="inlineStr">
        <is>
          <t>197-16-M-26, (10.08.2026) [FHM-M]</t>
        </is>
      </c>
      <c r="Q238" s="120" t="n"/>
      <c r="R238" s="121" t="n"/>
      <c r="S238" s="260" t="n"/>
      <c r="T238" s="170" t="inlineStr">
        <is>
          <t>— no certificate —</t>
        </is>
      </c>
      <c r="U238" s="120" t="n"/>
      <c r="V238" s="120" t="n"/>
      <c r="W238" s="121" t="n"/>
      <c r="X238" s="260" t="n"/>
      <c r="Y238" s="259" t="n"/>
      <c r="Z238" s="257" t="n"/>
      <c r="AA238" s="261" t="n"/>
    </row>
    <row r="239" ht="17.625" customHeight="1" s="70">
      <c r="A239" s="258" t="n"/>
      <c r="B239" s="256" t="n"/>
      <c r="C239" s="256" t="n"/>
      <c r="D239" s="145" t="n"/>
      <c r="E239" s="144" t="n"/>
      <c r="F239" s="146" t="n"/>
      <c r="G239" s="189" t="inlineStr">
        <is>
          <t>not on this certificate</t>
        </is>
      </c>
      <c r="H239" s="190" t="inlineStr">
        <is>
          <t>051-1-K-26, (04.03.2026) [FHM-K] · on file, not credited</t>
        </is>
      </c>
      <c r="I239" s="191" t="inlineStr">
        <is>
          <t>•</t>
        </is>
      </c>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15.375" customHeight="1" s="70">
      <c r="A240" s="258" t="n"/>
      <c r="B240" s="256" t="n"/>
      <c r="C240" s="256" t="n"/>
      <c r="D240" s="194" t="n"/>
      <c r="E240" s="193" t="n"/>
      <c r="F240" s="195" t="n"/>
      <c r="G240" s="259" t="n"/>
      <c r="H240" s="257" t="n"/>
      <c r="I240" s="260" t="n"/>
      <c r="J240" s="194" t="n"/>
      <c r="K240" s="193" t="n"/>
      <c r="L240" s="193" t="n"/>
      <c r="M240" s="193" t="n"/>
      <c r="N240" s="193" t="n"/>
      <c r="O240" s="195" t="n"/>
      <c r="P240" s="194" t="n"/>
      <c r="Q240" s="193" t="n"/>
      <c r="R240" s="193" t="n"/>
      <c r="S240" s="195" t="n"/>
      <c r="T240" s="194" t="n"/>
      <c r="U240" s="193" t="n"/>
      <c r="V240" s="193" t="n"/>
      <c r="W240" s="193" t="n"/>
      <c r="X240" s="195" t="n"/>
      <c r="Y240" s="194" t="n"/>
      <c r="Z240" s="193" t="n"/>
      <c r="AA240" s="196" t="n"/>
    </row>
    <row r="241" ht="17.625" customHeight="1" s="70">
      <c r="A241" s="258" t="n"/>
      <c r="B241" s="256" t="n"/>
      <c r="C241" s="256" t="n"/>
      <c r="D241" s="145" t="n"/>
      <c r="E241" s="144" t="n"/>
      <c r="F241" s="146" t="n"/>
      <c r="G241" s="152" t="inlineStr">
        <is>
          <t>not on this certificate</t>
        </is>
      </c>
      <c r="H241" s="153" t="inlineStr">
        <is>
          <t>197-16-K-26, (07.08.2026) [FHM-K] · on file, not credited</t>
        </is>
      </c>
      <c r="I241" s="154" t="inlineStr">
        <is>
          <t>•</t>
        </is>
      </c>
      <c r="J241" s="145" t="n"/>
      <c r="K241" s="144" t="n"/>
      <c r="L241" s="144" t="n"/>
      <c r="M241" s="144" t="n"/>
      <c r="N241" s="144" t="n"/>
      <c r="O241" s="146" t="n"/>
      <c r="P241" s="145" t="n"/>
      <c r="Q241" s="144" t="n"/>
      <c r="R241" s="144" t="n"/>
      <c r="S241" s="146" t="n"/>
      <c r="T241" s="145" t="n"/>
      <c r="U241" s="144" t="n"/>
      <c r="V241" s="144" t="n"/>
      <c r="W241" s="144" t="n"/>
      <c r="X241" s="146" t="n"/>
      <c r="Y241" s="145" t="n"/>
      <c r="Z241" s="144" t="n"/>
      <c r="AA241" s="157" t="n"/>
    </row>
    <row r="242" ht="15.375" customHeight="1" s="70">
      <c r="A242" s="262" t="n"/>
      <c r="B242" s="263" t="n"/>
      <c r="C242" s="263" t="n"/>
      <c r="D242" s="160" t="n"/>
      <c r="E242" s="159" t="n"/>
      <c r="F242" s="161" t="n"/>
      <c r="G242" s="264" t="n"/>
      <c r="H242" s="263" t="n"/>
      <c r="I242" s="265" t="n"/>
      <c r="J242" s="160" t="n"/>
      <c r="K242" s="159" t="n"/>
      <c r="L242" s="159" t="n"/>
      <c r="M242" s="159" t="n"/>
      <c r="N242" s="159" t="n"/>
      <c r="O242" s="161" t="n"/>
      <c r="P242" s="160" t="n"/>
      <c r="Q242" s="159" t="n"/>
      <c r="R242" s="159" t="n"/>
      <c r="S242" s="161" t="n"/>
      <c r="T242" s="160" t="n"/>
      <c r="U242" s="159" t="n"/>
      <c r="V242" s="159" t="n"/>
      <c r="W242" s="159" t="n"/>
      <c r="X242" s="161" t="n"/>
      <c r="Y242" s="160" t="n"/>
      <c r="Z242" s="159" t="n"/>
      <c r="AA242" s="163" t="n"/>
    </row>
    <row r="243" ht="21" customHeight="1" s="70">
      <c r="A243" s="125" t="inlineStr">
        <is>
          <t>J31112501</t>
        </is>
      </c>
      <c r="B243" s="126" t="inlineStr">
        <is>
          <t>P060202</t>
        </is>
      </c>
      <c r="C243" s="164" t="inlineStr">
        <is>
          <t>⚠ 3 NO RESULT
(3 no cert / 0 cert w/o result)
7 testing instances
• 6 document(s) on file, not credited</t>
        </is>
      </c>
      <c r="D243" s="128" t="inlineStr">
        <is>
          <t>Conforms</t>
        </is>
      </c>
      <c r="E243" s="129">
        <f>IFERROR(INDEX('iCoA Register'!$B:$B,MATCH("P060202|I",'iCoA Register'!$AA:$AA,0)),"iCoA — at issue")&amp;", (17.04.2026) [PP]"</f>
        <v/>
      </c>
      <c r="F243" s="130" t="inlineStr">
        <is>
          <t>✓</t>
        </is>
      </c>
      <c r="G243" s="128" t="inlineStr">
        <is>
          <t>8.4</t>
        </is>
      </c>
      <c r="H243" s="129" t="inlineStr">
        <is>
          <t>051-5-LoD-26, (02.03.2026) [FHM-K]</t>
        </is>
      </c>
      <c r="I243" s="130" t="inlineStr">
        <is>
          <t>✓</t>
        </is>
      </c>
      <c r="J243" s="128" t="inlineStr">
        <is>
          <t>4.4 × 10²</t>
        </is>
      </c>
      <c r="K243" s="136" t="inlineStr">
        <is>
          <t>8.6 × 10²</t>
        </is>
      </c>
      <c r="L243" s="136" t="inlineStr">
        <is>
          <t>&lt; 10² and &gt; 10</t>
        </is>
      </c>
      <c r="M243" s="136" t="inlineStr">
        <is>
          <t>Absent</t>
        </is>
      </c>
      <c r="N243" s="136" t="inlineStr">
        <is>
          <t>Absent</t>
        </is>
      </c>
      <c r="O243" s="130" t="inlineStr">
        <is>
          <t>✓</t>
        </is>
      </c>
      <c r="P243" s="165" t="inlineStr">
        <is>
          <t>— MISSING —</t>
        </is>
      </c>
      <c r="Q243" s="166" t="inlineStr">
        <is>
          <t>— MISSING —</t>
        </is>
      </c>
      <c r="R243" s="166" t="inlineStr">
        <is>
          <t>— MISSING —</t>
        </is>
      </c>
      <c r="S243" s="167" t="inlineStr">
        <is>
          <t>✗</t>
        </is>
      </c>
      <c r="T243" s="165" t="inlineStr">
        <is>
          <t>— MISSING —</t>
        </is>
      </c>
      <c r="U243" s="166" t="inlineStr">
        <is>
          <t>— MISSING —</t>
        </is>
      </c>
      <c r="V243" s="166" t="inlineStr">
        <is>
          <t>— MISSING —</t>
        </is>
      </c>
      <c r="W243" s="166" t="inlineStr">
        <is>
          <t>— MISSING —</t>
        </is>
      </c>
      <c r="X243" s="167" t="inlineStr">
        <is>
          <t>✗</t>
        </is>
      </c>
      <c r="Y243" s="165" t="inlineStr">
        <is>
          <t>— MISSING —</t>
        </is>
      </c>
      <c r="Z243" s="168" t="inlineStr">
        <is>
          <t>— no certificate —</t>
        </is>
      </c>
      <c r="AA243" s="169" t="inlineStr">
        <is>
          <t>✗</t>
        </is>
      </c>
    </row>
    <row r="244" ht="21" customHeight="1" s="70">
      <c r="A244" s="258" t="n"/>
      <c r="B244" s="256" t="n"/>
      <c r="C244" s="256" t="n"/>
      <c r="D244" s="259" t="n"/>
      <c r="E244" s="257" t="n"/>
      <c r="F244" s="260" t="n"/>
      <c r="G244" s="259" t="n"/>
      <c r="H244" s="257" t="n"/>
      <c r="I244" s="260" t="n"/>
      <c r="J244" s="141" t="inlineStr">
        <is>
          <t>547-1078-26, (31.08.2026) [IJZ-MB]</t>
        </is>
      </c>
      <c r="K244" s="120" t="n"/>
      <c r="L244" s="120" t="n"/>
      <c r="M244" s="120" t="n"/>
      <c r="N244" s="121" t="n"/>
      <c r="O244" s="260" t="n"/>
      <c r="P244" s="170" t="inlineStr">
        <is>
          <t>— no certificate —</t>
        </is>
      </c>
      <c r="Q244" s="120" t="n"/>
      <c r="R244" s="121" t="n"/>
      <c r="S244" s="260" t="n"/>
      <c r="T244" s="170" t="inlineStr">
        <is>
          <t>— no certificate —</t>
        </is>
      </c>
      <c r="U244" s="120" t="n"/>
      <c r="V244" s="120" t="n"/>
      <c r="W244" s="121" t="n"/>
      <c r="X244" s="260" t="n"/>
      <c r="Y244" s="259" t="n"/>
      <c r="Z244" s="257" t="n"/>
      <c r="AA244" s="261" t="n"/>
    </row>
    <row r="245" ht="17.625" customHeight="1" s="70">
      <c r="A245" s="258" t="n"/>
      <c r="B245" s="256" t="n"/>
      <c r="C245" s="256" t="n"/>
      <c r="D245" s="145" t="n"/>
      <c r="E245" s="144" t="n"/>
      <c r="F245" s="146" t="n"/>
      <c r="G245" s="189" t="inlineStr">
        <is>
          <t>not on this certificate</t>
        </is>
      </c>
      <c r="H245" s="190" t="inlineStr">
        <is>
          <t>051-5-K-26, (04.03.2026) [FHM-K] · on file, not credited</t>
        </is>
      </c>
      <c r="I245" s="191" t="inlineStr">
        <is>
          <t>•</t>
        </is>
      </c>
      <c r="J245" s="145" t="n"/>
      <c r="K245" s="144" t="n"/>
      <c r="L245" s="144" t="n"/>
      <c r="M245" s="144" t="n"/>
      <c r="N245" s="144" t="n"/>
      <c r="O245" s="146" t="n"/>
      <c r="P245" s="145" t="n"/>
      <c r="Q245" s="144" t="n"/>
      <c r="R245" s="144" t="n"/>
      <c r="S245" s="146" t="n"/>
      <c r="T245" s="145" t="n"/>
      <c r="U245" s="144" t="n"/>
      <c r="V245" s="144" t="n"/>
      <c r="W245" s="144" t="n"/>
      <c r="X245" s="146" t="n"/>
      <c r="Y245" s="145" t="n"/>
      <c r="Z245" s="144" t="n"/>
      <c r="AA245" s="157" t="n"/>
    </row>
    <row r="246" ht="15.375" customHeight="1" s="70">
      <c r="A246" s="258" t="n"/>
      <c r="B246" s="256" t="n"/>
      <c r="C246" s="256" t="n"/>
      <c r="D246" s="194" t="n"/>
      <c r="E246" s="193" t="n"/>
      <c r="F246" s="195" t="n"/>
      <c r="G246" s="259" t="n"/>
      <c r="H246" s="257" t="n"/>
      <c r="I246" s="260" t="n"/>
      <c r="J246" s="194" t="n"/>
      <c r="K246" s="193" t="n"/>
      <c r="L246" s="193" t="n"/>
      <c r="M246" s="193" t="n"/>
      <c r="N246" s="193" t="n"/>
      <c r="O246" s="195" t="n"/>
      <c r="P246" s="194" t="n"/>
      <c r="Q246" s="193" t="n"/>
      <c r="R246" s="193" t="n"/>
      <c r="S246" s="195" t="n"/>
      <c r="T246" s="194" t="n"/>
      <c r="U246" s="193" t="n"/>
      <c r="V246" s="193" t="n"/>
      <c r="W246" s="193" t="n"/>
      <c r="X246" s="195" t="n"/>
      <c r="Y246" s="194" t="n"/>
      <c r="Z246" s="193" t="n"/>
      <c r="AA246" s="196" t="n"/>
    </row>
    <row r="247" ht="17.625" customHeight="1" s="70">
      <c r="A247" s="258" t="n"/>
      <c r="B247" s="256" t="n"/>
      <c r="C247" s="256" t="n"/>
      <c r="D247" s="145" t="n"/>
      <c r="E247" s="144" t="n"/>
      <c r="F247" s="146" t="n"/>
      <c r="G247" s="189" t="inlineStr">
        <is>
          <t>not on this certificate</t>
        </is>
      </c>
      <c r="H247" s="190" t="inlineStr">
        <is>
          <t>100-1-K-26, (09.04.2026) [FHM-K] · on file, not credited</t>
        </is>
      </c>
      <c r="I247" s="191" t="inlineStr">
        <is>
          <t>•</t>
        </is>
      </c>
      <c r="J247" s="145" t="n"/>
      <c r="K247" s="144" t="n"/>
      <c r="L247" s="144" t="n"/>
      <c r="M247" s="144" t="n"/>
      <c r="N247" s="144" t="n"/>
      <c r="O247" s="146" t="n"/>
      <c r="P247" s="145" t="n"/>
      <c r="Q247" s="144" t="n"/>
      <c r="R247" s="144" t="n"/>
      <c r="S247" s="146" t="n"/>
      <c r="T247" s="145" t="n"/>
      <c r="U247" s="144" t="n"/>
      <c r="V247" s="144" t="n"/>
      <c r="W247" s="144" t="n"/>
      <c r="X247" s="146" t="n"/>
      <c r="Y247" s="145" t="n"/>
      <c r="Z247" s="144" t="n"/>
      <c r="AA247" s="157" t="n"/>
    </row>
    <row r="248" ht="15.375" customHeight="1" s="70">
      <c r="A248" s="258" t="n"/>
      <c r="B248" s="256" t="n"/>
      <c r="C248" s="256" t="n"/>
      <c r="D248" s="194" t="n"/>
      <c r="E248" s="193" t="n"/>
      <c r="F248" s="195" t="n"/>
      <c r="G248" s="259" t="n"/>
      <c r="H248" s="257" t="n"/>
      <c r="I248" s="260" t="n"/>
      <c r="J248" s="194" t="n"/>
      <c r="K248" s="193" t="n"/>
      <c r="L248" s="193" t="n"/>
      <c r="M248" s="193" t="n"/>
      <c r="N248" s="193" t="n"/>
      <c r="O248" s="195" t="n"/>
      <c r="P248" s="194" t="n"/>
      <c r="Q248" s="193" t="n"/>
      <c r="R248" s="193" t="n"/>
      <c r="S248" s="195" t="n"/>
      <c r="T248" s="194" t="n"/>
      <c r="U248" s="193" t="n"/>
      <c r="V248" s="193" t="n"/>
      <c r="W248" s="193" t="n"/>
      <c r="X248" s="195" t="n"/>
      <c r="Y248" s="194" t="n"/>
      <c r="Z248" s="193" t="n"/>
      <c r="AA248" s="196" t="n"/>
    </row>
    <row r="249" ht="17.625" customHeight="1" s="70">
      <c r="A249" s="258" t="n"/>
      <c r="B249" s="256" t="n"/>
      <c r="C249" s="256" t="n"/>
      <c r="D249" s="145" t="n"/>
      <c r="E249" s="144" t="n"/>
      <c r="F249" s="146" t="n"/>
      <c r="G249" s="155" t="inlineStr">
        <is>
          <t>7.6</t>
        </is>
      </c>
      <c r="H249" s="185" t="inlineStr">
        <is>
          <t>100-1-LoD-26, (09.04.2026) [FHM-K]</t>
        </is>
      </c>
      <c r="I249" s="186" t="inlineStr">
        <is>
          <t>✓</t>
        </is>
      </c>
      <c r="J249" s="145" t="n"/>
      <c r="K249" s="144" t="n"/>
      <c r="L249" s="144" t="n"/>
      <c r="M249" s="144" t="n"/>
      <c r="N249" s="144" t="n"/>
      <c r="O249" s="146" t="n"/>
      <c r="P249" s="145" t="n"/>
      <c r="Q249" s="144" t="n"/>
      <c r="R249" s="144" t="n"/>
      <c r="S249" s="146" t="n"/>
      <c r="T249" s="145" t="n"/>
      <c r="U249" s="144" t="n"/>
      <c r="V249" s="144" t="n"/>
      <c r="W249" s="144" t="n"/>
      <c r="X249" s="146" t="n"/>
      <c r="Y249" s="145" t="n"/>
      <c r="Z249" s="144" t="n"/>
      <c r="AA249" s="157" t="n"/>
    </row>
    <row r="250" ht="21" customHeight="1" s="70">
      <c r="A250" s="258" t="n"/>
      <c r="B250" s="256" t="n"/>
      <c r="C250" s="256" t="n"/>
      <c r="D250" s="194" t="n"/>
      <c r="E250" s="193" t="n"/>
      <c r="F250" s="195" t="n"/>
      <c r="G250" s="259" t="n"/>
      <c r="H250" s="257" t="n"/>
      <c r="I250" s="260" t="n"/>
      <c r="J250" s="194" t="n"/>
      <c r="K250" s="193" t="n"/>
      <c r="L250" s="193" t="n"/>
      <c r="M250" s="193" t="n"/>
      <c r="N250" s="193" t="n"/>
      <c r="O250" s="195" t="n"/>
      <c r="P250" s="194" t="n"/>
      <c r="Q250" s="193" t="n"/>
      <c r="R250" s="193" t="n"/>
      <c r="S250" s="195" t="n"/>
      <c r="T250" s="194" t="n"/>
      <c r="U250" s="193" t="n"/>
      <c r="V250" s="193" t="n"/>
      <c r="W250" s="193" t="n"/>
      <c r="X250" s="195" t="n"/>
      <c r="Y250" s="194" t="n"/>
      <c r="Z250" s="193" t="n"/>
      <c r="AA250" s="196" t="n"/>
    </row>
    <row r="251" ht="17.625" customHeight="1" s="70">
      <c r="A251" s="258" t="n"/>
      <c r="B251" s="256" t="n"/>
      <c r="C251" s="256" t="n"/>
      <c r="D251" s="145" t="n"/>
      <c r="E251" s="144" t="n"/>
      <c r="F251" s="146" t="n"/>
      <c r="G251" s="155" t="inlineStr">
        <is>
          <t>10.3 ± 0.2</t>
        </is>
      </c>
      <c r="H251" s="185" t="inlineStr">
        <is>
          <t>100-2-LoD-26, (09.04.2026) [FHM-K]</t>
        </is>
      </c>
      <c r="I251" s="186" t="inlineStr">
        <is>
          <t>✓</t>
        </is>
      </c>
      <c r="J251" s="145" t="n"/>
      <c r="K251" s="144" t="n"/>
      <c r="L251" s="144" t="n"/>
      <c r="M251" s="144" t="n"/>
      <c r="N251" s="144" t="n"/>
      <c r="O251" s="146" t="n"/>
      <c r="P251" s="145" t="n"/>
      <c r="Q251" s="144" t="n"/>
      <c r="R251" s="144" t="n"/>
      <c r="S251" s="146" t="n"/>
      <c r="T251" s="145" t="n"/>
      <c r="U251" s="144" t="n"/>
      <c r="V251" s="144" t="n"/>
      <c r="W251" s="144" t="n"/>
      <c r="X251" s="146" t="n"/>
      <c r="Y251" s="145" t="n"/>
      <c r="Z251" s="144" t="n"/>
      <c r="AA251" s="157" t="n"/>
    </row>
    <row r="252" ht="21" customHeight="1" s="70">
      <c r="A252" s="258" t="n"/>
      <c r="B252" s="256" t="n"/>
      <c r="C252" s="256" t="n"/>
      <c r="D252" s="194" t="n"/>
      <c r="E252" s="193" t="n"/>
      <c r="F252" s="195" t="n"/>
      <c r="G252" s="259" t="n"/>
      <c r="H252" s="257" t="n"/>
      <c r="I252" s="260" t="n"/>
      <c r="J252" s="194" t="n"/>
      <c r="K252" s="193" t="n"/>
      <c r="L252" s="193" t="n"/>
      <c r="M252" s="193" t="n"/>
      <c r="N252" s="193" t="n"/>
      <c r="O252" s="195" t="n"/>
      <c r="P252" s="194" t="n"/>
      <c r="Q252" s="193" t="n"/>
      <c r="R252" s="193" t="n"/>
      <c r="S252" s="195" t="n"/>
      <c r="T252" s="194" t="n"/>
      <c r="U252" s="193" t="n"/>
      <c r="V252" s="193" t="n"/>
      <c r="W252" s="193" t="n"/>
      <c r="X252" s="195" t="n"/>
      <c r="Y252" s="194" t="n"/>
      <c r="Z252" s="193" t="n"/>
      <c r="AA252" s="196" t="n"/>
    </row>
    <row r="253" ht="17.625" customHeight="1" s="70">
      <c r="A253" s="258" t="n"/>
      <c r="B253" s="256" t="n"/>
      <c r="C253" s="256" t="n"/>
      <c r="D253" s="145" t="n"/>
      <c r="E253" s="144" t="n"/>
      <c r="F253" s="146" t="n"/>
      <c r="G253" s="155" t="inlineStr">
        <is>
          <t>10.3</t>
        </is>
      </c>
      <c r="H253" s="185" t="inlineStr">
        <is>
          <t>100-3-LoD-26, (09.04.2026) [FHM-K]</t>
        </is>
      </c>
      <c r="I253" s="186" t="inlineStr">
        <is>
          <t>✓</t>
        </is>
      </c>
      <c r="J253" s="145" t="n"/>
      <c r="K253" s="144" t="n"/>
      <c r="L253" s="144" t="n"/>
      <c r="M253" s="144" t="n"/>
      <c r="N253" s="144" t="n"/>
      <c r="O253" s="146" t="n"/>
      <c r="P253" s="145" t="n"/>
      <c r="Q253" s="144" t="n"/>
      <c r="R253" s="144" t="n"/>
      <c r="S253" s="146" t="n"/>
      <c r="T253" s="145" t="n"/>
      <c r="U253" s="144" t="n"/>
      <c r="V253" s="144" t="n"/>
      <c r="W253" s="144" t="n"/>
      <c r="X253" s="146" t="n"/>
      <c r="Y253" s="145" t="n"/>
      <c r="Z253" s="144" t="n"/>
      <c r="AA253" s="157" t="n"/>
    </row>
    <row r="254" ht="21" customHeight="1" s="70">
      <c r="A254" s="258" t="n"/>
      <c r="B254" s="256" t="n"/>
      <c r="C254" s="256" t="n"/>
      <c r="D254" s="194" t="n"/>
      <c r="E254" s="193" t="n"/>
      <c r="F254" s="195" t="n"/>
      <c r="G254" s="259" t="n"/>
      <c r="H254" s="257" t="n"/>
      <c r="I254" s="260" t="n"/>
      <c r="J254" s="194" t="n"/>
      <c r="K254" s="193" t="n"/>
      <c r="L254" s="193" t="n"/>
      <c r="M254" s="193" t="n"/>
      <c r="N254" s="193" t="n"/>
      <c r="O254" s="195" t="n"/>
      <c r="P254" s="194" t="n"/>
      <c r="Q254" s="193" t="n"/>
      <c r="R254" s="193" t="n"/>
      <c r="S254" s="195" t="n"/>
      <c r="T254" s="194" t="n"/>
      <c r="U254" s="193" t="n"/>
      <c r="V254" s="193" t="n"/>
      <c r="W254" s="193" t="n"/>
      <c r="X254" s="195" t="n"/>
      <c r="Y254" s="194" t="n"/>
      <c r="Z254" s="193" t="n"/>
      <c r="AA254" s="196" t="n"/>
    </row>
    <row r="255" ht="17.625" customHeight="1" s="70">
      <c r="A255" s="258" t="n"/>
      <c r="B255" s="256" t="n"/>
      <c r="C255" s="256" t="n"/>
      <c r="D255" s="145" t="n"/>
      <c r="E255" s="144" t="n"/>
      <c r="F255" s="146" t="n"/>
      <c r="G255" s="145" t="n"/>
      <c r="H255" s="144" t="n"/>
      <c r="I255" s="146" t="n"/>
      <c r="J255" s="145" t="n"/>
      <c r="K255" s="144" t="n"/>
      <c r="L255" s="144" t="n"/>
      <c r="M255" s="144" t="n"/>
      <c r="N255" s="144" t="n"/>
      <c r="O255" s="146" t="n"/>
      <c r="P255" s="145" t="n"/>
      <c r="Q255" s="144" t="n"/>
      <c r="R255" s="144" t="n"/>
      <c r="S255" s="146" t="n"/>
      <c r="T255" s="145" t="n"/>
      <c r="U255" s="144" t="n"/>
      <c r="V255" s="144" t="n"/>
      <c r="W255" s="144" t="n"/>
      <c r="X255" s="146" t="n"/>
      <c r="Y255" s="145" t="n"/>
      <c r="Z255" s="144" t="n"/>
      <c r="AA255" s="157" t="n"/>
    </row>
    <row r="256" ht="13" customHeight="1" s="70">
      <c r="A256" s="262" t="n"/>
      <c r="B256" s="263" t="n"/>
      <c r="C256" s="263" t="n"/>
      <c r="D256" s="160" t="n"/>
      <c r="E256" s="159" t="n"/>
      <c r="F256" s="161" t="n"/>
      <c r="G256" s="160" t="n"/>
      <c r="H256" s="159" t="n"/>
      <c r="I256" s="161" t="n"/>
      <c r="J256" s="160" t="n"/>
      <c r="K256" s="159" t="n"/>
      <c r="L256" s="159" t="n"/>
      <c r="M256" s="159" t="n"/>
      <c r="N256" s="159" t="n"/>
      <c r="O256" s="161" t="n"/>
      <c r="P256" s="160" t="n"/>
      <c r="Q256" s="159" t="n"/>
      <c r="R256" s="159" t="n"/>
      <c r="S256" s="161" t="n"/>
      <c r="T256" s="160" t="n"/>
      <c r="U256" s="159" t="n"/>
      <c r="V256" s="159" t="n"/>
      <c r="W256" s="159" t="n"/>
      <c r="X256" s="161" t="n"/>
      <c r="Y256" s="160" t="n"/>
      <c r="Z256" s="159" t="n"/>
      <c r="AA256" s="163" t="n"/>
    </row>
    <row r="257" ht="21" customHeight="1" s="70">
      <c r="A257" s="125" t="inlineStr">
        <is>
          <t>J31122501</t>
        </is>
      </c>
      <c r="B257" s="126" t="inlineStr">
        <is>
          <t>P060262</t>
        </is>
      </c>
      <c r="C257" s="164" t="inlineStr">
        <is>
          <t>⚠ 1 NO RESULT
(1 no cert / 0 cert w/o result)
3 testing instances
• 2 document(s) on file, not credited</t>
        </is>
      </c>
      <c r="D257" s="128" t="inlineStr">
        <is>
          <t>Conforms</t>
        </is>
      </c>
      <c r="E257" s="129">
        <f>IFERROR(INDEX('iCoA Register'!$B:$B,MATCH("P060262|I",'iCoA Register'!$AA:$AA,0)),"iCoA — at issue")&amp;", (14.05.2026) [PP]"</f>
        <v/>
      </c>
      <c r="F257" s="130" t="inlineStr">
        <is>
          <t>✓</t>
        </is>
      </c>
      <c r="G257" s="131" t="inlineStr">
        <is>
          <t>not ingested</t>
        </is>
      </c>
      <c r="H257" s="132" t="inlineStr">
        <is>
          <t>100-2-K-26, (09.04.2026) [FHM-K] · on file, not credited</t>
        </is>
      </c>
      <c r="I257" s="133" t="inlineStr">
        <is>
          <t>•</t>
        </is>
      </c>
      <c r="J257" s="128" t="inlineStr">
        <is>
          <t>1900 ᴿ</t>
        </is>
      </c>
      <c r="K257" s="136" t="inlineStr">
        <is>
          <t>840 ᴿ</t>
        </is>
      </c>
      <c r="L257" s="136" t="inlineStr">
        <is>
          <t>&lt; 10³ and &gt; 10² ᴿ</t>
        </is>
      </c>
      <c r="M257" s="136" t="inlineStr">
        <is>
          <t>Absent ᴿ</t>
        </is>
      </c>
      <c r="N257" s="136" t="inlineStr">
        <is>
          <t>Absent ᴿ</t>
        </is>
      </c>
      <c r="O257" s="130" t="inlineStr">
        <is>
          <t>✓</t>
        </is>
      </c>
      <c r="P257" s="128" t="inlineStr">
        <is>
          <t>not reported</t>
        </is>
      </c>
      <c r="Q257" s="136" t="inlineStr">
        <is>
          <t>Complies ᴿ</t>
        </is>
      </c>
      <c r="R257" s="136" t="inlineStr">
        <is>
          <t>not reported</t>
        </is>
      </c>
      <c r="S257" s="130" t="inlineStr">
        <is>
          <t>✓</t>
        </is>
      </c>
      <c r="T257" s="205" t="inlineStr">
        <is>
          <t>not ingested</t>
        </is>
      </c>
      <c r="U257" s="206" t="inlineStr"/>
      <c r="V257" s="206" t="inlineStr"/>
      <c r="W257" s="206" t="inlineStr"/>
      <c r="X257" s="207" t="inlineStr">
        <is>
          <t>✗</t>
        </is>
      </c>
      <c r="Y257" s="128" t="inlineStr">
        <is>
          <t>ND ᴿ</t>
        </is>
      </c>
      <c r="Z257" s="129" t="inlineStr">
        <is>
          <t>1625-2026, (23.04.2026) [IJZ]</t>
        </is>
      </c>
      <c r="AA257" s="137" t="inlineStr">
        <is>
          <t>✓</t>
        </is>
      </c>
    </row>
    <row r="258" ht="15.375" customHeight="1" s="70">
      <c r="A258" s="258" t="n"/>
      <c r="B258" s="256" t="n"/>
      <c r="C258" s="256" t="n"/>
      <c r="D258" s="259" t="n"/>
      <c r="E258" s="257" t="n"/>
      <c r="F258" s="260" t="n"/>
      <c r="G258" s="259" t="n"/>
      <c r="H258" s="257" t="n"/>
      <c r="I258" s="260" t="n"/>
      <c r="J258" s="141" t="inlineStr">
        <is>
          <t>230-0393-26, (07.04.2026) [IJZ-MB]</t>
        </is>
      </c>
      <c r="K258" s="120" t="n"/>
      <c r="L258" s="120" t="n"/>
      <c r="M258" s="120" t="n"/>
      <c r="N258" s="121" t="n"/>
      <c r="O258" s="260" t="n"/>
      <c r="P258" s="141" t="inlineStr">
        <is>
          <t>1625-2026, (23.04.2026) [IJZ]</t>
        </is>
      </c>
      <c r="Q258" s="120" t="n"/>
      <c r="R258" s="121" t="n"/>
      <c r="S258" s="260" t="n"/>
      <c r="T258" s="208" t="inlineStr">
        <is>
          <t>1625-2026, (23.04.2026) [IJZ]</t>
        </is>
      </c>
      <c r="U258" s="120" t="n"/>
      <c r="V258" s="120" t="n"/>
      <c r="W258" s="121" t="n"/>
      <c r="X258" s="260" t="n"/>
      <c r="Y258" s="259" t="n"/>
      <c r="Z258" s="257" t="n"/>
      <c r="AA258" s="261" t="n"/>
    </row>
    <row r="259" ht="21" customHeight="1" s="70">
      <c r="A259" s="258" t="n"/>
      <c r="B259" s="256" t="n"/>
      <c r="C259" s="256" t="n"/>
      <c r="D259" s="145" t="n"/>
      <c r="E259" s="144" t="n"/>
      <c r="F259" s="146" t="n"/>
      <c r="G259" s="189" t="inlineStr">
        <is>
          <t>not ingested</t>
        </is>
      </c>
      <c r="H259" s="190" t="inlineStr">
        <is>
          <t>100-3-K-26, (09.04.2026) [FHM-K] · on file, not credited</t>
        </is>
      </c>
      <c r="I259" s="191" t="inlineStr">
        <is>
          <t>•</t>
        </is>
      </c>
      <c r="J259" s="155" t="inlineStr">
        <is>
          <t>850 ᴿ</t>
        </is>
      </c>
      <c r="K259" s="156" t="inlineStr">
        <is>
          <t>370 ᴿ</t>
        </is>
      </c>
      <c r="L259" s="156" t="inlineStr">
        <is>
          <t>&lt; 10² and &gt; 10 ᴿ</t>
        </is>
      </c>
      <c r="M259" s="156" t="inlineStr">
        <is>
          <t>Absent ᴿ</t>
        </is>
      </c>
      <c r="N259" s="156" t="inlineStr">
        <is>
          <t>Absent ᴿ</t>
        </is>
      </c>
      <c r="O259" s="186" t="inlineStr">
        <is>
          <t>✓</t>
        </is>
      </c>
      <c r="P259" s="155" t="inlineStr">
        <is>
          <t>not reported</t>
        </is>
      </c>
      <c r="Q259" s="156" t="inlineStr">
        <is>
          <t>2.5 ᴿ</t>
        </is>
      </c>
      <c r="R259" s="156" t="inlineStr">
        <is>
          <t>not reported</t>
        </is>
      </c>
      <c r="S259" s="186" t="inlineStr">
        <is>
          <t>✓</t>
        </is>
      </c>
      <c r="T259" s="155" t="inlineStr">
        <is>
          <t>ND ᴿ</t>
        </is>
      </c>
      <c r="U259" s="156" t="inlineStr">
        <is>
          <t>ND ᴿ</t>
        </is>
      </c>
      <c r="V259" s="156" t="inlineStr">
        <is>
          <t>ND ᴿ</t>
        </is>
      </c>
      <c r="W259" s="156" t="inlineStr">
        <is>
          <t>ND ᴿ</t>
        </is>
      </c>
      <c r="X259" s="186" t="inlineStr">
        <is>
          <t>✓</t>
        </is>
      </c>
      <c r="Y259" s="155" t="inlineStr">
        <is>
          <t>ND ᴿ</t>
        </is>
      </c>
      <c r="Z259" s="185" t="inlineStr">
        <is>
          <t>1628-2026, (23.04.2026) [IJZ]</t>
        </is>
      </c>
      <c r="AA259" s="209" t="inlineStr">
        <is>
          <t>✓</t>
        </is>
      </c>
    </row>
    <row r="260" ht="15.375" customHeight="1" s="70">
      <c r="A260" s="258" t="n"/>
      <c r="B260" s="256" t="n"/>
      <c r="C260" s="256" t="n"/>
      <c r="D260" s="194" t="n"/>
      <c r="E260" s="193" t="n"/>
      <c r="F260" s="195" t="n"/>
      <c r="G260" s="259" t="n"/>
      <c r="H260" s="257" t="n"/>
      <c r="I260" s="260" t="n"/>
      <c r="J260" s="210" t="inlineStr">
        <is>
          <t>231-0394-26, (07.04.2026) [IJZ-MB]</t>
        </is>
      </c>
      <c r="K260" s="269" t="n"/>
      <c r="L260" s="269" t="n"/>
      <c r="M260" s="269" t="n"/>
      <c r="N260" s="270" t="n"/>
      <c r="O260" s="260" t="n"/>
      <c r="P260" s="210" t="inlineStr">
        <is>
          <t>1628-2026, (23.04.2026) [IJZ]</t>
        </is>
      </c>
      <c r="Q260" s="269" t="n"/>
      <c r="R260" s="270" t="n"/>
      <c r="S260" s="260" t="n"/>
      <c r="T260" s="210" t="inlineStr">
        <is>
          <t>1628-2026, (23.04.2026) [IJZ]</t>
        </is>
      </c>
      <c r="U260" s="269" t="n"/>
      <c r="V260" s="269" t="n"/>
      <c r="W260" s="270" t="n"/>
      <c r="X260" s="260" t="n"/>
      <c r="Y260" s="259" t="n"/>
      <c r="Z260" s="257" t="n"/>
      <c r="AA260" s="261" t="n"/>
    </row>
    <row r="261" ht="21" customHeight="1" s="70">
      <c r="A261" s="258" t="n"/>
      <c r="B261" s="256" t="n"/>
      <c r="C261" s="256" t="n"/>
      <c r="D261" s="145" t="n"/>
      <c r="E261" s="144" t="n"/>
      <c r="F261" s="146" t="n"/>
      <c r="G261" s="145" t="n"/>
      <c r="H261" s="144" t="n"/>
      <c r="I261" s="146" t="n"/>
      <c r="J261" s="155" t="inlineStr">
        <is>
          <t>1 × 10³</t>
        </is>
      </c>
      <c r="K261" s="156" t="inlineStr">
        <is>
          <t>1.7 × 10²</t>
        </is>
      </c>
      <c r="L261" s="156" t="inlineStr">
        <is>
          <t>&lt; 10³ and &gt; 10²</t>
        </is>
      </c>
      <c r="M261" s="156" t="inlineStr">
        <is>
          <t>Absent</t>
        </is>
      </c>
      <c r="N261" s="156" t="inlineStr">
        <is>
          <t>Absent</t>
        </is>
      </c>
      <c r="O261" s="149" t="inlineStr">
        <is>
          <t>✓</t>
        </is>
      </c>
      <c r="P261" s="145" t="n"/>
      <c r="Q261" s="144" t="n"/>
      <c r="R261" s="144" t="n"/>
      <c r="S261" s="146" t="n"/>
      <c r="T261" s="145" t="n"/>
      <c r="U261" s="144" t="n"/>
      <c r="V261" s="144" t="n"/>
      <c r="W261" s="144" t="n"/>
      <c r="X261" s="146" t="n"/>
      <c r="Y261" s="145" t="n"/>
      <c r="Z261" s="144" t="n"/>
      <c r="AA261" s="157" t="n"/>
    </row>
    <row r="262" ht="13" customHeight="1" s="70">
      <c r="A262" s="262" t="n"/>
      <c r="B262" s="263" t="n"/>
      <c r="C262" s="263" t="n"/>
      <c r="D262" s="160" t="n"/>
      <c r="E262" s="159" t="n"/>
      <c r="F262" s="161" t="n"/>
      <c r="G262" s="160" t="n"/>
      <c r="H262" s="159" t="n"/>
      <c r="I262" s="161" t="n"/>
      <c r="J262" s="162" t="inlineStr">
        <is>
          <t>544-1075-26, (31.08.2026) [IJZ-MB]</t>
        </is>
      </c>
      <c r="K262" s="266" t="n"/>
      <c r="L262" s="266" t="n"/>
      <c r="M262" s="266" t="n"/>
      <c r="N262" s="267" t="n"/>
      <c r="O262" s="265" t="n"/>
      <c r="P262" s="160" t="n"/>
      <c r="Q262" s="159" t="n"/>
      <c r="R262" s="159" t="n"/>
      <c r="S262" s="161" t="n"/>
      <c r="T262" s="160" t="n"/>
      <c r="U262" s="159" t="n"/>
      <c r="V262" s="159" t="n"/>
      <c r="W262" s="159" t="n"/>
      <c r="X262" s="161" t="n"/>
      <c r="Y262" s="160" t="n"/>
      <c r="Z262" s="159" t="n"/>
      <c r="AA262" s="163" t="n"/>
    </row>
    <row r="263" ht="21" customHeight="1" s="70">
      <c r="A263" s="125" t="inlineStr">
        <is>
          <t>JD012603</t>
        </is>
      </c>
      <c r="B263" s="126" t="inlineStr">
        <is>
          <t>P060362 / P060412 / P060422</t>
        </is>
      </c>
      <c r="C263" s="164" t="inlineStr">
        <is>
          <t>⚠ 3 NO RESULT
(3 no cert / 0 cert w/o result)
3 testing instances
• 1 document(s) on file, not credited</t>
        </is>
      </c>
      <c r="D263" s="128" t="inlineStr">
        <is>
          <t>Conforms (no value printed)</t>
        </is>
      </c>
      <c r="E263" s="129" t="inlineStr">
        <is>
          <t>ППК26111, (30.06.2026) [CNP]</t>
        </is>
      </c>
      <c r="F263" s="130" t="inlineStr">
        <is>
          <t>✓</t>
        </is>
      </c>
      <c r="G263" s="128" t="inlineStr">
        <is>
          <t>7.04</t>
        </is>
      </c>
      <c r="H263" s="129" t="inlineStr">
        <is>
          <t>ППК26111, (30.06.2026) [CNP]</t>
        </is>
      </c>
      <c r="I263" s="130" t="inlineStr">
        <is>
          <t>✓</t>
        </is>
      </c>
      <c r="J263" s="165" t="inlineStr">
        <is>
          <t>— MISSING —</t>
        </is>
      </c>
      <c r="K263" s="166" t="inlineStr">
        <is>
          <t>— MISSING —</t>
        </is>
      </c>
      <c r="L263" s="166" t="inlineStr">
        <is>
          <t>— MISSING —</t>
        </is>
      </c>
      <c r="M263" s="166" t="inlineStr">
        <is>
          <t>— MISSING —</t>
        </is>
      </c>
      <c r="N263" s="166" t="inlineStr">
        <is>
          <t>— MISSING —</t>
        </is>
      </c>
      <c r="O263" s="167" t="inlineStr">
        <is>
          <t>✗</t>
        </is>
      </c>
      <c r="P263" s="128" t="inlineStr">
        <is>
          <t>ND</t>
        </is>
      </c>
      <c r="Q263" s="136" t="inlineStr">
        <is>
          <t>ND</t>
        </is>
      </c>
      <c r="R263" s="136" t="inlineStr">
        <is>
          <t>ND</t>
        </is>
      </c>
      <c r="S263" s="130" t="inlineStr">
        <is>
          <t>✓</t>
        </is>
      </c>
      <c r="T263" s="165" t="inlineStr">
        <is>
          <t>— MISSING —</t>
        </is>
      </c>
      <c r="U263" s="166" t="inlineStr">
        <is>
          <t>— MISSING —</t>
        </is>
      </c>
      <c r="V263" s="166" t="inlineStr">
        <is>
          <t>— MISSING —</t>
        </is>
      </c>
      <c r="W263" s="166" t="inlineStr">
        <is>
          <t>— MISSING —</t>
        </is>
      </c>
      <c r="X263" s="167" t="inlineStr">
        <is>
          <t>✗</t>
        </is>
      </c>
      <c r="Y263" s="165" t="inlineStr">
        <is>
          <t>— MISSING —</t>
        </is>
      </c>
      <c r="Z263" s="168" t="inlineStr">
        <is>
          <t>— no certificate —</t>
        </is>
      </c>
      <c r="AA263" s="169" t="inlineStr">
        <is>
          <t>✗</t>
        </is>
      </c>
    </row>
    <row r="264" ht="15.375" customHeight="1" s="70">
      <c r="A264" s="258" t="n"/>
      <c r="B264" s="256" t="n"/>
      <c r="C264" s="256" t="n"/>
      <c r="D264" s="259" t="n"/>
      <c r="E264" s="257" t="n"/>
      <c r="F264" s="260" t="n"/>
      <c r="G264" s="259" t="n"/>
      <c r="H264" s="257" t="n"/>
      <c r="I264" s="260" t="n"/>
      <c r="J264" s="170" t="inlineStr">
        <is>
          <t>— no certificate —</t>
        </is>
      </c>
      <c r="K264" s="120" t="n"/>
      <c r="L264" s="120" t="n"/>
      <c r="M264" s="120" t="n"/>
      <c r="N264" s="121" t="n"/>
      <c r="O264" s="260" t="n"/>
      <c r="P264" s="141" t="inlineStr">
        <is>
          <t>220-16-M-26, (11.09.2026) [FHM-M]</t>
        </is>
      </c>
      <c r="Q264" s="120" t="n"/>
      <c r="R264" s="121" t="n"/>
      <c r="S264" s="260" t="n"/>
      <c r="T264" s="170" t="inlineStr">
        <is>
          <t>— no certificate —</t>
        </is>
      </c>
      <c r="U264" s="120" t="n"/>
      <c r="V264" s="120" t="n"/>
      <c r="W264" s="121" t="n"/>
      <c r="X264" s="260" t="n"/>
      <c r="Y264" s="259" t="n"/>
      <c r="Z264" s="257" t="n"/>
      <c r="AA264" s="261" t="n"/>
    </row>
    <row r="265" ht="17.625" customHeight="1" s="70">
      <c r="A265" s="258" t="n"/>
      <c r="B265" s="256" t="n"/>
      <c r="C265" s="256" t="n"/>
      <c r="D265" s="189" t="inlineStr">
        <is>
          <t>Conforms (no value printed)</t>
        </is>
      </c>
      <c r="E265" s="190" t="inlineStr">
        <is>
          <t>ППК26113, (30.06.2026) [CNP] · on file, not credited</t>
        </is>
      </c>
      <c r="F265" s="191" t="inlineStr">
        <is>
          <t>•</t>
        </is>
      </c>
      <c r="G265" s="155" t="inlineStr">
        <is>
          <t>7.52</t>
        </is>
      </c>
      <c r="H265" s="185" t="inlineStr">
        <is>
          <t>ППК26113, (30.06.2026) [CNP]</t>
        </is>
      </c>
      <c r="I265" s="186" t="inlineStr">
        <is>
          <t>✓</t>
        </is>
      </c>
      <c r="J265" s="145" t="n"/>
      <c r="K265" s="144" t="n"/>
      <c r="L265" s="144" t="n"/>
      <c r="M265" s="144" t="n"/>
      <c r="N265" s="144" t="n"/>
      <c r="O265" s="146" t="n"/>
      <c r="P265" s="155" t="inlineStr">
        <is>
          <t>ND</t>
        </is>
      </c>
      <c r="Q265" s="156" t="inlineStr">
        <is>
          <t>ND</t>
        </is>
      </c>
      <c r="R265" s="156" t="inlineStr">
        <is>
          <t>ND</t>
        </is>
      </c>
      <c r="S265" s="186" t="inlineStr">
        <is>
          <t>✓</t>
        </is>
      </c>
      <c r="T265" s="145" t="n"/>
      <c r="U265" s="144" t="n"/>
      <c r="V265" s="144" t="n"/>
      <c r="W265" s="144" t="n"/>
      <c r="X265" s="146" t="n"/>
      <c r="Y265" s="145" t="n"/>
      <c r="Z265" s="144" t="n"/>
      <c r="AA265" s="157" t="n"/>
    </row>
    <row r="266" ht="15.375" customHeight="1" s="70">
      <c r="A266" s="258" t="n"/>
      <c r="B266" s="256" t="n"/>
      <c r="C266" s="256" t="n"/>
      <c r="D266" s="259" t="n"/>
      <c r="E266" s="257" t="n"/>
      <c r="F266" s="260" t="n"/>
      <c r="G266" s="259" t="n"/>
      <c r="H266" s="257" t="n"/>
      <c r="I266" s="260" t="n"/>
      <c r="J266" s="194" t="n"/>
      <c r="K266" s="193" t="n"/>
      <c r="L266" s="193" t="n"/>
      <c r="M266" s="193" t="n"/>
      <c r="N266" s="193" t="n"/>
      <c r="O266" s="195" t="n"/>
      <c r="P266" s="210" t="inlineStr">
        <is>
          <t>220-17-M-26, (11.09.2026) [FHM-M]</t>
        </is>
      </c>
      <c r="Q266" s="269" t="n"/>
      <c r="R266" s="270" t="n"/>
      <c r="S266" s="260" t="n"/>
      <c r="T266" s="194" t="n"/>
      <c r="U266" s="193" t="n"/>
      <c r="V266" s="193" t="n"/>
      <c r="W266" s="193" t="n"/>
      <c r="X266" s="195" t="n"/>
      <c r="Y266" s="194" t="n"/>
      <c r="Z266" s="193" t="n"/>
      <c r="AA266" s="196" t="n"/>
    </row>
    <row r="267" ht="14" customHeight="1" s="70">
      <c r="A267" s="258" t="n"/>
      <c r="B267" s="256" t="n"/>
      <c r="C267" s="256" t="n"/>
      <c r="D267" s="145" t="n"/>
      <c r="E267" s="144" t="n"/>
      <c r="F267" s="146" t="n"/>
      <c r="G267" s="145" t="n"/>
      <c r="H267" s="144" t="n"/>
      <c r="I267" s="146" t="n"/>
      <c r="J267" s="145" t="n"/>
      <c r="K267" s="144" t="n"/>
      <c r="L267" s="144" t="n"/>
      <c r="M267" s="144" t="n"/>
      <c r="N267" s="144" t="n"/>
      <c r="O267" s="146" t="n"/>
      <c r="P267" s="155" t="inlineStr">
        <is>
          <t>ND</t>
        </is>
      </c>
      <c r="Q267" s="156" t="inlineStr">
        <is>
          <t>ND</t>
        </is>
      </c>
      <c r="R267" s="156" t="inlineStr">
        <is>
          <t>ND</t>
        </is>
      </c>
      <c r="S267" s="149" t="inlineStr">
        <is>
          <t>✓</t>
        </is>
      </c>
      <c r="T267" s="145" t="n"/>
      <c r="U267" s="144" t="n"/>
      <c r="V267" s="144" t="n"/>
      <c r="W267" s="144" t="n"/>
      <c r="X267" s="146" t="n"/>
      <c r="Y267" s="145" t="n"/>
      <c r="Z267" s="144" t="n"/>
      <c r="AA267" s="157" t="n"/>
    </row>
    <row r="268" ht="13" customHeight="1" s="70">
      <c r="A268" s="262" t="n"/>
      <c r="B268" s="263" t="n"/>
      <c r="C268" s="263" t="n"/>
      <c r="D268" s="160" t="n"/>
      <c r="E268" s="159" t="n"/>
      <c r="F268" s="161" t="n"/>
      <c r="G268" s="160" t="n"/>
      <c r="H268" s="159" t="n"/>
      <c r="I268" s="161" t="n"/>
      <c r="J268" s="160" t="n"/>
      <c r="K268" s="159" t="n"/>
      <c r="L268" s="159" t="n"/>
      <c r="M268" s="159" t="n"/>
      <c r="N268" s="159" t="n"/>
      <c r="O268" s="161" t="n"/>
      <c r="P268" s="162" t="inlineStr">
        <is>
          <t>220-18-M-26, (11.09.2026) [FHM-M]</t>
        </is>
      </c>
      <c r="Q268" s="266" t="n"/>
      <c r="R268" s="267" t="n"/>
      <c r="S268" s="265" t="n"/>
      <c r="T268" s="160" t="n"/>
      <c r="U268" s="159" t="n"/>
      <c r="V268" s="159" t="n"/>
      <c r="W268" s="159" t="n"/>
      <c r="X268" s="161" t="n"/>
      <c r="Y268" s="160" t="n"/>
      <c r="Z268" s="159" t="n"/>
      <c r="AA268" s="163" t="n"/>
    </row>
    <row r="269" ht="21" customHeight="1" s="70">
      <c r="A269" s="125" t="inlineStr">
        <is>
          <t>JD022601</t>
        </is>
      </c>
      <c r="B269" s="126" t="inlineStr">
        <is>
          <t>P060482</t>
        </is>
      </c>
      <c r="C269" s="171" t="inlineStr">
        <is>
          <t>✗ 4 NO RESULT
(4 no cert / 0 cert w/o result)</t>
        </is>
      </c>
      <c r="D269" s="172" t="inlineStr">
        <is>
          <t>Conforms (no value printed)</t>
        </is>
      </c>
      <c r="E269" s="173" t="inlineStr">
        <is>
          <t>ППК26115, (30.06.2026) [CNP]</t>
        </is>
      </c>
      <c r="F269" s="174" t="inlineStr">
        <is>
          <t>✓</t>
        </is>
      </c>
      <c r="G269" s="172" t="inlineStr">
        <is>
          <t>7.73</t>
        </is>
      </c>
      <c r="H269" s="173" t="inlineStr">
        <is>
          <t>ППК26115, (30.06.2026) [CNP]</t>
        </is>
      </c>
      <c r="I269" s="174" t="inlineStr">
        <is>
          <t>✓</t>
        </is>
      </c>
      <c r="J269" s="165" t="inlineStr">
        <is>
          <t>— MISSING —</t>
        </is>
      </c>
      <c r="K269" s="166" t="inlineStr">
        <is>
          <t>— MISSING —</t>
        </is>
      </c>
      <c r="L269" s="166" t="inlineStr">
        <is>
          <t>— MISSING —</t>
        </is>
      </c>
      <c r="M269" s="166" t="inlineStr">
        <is>
          <t>— MISSING —</t>
        </is>
      </c>
      <c r="N269" s="166" t="inlineStr">
        <is>
          <t>— MISSING —</t>
        </is>
      </c>
      <c r="O269" s="178" t="inlineStr">
        <is>
          <t>✗</t>
        </is>
      </c>
      <c r="P269" s="165" t="inlineStr">
        <is>
          <t>— MISSING —</t>
        </is>
      </c>
      <c r="Q269" s="166" t="inlineStr">
        <is>
          <t>— MISSING —</t>
        </is>
      </c>
      <c r="R269" s="166" t="inlineStr">
        <is>
          <t>— MISSING —</t>
        </is>
      </c>
      <c r="S269" s="178" t="inlineStr">
        <is>
          <t>✗</t>
        </is>
      </c>
      <c r="T269" s="165" t="inlineStr">
        <is>
          <t>— MISSING —</t>
        </is>
      </c>
      <c r="U269" s="166" t="inlineStr">
        <is>
          <t>— MISSING —</t>
        </is>
      </c>
      <c r="V269" s="166" t="inlineStr">
        <is>
          <t>— MISSING —</t>
        </is>
      </c>
      <c r="W269" s="166" t="inlineStr">
        <is>
          <t>— MISSING —</t>
        </is>
      </c>
      <c r="X269" s="178" t="inlineStr">
        <is>
          <t>✗</t>
        </is>
      </c>
      <c r="Y269" s="179" t="inlineStr">
        <is>
          <t>— MISSING —</t>
        </is>
      </c>
      <c r="Z269" s="180" t="inlineStr">
        <is>
          <t>— no certificate —</t>
        </is>
      </c>
      <c r="AA269" s="181" t="inlineStr">
        <is>
          <t>✗</t>
        </is>
      </c>
    </row>
    <row r="270" ht="15.375" customHeight="1" s="70">
      <c r="A270" s="262" t="n"/>
      <c r="B270" s="263" t="n"/>
      <c r="C270" s="263" t="n"/>
      <c r="D270" s="264" t="n"/>
      <c r="E270" s="263" t="n"/>
      <c r="F270" s="265" t="n"/>
      <c r="G270" s="264" t="n"/>
      <c r="H270" s="263" t="n"/>
      <c r="I270" s="265" t="n"/>
      <c r="J270" s="182" t="inlineStr">
        <is>
          <t>— no certificate —</t>
        </is>
      </c>
      <c r="K270" s="266" t="n"/>
      <c r="L270" s="266" t="n"/>
      <c r="M270" s="266" t="n"/>
      <c r="N270" s="267" t="n"/>
      <c r="O270" s="265" t="n"/>
      <c r="P270" s="182" t="inlineStr">
        <is>
          <t>— no certificate —</t>
        </is>
      </c>
      <c r="Q270" s="266" t="n"/>
      <c r="R270" s="267" t="n"/>
      <c r="S270" s="265" t="n"/>
      <c r="T270" s="182" t="inlineStr">
        <is>
          <t>— no certificate —</t>
        </is>
      </c>
      <c r="U270" s="266" t="n"/>
      <c r="V270" s="266" t="n"/>
      <c r="W270" s="267" t="n"/>
      <c r="X270" s="265" t="n"/>
      <c r="Y270" s="264" t="n"/>
      <c r="Z270" s="263" t="n"/>
      <c r="AA270" s="268" t="n"/>
    </row>
    <row r="271" ht="21" customHeight="1" s="70">
      <c r="A271" s="125" t="inlineStr">
        <is>
          <t>JD112501</t>
        </is>
      </c>
      <c r="B271" s="126" t="inlineStr">
        <is>
          <t>P060212</t>
        </is>
      </c>
      <c r="C271" s="127" t="inlineStr">
        <is>
          <t>✓ COMPLETE
3 testing instances
• 5 document(s) on file, not credited</t>
        </is>
      </c>
      <c r="D271" s="128" t="inlineStr">
        <is>
          <t>Conforms</t>
        </is>
      </c>
      <c r="E271" s="129">
        <f>IFERROR(INDEX('iCoA Register'!$B:$B,MATCH("P060212|I",'iCoA Register'!$AA:$AA,0)),"iCoA — at issue")&amp;", (21.04.2026) [PP]"</f>
        <v/>
      </c>
      <c r="F271" s="130" t="inlineStr">
        <is>
          <t>✓</t>
        </is>
      </c>
      <c r="G271" s="128" t="inlineStr">
        <is>
          <t>6.69</t>
        </is>
      </c>
      <c r="H271" s="129" t="inlineStr">
        <is>
          <t>ППК26063, (11.05.2026) [CNP]</t>
        </is>
      </c>
      <c r="I271" s="130" t="inlineStr">
        <is>
          <t>✓</t>
        </is>
      </c>
      <c r="J271" s="131" t="inlineStr">
        <is>
          <t>1 × 10⁴</t>
        </is>
      </c>
      <c r="K271" s="197" t="inlineStr">
        <is>
          <t>6.7 × 10³</t>
        </is>
      </c>
      <c r="L271" s="197" t="inlineStr">
        <is>
          <t>&lt; 10³ and &gt; 10²</t>
        </is>
      </c>
      <c r="M271" s="197" t="inlineStr">
        <is>
          <t>Absent</t>
        </is>
      </c>
      <c r="N271" s="197" t="inlineStr">
        <is>
          <t>Absent</t>
        </is>
      </c>
      <c r="O271" s="133" t="inlineStr">
        <is>
          <t>•</t>
        </is>
      </c>
      <c r="P271" s="128" t="inlineStr">
        <is>
          <t>ND</t>
        </is>
      </c>
      <c r="Q271" s="136" t="inlineStr">
        <is>
          <t>&lt; 2</t>
        </is>
      </c>
      <c r="R271" s="136" t="inlineStr">
        <is>
          <t>ND</t>
        </is>
      </c>
      <c r="S271" s="130" t="inlineStr">
        <is>
          <t>✓</t>
        </is>
      </c>
      <c r="T271" s="128" t="inlineStr">
        <is>
          <t>0.022</t>
        </is>
      </c>
      <c r="U271" s="136" t="inlineStr">
        <is>
          <t>0.0149</t>
        </is>
      </c>
      <c r="V271" s="136" t="inlineStr">
        <is>
          <t>0.02</t>
        </is>
      </c>
      <c r="W271" s="136" t="inlineStr">
        <is>
          <t>0.0166</t>
        </is>
      </c>
      <c r="X271" s="130" t="inlineStr">
        <is>
          <t>✓</t>
        </is>
      </c>
      <c r="Y271" s="128" t="inlineStr">
        <is>
          <t>≤ LOQ (all 26 compounds)</t>
        </is>
      </c>
      <c r="Z271" s="129" t="inlineStr">
        <is>
          <t>2361-2026, (30.04.2026) [IJZ]</t>
        </is>
      </c>
      <c r="AA271" s="137" t="inlineStr">
        <is>
          <t>✓</t>
        </is>
      </c>
    </row>
    <row r="272" ht="13" customHeight="1" s="70">
      <c r="A272" s="258" t="n"/>
      <c r="B272" s="256" t="n"/>
      <c r="C272" s="256" t="n"/>
      <c r="D272" s="259" t="n"/>
      <c r="E272" s="257" t="n"/>
      <c r="F272" s="260" t="n"/>
      <c r="G272" s="259" t="n"/>
      <c r="H272" s="257" t="n"/>
      <c r="I272" s="260" t="n"/>
      <c r="J272" s="199" t="inlineStr">
        <is>
          <t>306-0550-26, (28.04.2026) [IJZ-MB] · on file, not credited</t>
        </is>
      </c>
      <c r="K272" s="120" t="n"/>
      <c r="L272" s="120" t="n"/>
      <c r="M272" s="120" t="n"/>
      <c r="N272" s="121" t="n"/>
      <c r="O272" s="260" t="n"/>
      <c r="P272" s="141" t="inlineStr">
        <is>
          <t>2361-2026, (30.04.2026) [IJZ]</t>
        </is>
      </c>
      <c r="Q272" s="120" t="n"/>
      <c r="R272" s="121" t="n"/>
      <c r="S272" s="260" t="n"/>
      <c r="T272" s="141" t="inlineStr">
        <is>
          <t>2361-2026, (30.04.2026) [IJZ]</t>
        </is>
      </c>
      <c r="U272" s="120" t="n"/>
      <c r="V272" s="120" t="n"/>
      <c r="W272" s="121" t="n"/>
      <c r="X272" s="260" t="n"/>
      <c r="Y272" s="259" t="n"/>
      <c r="Z272" s="257" t="n"/>
      <c r="AA272" s="261" t="n"/>
    </row>
    <row r="273" ht="21" customHeight="1" s="70">
      <c r="A273" s="258" t="n"/>
      <c r="B273" s="256" t="n"/>
      <c r="C273" s="256" t="n"/>
      <c r="D273" s="145" t="n"/>
      <c r="E273" s="144" t="n"/>
      <c r="F273" s="146" t="n"/>
      <c r="G273" s="189" t="inlineStr">
        <is>
          <t>6.38</t>
        </is>
      </c>
      <c r="H273" s="190" t="inlineStr">
        <is>
          <t>ППК26065, (11.05.2026) [CNP] · on file, not credited</t>
        </is>
      </c>
      <c r="I273" s="191" t="inlineStr">
        <is>
          <t>•</t>
        </is>
      </c>
      <c r="J273" s="155" t="inlineStr">
        <is>
          <t>2.6 × 10³</t>
        </is>
      </c>
      <c r="K273" s="156" t="inlineStr">
        <is>
          <t>3.3 × 10³</t>
        </is>
      </c>
      <c r="L273" s="156" t="inlineStr">
        <is>
          <t>not reported</t>
        </is>
      </c>
      <c r="M273" s="156" t="inlineStr">
        <is>
          <t>Absent</t>
        </is>
      </c>
      <c r="N273" s="156" t="inlineStr">
        <is>
          <t>Absent</t>
        </is>
      </c>
      <c r="O273" s="186" t="inlineStr">
        <is>
          <t>✓</t>
        </is>
      </c>
      <c r="P273" s="189" t="inlineStr">
        <is>
          <t>ND</t>
        </is>
      </c>
      <c r="Q273" s="211" t="inlineStr">
        <is>
          <t>&lt; 2</t>
        </is>
      </c>
      <c r="R273" s="211" t="inlineStr">
        <is>
          <t>ND</t>
        </is>
      </c>
      <c r="S273" s="191" t="inlineStr">
        <is>
          <t>•</t>
        </is>
      </c>
      <c r="T273" s="189" t="inlineStr">
        <is>
          <t>0.0109</t>
        </is>
      </c>
      <c r="U273" s="211" t="inlineStr">
        <is>
          <t>0.01287</t>
        </is>
      </c>
      <c r="V273" s="211" t="inlineStr">
        <is>
          <t>0.0175</t>
        </is>
      </c>
      <c r="W273" s="211" t="inlineStr">
        <is>
          <t>0.0165</t>
        </is>
      </c>
      <c r="X273" s="191" t="inlineStr">
        <is>
          <t>•</t>
        </is>
      </c>
      <c r="Y273" s="189" t="inlineStr">
        <is>
          <t>≤ LOQ (all 27 compounds)</t>
        </is>
      </c>
      <c r="Z273" s="190" t="inlineStr">
        <is>
          <t>2365-2026, (30.04.2026) [IJZ] · on file, not credited</t>
        </is>
      </c>
      <c r="AA273" s="212" t="inlineStr">
        <is>
          <t>•</t>
        </is>
      </c>
    </row>
    <row r="274" ht="21" customHeight="1" s="70">
      <c r="A274" s="258" t="n"/>
      <c r="B274" s="256" t="n"/>
      <c r="C274" s="256" t="n"/>
      <c r="D274" s="194" t="n"/>
      <c r="E274" s="193" t="n"/>
      <c r="F274" s="195" t="n"/>
      <c r="G274" s="259" t="n"/>
      <c r="H274" s="257" t="n"/>
      <c r="I274" s="260" t="n"/>
      <c r="J274" s="210" t="inlineStr">
        <is>
          <t>307-0551-26, (28.04.2026) [IJZ-MB]</t>
        </is>
      </c>
      <c r="K274" s="269" t="n"/>
      <c r="L274" s="269" t="n"/>
      <c r="M274" s="269" t="n"/>
      <c r="N274" s="270" t="n"/>
      <c r="O274" s="260" t="n"/>
      <c r="P274" s="213" t="inlineStr">
        <is>
          <t>2365-2026, (30.04.2026) [IJZ] · on file, not credited</t>
        </is>
      </c>
      <c r="Q274" s="269" t="n"/>
      <c r="R274" s="270" t="n"/>
      <c r="S274" s="260" t="n"/>
      <c r="T274" s="213" t="inlineStr">
        <is>
          <t>2365-2026, (30.04.2026) [IJZ] · on file, not credited</t>
        </is>
      </c>
      <c r="U274" s="269" t="n"/>
      <c r="V274" s="269" t="n"/>
      <c r="W274" s="270" t="n"/>
      <c r="X274" s="260" t="n"/>
      <c r="Y274" s="259" t="n"/>
      <c r="Z274" s="257" t="n"/>
      <c r="AA274" s="261" t="n"/>
    </row>
    <row r="275" ht="17.625" customHeight="1" s="70">
      <c r="A275" s="258" t="n"/>
      <c r="B275" s="256" t="n"/>
      <c r="C275" s="256" t="n"/>
      <c r="D275" s="145" t="n"/>
      <c r="E275" s="144" t="n"/>
      <c r="F275" s="146" t="n"/>
      <c r="G275" s="152" t="inlineStr">
        <is>
          <t>not on this certificate</t>
        </is>
      </c>
      <c r="H275" s="153" t="inlineStr">
        <is>
          <t>197-15-K-26, (07.08.2026) [FHM-K] · on file, not credited</t>
        </is>
      </c>
      <c r="I275" s="154" t="inlineStr">
        <is>
          <t>•</t>
        </is>
      </c>
      <c r="J275" s="145" t="n"/>
      <c r="K275" s="144" t="n"/>
      <c r="L275" s="144" t="n"/>
      <c r="M275" s="144" t="n"/>
      <c r="N275" s="144" t="n"/>
      <c r="O275" s="146" t="n"/>
      <c r="P275" s="155" t="inlineStr">
        <is>
          <t>ND</t>
        </is>
      </c>
      <c r="Q275" s="156" t="inlineStr">
        <is>
          <t>ND</t>
        </is>
      </c>
      <c r="R275" s="156" t="inlineStr">
        <is>
          <t>ND</t>
        </is>
      </c>
      <c r="S275" s="149" t="inlineStr">
        <is>
          <t>✓</t>
        </is>
      </c>
      <c r="T275" s="145" t="n"/>
      <c r="U275" s="144" t="n"/>
      <c r="V275" s="144" t="n"/>
      <c r="W275" s="144" t="n"/>
      <c r="X275" s="146" t="n"/>
      <c r="Y275" s="145" t="n"/>
      <c r="Z275" s="144" t="n"/>
      <c r="AA275" s="157" t="n"/>
    </row>
    <row r="276" ht="15.375" customHeight="1" s="70">
      <c r="A276" s="262" t="n"/>
      <c r="B276" s="263" t="n"/>
      <c r="C276" s="263" t="n"/>
      <c r="D276" s="160" t="n"/>
      <c r="E276" s="159" t="n"/>
      <c r="F276" s="161" t="n"/>
      <c r="G276" s="264" t="n"/>
      <c r="H276" s="263" t="n"/>
      <c r="I276" s="265" t="n"/>
      <c r="J276" s="160" t="n"/>
      <c r="K276" s="159" t="n"/>
      <c r="L276" s="159" t="n"/>
      <c r="M276" s="159" t="n"/>
      <c r="N276" s="159" t="n"/>
      <c r="O276" s="161" t="n"/>
      <c r="P276" s="162" t="inlineStr">
        <is>
          <t>197-15-M-26, (10.08.2026) [FHM-M]</t>
        </is>
      </c>
      <c r="Q276" s="266" t="n"/>
      <c r="R276" s="267" t="n"/>
      <c r="S276" s="265" t="n"/>
      <c r="T276" s="160" t="n"/>
      <c r="U276" s="159" t="n"/>
      <c r="V276" s="159" t="n"/>
      <c r="W276" s="159" t="n"/>
      <c r="X276" s="161" t="n"/>
      <c r="Y276" s="160" t="n"/>
      <c r="Z276" s="159" t="n"/>
      <c r="AA276" s="163" t="n"/>
    </row>
    <row r="277" ht="21" customHeight="1" s="70">
      <c r="A277" s="125" t="inlineStr">
        <is>
          <t>KC102501</t>
        </is>
      </c>
      <c r="B277" s="126" t="inlineStr">
        <is>
          <t>P060172</t>
        </is>
      </c>
      <c r="C277" s="164" t="inlineStr">
        <is>
          <t>⚠ 3 NO RESULT
(3 no cert / 0 cert w/o result)
2 testing instances
• 2 document(s) on file, not credited</t>
        </is>
      </c>
      <c r="D277" s="128" t="inlineStr">
        <is>
          <t>Conforms</t>
        </is>
      </c>
      <c r="E277" s="129">
        <f>IFERROR(INDEX('iCoA Register'!$B:$B,MATCH("P060172|I",'iCoA Register'!$AA:$AA,0)),"iCoA — at issue")&amp;", (12.03.2026) [PP]"</f>
        <v/>
      </c>
      <c r="F277" s="130" t="inlineStr">
        <is>
          <t>✓</t>
        </is>
      </c>
      <c r="G277" s="128" t="inlineStr">
        <is>
          <t>8.6</t>
        </is>
      </c>
      <c r="H277" s="129" t="inlineStr">
        <is>
          <t>051-4-LoD-26, (02.03.2026) [FHM-K]</t>
        </is>
      </c>
      <c r="I277" s="130" t="inlineStr">
        <is>
          <t>✓</t>
        </is>
      </c>
      <c r="J277" s="165" t="inlineStr">
        <is>
          <t>— MISSING —</t>
        </is>
      </c>
      <c r="K277" s="166" t="inlineStr">
        <is>
          <t>— MISSING —</t>
        </is>
      </c>
      <c r="L277" s="166" t="inlineStr">
        <is>
          <t>— MISSING —</t>
        </is>
      </c>
      <c r="M277" s="166" t="inlineStr">
        <is>
          <t>— MISSING —</t>
        </is>
      </c>
      <c r="N277" s="166" t="inlineStr">
        <is>
          <t>— MISSING —</t>
        </is>
      </c>
      <c r="O277" s="167" t="inlineStr">
        <is>
          <t>✗</t>
        </is>
      </c>
      <c r="P277" s="128" t="inlineStr">
        <is>
          <t>ND</t>
        </is>
      </c>
      <c r="Q277" s="136" t="inlineStr">
        <is>
          <t>ND</t>
        </is>
      </c>
      <c r="R277" s="136" t="inlineStr">
        <is>
          <t>ND</t>
        </is>
      </c>
      <c r="S277" s="130" t="inlineStr">
        <is>
          <t>✓</t>
        </is>
      </c>
      <c r="T277" s="165" t="inlineStr">
        <is>
          <t>— MISSING —</t>
        </is>
      </c>
      <c r="U277" s="166" t="inlineStr">
        <is>
          <t>— MISSING —</t>
        </is>
      </c>
      <c r="V277" s="166" t="inlineStr">
        <is>
          <t>— MISSING —</t>
        </is>
      </c>
      <c r="W277" s="166" t="inlineStr">
        <is>
          <t>— MISSING —</t>
        </is>
      </c>
      <c r="X277" s="167" t="inlineStr">
        <is>
          <t>✗</t>
        </is>
      </c>
      <c r="Y277" s="165" t="inlineStr">
        <is>
          <t>— MISSING —</t>
        </is>
      </c>
      <c r="Z277" s="168" t="inlineStr">
        <is>
          <t>— no certificate —</t>
        </is>
      </c>
      <c r="AA277" s="169" t="inlineStr">
        <is>
          <t>✗</t>
        </is>
      </c>
    </row>
    <row r="278" ht="21" customHeight="1" s="70">
      <c r="A278" s="258" t="n"/>
      <c r="B278" s="256" t="n"/>
      <c r="C278" s="256" t="n"/>
      <c r="D278" s="259" t="n"/>
      <c r="E278" s="257" t="n"/>
      <c r="F278" s="260" t="n"/>
      <c r="G278" s="259" t="n"/>
      <c r="H278" s="257" t="n"/>
      <c r="I278" s="260" t="n"/>
      <c r="J278" s="170" t="inlineStr">
        <is>
          <t>— no certificate —</t>
        </is>
      </c>
      <c r="K278" s="120" t="n"/>
      <c r="L278" s="120" t="n"/>
      <c r="M278" s="120" t="n"/>
      <c r="N278" s="121" t="n"/>
      <c r="O278" s="260" t="n"/>
      <c r="P278" s="141" t="inlineStr">
        <is>
          <t>220-19-M-26, (11.09.2026) [FHM-M]</t>
        </is>
      </c>
      <c r="Q278" s="120" t="n"/>
      <c r="R278" s="121" t="n"/>
      <c r="S278" s="260" t="n"/>
      <c r="T278" s="170" t="inlineStr">
        <is>
          <t>— no certificate —</t>
        </is>
      </c>
      <c r="U278" s="120" t="n"/>
      <c r="V278" s="120" t="n"/>
      <c r="W278" s="121" t="n"/>
      <c r="X278" s="260" t="n"/>
      <c r="Y278" s="259" t="n"/>
      <c r="Z278" s="257" t="n"/>
      <c r="AA278" s="261" t="n"/>
    </row>
    <row r="279" ht="17.625" customHeight="1" s="70">
      <c r="A279" s="258" t="n"/>
      <c r="B279" s="256" t="n"/>
      <c r="C279" s="256" t="n"/>
      <c r="D279" s="145" t="n"/>
      <c r="E279" s="144" t="n"/>
      <c r="F279" s="146" t="n"/>
      <c r="G279" s="152" t="inlineStr">
        <is>
          <t>not on this certificate</t>
        </is>
      </c>
      <c r="H279" s="153" t="inlineStr">
        <is>
          <t>051-4-K-26, (04.03.2026) [FHM-K] · on file, not credited</t>
        </is>
      </c>
      <c r="I279" s="154" t="inlineStr">
        <is>
          <t>•</t>
        </is>
      </c>
      <c r="J279" s="145" t="n"/>
      <c r="K279" s="144" t="n"/>
      <c r="L279" s="144" t="n"/>
      <c r="M279" s="144" t="n"/>
      <c r="N279" s="144" t="n"/>
      <c r="O279" s="146" t="n"/>
      <c r="P279" s="145" t="n"/>
      <c r="Q279" s="144" t="n"/>
      <c r="R279" s="144" t="n"/>
      <c r="S279" s="146" t="n"/>
      <c r="T279" s="145" t="n"/>
      <c r="U279" s="144" t="n"/>
      <c r="V279" s="144" t="n"/>
      <c r="W279" s="144" t="n"/>
      <c r="X279" s="146" t="n"/>
      <c r="Y279" s="145" t="n"/>
      <c r="Z279" s="144" t="n"/>
      <c r="AA279" s="157" t="n"/>
    </row>
    <row r="280" ht="15.375" customHeight="1" s="70">
      <c r="A280" s="262" t="n"/>
      <c r="B280" s="263" t="n"/>
      <c r="C280" s="263" t="n"/>
      <c r="D280" s="160" t="n"/>
      <c r="E280" s="159" t="n"/>
      <c r="F280" s="161" t="n"/>
      <c r="G280" s="264" t="n"/>
      <c r="H280" s="263" t="n"/>
      <c r="I280" s="265" t="n"/>
      <c r="J280" s="160" t="n"/>
      <c r="K280" s="159" t="n"/>
      <c r="L280" s="159" t="n"/>
      <c r="M280" s="159" t="n"/>
      <c r="N280" s="159" t="n"/>
      <c r="O280" s="161" t="n"/>
      <c r="P280" s="160" t="n"/>
      <c r="Q280" s="159" t="n"/>
      <c r="R280" s="159" t="n"/>
      <c r="S280" s="161" t="n"/>
      <c r="T280" s="160" t="n"/>
      <c r="U280" s="159" t="n"/>
      <c r="V280" s="159" t="n"/>
      <c r="W280" s="159" t="n"/>
      <c r="X280" s="161" t="n"/>
      <c r="Y280" s="160" t="n"/>
      <c r="Z280" s="159" t="n"/>
      <c r="AA280" s="163" t="n"/>
    </row>
    <row r="281" ht="21" customHeight="1" s="70">
      <c r="A281" s="125" t="inlineStr">
        <is>
          <t>OPM1024</t>
        </is>
      </c>
      <c r="B281" s="126" t="inlineStr">
        <is>
          <t>N/A — no P batch assigned</t>
        </is>
      </c>
      <c r="C281" s="171" t="inlineStr">
        <is>
          <t>✗ 4 NO RESULT
(4 no cert / 0 cert w/o result)
2 testing instances
• 2 document(s) on file, not credited</t>
        </is>
      </c>
      <c r="D281" s="128" t="inlineStr">
        <is>
          <t>Conforms</t>
        </is>
      </c>
      <c r="E281" s="129" t="inlineStr">
        <is>
          <t>iCoA — at issue (OPM1024), (23.04.2025) [PP]</t>
        </is>
      </c>
      <c r="F281" s="130" t="inlineStr">
        <is>
          <t>✓</t>
        </is>
      </c>
      <c r="G281" s="131" t="inlineStr">
        <is>
          <t>not on this certificate</t>
        </is>
      </c>
      <c r="H281" s="132" t="inlineStr">
        <is>
          <t>197-17-K-26, (07.08.2026) [FHM-K] · on file, not credited</t>
        </is>
      </c>
      <c r="I281" s="133" t="inlineStr">
        <is>
          <t>•</t>
        </is>
      </c>
      <c r="J281" s="131" t="inlineStr">
        <is>
          <t>1.3 × 10⁴ ᴿ</t>
        </is>
      </c>
      <c r="K281" s="197" t="inlineStr">
        <is>
          <t>7 × 10² ᴿ</t>
        </is>
      </c>
      <c r="L281" s="197" t="inlineStr">
        <is>
          <t>&lt; 10² &gt; 10³ ᴿ</t>
        </is>
      </c>
      <c r="M281" s="197" t="inlineStr">
        <is>
          <t>Absent ᴿ</t>
        </is>
      </c>
      <c r="N281" s="197" t="inlineStr">
        <is>
          <t>Absent ᴿ</t>
        </is>
      </c>
      <c r="O281" s="133" t="inlineStr">
        <is>
          <t>•</t>
        </is>
      </c>
      <c r="P281" s="131" t="inlineStr">
        <is>
          <t>not reported</t>
        </is>
      </c>
      <c r="Q281" s="197" t="inlineStr">
        <is>
          <t>&lt; 2 ᴿ</t>
        </is>
      </c>
      <c r="R281" s="197" t="inlineStr">
        <is>
          <t>not reported</t>
        </is>
      </c>
      <c r="S281" s="133" t="inlineStr">
        <is>
          <t>•</t>
        </is>
      </c>
      <c r="T281" s="131" t="inlineStr">
        <is>
          <t>0.031 ᴿ</t>
        </is>
      </c>
      <c r="U281" s="197" t="inlineStr">
        <is>
          <t>0.017 ᴿ</t>
        </is>
      </c>
      <c r="V281" s="197" t="inlineStr">
        <is>
          <t>0.045 ᴿ</t>
        </is>
      </c>
      <c r="W281" s="197" t="inlineStr">
        <is>
          <t>0.005 ᴿ</t>
        </is>
      </c>
      <c r="X281" s="133" t="inlineStr">
        <is>
          <t>•</t>
        </is>
      </c>
      <c r="Y281" s="131" t="inlineStr">
        <is>
          <t>ND ᴿ</t>
        </is>
      </c>
      <c r="Z281" s="132">
        <f>IFERROR(INDEX('iCoA Register'!$B:$B,MATCH("OPM1024|I",'iCoA Register'!$AA:$AA,0)),"iCoA — at issue")&amp;", (24.04.2025) [PP] · on file, not credited"</f>
        <v/>
      </c>
      <c r="AA281" s="198" t="inlineStr">
        <is>
          <t>•</t>
        </is>
      </c>
    </row>
    <row r="282" ht="21" customHeight="1" s="70">
      <c r="A282" s="258" t="n"/>
      <c r="B282" s="256" t="n"/>
      <c r="C282" s="256" t="n"/>
      <c r="D282" s="259" t="n"/>
      <c r="E282" s="257" t="n"/>
      <c r="F282" s="260" t="n"/>
      <c r="G282" s="259" t="n"/>
      <c r="H282" s="257" t="n"/>
      <c r="I282" s="260" t="n"/>
      <c r="J282" s="199">
        <f>IFERROR(INDEX('iCoA Register'!$B:$B,MATCH("OPM1024|I",'iCoA Register'!$AA:$AA,0)),"iCoA — at issue")&amp;", (24.04.2025) [PP] · on file, not credited"</f>
        <v/>
      </c>
      <c r="K282" s="120" t="n"/>
      <c r="L282" s="120" t="n"/>
      <c r="M282" s="120" t="n"/>
      <c r="N282" s="121" t="n"/>
      <c r="O282" s="260" t="n"/>
      <c r="P282" s="199">
        <f>IFERROR(INDEX('iCoA Register'!$B:$B,MATCH("OPM1024|I",'iCoA Register'!$AA:$AA,0)),"iCoA — at issue")&amp;", (24.04.2025) [PP] · on file, not credited"</f>
        <v/>
      </c>
      <c r="Q282" s="120" t="n"/>
      <c r="R282" s="121" t="n"/>
      <c r="S282" s="260" t="n"/>
      <c r="T282" s="199">
        <f>IFERROR(INDEX('iCoA Register'!$B:$B,MATCH("OPM1024|I",'iCoA Register'!$AA:$AA,0)),"iCoA — at issue")&amp;", (24.04.2025) [PP] · on file, not credited"</f>
        <v/>
      </c>
      <c r="U282" s="120" t="n"/>
      <c r="V282" s="120" t="n"/>
      <c r="W282" s="121" t="n"/>
      <c r="X282" s="260" t="n"/>
      <c r="Y282" s="259" t="n"/>
      <c r="Z282" s="257" t="n"/>
      <c r="AA282" s="261" t="n"/>
    </row>
    <row r="283" ht="17.625" customHeight="1" s="70">
      <c r="A283" s="258" t="n"/>
      <c r="B283" s="256" t="n"/>
      <c r="C283" s="256" t="n"/>
      <c r="D283" s="147" t="inlineStr">
        <is>
          <t>Conforms</t>
        </is>
      </c>
      <c r="E283" s="148">
        <f>IFERROR(INDEX('iCoA Register'!$B:$B,MATCH("OPM1024|I",'iCoA Register'!$AA:$AA,0)),"iCoA — at issue")&amp;", (24.04.2025) [PP]"</f>
        <v/>
      </c>
      <c r="F283" s="149" t="inlineStr">
        <is>
          <t>✓</t>
        </is>
      </c>
      <c r="G283" s="145" t="n"/>
      <c r="H283" s="144" t="n"/>
      <c r="I283" s="146" t="n"/>
      <c r="J283" s="145" t="n"/>
      <c r="K283" s="144" t="n"/>
      <c r="L283" s="144" t="n"/>
      <c r="M283" s="144" t="n"/>
      <c r="N283" s="144" t="n"/>
      <c r="O283" s="146" t="n"/>
      <c r="P283" s="155" t="inlineStr">
        <is>
          <t>ND</t>
        </is>
      </c>
      <c r="Q283" s="156" t="inlineStr">
        <is>
          <t>ND</t>
        </is>
      </c>
      <c r="R283" s="156" t="inlineStr">
        <is>
          <t>ND</t>
        </is>
      </c>
      <c r="S283" s="149" t="inlineStr">
        <is>
          <t>✓</t>
        </is>
      </c>
      <c r="T283" s="145" t="n"/>
      <c r="U283" s="144" t="n"/>
      <c r="V283" s="144" t="n"/>
      <c r="W283" s="144" t="n"/>
      <c r="X283" s="146" t="n"/>
      <c r="Y283" s="145" t="n"/>
      <c r="Z283" s="144" t="n"/>
      <c r="AA283" s="157" t="n"/>
    </row>
    <row r="284" ht="13" customHeight="1" s="70">
      <c r="A284" s="262" t="n"/>
      <c r="B284" s="263" t="n"/>
      <c r="C284" s="263" t="n"/>
      <c r="D284" s="264" t="n"/>
      <c r="E284" s="263" t="n"/>
      <c r="F284" s="265" t="n"/>
      <c r="G284" s="160" t="n"/>
      <c r="H284" s="159" t="n"/>
      <c r="I284" s="161" t="n"/>
      <c r="J284" s="160" t="n"/>
      <c r="K284" s="159" t="n"/>
      <c r="L284" s="159" t="n"/>
      <c r="M284" s="159" t="n"/>
      <c r="N284" s="159" t="n"/>
      <c r="O284" s="161" t="n"/>
      <c r="P284" s="162" t="inlineStr">
        <is>
          <t>197-17-M-26, (10.08.2026) [FHM-M]</t>
        </is>
      </c>
      <c r="Q284" s="266" t="n"/>
      <c r="R284" s="267" t="n"/>
      <c r="S284" s="265" t="n"/>
      <c r="T284" s="160" t="n"/>
      <c r="U284" s="159" t="n"/>
      <c r="V284" s="159" t="n"/>
      <c r="W284" s="159" t="n"/>
      <c r="X284" s="161" t="n"/>
      <c r="Y284" s="160" t="n"/>
      <c r="Z284" s="159" t="n"/>
      <c r="AA284" s="163" t="n"/>
    </row>
    <row r="285" ht="21" customHeight="1" s="70">
      <c r="A285" s="125" t="inlineStr">
        <is>
          <t>OPM112501</t>
        </is>
      </c>
      <c r="B285" s="126" t="inlineStr">
        <is>
          <t>P060222</t>
        </is>
      </c>
      <c r="C285" s="164" t="inlineStr">
        <is>
          <t>⚠ 3 NO RESULT
(3 no cert / 0 cert w/o result)
2 testing instances
• 1 document(s) on file, not credited</t>
        </is>
      </c>
      <c r="D285" s="128" t="inlineStr">
        <is>
          <t>Conforms</t>
        </is>
      </c>
      <c r="E285" s="129">
        <f>IFERROR(INDEX('iCoA Register'!$B:$B,MATCH("P060222|I",'iCoA Register'!$AA:$AA,0)),"iCoA — at issue")&amp;", (24.04.2026) [PP]"</f>
        <v/>
      </c>
      <c r="F285" s="130" t="inlineStr">
        <is>
          <t>✓</t>
        </is>
      </c>
      <c r="G285" s="128" t="inlineStr">
        <is>
          <t>8.06 ᴿ</t>
        </is>
      </c>
      <c r="H285" s="129" t="inlineStr">
        <is>
          <t>ППК26031, (05.03.2026) [CNP]</t>
        </is>
      </c>
      <c r="I285" s="130" t="inlineStr">
        <is>
          <t>✓</t>
        </is>
      </c>
      <c r="J285" s="128" t="inlineStr">
        <is>
          <t>&lt; 10</t>
        </is>
      </c>
      <c r="K285" s="136" t="inlineStr">
        <is>
          <t>10</t>
        </is>
      </c>
      <c r="L285" s="136" t="inlineStr">
        <is>
          <t>&lt; 10</t>
        </is>
      </c>
      <c r="M285" s="136" t="inlineStr">
        <is>
          <t>Absent</t>
        </is>
      </c>
      <c r="N285" s="136" t="inlineStr">
        <is>
          <t>Absent</t>
        </is>
      </c>
      <c r="O285" s="130" t="inlineStr">
        <is>
          <t>✓</t>
        </is>
      </c>
      <c r="P285" s="165" t="inlineStr">
        <is>
          <t>— MISSING —</t>
        </is>
      </c>
      <c r="Q285" s="166" t="inlineStr">
        <is>
          <t>— MISSING —</t>
        </is>
      </c>
      <c r="R285" s="166" t="inlineStr">
        <is>
          <t>— MISSING —</t>
        </is>
      </c>
      <c r="S285" s="167" t="inlineStr">
        <is>
          <t>✗</t>
        </is>
      </c>
      <c r="T285" s="165" t="inlineStr">
        <is>
          <t>— MISSING —</t>
        </is>
      </c>
      <c r="U285" s="166" t="inlineStr">
        <is>
          <t>— MISSING —</t>
        </is>
      </c>
      <c r="V285" s="166" t="inlineStr">
        <is>
          <t>— MISSING —</t>
        </is>
      </c>
      <c r="W285" s="166" t="inlineStr">
        <is>
          <t>— MISSING —</t>
        </is>
      </c>
      <c r="X285" s="167" t="inlineStr">
        <is>
          <t>✗</t>
        </is>
      </c>
      <c r="Y285" s="165" t="inlineStr">
        <is>
          <t>— MISSING —</t>
        </is>
      </c>
      <c r="Z285" s="168" t="inlineStr">
        <is>
          <t>— no certificate —</t>
        </is>
      </c>
      <c r="AA285" s="169" t="inlineStr">
        <is>
          <t>✗</t>
        </is>
      </c>
    </row>
    <row r="286" ht="13" customHeight="1" s="70">
      <c r="A286" s="258" t="n"/>
      <c r="B286" s="256" t="n"/>
      <c r="C286" s="256" t="n"/>
      <c r="D286" s="259" t="n"/>
      <c r="E286" s="257" t="n"/>
      <c r="F286" s="260" t="n"/>
      <c r="G286" s="259" t="n"/>
      <c r="H286" s="257" t="n"/>
      <c r="I286" s="260" t="n"/>
      <c r="J286" s="141" t="inlineStr">
        <is>
          <t>546-1077-26, (31.08.2026) [IJZ-MB]</t>
        </is>
      </c>
      <c r="K286" s="120" t="n"/>
      <c r="L286" s="120" t="n"/>
      <c r="M286" s="120" t="n"/>
      <c r="N286" s="121" t="n"/>
      <c r="O286" s="260" t="n"/>
      <c r="P286" s="170" t="inlineStr">
        <is>
          <t>— no certificate —</t>
        </is>
      </c>
      <c r="Q286" s="120" t="n"/>
      <c r="R286" s="121" t="n"/>
      <c r="S286" s="260" t="n"/>
      <c r="T286" s="170" t="inlineStr">
        <is>
          <t>— no certificate —</t>
        </is>
      </c>
      <c r="U286" s="120" t="n"/>
      <c r="V286" s="120" t="n"/>
      <c r="W286" s="121" t="n"/>
      <c r="X286" s="260" t="n"/>
      <c r="Y286" s="259" t="n"/>
      <c r="Z286" s="257" t="n"/>
      <c r="AA286" s="261" t="n"/>
    </row>
    <row r="287" ht="17.625" customHeight="1" s="70">
      <c r="A287" s="258" t="n"/>
      <c r="B287" s="256" t="n"/>
      <c r="C287" s="256" t="n"/>
      <c r="D287" s="145" t="n"/>
      <c r="E287" s="144" t="n"/>
      <c r="F287" s="146" t="n"/>
      <c r="G287" s="145" t="n"/>
      <c r="H287" s="144" t="n"/>
      <c r="I287" s="146" t="n"/>
      <c r="J287" s="145" t="n"/>
      <c r="K287" s="144" t="n"/>
      <c r="L287" s="144" t="n"/>
      <c r="M287" s="144" t="n"/>
      <c r="N287" s="144" t="n"/>
      <c r="O287" s="146" t="n"/>
      <c r="P287" s="145" t="n"/>
      <c r="Q287" s="144" t="n"/>
      <c r="R287" s="144" t="n"/>
      <c r="S287" s="146" t="n"/>
      <c r="T287" s="145" t="n"/>
      <c r="U287" s="144" t="n"/>
      <c r="V287" s="144" t="n"/>
      <c r="W287" s="144" t="n"/>
      <c r="X287" s="146" t="n"/>
      <c r="Y287" s="145" t="n"/>
      <c r="Z287" s="144" t="n"/>
      <c r="AA287" s="157" t="n"/>
    </row>
    <row r="288" ht="13" customHeight="1" s="70">
      <c r="A288" s="262" t="n"/>
      <c r="B288" s="263" t="n"/>
      <c r="C288" s="263" t="n"/>
      <c r="D288" s="160" t="n"/>
      <c r="E288" s="159" t="n"/>
      <c r="F288" s="161" t="n"/>
      <c r="G288" s="160" t="n"/>
      <c r="H288" s="159" t="n"/>
      <c r="I288" s="161" t="n"/>
      <c r="J288" s="160" t="n"/>
      <c r="K288" s="159" t="n"/>
      <c r="L288" s="159" t="n"/>
      <c r="M288" s="159" t="n"/>
      <c r="N288" s="159" t="n"/>
      <c r="O288" s="161" t="n"/>
      <c r="P288" s="160" t="n"/>
      <c r="Q288" s="159" t="n"/>
      <c r="R288" s="159" t="n"/>
      <c r="S288" s="161" t="n"/>
      <c r="T288" s="160" t="n"/>
      <c r="U288" s="159" t="n"/>
      <c r="V288" s="159" t="n"/>
      <c r="W288" s="159" t="n"/>
      <c r="X288" s="161" t="n"/>
      <c r="Y288" s="160" t="n"/>
      <c r="Z288" s="159" t="n"/>
      <c r="AA288" s="163" t="n"/>
    </row>
    <row r="289" ht="30" customHeight="1" s="70">
      <c r="A289" s="125" t="inlineStr">
        <is>
          <t>BSS052501</t>
        </is>
      </c>
      <c r="B289" s="126" t="inlineStr">
        <is>
          <t>P050192</t>
        </is>
      </c>
      <c r="C289" s="164" t="inlineStr">
        <is>
          <t>⚠ 2 NO RESULT
(0 no cert / 2 cert w/o result)
3 testing instances
• 1 document(s) on file, not credited</t>
        </is>
      </c>
      <c r="D289" s="128" t="inlineStr">
        <is>
          <t>Conforms</t>
        </is>
      </c>
      <c r="E289" s="129">
        <f>IFERROR(INDEX('iCoA Register'!$B:$B,MATCH("P050192|I",'iCoA Register'!$AA:$AA,0)),"iCoA — at issue")&amp;", (10.10.2025) [PP]"</f>
        <v/>
      </c>
      <c r="F289" s="130" t="inlineStr">
        <is>
          <t>✓</t>
        </is>
      </c>
      <c r="G289" s="131" t="inlineStr">
        <is>
          <t>8.60 ᴿ</t>
        </is>
      </c>
      <c r="H289" s="132">
        <f>IFERROR(INDEX('iCoA Register'!$B:$B,MATCH("P050192|I",'iCoA Register'!$AA:$AA,0)),"iCoA — at issue")&amp;", (10.10.2025) [PP] · on file, not credited"</f>
        <v/>
      </c>
      <c r="I289" s="133" t="inlineStr">
        <is>
          <t>•</t>
        </is>
      </c>
      <c r="J289" s="128" t="inlineStr">
        <is>
          <t>200</t>
        </is>
      </c>
      <c r="K289" s="136" t="inlineStr">
        <is>
          <t>200</t>
        </is>
      </c>
      <c r="L289" s="136" t="inlineStr">
        <is>
          <t>&lt; 10² &gt; 10</t>
        </is>
      </c>
      <c r="M289" s="136" t="inlineStr">
        <is>
          <t>Absent</t>
        </is>
      </c>
      <c r="N289" s="136" t="inlineStr">
        <is>
          <t>Absent</t>
        </is>
      </c>
      <c r="O289" s="130" t="inlineStr">
        <is>
          <t>✓</t>
        </is>
      </c>
      <c r="P289" s="205" t="inlineStr">
        <is>
          <t>not on this certificate</t>
        </is>
      </c>
      <c r="Q289" s="206" t="inlineStr"/>
      <c r="R289" s="206" t="inlineStr"/>
      <c r="S289" s="207" t="inlineStr">
        <is>
          <t>✗</t>
        </is>
      </c>
      <c r="T289" s="128" t="inlineStr">
        <is>
          <t>0.024</t>
        </is>
      </c>
      <c r="U289" s="136" t="inlineStr">
        <is>
          <t>0.004</t>
        </is>
      </c>
      <c r="V289" s="136" t="inlineStr">
        <is>
          <t>0.025</t>
        </is>
      </c>
      <c r="W289" s="136" t="inlineStr">
        <is>
          <t>0.0036</t>
        </is>
      </c>
      <c r="X289" s="130" t="inlineStr">
        <is>
          <t>✓</t>
        </is>
      </c>
      <c r="Y289" s="128" t="inlineStr">
        <is>
          <t>&lt; LOQ</t>
        </is>
      </c>
      <c r="Z289" s="129" t="inlineStr">
        <is>
          <t>10802_2845-2 EN, (17.11.2025) [DFL]</t>
        </is>
      </c>
      <c r="AA289" s="137" t="inlineStr">
        <is>
          <t>✓</t>
        </is>
      </c>
    </row>
    <row r="290" ht="21" customHeight="1" s="70">
      <c r="A290" s="258" t="n"/>
      <c r="B290" s="256" t="n"/>
      <c r="C290" s="256" t="n"/>
      <c r="D290" s="259" t="n"/>
      <c r="E290" s="257" t="n"/>
      <c r="F290" s="260" t="n"/>
      <c r="G290" s="259" t="n"/>
      <c r="H290" s="257" t="n"/>
      <c r="I290" s="260" t="n"/>
      <c r="J290" s="141" t="inlineStr">
        <is>
          <t>1157-2058-25, (24.11.2025) [IJZ-MB]</t>
        </is>
      </c>
      <c r="K290" s="120" t="n"/>
      <c r="L290" s="120" t="n"/>
      <c r="M290" s="120" t="n"/>
      <c r="N290" s="121" t="n"/>
      <c r="O290" s="260" t="n"/>
      <c r="P290" s="208" t="inlineStr">
        <is>
          <t>5661-2025, (01.12.2025) [IJZ]</t>
        </is>
      </c>
      <c r="Q290" s="120" t="n"/>
      <c r="R290" s="121" t="n"/>
      <c r="S290" s="260" t="n"/>
      <c r="T290" s="141" t="inlineStr">
        <is>
          <t>5661-2025, (01.12.2025) [IJZ]</t>
        </is>
      </c>
      <c r="U290" s="120" t="n"/>
      <c r="V290" s="120" t="n"/>
      <c r="W290" s="121" t="n"/>
      <c r="X290" s="260" t="n"/>
      <c r="Y290" s="259" t="n"/>
      <c r="Z290" s="257" t="n"/>
      <c r="AA290" s="261" t="n"/>
    </row>
    <row r="291" ht="17.625" customHeight="1" s="70">
      <c r="A291" s="258" t="n"/>
      <c r="B291" s="256" t="n"/>
      <c r="C291" s="256" t="n"/>
      <c r="D291" s="145" t="n"/>
      <c r="E291" s="144" t="n"/>
      <c r="F291" s="146" t="n"/>
      <c r="G291" s="200" t="inlineStr">
        <is>
          <t>not on this certificate</t>
        </is>
      </c>
      <c r="H291" s="201" t="inlineStr">
        <is>
          <t>NGP-QCG-SOP-024 F3, (28.11.2025) [NGP]</t>
        </is>
      </c>
      <c r="I291" s="202" t="inlineStr">
        <is>
          <t>✗</t>
        </is>
      </c>
      <c r="J291" s="155" t="inlineStr">
        <is>
          <t>5.4 × 10²</t>
        </is>
      </c>
      <c r="K291" s="156" t="inlineStr">
        <is>
          <t>3.7 × 10²</t>
        </is>
      </c>
      <c r="L291" s="156" t="inlineStr">
        <is>
          <t>&lt; 10</t>
        </is>
      </c>
      <c r="M291" s="156" t="inlineStr">
        <is>
          <t>Absent</t>
        </is>
      </c>
      <c r="N291" s="156" t="inlineStr">
        <is>
          <t>Absent</t>
        </is>
      </c>
      <c r="O291" s="186" t="inlineStr">
        <is>
          <t>✓</t>
        </is>
      </c>
      <c r="P291" s="155" t="inlineStr">
        <is>
          <t>ND *</t>
        </is>
      </c>
      <c r="Q291" s="156" t="inlineStr">
        <is>
          <t>ND</t>
        </is>
      </c>
      <c r="R291" s="156" t="inlineStr">
        <is>
          <t>&lt; LOQ **</t>
        </is>
      </c>
      <c r="S291" s="186" t="inlineStr">
        <is>
          <t>✓</t>
        </is>
      </c>
      <c r="T291" s="145" t="n"/>
      <c r="U291" s="144" t="n"/>
      <c r="V291" s="144" t="n"/>
      <c r="W291" s="144" t="n"/>
      <c r="X291" s="146" t="n"/>
      <c r="Y291" s="155" t="inlineStr">
        <is>
          <t>&lt; LOQ</t>
        </is>
      </c>
      <c r="Z291" s="185" t="inlineStr">
        <is>
          <t>10802_2845-2 MK, (17.11.2025) [DFL]</t>
        </is>
      </c>
      <c r="AA291" s="209" t="inlineStr">
        <is>
          <t>✓</t>
        </is>
      </c>
    </row>
    <row r="292" ht="13" customHeight="1" s="70">
      <c r="A292" s="258" t="n"/>
      <c r="B292" s="256" t="n"/>
      <c r="C292" s="256" t="n"/>
      <c r="D292" s="194" t="n"/>
      <c r="E292" s="193" t="n"/>
      <c r="F292" s="195" t="n"/>
      <c r="G292" s="259" t="n"/>
      <c r="H292" s="257" t="n"/>
      <c r="I292" s="260" t="n"/>
      <c r="J292" s="210" t="inlineStr">
        <is>
          <t>548-1079-26, (31.08.2026) [IJZ-MB]</t>
        </is>
      </c>
      <c r="K292" s="269" t="n"/>
      <c r="L292" s="269" t="n"/>
      <c r="M292" s="269" t="n"/>
      <c r="N292" s="270" t="n"/>
      <c r="O292" s="260" t="n"/>
      <c r="P292" s="210" t="inlineStr">
        <is>
          <t>276-31-M-25, (04.12.2025) [FHM-M]</t>
        </is>
      </c>
      <c r="Q292" s="269" t="n"/>
      <c r="R292" s="270" t="n"/>
      <c r="S292" s="260" t="n"/>
      <c r="T292" s="194" t="n"/>
      <c r="U292" s="193" t="n"/>
      <c r="V292" s="193" t="n"/>
      <c r="W292" s="193" t="n"/>
      <c r="X292" s="195" t="n"/>
      <c r="Y292" s="259" t="n"/>
      <c r="Z292" s="257" t="n"/>
      <c r="AA292" s="261" t="n"/>
    </row>
    <row r="293" ht="14" customHeight="1" s="70">
      <c r="A293" s="258" t="n"/>
      <c r="B293" s="256" t="n"/>
      <c r="C293" s="256" t="n"/>
      <c r="D293" s="145" t="n"/>
      <c r="E293" s="144" t="n"/>
      <c r="F293" s="146" t="n"/>
      <c r="G293" s="145" t="n"/>
      <c r="H293" s="144" t="n"/>
      <c r="I293" s="146" t="n"/>
      <c r="J293" s="145" t="n"/>
      <c r="K293" s="144" t="n"/>
      <c r="L293" s="144" t="n"/>
      <c r="M293" s="144" t="n"/>
      <c r="N293" s="144" t="n"/>
      <c r="O293" s="146" t="n"/>
      <c r="P293" s="155" t="inlineStr">
        <is>
          <t>ND</t>
        </is>
      </c>
      <c r="Q293" s="156" t="inlineStr">
        <is>
          <t>ND</t>
        </is>
      </c>
      <c r="R293" s="156" t="inlineStr">
        <is>
          <t>ND</t>
        </is>
      </c>
      <c r="S293" s="149" t="inlineStr">
        <is>
          <t>✓</t>
        </is>
      </c>
      <c r="T293" s="145" t="n"/>
      <c r="U293" s="144" t="n"/>
      <c r="V293" s="144" t="n"/>
      <c r="W293" s="144" t="n"/>
      <c r="X293" s="146" t="n"/>
      <c r="Y293" s="226" t="inlineStr">
        <is>
          <t>not on this certificate</t>
        </is>
      </c>
      <c r="Z293" s="227" t="inlineStr">
        <is>
          <t>5661-2025, (01.12.2025) [IJZ]</t>
        </is>
      </c>
      <c r="AA293" s="228" t="inlineStr">
        <is>
          <t>✗</t>
        </is>
      </c>
    </row>
    <row r="294" ht="13" customHeight="1" s="70">
      <c r="A294" s="262" t="n"/>
      <c r="B294" s="263" t="n"/>
      <c r="C294" s="263" t="n"/>
      <c r="D294" s="160" t="n"/>
      <c r="E294" s="159" t="n"/>
      <c r="F294" s="161" t="n"/>
      <c r="G294" s="160" t="n"/>
      <c r="H294" s="159" t="n"/>
      <c r="I294" s="161" t="n"/>
      <c r="J294" s="160" t="n"/>
      <c r="K294" s="159" t="n"/>
      <c r="L294" s="159" t="n"/>
      <c r="M294" s="159" t="n"/>
      <c r="N294" s="159" t="n"/>
      <c r="O294" s="161" t="n"/>
      <c r="P294" s="162" t="inlineStr">
        <is>
          <t>220-2-M-26, (11.09.2026) [FHM-M]</t>
        </is>
      </c>
      <c r="Q294" s="266" t="n"/>
      <c r="R294" s="267" t="n"/>
      <c r="S294" s="265" t="n"/>
      <c r="T294" s="160" t="n"/>
      <c r="U294" s="159" t="n"/>
      <c r="V294" s="159" t="n"/>
      <c r="W294" s="159" t="n"/>
      <c r="X294" s="161" t="n"/>
      <c r="Y294" s="264" t="n"/>
      <c r="Z294" s="263" t="n"/>
      <c r="AA294" s="268" t="n"/>
    </row>
    <row r="295" ht="21" customHeight="1" s="70">
      <c r="A295" s="125" t="inlineStr">
        <is>
          <t>GP062501</t>
        </is>
      </c>
      <c r="B295" s="126" t="inlineStr">
        <is>
          <t>P050202</t>
        </is>
      </c>
      <c r="C295" s="127" t="inlineStr">
        <is>
          <t>✓ COMPLETE
7 testing instances
• 5 document(s) on file, not credited
· stability above A.C.: #6</t>
        </is>
      </c>
      <c r="D295" s="128" t="inlineStr">
        <is>
          <t>Conforms</t>
        </is>
      </c>
      <c r="E295" s="129">
        <f>IFERROR(INDEX('iCoA Register'!$B:$B,MATCH("P050202|I",'iCoA Register'!$AA:$AA,0)),"iCoA — at issue")&amp;", (30.10.2025) [PP]"</f>
        <v/>
      </c>
      <c r="F295" s="130" t="inlineStr">
        <is>
          <t>✓</t>
        </is>
      </c>
      <c r="G295" s="131" t="inlineStr">
        <is>
          <t>8.19 (avg of 4 weighings 51-1,51-2,52-1,52-2) ᴿ</t>
        </is>
      </c>
      <c r="H295" s="132">
        <f>IFERROR(INDEX('iCoA Register'!$B:$B,MATCH("P050202|I",'iCoA Register'!$AA:$AA,0)),"iCoA — at issue")&amp;", (30.10.2025) [PP] · on file, not credited"</f>
        <v/>
      </c>
      <c r="I295" s="133" t="inlineStr">
        <is>
          <t>•</t>
        </is>
      </c>
      <c r="J295" s="128" t="inlineStr">
        <is>
          <t>1.3 × 10⁴</t>
        </is>
      </c>
      <c r="K295" s="136" t="inlineStr">
        <is>
          <t>4.2 × 10³</t>
        </is>
      </c>
      <c r="L295" s="136" t="inlineStr">
        <is>
          <t>&lt; 10³ and &gt; 10² ᴿ</t>
        </is>
      </c>
      <c r="M295" s="136" t="inlineStr">
        <is>
          <t>Absent</t>
        </is>
      </c>
      <c r="N295" s="136" t="inlineStr">
        <is>
          <t>Absent</t>
        </is>
      </c>
      <c r="O295" s="130" t="inlineStr">
        <is>
          <t>✓</t>
        </is>
      </c>
      <c r="P295" s="128" t="inlineStr">
        <is>
          <t>ND</t>
        </is>
      </c>
      <c r="Q295" s="136" t="inlineStr">
        <is>
          <t>&lt; 2</t>
        </is>
      </c>
      <c r="R295" s="136" t="inlineStr">
        <is>
          <t>ND</t>
        </is>
      </c>
      <c r="S295" s="130" t="inlineStr">
        <is>
          <t>✓</t>
        </is>
      </c>
      <c r="T295" s="128" t="inlineStr">
        <is>
          <t>0.077</t>
        </is>
      </c>
      <c r="U295" s="136" t="inlineStr">
        <is>
          <t>0.014</t>
        </is>
      </c>
      <c r="V295" s="136" t="inlineStr">
        <is>
          <t>0.024</t>
        </is>
      </c>
      <c r="W295" s="136" t="inlineStr">
        <is>
          <t>0.011</t>
        </is>
      </c>
      <c r="X295" s="130" t="inlineStr">
        <is>
          <t>✓</t>
        </is>
      </c>
      <c r="Y295" s="128" t="inlineStr">
        <is>
          <t>≤ LOQ (all 28 compounds)</t>
        </is>
      </c>
      <c r="Z295" s="129" t="inlineStr">
        <is>
          <t>4762-2025, (08.10.2025) [IJZ]</t>
        </is>
      </c>
      <c r="AA295" s="137" t="inlineStr">
        <is>
          <t>✓</t>
        </is>
      </c>
    </row>
    <row r="296" ht="24.375" customHeight="1" s="70">
      <c r="A296" s="258" t="n"/>
      <c r="B296" s="256" t="n"/>
      <c r="C296" s="256" t="n"/>
      <c r="D296" s="259" t="n"/>
      <c r="E296" s="257" t="n"/>
      <c r="F296" s="260" t="n"/>
      <c r="G296" s="259" t="n"/>
      <c r="H296" s="257" t="n"/>
      <c r="I296" s="260" t="n"/>
      <c r="J296" s="141" t="inlineStr">
        <is>
          <t>1009-1813-25, (08.10.2025) [IJZ-MB]</t>
        </is>
      </c>
      <c r="K296" s="120" t="n"/>
      <c r="L296" s="120" t="n"/>
      <c r="M296" s="120" t="n"/>
      <c r="N296" s="121" t="n"/>
      <c r="O296" s="260" t="n"/>
      <c r="P296" s="141" t="inlineStr">
        <is>
          <t>4762-2025, (08.10.2025) [IJZ]</t>
        </is>
      </c>
      <c r="Q296" s="120" t="n"/>
      <c r="R296" s="121" t="n"/>
      <c r="S296" s="260" t="n"/>
      <c r="T296" s="141" t="inlineStr">
        <is>
          <t>4762-2025, (08.10.2025) [IJZ]</t>
        </is>
      </c>
      <c r="U296" s="120" t="n"/>
      <c r="V296" s="120" t="n"/>
      <c r="W296" s="121" t="n"/>
      <c r="X296" s="260" t="n"/>
      <c r="Y296" s="259" t="n"/>
      <c r="Z296" s="257" t="n"/>
      <c r="AA296" s="261" t="n"/>
    </row>
    <row r="297" ht="17.625" customHeight="1" s="70">
      <c r="A297" s="258" t="n"/>
      <c r="B297" s="256" t="n"/>
      <c r="C297" s="256" t="n"/>
      <c r="D297" s="145" t="n"/>
      <c r="E297" s="144" t="n"/>
      <c r="F297" s="146" t="n"/>
      <c r="G297" s="155" t="inlineStr">
        <is>
          <t>8.19</t>
        </is>
      </c>
      <c r="H297" s="185" t="inlineStr">
        <is>
          <t>NGP-QCG-SOP-024 F3, (28.11.2025) [NGP]</t>
        </is>
      </c>
      <c r="I297" s="186" t="inlineStr">
        <is>
          <t>✓</t>
        </is>
      </c>
      <c r="J297" s="155" t="inlineStr">
        <is>
          <t>600</t>
        </is>
      </c>
      <c r="K297" s="156" t="inlineStr">
        <is>
          <t>400</t>
        </is>
      </c>
      <c r="L297" s="156" t="inlineStr">
        <is>
          <t>&lt; 10</t>
        </is>
      </c>
      <c r="M297" s="156" t="inlineStr">
        <is>
          <t>Absent</t>
        </is>
      </c>
      <c r="N297" s="156" t="inlineStr">
        <is>
          <t>Absent</t>
        </is>
      </c>
      <c r="O297" s="186" t="inlineStr">
        <is>
          <t>✓</t>
        </is>
      </c>
      <c r="P297" s="145" t="n"/>
      <c r="Q297" s="144" t="n"/>
      <c r="R297" s="144" t="n"/>
      <c r="S297" s="146" t="n"/>
      <c r="T297" s="145" t="n"/>
      <c r="U297" s="144" t="n"/>
      <c r="V297" s="144" t="n"/>
      <c r="W297" s="144" t="n"/>
      <c r="X297" s="146" t="n"/>
      <c r="Y297" s="145" t="n"/>
      <c r="Z297" s="144" t="n"/>
      <c r="AA297" s="157" t="n"/>
    </row>
    <row r="298" ht="13" customHeight="1" s="70">
      <c r="A298" s="258" t="n"/>
      <c r="B298" s="256" t="n"/>
      <c r="C298" s="256" t="n"/>
      <c r="D298" s="194" t="n"/>
      <c r="E298" s="193" t="n"/>
      <c r="F298" s="195" t="n"/>
      <c r="G298" s="259" t="n"/>
      <c r="H298" s="257" t="n"/>
      <c r="I298" s="260" t="n"/>
      <c r="J298" s="210" t="inlineStr">
        <is>
          <t>1155-2056-25, (24.11.2025) [IJZ-MB]</t>
        </is>
      </c>
      <c r="K298" s="269" t="n"/>
      <c r="L298" s="269" t="n"/>
      <c r="M298" s="269" t="n"/>
      <c r="N298" s="270" t="n"/>
      <c r="O298" s="260" t="n"/>
      <c r="P298" s="194" t="n"/>
      <c r="Q298" s="193" t="n"/>
      <c r="R298" s="193" t="n"/>
      <c r="S298" s="195" t="n"/>
      <c r="T298" s="194" t="n"/>
      <c r="U298" s="193" t="n"/>
      <c r="V298" s="193" t="n"/>
      <c r="W298" s="193" t="n"/>
      <c r="X298" s="195" t="n"/>
      <c r="Y298" s="194" t="n"/>
      <c r="Z298" s="193" t="n"/>
      <c r="AA298" s="196" t="n"/>
    </row>
    <row r="299" ht="17.625" customHeight="1" s="70">
      <c r="A299" s="258" t="n"/>
      <c r="B299" s="256" t="n"/>
      <c r="C299" s="256" t="n"/>
      <c r="D299" s="145" t="n"/>
      <c r="E299" s="144" t="n"/>
      <c r="F299" s="146" t="n"/>
      <c r="G299" s="218" t="inlineStr">
        <is>
          <t>5.83</t>
        </is>
      </c>
      <c r="H299" s="219" t="inlineStr">
        <is>
          <t>ППК26036, (05.03.2026) [CNP]</t>
        </is>
      </c>
      <c r="I299" s="220" t="inlineStr">
        <is>
          <t>✓</t>
        </is>
      </c>
      <c r="J299" s="155" t="inlineStr">
        <is>
          <t>&lt; 10</t>
        </is>
      </c>
      <c r="K299" s="156" t="inlineStr">
        <is>
          <t>&lt; 10</t>
        </is>
      </c>
      <c r="L299" s="156" t="inlineStr">
        <is>
          <t>&lt; 10</t>
        </is>
      </c>
      <c r="M299" s="156" t="inlineStr">
        <is>
          <t>Absent</t>
        </is>
      </c>
      <c r="N299" s="156" t="inlineStr">
        <is>
          <t>Absent</t>
        </is>
      </c>
      <c r="O299" s="186" t="inlineStr">
        <is>
          <t>✓</t>
        </is>
      </c>
      <c r="P299" s="145" t="n"/>
      <c r="Q299" s="144" t="n"/>
      <c r="R299" s="144" t="n"/>
      <c r="S299" s="146" t="n"/>
      <c r="T299" s="145" t="n"/>
      <c r="U299" s="144" t="n"/>
      <c r="V299" s="144" t="n"/>
      <c r="W299" s="144" t="n"/>
      <c r="X299" s="146" t="n"/>
      <c r="Y299" s="145" t="n"/>
      <c r="Z299" s="144" t="n"/>
      <c r="AA299" s="157" t="n"/>
    </row>
    <row r="300" ht="13" customHeight="1" s="70">
      <c r="A300" s="258" t="n"/>
      <c r="B300" s="256" t="n"/>
      <c r="C300" s="256" t="n"/>
      <c r="D300" s="194" t="n"/>
      <c r="E300" s="193" t="n"/>
      <c r="F300" s="195" t="n"/>
      <c r="G300" s="259" t="n"/>
      <c r="H300" s="257" t="n"/>
      <c r="I300" s="260" t="n"/>
      <c r="J300" s="210" t="inlineStr">
        <is>
          <t>557-1088-26, (01.09.2026) [IJZ-MB]</t>
        </is>
      </c>
      <c r="K300" s="269" t="n"/>
      <c r="L300" s="269" t="n"/>
      <c r="M300" s="269" t="n"/>
      <c r="N300" s="270" t="n"/>
      <c r="O300" s="260" t="n"/>
      <c r="P300" s="194" t="n"/>
      <c r="Q300" s="193" t="n"/>
      <c r="R300" s="193" t="n"/>
      <c r="S300" s="195" t="n"/>
      <c r="T300" s="194" t="n"/>
      <c r="U300" s="193" t="n"/>
      <c r="V300" s="193" t="n"/>
      <c r="W300" s="193" t="n"/>
      <c r="X300" s="195" t="n"/>
      <c r="Y300" s="194" t="n"/>
      <c r="Z300" s="193" t="n"/>
      <c r="AA300" s="196" t="n"/>
    </row>
    <row r="301" ht="17.625" customHeight="1" s="70">
      <c r="A301" s="258" t="n"/>
      <c r="B301" s="256" t="n"/>
      <c r="C301" s="256" t="n"/>
      <c r="D301" s="145" t="n"/>
      <c r="E301" s="144" t="n"/>
      <c r="F301" s="146" t="n"/>
      <c r="G301" s="218" t="inlineStr">
        <is>
          <t>5.38</t>
        </is>
      </c>
      <c r="H301" s="219" t="inlineStr">
        <is>
          <t>ППК26037, (05.03.2026) [CNP]</t>
        </is>
      </c>
      <c r="I301" s="220" t="inlineStr">
        <is>
          <t>✓</t>
        </is>
      </c>
      <c r="J301" s="145" t="n"/>
      <c r="K301" s="144" t="n"/>
      <c r="L301" s="144" t="n"/>
      <c r="M301" s="144" t="n"/>
      <c r="N301" s="144" t="n"/>
      <c r="O301" s="146" t="n"/>
      <c r="P301" s="145" t="n"/>
      <c r="Q301" s="144" t="n"/>
      <c r="R301" s="144" t="n"/>
      <c r="S301" s="146" t="n"/>
      <c r="T301" s="145" t="n"/>
      <c r="U301" s="144" t="n"/>
      <c r="V301" s="144" t="n"/>
      <c r="W301" s="144" t="n"/>
      <c r="X301" s="146" t="n"/>
      <c r="Y301" s="145" t="n"/>
      <c r="Z301" s="144" t="n"/>
      <c r="AA301" s="157" t="n"/>
    </row>
    <row r="302" ht="13" customHeight="1" s="70">
      <c r="A302" s="258" t="n"/>
      <c r="B302" s="256" t="n"/>
      <c r="C302" s="256" t="n"/>
      <c r="D302" s="194" t="n"/>
      <c r="E302" s="193" t="n"/>
      <c r="F302" s="195" t="n"/>
      <c r="G302" s="259" t="n"/>
      <c r="H302" s="257" t="n"/>
      <c r="I302" s="260" t="n"/>
      <c r="J302" s="194" t="n"/>
      <c r="K302" s="193" t="n"/>
      <c r="L302" s="193" t="n"/>
      <c r="M302" s="193" t="n"/>
      <c r="N302" s="193" t="n"/>
      <c r="O302" s="195" t="n"/>
      <c r="P302" s="194" t="n"/>
      <c r="Q302" s="193" t="n"/>
      <c r="R302" s="193" t="n"/>
      <c r="S302" s="195" t="n"/>
      <c r="T302" s="194" t="n"/>
      <c r="U302" s="193" t="n"/>
      <c r="V302" s="193" t="n"/>
      <c r="W302" s="193" t="n"/>
      <c r="X302" s="195" t="n"/>
      <c r="Y302" s="194" t="n"/>
      <c r="Z302" s="193" t="n"/>
      <c r="AA302" s="196" t="n"/>
    </row>
    <row r="303" ht="17.625" customHeight="1" s="70">
      <c r="A303" s="258" t="n"/>
      <c r="B303" s="256" t="n"/>
      <c r="C303" s="256" t="n"/>
      <c r="D303" s="145" t="n"/>
      <c r="E303" s="144" t="n"/>
      <c r="F303" s="146" t="n"/>
      <c r="G303" s="218" t="inlineStr">
        <is>
          <t>6.85</t>
        </is>
      </c>
      <c r="H303" s="219" t="inlineStr">
        <is>
          <t>ППК26057, (11.05.2026) [CNP]</t>
        </is>
      </c>
      <c r="I303" s="220" t="inlineStr">
        <is>
          <t>✓</t>
        </is>
      </c>
      <c r="J303" s="145" t="n"/>
      <c r="K303" s="144" t="n"/>
      <c r="L303" s="144" t="n"/>
      <c r="M303" s="144" t="n"/>
      <c r="N303" s="144" t="n"/>
      <c r="O303" s="146" t="n"/>
      <c r="P303" s="145" t="n"/>
      <c r="Q303" s="144" t="n"/>
      <c r="R303" s="144" t="n"/>
      <c r="S303" s="146" t="n"/>
      <c r="T303" s="145" t="n"/>
      <c r="U303" s="144" t="n"/>
      <c r="V303" s="144" t="n"/>
      <c r="W303" s="144" t="n"/>
      <c r="X303" s="146" t="n"/>
      <c r="Y303" s="145" t="n"/>
      <c r="Z303" s="144" t="n"/>
      <c r="AA303" s="157" t="n"/>
    </row>
    <row r="304" ht="13" customHeight="1" s="70">
      <c r="A304" s="258" t="n"/>
      <c r="B304" s="256" t="n"/>
      <c r="C304" s="256" t="n"/>
      <c r="D304" s="194" t="n"/>
      <c r="E304" s="193" t="n"/>
      <c r="F304" s="195" t="n"/>
      <c r="G304" s="259" t="n"/>
      <c r="H304" s="257" t="n"/>
      <c r="I304" s="260" t="n"/>
      <c r="J304" s="194" t="n"/>
      <c r="K304" s="193" t="n"/>
      <c r="L304" s="193" t="n"/>
      <c r="M304" s="193" t="n"/>
      <c r="N304" s="193" t="n"/>
      <c r="O304" s="195" t="n"/>
      <c r="P304" s="194" t="n"/>
      <c r="Q304" s="193" t="n"/>
      <c r="R304" s="193" t="n"/>
      <c r="S304" s="195" t="n"/>
      <c r="T304" s="194" t="n"/>
      <c r="U304" s="193" t="n"/>
      <c r="V304" s="193" t="n"/>
      <c r="W304" s="193" t="n"/>
      <c r="X304" s="195" t="n"/>
      <c r="Y304" s="194" t="n"/>
      <c r="Z304" s="193" t="n"/>
      <c r="AA304" s="196" t="n"/>
    </row>
    <row r="305" ht="17.625" customHeight="1" s="70">
      <c r="A305" s="258" t="n"/>
      <c r="B305" s="256" t="n"/>
      <c r="C305" s="256" t="n"/>
      <c r="D305" s="145" t="n"/>
      <c r="E305" s="144" t="n"/>
      <c r="F305" s="146" t="n"/>
      <c r="G305" s="218" t="inlineStr">
        <is>
          <t>6.60</t>
        </is>
      </c>
      <c r="H305" s="219" t="inlineStr">
        <is>
          <t>ППК26058, (11.05.2026) [CNP]</t>
        </is>
      </c>
      <c r="I305" s="220" t="inlineStr">
        <is>
          <t>✓</t>
        </is>
      </c>
      <c r="J305" s="145" t="n"/>
      <c r="K305" s="144" t="n"/>
      <c r="L305" s="144" t="n"/>
      <c r="M305" s="144" t="n"/>
      <c r="N305" s="144" t="n"/>
      <c r="O305" s="146" t="n"/>
      <c r="P305" s="145" t="n"/>
      <c r="Q305" s="144" t="n"/>
      <c r="R305" s="144" t="n"/>
      <c r="S305" s="146" t="n"/>
      <c r="T305" s="145" t="n"/>
      <c r="U305" s="144" t="n"/>
      <c r="V305" s="144" t="n"/>
      <c r="W305" s="144" t="n"/>
      <c r="X305" s="146" t="n"/>
      <c r="Y305" s="145" t="n"/>
      <c r="Z305" s="144" t="n"/>
      <c r="AA305" s="157" t="n"/>
    </row>
    <row r="306" ht="13" customHeight="1" s="70">
      <c r="A306" s="258" t="n"/>
      <c r="B306" s="256" t="n"/>
      <c r="C306" s="256" t="n"/>
      <c r="D306" s="194" t="n"/>
      <c r="E306" s="193" t="n"/>
      <c r="F306" s="195" t="n"/>
      <c r="G306" s="259" t="n"/>
      <c r="H306" s="257" t="n"/>
      <c r="I306" s="260" t="n"/>
      <c r="J306" s="194" t="n"/>
      <c r="K306" s="193" t="n"/>
      <c r="L306" s="193" t="n"/>
      <c r="M306" s="193" t="n"/>
      <c r="N306" s="193" t="n"/>
      <c r="O306" s="195" t="n"/>
      <c r="P306" s="194" t="n"/>
      <c r="Q306" s="193" t="n"/>
      <c r="R306" s="193" t="n"/>
      <c r="S306" s="195" t="n"/>
      <c r="T306" s="194" t="n"/>
      <c r="U306" s="193" t="n"/>
      <c r="V306" s="193" t="n"/>
      <c r="W306" s="193" t="n"/>
      <c r="X306" s="195" t="n"/>
      <c r="Y306" s="194" t="n"/>
      <c r="Z306" s="193" t="n"/>
      <c r="AA306" s="196" t="n"/>
    </row>
    <row r="307" ht="17.625" customHeight="1" s="70">
      <c r="A307" s="258" t="n"/>
      <c r="B307" s="256" t="n"/>
      <c r="C307" s="256" t="n"/>
      <c r="D307" s="145" t="n"/>
      <c r="E307" s="144" t="n"/>
      <c r="F307" s="146" t="n"/>
      <c r="G307" s="145" t="n"/>
      <c r="H307" s="144" t="n"/>
      <c r="I307" s="146" t="n"/>
      <c r="J307" s="145" t="n"/>
      <c r="K307" s="144" t="n"/>
      <c r="L307" s="144" t="n"/>
      <c r="M307" s="144" t="n"/>
      <c r="N307" s="144" t="n"/>
      <c r="O307" s="146" t="n"/>
      <c r="P307" s="145" t="n"/>
      <c r="Q307" s="144" t="n"/>
      <c r="R307" s="144" t="n"/>
      <c r="S307" s="146" t="n"/>
      <c r="T307" s="145" t="n"/>
      <c r="U307" s="144" t="n"/>
      <c r="V307" s="144" t="n"/>
      <c r="W307" s="144" t="n"/>
      <c r="X307" s="146" t="n"/>
      <c r="Y307" s="145" t="n"/>
      <c r="Z307" s="144" t="n"/>
      <c r="AA307" s="157" t="n"/>
    </row>
    <row r="308" ht="13" customHeight="1" s="70">
      <c r="A308" s="262" t="n"/>
      <c r="B308" s="263" t="n"/>
      <c r="C308" s="263" t="n"/>
      <c r="D308" s="160" t="n"/>
      <c r="E308" s="159" t="n"/>
      <c r="F308" s="161" t="n"/>
      <c r="G308" s="160" t="n"/>
      <c r="H308" s="159" t="n"/>
      <c r="I308" s="161" t="n"/>
      <c r="J308" s="160" t="n"/>
      <c r="K308" s="159" t="n"/>
      <c r="L308" s="159" t="n"/>
      <c r="M308" s="159" t="n"/>
      <c r="N308" s="159" t="n"/>
      <c r="O308" s="161" t="n"/>
      <c r="P308" s="160" t="n"/>
      <c r="Q308" s="159" t="n"/>
      <c r="R308" s="159" t="n"/>
      <c r="S308" s="161" t="n"/>
      <c r="T308" s="160" t="n"/>
      <c r="U308" s="159" t="n"/>
      <c r="V308" s="159" t="n"/>
      <c r="W308" s="159" t="n"/>
      <c r="X308" s="161" t="n"/>
      <c r="Y308" s="160" t="n"/>
      <c r="Z308" s="159" t="n"/>
      <c r="AA308" s="163" t="n"/>
    </row>
    <row r="309" ht="21" customHeight="1" s="70">
      <c r="A309" s="125" t="inlineStr">
        <is>
          <t>CC012601/1</t>
        </is>
      </c>
      <c r="B309" s="126" t="inlineStr">
        <is>
          <t>P060332</t>
        </is>
      </c>
      <c r="C309" s="171" t="inlineStr">
        <is>
          <t>✗ 4 NO RESULT
(4 no cert / 0 cert w/o result)
• 1 document(s) on file, not credited</t>
        </is>
      </c>
      <c r="D309" s="172" t="inlineStr">
        <is>
          <t>Conforms</t>
        </is>
      </c>
      <c r="E309" s="173">
        <f>IFERROR(INDEX('iCoA Register'!$B:$B,MATCH("P060332|I",'iCoA Register'!$AA:$AA,0)),"iCoA — at issue")&amp;", (22.05.2026) [PP]"</f>
        <v/>
      </c>
      <c r="F309" s="174" t="inlineStr">
        <is>
          <t>✓</t>
        </is>
      </c>
      <c r="G309" s="229" t="inlineStr">
        <is>
          <t>not on this certificate</t>
        </is>
      </c>
      <c r="H309" s="230" t="inlineStr">
        <is>
          <t>197-6-K-26, (07.08.2026) [FHM-K] · on file, not credited</t>
        </is>
      </c>
      <c r="I309" s="231" t="inlineStr">
        <is>
          <t>•</t>
        </is>
      </c>
      <c r="J309" s="165" t="inlineStr">
        <is>
          <t>— MISSING —</t>
        </is>
      </c>
      <c r="K309" s="166" t="inlineStr">
        <is>
          <t>— MISSING —</t>
        </is>
      </c>
      <c r="L309" s="166" t="inlineStr">
        <is>
          <t>— MISSING —</t>
        </is>
      </c>
      <c r="M309" s="166" t="inlineStr">
        <is>
          <t>— MISSING —</t>
        </is>
      </c>
      <c r="N309" s="166" t="inlineStr">
        <is>
          <t>— MISSING —</t>
        </is>
      </c>
      <c r="O309" s="178" t="inlineStr">
        <is>
          <t>✗</t>
        </is>
      </c>
      <c r="P309" s="128" t="inlineStr">
        <is>
          <t>ND</t>
        </is>
      </c>
      <c r="Q309" s="136" t="inlineStr">
        <is>
          <t>ND</t>
        </is>
      </c>
      <c r="R309" s="136" t="inlineStr">
        <is>
          <t>ND</t>
        </is>
      </c>
      <c r="S309" s="174" t="inlineStr">
        <is>
          <t>✓</t>
        </is>
      </c>
      <c r="T309" s="165" t="inlineStr">
        <is>
          <t>— MISSING —</t>
        </is>
      </c>
      <c r="U309" s="166" t="inlineStr">
        <is>
          <t>— MISSING —</t>
        </is>
      </c>
      <c r="V309" s="166" t="inlineStr">
        <is>
          <t>— MISSING —</t>
        </is>
      </c>
      <c r="W309" s="166" t="inlineStr">
        <is>
          <t>— MISSING —</t>
        </is>
      </c>
      <c r="X309" s="178" t="inlineStr">
        <is>
          <t>✗</t>
        </is>
      </c>
      <c r="Y309" s="179" t="inlineStr">
        <is>
          <t>— MISSING —</t>
        </is>
      </c>
      <c r="Z309" s="180" t="inlineStr">
        <is>
          <t>— no certificate —</t>
        </is>
      </c>
      <c r="AA309" s="181" t="inlineStr">
        <is>
          <t>✗</t>
        </is>
      </c>
    </row>
    <row r="310" ht="15.375" customHeight="1" s="70">
      <c r="A310" s="262" t="n"/>
      <c r="B310" s="263" t="n"/>
      <c r="C310" s="263" t="n"/>
      <c r="D310" s="264" t="n"/>
      <c r="E310" s="263" t="n"/>
      <c r="F310" s="265" t="n"/>
      <c r="G310" s="264" t="n"/>
      <c r="H310" s="263" t="n"/>
      <c r="I310" s="265" t="n"/>
      <c r="J310" s="182" t="inlineStr">
        <is>
          <t>— no certificate —</t>
        </is>
      </c>
      <c r="K310" s="266" t="n"/>
      <c r="L310" s="266" t="n"/>
      <c r="M310" s="266" t="n"/>
      <c r="N310" s="267" t="n"/>
      <c r="O310" s="265" t="n"/>
      <c r="P310" s="162" t="inlineStr">
        <is>
          <t>197-6-M-26, (10.08.2026) [FHM-M]</t>
        </is>
      </c>
      <c r="Q310" s="266" t="n"/>
      <c r="R310" s="267" t="n"/>
      <c r="S310" s="265" t="n"/>
      <c r="T310" s="182" t="inlineStr">
        <is>
          <t>— no certificate —</t>
        </is>
      </c>
      <c r="U310" s="266" t="n"/>
      <c r="V310" s="266" t="n"/>
      <c r="W310" s="267" t="n"/>
      <c r="X310" s="265" t="n"/>
      <c r="Y310" s="264" t="n"/>
      <c r="Z310" s="263" t="n"/>
      <c r="AA310" s="268" t="n"/>
    </row>
    <row r="311" ht="21" customHeight="1" s="70">
      <c r="A311" s="125" t="inlineStr">
        <is>
          <t>FB012602*</t>
        </is>
      </c>
      <c r="B311" s="126" t="inlineStr">
        <is>
          <t>P060352</t>
        </is>
      </c>
      <c r="C311" s="171" t="inlineStr">
        <is>
          <t>✗ 4 NO RESULT
(4 no cert / 0 cert w/o result)
• 1 document(s) on file, not credited</t>
        </is>
      </c>
      <c r="D311" s="172" t="inlineStr">
        <is>
          <t>Conforms</t>
        </is>
      </c>
      <c r="E311" s="173">
        <f>IFERROR(INDEX('iCoA Register'!$B:$B,MATCH("P060352|I",'iCoA Register'!$AA:$AA,0)),"iCoA — at issue")&amp;", (23.05.2026) [PP]"</f>
        <v/>
      </c>
      <c r="F311" s="174" t="inlineStr">
        <is>
          <t>✓</t>
        </is>
      </c>
      <c r="G311" s="229" t="inlineStr">
        <is>
          <t>not on this certificate</t>
        </is>
      </c>
      <c r="H311" s="230" t="inlineStr">
        <is>
          <t>197-7-K-26, (07.08.2026) [FHM-K] · on file, not credited</t>
        </is>
      </c>
      <c r="I311" s="231" t="inlineStr">
        <is>
          <t>•</t>
        </is>
      </c>
      <c r="J311" s="165" t="inlineStr">
        <is>
          <t>— MISSING —</t>
        </is>
      </c>
      <c r="K311" s="166" t="inlineStr">
        <is>
          <t>— MISSING —</t>
        </is>
      </c>
      <c r="L311" s="166" t="inlineStr">
        <is>
          <t>— MISSING —</t>
        </is>
      </c>
      <c r="M311" s="166" t="inlineStr">
        <is>
          <t>— MISSING —</t>
        </is>
      </c>
      <c r="N311" s="166" t="inlineStr">
        <is>
          <t>— MISSING —</t>
        </is>
      </c>
      <c r="O311" s="178" t="inlineStr">
        <is>
          <t>✗</t>
        </is>
      </c>
      <c r="P311" s="128" t="inlineStr">
        <is>
          <t>ND</t>
        </is>
      </c>
      <c r="Q311" s="136" t="inlineStr">
        <is>
          <t>ND</t>
        </is>
      </c>
      <c r="R311" s="136" t="inlineStr">
        <is>
          <t>ND</t>
        </is>
      </c>
      <c r="S311" s="174" t="inlineStr">
        <is>
          <t>✓</t>
        </is>
      </c>
      <c r="T311" s="165" t="inlineStr">
        <is>
          <t>— MISSING —</t>
        </is>
      </c>
      <c r="U311" s="166" t="inlineStr">
        <is>
          <t>— MISSING —</t>
        </is>
      </c>
      <c r="V311" s="166" t="inlineStr">
        <is>
          <t>— MISSING —</t>
        </is>
      </c>
      <c r="W311" s="166" t="inlineStr">
        <is>
          <t>— MISSING —</t>
        </is>
      </c>
      <c r="X311" s="178" t="inlineStr">
        <is>
          <t>✗</t>
        </is>
      </c>
      <c r="Y311" s="179" t="inlineStr">
        <is>
          <t>— MISSING —</t>
        </is>
      </c>
      <c r="Z311" s="180" t="inlineStr">
        <is>
          <t>— no certificate —</t>
        </is>
      </c>
      <c r="AA311" s="181" t="inlineStr">
        <is>
          <t>✗</t>
        </is>
      </c>
    </row>
    <row r="312" ht="15.375" customHeight="1" s="70">
      <c r="A312" s="262" t="n"/>
      <c r="B312" s="263" t="n"/>
      <c r="C312" s="263" t="n"/>
      <c r="D312" s="264" t="n"/>
      <c r="E312" s="263" t="n"/>
      <c r="F312" s="265" t="n"/>
      <c r="G312" s="264" t="n"/>
      <c r="H312" s="263" t="n"/>
      <c r="I312" s="265" t="n"/>
      <c r="J312" s="182" t="inlineStr">
        <is>
          <t>— no certificate —</t>
        </is>
      </c>
      <c r="K312" s="266" t="n"/>
      <c r="L312" s="266" t="n"/>
      <c r="M312" s="266" t="n"/>
      <c r="N312" s="267" t="n"/>
      <c r="O312" s="265" t="n"/>
      <c r="P312" s="162" t="inlineStr">
        <is>
          <t>197-7-M-26, (10.08.2026) [FHM-M]</t>
        </is>
      </c>
      <c r="Q312" s="266" t="n"/>
      <c r="R312" s="267" t="n"/>
      <c r="S312" s="265" t="n"/>
      <c r="T312" s="182" t="inlineStr">
        <is>
          <t>— no certificate —</t>
        </is>
      </c>
      <c r="U312" s="266" t="n"/>
      <c r="V312" s="266" t="n"/>
      <c r="W312" s="267" t="n"/>
      <c r="X312" s="265" t="n"/>
      <c r="Y312" s="264" t="n"/>
      <c r="Z312" s="263" t="n"/>
      <c r="AA312" s="268" t="n"/>
    </row>
    <row r="313" ht="21" customHeight="1" s="70">
      <c r="A313" s="125" t="inlineStr">
        <is>
          <t>SCR012603</t>
        </is>
      </c>
      <c r="B313" s="126" t="inlineStr">
        <is>
          <t>P060382</t>
        </is>
      </c>
      <c r="C313" s="171" t="inlineStr">
        <is>
          <t>✗ 4 NO RESULT
(4 no cert / 0 cert w/o result)
• 1 document(s) on file, not credited</t>
        </is>
      </c>
      <c r="D313" s="172" t="inlineStr">
        <is>
          <t>Conforms</t>
        </is>
      </c>
      <c r="E313" s="173">
        <f>IFERROR(INDEX('iCoA Register'!$B:$B,MATCH("P060382|I",'iCoA Register'!$AA:$AA,0)),"iCoA — at issue")&amp;", (25.05.2026) [PP]"</f>
        <v/>
      </c>
      <c r="F313" s="174" t="inlineStr">
        <is>
          <t>✓</t>
        </is>
      </c>
      <c r="G313" s="229" t="inlineStr">
        <is>
          <t>not on this certificate</t>
        </is>
      </c>
      <c r="H313" s="230" t="inlineStr">
        <is>
          <t>197-21-K-26, (07.08.2026) [FHM-K] · on file, not credited</t>
        </is>
      </c>
      <c r="I313" s="231" t="inlineStr">
        <is>
          <t>•</t>
        </is>
      </c>
      <c r="J313" s="165" t="inlineStr">
        <is>
          <t>— MISSING —</t>
        </is>
      </c>
      <c r="K313" s="166" t="inlineStr">
        <is>
          <t>— MISSING —</t>
        </is>
      </c>
      <c r="L313" s="166" t="inlineStr">
        <is>
          <t>— MISSING —</t>
        </is>
      </c>
      <c r="M313" s="166" t="inlineStr">
        <is>
          <t>— MISSING —</t>
        </is>
      </c>
      <c r="N313" s="166" t="inlineStr">
        <is>
          <t>— MISSING —</t>
        </is>
      </c>
      <c r="O313" s="178" t="inlineStr">
        <is>
          <t>✗</t>
        </is>
      </c>
      <c r="P313" s="128" t="inlineStr">
        <is>
          <t>ND</t>
        </is>
      </c>
      <c r="Q313" s="136" t="inlineStr">
        <is>
          <t>ND</t>
        </is>
      </c>
      <c r="R313" s="136" t="inlineStr">
        <is>
          <t>ND</t>
        </is>
      </c>
      <c r="S313" s="174" t="inlineStr">
        <is>
          <t>✓</t>
        </is>
      </c>
      <c r="T313" s="165" t="inlineStr">
        <is>
          <t>— MISSING —</t>
        </is>
      </c>
      <c r="U313" s="166" t="inlineStr">
        <is>
          <t>— MISSING —</t>
        </is>
      </c>
      <c r="V313" s="166" t="inlineStr">
        <is>
          <t>— MISSING —</t>
        </is>
      </c>
      <c r="W313" s="166" t="inlineStr">
        <is>
          <t>— MISSING —</t>
        </is>
      </c>
      <c r="X313" s="178" t="inlineStr">
        <is>
          <t>✗</t>
        </is>
      </c>
      <c r="Y313" s="179" t="inlineStr">
        <is>
          <t>— MISSING —</t>
        </is>
      </c>
      <c r="Z313" s="180" t="inlineStr">
        <is>
          <t>— no certificate —</t>
        </is>
      </c>
      <c r="AA313" s="181" t="inlineStr">
        <is>
          <t>✗</t>
        </is>
      </c>
    </row>
    <row r="314" ht="15.375" customHeight="1" s="70">
      <c r="A314" s="262" t="n"/>
      <c r="B314" s="263" t="n"/>
      <c r="C314" s="263" t="n"/>
      <c r="D314" s="264" t="n"/>
      <c r="E314" s="263" t="n"/>
      <c r="F314" s="265" t="n"/>
      <c r="G314" s="264" t="n"/>
      <c r="H314" s="263" t="n"/>
      <c r="I314" s="265" t="n"/>
      <c r="J314" s="182" t="inlineStr">
        <is>
          <t>— no certificate —</t>
        </is>
      </c>
      <c r="K314" s="266" t="n"/>
      <c r="L314" s="266" t="n"/>
      <c r="M314" s="266" t="n"/>
      <c r="N314" s="267" t="n"/>
      <c r="O314" s="265" t="n"/>
      <c r="P314" s="162" t="inlineStr">
        <is>
          <t>197-21-M-26, (10.08.2026) [FHM-M]</t>
        </is>
      </c>
      <c r="Q314" s="266" t="n"/>
      <c r="R314" s="267" t="n"/>
      <c r="S314" s="265" t="n"/>
      <c r="T314" s="182" t="inlineStr">
        <is>
          <t>— no certificate —</t>
        </is>
      </c>
      <c r="U314" s="266" t="n"/>
      <c r="V314" s="266" t="n"/>
      <c r="W314" s="267" t="n"/>
      <c r="X314" s="265" t="n"/>
      <c r="Y314" s="264" t="n"/>
      <c r="Z314" s="263" t="n"/>
      <c r="AA314" s="268" t="n"/>
    </row>
    <row r="315" ht="21" customHeight="1" s="70">
      <c r="A315" s="125" t="inlineStr">
        <is>
          <t>— not recorded — (P160012)</t>
        </is>
      </c>
      <c r="B315" s="126" t="inlineStr">
        <is>
          <t>P160012</t>
        </is>
      </c>
      <c r="C315" s="171" t="inlineStr">
        <is>
          <t>✗ 4 NO RESULT
(4 no cert / 0 cert w/o result)</t>
        </is>
      </c>
      <c r="D315" s="172" t="inlineStr">
        <is>
          <t>0.42 % (Conforms)</t>
        </is>
      </c>
      <c r="E315" s="173" t="inlineStr">
        <is>
          <t>ППК26117, (06.07.2026) [CNP]</t>
        </is>
      </c>
      <c r="F315" s="174" t="inlineStr">
        <is>
          <t>✓</t>
        </is>
      </c>
      <c r="G315" s="172" t="inlineStr">
        <is>
          <t>6.31</t>
        </is>
      </c>
      <c r="H315" s="173" t="inlineStr">
        <is>
          <t>ППК26117, (06.07.2026) [CNP]</t>
        </is>
      </c>
      <c r="I315" s="174" t="inlineStr">
        <is>
          <t>✓</t>
        </is>
      </c>
      <c r="J315" s="165" t="inlineStr">
        <is>
          <t>— MISSING —</t>
        </is>
      </c>
      <c r="K315" s="166" t="inlineStr">
        <is>
          <t>— MISSING —</t>
        </is>
      </c>
      <c r="L315" s="166" t="inlineStr">
        <is>
          <t>— MISSING —</t>
        </is>
      </c>
      <c r="M315" s="166" t="inlineStr">
        <is>
          <t>— MISSING —</t>
        </is>
      </c>
      <c r="N315" s="166" t="inlineStr">
        <is>
          <t>— MISSING —</t>
        </is>
      </c>
      <c r="O315" s="178" t="inlineStr">
        <is>
          <t>✗</t>
        </is>
      </c>
      <c r="P315" s="165" t="inlineStr">
        <is>
          <t>— MISSING —</t>
        </is>
      </c>
      <c r="Q315" s="166" t="inlineStr">
        <is>
          <t>— MISSING —</t>
        </is>
      </c>
      <c r="R315" s="166" t="inlineStr">
        <is>
          <t>— MISSING —</t>
        </is>
      </c>
      <c r="S315" s="178" t="inlineStr">
        <is>
          <t>✗</t>
        </is>
      </c>
      <c r="T315" s="165" t="inlineStr">
        <is>
          <t>— MISSING —</t>
        </is>
      </c>
      <c r="U315" s="166" t="inlineStr">
        <is>
          <t>— MISSING —</t>
        </is>
      </c>
      <c r="V315" s="166" t="inlineStr">
        <is>
          <t>— MISSING —</t>
        </is>
      </c>
      <c r="W315" s="166" t="inlineStr">
        <is>
          <t>— MISSING —</t>
        </is>
      </c>
      <c r="X315" s="178" t="inlineStr">
        <is>
          <t>✗</t>
        </is>
      </c>
      <c r="Y315" s="179" t="inlineStr">
        <is>
          <t>— MISSING —</t>
        </is>
      </c>
      <c r="Z315" s="180" t="inlineStr">
        <is>
          <t>— no certificate —</t>
        </is>
      </c>
      <c r="AA315" s="181" t="inlineStr">
        <is>
          <t>✗</t>
        </is>
      </c>
    </row>
    <row r="316" ht="13" customHeight="1" s="70">
      <c r="A316" s="262" t="n"/>
      <c r="B316" s="263" t="n"/>
      <c r="C316" s="263" t="n"/>
      <c r="D316" s="264" t="n"/>
      <c r="E316" s="263" t="n"/>
      <c r="F316" s="265" t="n"/>
      <c r="G316" s="264" t="n"/>
      <c r="H316" s="263" t="n"/>
      <c r="I316" s="265" t="n"/>
      <c r="J316" s="182" t="inlineStr">
        <is>
          <t>— no certificate —</t>
        </is>
      </c>
      <c r="K316" s="266" t="n"/>
      <c r="L316" s="266" t="n"/>
      <c r="M316" s="266" t="n"/>
      <c r="N316" s="267" t="n"/>
      <c r="O316" s="265" t="n"/>
      <c r="P316" s="182" t="inlineStr">
        <is>
          <t>— no certificate —</t>
        </is>
      </c>
      <c r="Q316" s="266" t="n"/>
      <c r="R316" s="267" t="n"/>
      <c r="S316" s="265" t="n"/>
      <c r="T316" s="182" t="inlineStr">
        <is>
          <t>— no certificate —</t>
        </is>
      </c>
      <c r="U316" s="266" t="n"/>
      <c r="V316" s="266" t="n"/>
      <c r="W316" s="267" t="n"/>
      <c r="X316" s="265" t="n"/>
      <c r="Y316" s="264" t="n"/>
      <c r="Z316" s="263" t="n"/>
      <c r="AA316" s="268" t="n"/>
    </row>
    <row r="317" ht="21" customHeight="1" s="70">
      <c r="A317" s="125" t="inlineStr">
        <is>
          <t>— not recorded — (P160022)</t>
        </is>
      </c>
      <c r="B317" s="126" t="inlineStr">
        <is>
          <t>P160022</t>
        </is>
      </c>
      <c r="C317" s="171" t="inlineStr">
        <is>
          <t>✗ 4 NO RESULT
(4 no cert / 0 cert w/o result)</t>
        </is>
      </c>
      <c r="D317" s="172" t="inlineStr">
        <is>
          <t>Conforms (no value printed)</t>
        </is>
      </c>
      <c r="E317" s="173" t="inlineStr">
        <is>
          <t>ППК26118, (06.07.2026) [CNP]</t>
        </is>
      </c>
      <c r="F317" s="174" t="inlineStr">
        <is>
          <t>✓</t>
        </is>
      </c>
      <c r="G317" s="172" t="inlineStr">
        <is>
          <t>6.67</t>
        </is>
      </c>
      <c r="H317" s="173" t="inlineStr">
        <is>
          <t>ППК26118, (06.07.2026) [CNP]</t>
        </is>
      </c>
      <c r="I317" s="174" t="inlineStr">
        <is>
          <t>✓</t>
        </is>
      </c>
      <c r="J317" s="165" t="inlineStr">
        <is>
          <t>— MISSING —</t>
        </is>
      </c>
      <c r="K317" s="166" t="inlineStr">
        <is>
          <t>— MISSING —</t>
        </is>
      </c>
      <c r="L317" s="166" t="inlineStr">
        <is>
          <t>— MISSING —</t>
        </is>
      </c>
      <c r="M317" s="166" t="inlineStr">
        <is>
          <t>— MISSING —</t>
        </is>
      </c>
      <c r="N317" s="166" t="inlineStr">
        <is>
          <t>— MISSING —</t>
        </is>
      </c>
      <c r="O317" s="178" t="inlineStr">
        <is>
          <t>✗</t>
        </is>
      </c>
      <c r="P317" s="165" t="inlineStr">
        <is>
          <t>— MISSING —</t>
        </is>
      </c>
      <c r="Q317" s="166" t="inlineStr">
        <is>
          <t>— MISSING —</t>
        </is>
      </c>
      <c r="R317" s="166" t="inlineStr">
        <is>
          <t>— MISSING —</t>
        </is>
      </c>
      <c r="S317" s="178" t="inlineStr">
        <is>
          <t>✗</t>
        </is>
      </c>
      <c r="T317" s="165" t="inlineStr">
        <is>
          <t>— MISSING —</t>
        </is>
      </c>
      <c r="U317" s="166" t="inlineStr">
        <is>
          <t>— MISSING —</t>
        </is>
      </c>
      <c r="V317" s="166" t="inlineStr">
        <is>
          <t>— MISSING —</t>
        </is>
      </c>
      <c r="W317" s="166" t="inlineStr">
        <is>
          <t>— MISSING —</t>
        </is>
      </c>
      <c r="X317" s="178" t="inlineStr">
        <is>
          <t>✗</t>
        </is>
      </c>
      <c r="Y317" s="179" t="inlineStr">
        <is>
          <t>— MISSING —</t>
        </is>
      </c>
      <c r="Z317" s="180" t="inlineStr">
        <is>
          <t>— no certificate —</t>
        </is>
      </c>
      <c r="AA317" s="181" t="inlineStr">
        <is>
          <t>✗</t>
        </is>
      </c>
    </row>
    <row r="318" ht="15.375" customHeight="1" s="70">
      <c r="A318" s="262" t="n"/>
      <c r="B318" s="263" t="n"/>
      <c r="C318" s="263" t="n"/>
      <c r="D318" s="264" t="n"/>
      <c r="E318" s="263" t="n"/>
      <c r="F318" s="265" t="n"/>
      <c r="G318" s="264" t="n"/>
      <c r="H318" s="263" t="n"/>
      <c r="I318" s="265" t="n"/>
      <c r="J318" s="182" t="inlineStr">
        <is>
          <t>— no certificate —</t>
        </is>
      </c>
      <c r="K318" s="266" t="n"/>
      <c r="L318" s="266" t="n"/>
      <c r="M318" s="266" t="n"/>
      <c r="N318" s="267" t="n"/>
      <c r="O318" s="265" t="n"/>
      <c r="P318" s="182" t="inlineStr">
        <is>
          <t>— no certificate —</t>
        </is>
      </c>
      <c r="Q318" s="266" t="n"/>
      <c r="R318" s="267" t="n"/>
      <c r="S318" s="265" t="n"/>
      <c r="T318" s="182" t="inlineStr">
        <is>
          <t>— no certificate —</t>
        </is>
      </c>
      <c r="U318" s="266" t="n"/>
      <c r="V318" s="266" t="n"/>
      <c r="W318" s="267" t="n"/>
      <c r="X318" s="265" t="n"/>
      <c r="Y318" s="264" t="n"/>
      <c r="Z318" s="263" t="n"/>
      <c r="AA318" s="268" t="n"/>
    </row>
    <row r="319" ht="21" customHeight="1" s="70">
      <c r="A319" s="125" t="inlineStr">
        <is>
          <t>— not recorded — (P160032)</t>
        </is>
      </c>
      <c r="B319" s="126" t="inlineStr">
        <is>
          <t>P160032</t>
        </is>
      </c>
      <c r="C319" s="171" t="inlineStr">
        <is>
          <t>✗ 4 NO RESULT
(4 no cert / 0 cert w/o result)</t>
        </is>
      </c>
      <c r="D319" s="172" t="inlineStr">
        <is>
          <t>Conforms (no value printed)</t>
        </is>
      </c>
      <c r="E319" s="173" t="inlineStr">
        <is>
          <t>ППК26119, (06.07.2026) [CNP]</t>
        </is>
      </c>
      <c r="F319" s="174" t="inlineStr">
        <is>
          <t>✓</t>
        </is>
      </c>
      <c r="G319" s="172" t="inlineStr">
        <is>
          <t>6.78</t>
        </is>
      </c>
      <c r="H319" s="173" t="inlineStr">
        <is>
          <t>ППК26119, (06.07.2026) [CNP]</t>
        </is>
      </c>
      <c r="I319" s="174" t="inlineStr">
        <is>
          <t>✓</t>
        </is>
      </c>
      <c r="J319" s="165" t="inlineStr">
        <is>
          <t>— MISSING —</t>
        </is>
      </c>
      <c r="K319" s="166" t="inlineStr">
        <is>
          <t>— MISSING —</t>
        </is>
      </c>
      <c r="L319" s="166" t="inlineStr">
        <is>
          <t>— MISSING —</t>
        </is>
      </c>
      <c r="M319" s="166" t="inlineStr">
        <is>
          <t>— MISSING —</t>
        </is>
      </c>
      <c r="N319" s="166" t="inlineStr">
        <is>
          <t>— MISSING —</t>
        </is>
      </c>
      <c r="O319" s="178" t="inlineStr">
        <is>
          <t>✗</t>
        </is>
      </c>
      <c r="P319" s="165" t="inlineStr">
        <is>
          <t>— MISSING —</t>
        </is>
      </c>
      <c r="Q319" s="166" t="inlineStr">
        <is>
          <t>— MISSING —</t>
        </is>
      </c>
      <c r="R319" s="166" t="inlineStr">
        <is>
          <t>— MISSING —</t>
        </is>
      </c>
      <c r="S319" s="178" t="inlineStr">
        <is>
          <t>✗</t>
        </is>
      </c>
      <c r="T319" s="165" t="inlineStr">
        <is>
          <t>— MISSING —</t>
        </is>
      </c>
      <c r="U319" s="166" t="inlineStr">
        <is>
          <t>— MISSING —</t>
        </is>
      </c>
      <c r="V319" s="166" t="inlineStr">
        <is>
          <t>— MISSING —</t>
        </is>
      </c>
      <c r="W319" s="166" t="inlineStr">
        <is>
          <t>— MISSING —</t>
        </is>
      </c>
      <c r="X319" s="178" t="inlineStr">
        <is>
          <t>✗</t>
        </is>
      </c>
      <c r="Y319" s="179" t="inlineStr">
        <is>
          <t>— MISSING —</t>
        </is>
      </c>
      <c r="Z319" s="180" t="inlineStr">
        <is>
          <t>— no certificate —</t>
        </is>
      </c>
      <c r="AA319" s="181" t="inlineStr">
        <is>
          <t>✗</t>
        </is>
      </c>
    </row>
    <row r="320" ht="15.375" customHeight="1" s="70">
      <c r="A320" s="262" t="n"/>
      <c r="B320" s="263" t="n"/>
      <c r="C320" s="263" t="n"/>
      <c r="D320" s="264" t="n"/>
      <c r="E320" s="263" t="n"/>
      <c r="F320" s="265" t="n"/>
      <c r="G320" s="264" t="n"/>
      <c r="H320" s="263" t="n"/>
      <c r="I320" s="265" t="n"/>
      <c r="J320" s="182" t="inlineStr">
        <is>
          <t>— no certificate —</t>
        </is>
      </c>
      <c r="K320" s="266" t="n"/>
      <c r="L320" s="266" t="n"/>
      <c r="M320" s="266" t="n"/>
      <c r="N320" s="267" t="n"/>
      <c r="O320" s="265" t="n"/>
      <c r="P320" s="182" t="inlineStr">
        <is>
          <t>— no certificate —</t>
        </is>
      </c>
      <c r="Q320" s="266" t="n"/>
      <c r="R320" s="267" t="n"/>
      <c r="S320" s="265" t="n"/>
      <c r="T320" s="182" t="inlineStr">
        <is>
          <t>— no certificate —</t>
        </is>
      </c>
      <c r="U320" s="266" t="n"/>
      <c r="V320" s="266" t="n"/>
      <c r="W320" s="267" t="n"/>
      <c r="X320" s="265" t="n"/>
      <c r="Y320" s="264" t="n"/>
      <c r="Z320" s="263" t="n"/>
      <c r="AA320" s="268" t="n"/>
    </row>
    <row r="321" ht="21" customHeight="1" s="70">
      <c r="A321" s="125" t="inlineStr">
        <is>
          <t>PM112501</t>
        </is>
      </c>
      <c r="B321" s="126" t="inlineStr">
        <is>
          <t>P060232</t>
        </is>
      </c>
      <c r="C321" s="164" t="inlineStr">
        <is>
          <t>⚠ 3 NO RESULT
(3 no cert / 0 cert w/o result)
2 testing instances
• 1 document(s) on file, not credited</t>
        </is>
      </c>
      <c r="D321" s="128" t="inlineStr">
        <is>
          <t>Conforms</t>
        </is>
      </c>
      <c r="E321" s="129">
        <f>IFERROR(INDEX('iCoA Register'!$B:$B,MATCH("P060232|I",'iCoA Register'!$AA:$AA,0)),"iCoA — at issue")&amp;", (27.04.2026) [PP]"</f>
        <v/>
      </c>
      <c r="F321" s="130" t="inlineStr">
        <is>
          <t>✓</t>
        </is>
      </c>
      <c r="G321" s="128" t="inlineStr">
        <is>
          <t>8.61</t>
        </is>
      </c>
      <c r="H321" s="129" t="inlineStr">
        <is>
          <t>ППК26030, (05.03.2026) [CNP]</t>
        </is>
      </c>
      <c r="I321" s="130" t="inlineStr">
        <is>
          <t>✓</t>
        </is>
      </c>
      <c r="J321" s="165" t="inlineStr">
        <is>
          <t>— MISSING —</t>
        </is>
      </c>
      <c r="K321" s="166" t="inlineStr">
        <is>
          <t>— MISSING —</t>
        </is>
      </c>
      <c r="L321" s="166" t="inlineStr">
        <is>
          <t>— MISSING —</t>
        </is>
      </c>
      <c r="M321" s="166" t="inlineStr">
        <is>
          <t>— MISSING —</t>
        </is>
      </c>
      <c r="N321" s="166" t="inlineStr">
        <is>
          <t>— MISSING —</t>
        </is>
      </c>
      <c r="O321" s="167" t="inlineStr">
        <is>
          <t>✗</t>
        </is>
      </c>
      <c r="P321" s="128" t="inlineStr">
        <is>
          <t>ND</t>
        </is>
      </c>
      <c r="Q321" s="136" t="inlineStr">
        <is>
          <t>ND</t>
        </is>
      </c>
      <c r="R321" s="136" t="inlineStr">
        <is>
          <t>ND</t>
        </is>
      </c>
      <c r="S321" s="130" t="inlineStr">
        <is>
          <t>✓</t>
        </is>
      </c>
      <c r="T321" s="165" t="inlineStr">
        <is>
          <t>— MISSING —</t>
        </is>
      </c>
      <c r="U321" s="166" t="inlineStr">
        <is>
          <t>— MISSING —</t>
        </is>
      </c>
      <c r="V321" s="166" t="inlineStr">
        <is>
          <t>— MISSING —</t>
        </is>
      </c>
      <c r="W321" s="166" t="inlineStr">
        <is>
          <t>— MISSING —</t>
        </is>
      </c>
      <c r="X321" s="167" t="inlineStr">
        <is>
          <t>✗</t>
        </is>
      </c>
      <c r="Y321" s="165" t="inlineStr">
        <is>
          <t>— MISSING —</t>
        </is>
      </c>
      <c r="Z321" s="168" t="inlineStr">
        <is>
          <t>— no certificate —</t>
        </is>
      </c>
      <c r="AA321" s="169" t="inlineStr">
        <is>
          <t>✗</t>
        </is>
      </c>
    </row>
    <row r="322" ht="13" customHeight="1" s="70">
      <c r="A322" s="258" t="n"/>
      <c r="B322" s="256" t="n"/>
      <c r="C322" s="256" t="n"/>
      <c r="D322" s="259" t="n"/>
      <c r="E322" s="257" t="n"/>
      <c r="F322" s="260" t="n"/>
      <c r="G322" s="259" t="n"/>
      <c r="H322" s="257" t="n"/>
      <c r="I322" s="260" t="n"/>
      <c r="J322" s="170" t="inlineStr">
        <is>
          <t>— no certificate —</t>
        </is>
      </c>
      <c r="K322" s="120" t="n"/>
      <c r="L322" s="120" t="n"/>
      <c r="M322" s="120" t="n"/>
      <c r="N322" s="121" t="n"/>
      <c r="O322" s="260" t="n"/>
      <c r="P322" s="141" t="inlineStr">
        <is>
          <t>220-24-M-26, (11.09.2026) [FHM-M]</t>
        </is>
      </c>
      <c r="Q322" s="120" t="n"/>
      <c r="R322" s="121" t="n"/>
      <c r="S322" s="260" t="n"/>
      <c r="T322" s="170" t="inlineStr">
        <is>
          <t>— no certificate —</t>
        </is>
      </c>
      <c r="U322" s="120" t="n"/>
      <c r="V322" s="120" t="n"/>
      <c r="W322" s="121" t="n"/>
      <c r="X322" s="260" t="n"/>
      <c r="Y322" s="259" t="n"/>
      <c r="Z322" s="257" t="n"/>
      <c r="AA322" s="261" t="n"/>
    </row>
    <row r="323" ht="14" customHeight="1" s="70">
      <c r="A323" s="258" t="n"/>
      <c r="B323" s="256" t="n"/>
      <c r="C323" s="256" t="n"/>
      <c r="D323" s="145" t="n"/>
      <c r="E323" s="144" t="n"/>
      <c r="F323" s="146" t="n"/>
      <c r="G323" s="145" t="n"/>
      <c r="H323" s="144" t="n"/>
      <c r="I323" s="146" t="n"/>
      <c r="J323" s="145" t="n"/>
      <c r="K323" s="144" t="n"/>
      <c r="L323" s="144" t="n"/>
      <c r="M323" s="144" t="n"/>
      <c r="N323" s="144" t="n"/>
      <c r="O323" s="146" t="n"/>
      <c r="P323" s="145" t="n"/>
      <c r="Q323" s="144" t="n"/>
      <c r="R323" s="144" t="n"/>
      <c r="S323" s="146" t="n"/>
      <c r="T323" s="145" t="n"/>
      <c r="U323" s="144" t="n"/>
      <c r="V323" s="144" t="n"/>
      <c r="W323" s="144" t="n"/>
      <c r="X323" s="146" t="n"/>
      <c r="Y323" s="145" t="n"/>
      <c r="Z323" s="144" t="n"/>
      <c r="AA323" s="157" t="n"/>
    </row>
    <row r="324" ht="13" customHeight="1" s="70">
      <c r="A324" s="262" t="n"/>
      <c r="B324" s="263" t="n"/>
      <c r="C324" s="263" t="n"/>
      <c r="D324" s="160" t="n"/>
      <c r="E324" s="159" t="n"/>
      <c r="F324" s="161" t="n"/>
      <c r="G324" s="160" t="n"/>
      <c r="H324" s="159" t="n"/>
      <c r="I324" s="161" t="n"/>
      <c r="J324" s="160" t="n"/>
      <c r="K324" s="159" t="n"/>
      <c r="L324" s="159" t="n"/>
      <c r="M324" s="159" t="n"/>
      <c r="N324" s="159" t="n"/>
      <c r="O324" s="161" t="n"/>
      <c r="P324" s="160" t="n"/>
      <c r="Q324" s="159" t="n"/>
      <c r="R324" s="159" t="n"/>
      <c r="S324" s="161" t="n"/>
      <c r="T324" s="160" t="n"/>
      <c r="U324" s="159" t="n"/>
      <c r="V324" s="159" t="n"/>
      <c r="W324" s="159" t="n"/>
      <c r="X324" s="161" t="n"/>
      <c r="Y324" s="160" t="n"/>
      <c r="Z324" s="159" t="n"/>
      <c r="AA324" s="163" t="n"/>
    </row>
    <row r="325" ht="21" customHeight="1" s="70">
      <c r="A325" s="125" t="inlineStr">
        <is>
          <t>SCR022601</t>
        </is>
      </c>
      <c r="B325" s="126" t="inlineStr">
        <is>
          <t>P060442</t>
        </is>
      </c>
      <c r="C325" s="164" t="inlineStr">
        <is>
          <t>⚠ 3 NO RESULT
(3 no cert / 0 cert w/o result)
2 testing instances</t>
        </is>
      </c>
      <c r="D325" s="128" t="inlineStr">
        <is>
          <t>Conforms ᴿ</t>
        </is>
      </c>
      <c r="E325" s="129" t="inlineStr">
        <is>
          <t>ППК26116, (06.07.2026) [CNP]</t>
        </is>
      </c>
      <c r="F325" s="130" t="inlineStr">
        <is>
          <t>✓</t>
        </is>
      </c>
      <c r="G325" s="128" t="inlineStr">
        <is>
          <t>7.06 ᴿ</t>
        </is>
      </c>
      <c r="H325" s="129" t="inlineStr">
        <is>
          <t>ППК26116, (06.07.2026) [CNP]</t>
        </is>
      </c>
      <c r="I325" s="130" t="inlineStr">
        <is>
          <t>✓</t>
        </is>
      </c>
      <c r="J325" s="128" t="inlineStr">
        <is>
          <t>1.7 × 10³</t>
        </is>
      </c>
      <c r="K325" s="136" t="inlineStr">
        <is>
          <t>5.6 × 10²</t>
        </is>
      </c>
      <c r="L325" s="136" t="inlineStr">
        <is>
          <t>&lt; 10</t>
        </is>
      </c>
      <c r="M325" s="136" t="inlineStr">
        <is>
          <t>Absent</t>
        </is>
      </c>
      <c r="N325" s="136" t="inlineStr">
        <is>
          <t>Absent</t>
        </is>
      </c>
      <c r="O325" s="130" t="inlineStr">
        <is>
          <t>✓</t>
        </is>
      </c>
      <c r="P325" s="165" t="inlineStr">
        <is>
          <t>— MISSING —</t>
        </is>
      </c>
      <c r="Q325" s="166" t="inlineStr">
        <is>
          <t>— MISSING —</t>
        </is>
      </c>
      <c r="R325" s="166" t="inlineStr">
        <is>
          <t>— MISSING —</t>
        </is>
      </c>
      <c r="S325" s="167" t="inlineStr">
        <is>
          <t>✗</t>
        </is>
      </c>
      <c r="T325" s="165" t="inlineStr">
        <is>
          <t>— MISSING —</t>
        </is>
      </c>
      <c r="U325" s="166" t="inlineStr">
        <is>
          <t>— MISSING —</t>
        </is>
      </c>
      <c r="V325" s="166" t="inlineStr">
        <is>
          <t>— MISSING —</t>
        </is>
      </c>
      <c r="W325" s="166" t="inlineStr">
        <is>
          <t>— MISSING —</t>
        </is>
      </c>
      <c r="X325" s="167" t="inlineStr">
        <is>
          <t>✗</t>
        </is>
      </c>
      <c r="Y325" s="165" t="inlineStr">
        <is>
          <t>— MISSING —</t>
        </is>
      </c>
      <c r="Z325" s="168" t="inlineStr">
        <is>
          <t>— no certificate —</t>
        </is>
      </c>
      <c r="AA325" s="169" t="inlineStr">
        <is>
          <t>✗</t>
        </is>
      </c>
    </row>
    <row r="326" ht="13" customHeight="1" s="70">
      <c r="A326" s="258" t="n"/>
      <c r="B326" s="256" t="n"/>
      <c r="C326" s="256" t="n"/>
      <c r="D326" s="259" t="n"/>
      <c r="E326" s="257" t="n"/>
      <c r="F326" s="260" t="n"/>
      <c r="G326" s="259" t="n"/>
      <c r="H326" s="257" t="n"/>
      <c r="I326" s="260" t="n"/>
      <c r="J326" s="141" t="inlineStr">
        <is>
          <t>536-1067-26, (31.08.2026) [IJZ-MB]</t>
        </is>
      </c>
      <c r="K326" s="120" t="n"/>
      <c r="L326" s="120" t="n"/>
      <c r="M326" s="120" t="n"/>
      <c r="N326" s="121" t="n"/>
      <c r="O326" s="260" t="n"/>
      <c r="P326" s="170" t="inlineStr">
        <is>
          <t>— no certificate —</t>
        </is>
      </c>
      <c r="Q326" s="120" t="n"/>
      <c r="R326" s="121" t="n"/>
      <c r="S326" s="260" t="n"/>
      <c r="T326" s="170" t="inlineStr">
        <is>
          <t>— no certificate —</t>
        </is>
      </c>
      <c r="U326" s="120" t="n"/>
      <c r="V326" s="120" t="n"/>
      <c r="W326" s="121" t="n"/>
      <c r="X326" s="260" t="n"/>
      <c r="Y326" s="259" t="n"/>
      <c r="Z326" s="257" t="n"/>
      <c r="AA326" s="261" t="n"/>
    </row>
    <row r="327" ht="17.625" customHeight="1" s="70">
      <c r="A327" s="258" t="n"/>
      <c r="B327" s="256" t="n"/>
      <c r="C327" s="256" t="n"/>
      <c r="D327" s="145" t="n"/>
      <c r="E327" s="144" t="n"/>
      <c r="F327" s="146" t="n"/>
      <c r="G327" s="145" t="n"/>
      <c r="H327" s="144" t="n"/>
      <c r="I327" s="146" t="n"/>
      <c r="J327" s="145" t="n"/>
      <c r="K327" s="144" t="n"/>
      <c r="L327" s="144" t="n"/>
      <c r="M327" s="144" t="n"/>
      <c r="N327" s="144" t="n"/>
      <c r="O327" s="146" t="n"/>
      <c r="P327" s="145" t="n"/>
      <c r="Q327" s="144" t="n"/>
      <c r="R327" s="144" t="n"/>
      <c r="S327" s="146" t="n"/>
      <c r="T327" s="145" t="n"/>
      <c r="U327" s="144" t="n"/>
      <c r="V327" s="144" t="n"/>
      <c r="W327" s="144" t="n"/>
      <c r="X327" s="146" t="n"/>
      <c r="Y327" s="145" t="n"/>
      <c r="Z327" s="144" t="n"/>
      <c r="AA327" s="157" t="n"/>
    </row>
    <row r="328" ht="13" customHeight="1" s="70">
      <c r="A328" s="262" t="n"/>
      <c r="B328" s="263" t="n"/>
      <c r="C328" s="263" t="n"/>
      <c r="D328" s="160" t="n"/>
      <c r="E328" s="159" t="n"/>
      <c r="F328" s="161" t="n"/>
      <c r="G328" s="160" t="n"/>
      <c r="H328" s="159" t="n"/>
      <c r="I328" s="161" t="n"/>
      <c r="J328" s="160" t="n"/>
      <c r="K328" s="159" t="n"/>
      <c r="L328" s="159" t="n"/>
      <c r="M328" s="159" t="n"/>
      <c r="N328" s="159" t="n"/>
      <c r="O328" s="161" t="n"/>
      <c r="P328" s="160" t="n"/>
      <c r="Q328" s="159" t="n"/>
      <c r="R328" s="159" t="n"/>
      <c r="S328" s="161" t="n"/>
      <c r="T328" s="160" t="n"/>
      <c r="U328" s="159" t="n"/>
      <c r="V328" s="159" t="n"/>
      <c r="W328" s="159" t="n"/>
      <c r="X328" s="161" t="n"/>
      <c r="Y328" s="160" t="n"/>
      <c r="Z328" s="159" t="n"/>
      <c r="AA328" s="163" t="n"/>
    </row>
    <row r="329" ht="21" customHeight="1" s="70">
      <c r="A329" s="125" t="inlineStr">
        <is>
          <t>SJ102501</t>
        </is>
      </c>
      <c r="B329" s="126" t="inlineStr">
        <is>
          <t>P060162</t>
        </is>
      </c>
      <c r="C329" s="164" t="inlineStr">
        <is>
          <t>⚠ 3 NO RESULT
(3 no cert / 0 cert w/o result)
3 testing instances
• 2 document(s) on file, not credited</t>
        </is>
      </c>
      <c r="D329" s="128" t="inlineStr">
        <is>
          <t>Conforms</t>
        </is>
      </c>
      <c r="E329" s="129">
        <f>IFERROR(INDEX('iCoA Register'!$B:$B,MATCH("P060162|I",'iCoA Register'!$AA:$AA,0)),"iCoA — at issue")&amp;", (09.03.2026) [PP]"</f>
        <v/>
      </c>
      <c r="F329" s="130" t="inlineStr">
        <is>
          <t>✓</t>
        </is>
      </c>
      <c r="G329" s="128" t="inlineStr">
        <is>
          <t>7.8</t>
        </is>
      </c>
      <c r="H329" s="129" t="inlineStr">
        <is>
          <t>051-3-LoD-26, (02.03.2026) [FHM-K]</t>
        </is>
      </c>
      <c r="I329" s="130" t="inlineStr">
        <is>
          <t>✓</t>
        </is>
      </c>
      <c r="J329" s="128" t="inlineStr">
        <is>
          <t>5.2 × 10²</t>
        </is>
      </c>
      <c r="K329" s="136" t="inlineStr">
        <is>
          <t>4.3 × 10²</t>
        </is>
      </c>
      <c r="L329" s="136" t="inlineStr">
        <is>
          <t>&lt; 10</t>
        </is>
      </c>
      <c r="M329" s="136" t="inlineStr">
        <is>
          <t>Absent</t>
        </is>
      </c>
      <c r="N329" s="136" t="inlineStr">
        <is>
          <t>Absent</t>
        </is>
      </c>
      <c r="O329" s="130" t="inlineStr">
        <is>
          <t>✓</t>
        </is>
      </c>
      <c r="P329" s="165" t="inlineStr">
        <is>
          <t>— MISSING —</t>
        </is>
      </c>
      <c r="Q329" s="166" t="inlineStr">
        <is>
          <t>— MISSING —</t>
        </is>
      </c>
      <c r="R329" s="166" t="inlineStr">
        <is>
          <t>— MISSING —</t>
        </is>
      </c>
      <c r="S329" s="167" t="inlineStr">
        <is>
          <t>✗</t>
        </is>
      </c>
      <c r="T329" s="165" t="inlineStr">
        <is>
          <t>— MISSING —</t>
        </is>
      </c>
      <c r="U329" s="166" t="inlineStr">
        <is>
          <t>— MISSING —</t>
        </is>
      </c>
      <c r="V329" s="166" t="inlineStr">
        <is>
          <t>— MISSING —</t>
        </is>
      </c>
      <c r="W329" s="166" t="inlineStr">
        <is>
          <t>— MISSING —</t>
        </is>
      </c>
      <c r="X329" s="167" t="inlineStr">
        <is>
          <t>✗</t>
        </is>
      </c>
      <c r="Y329" s="165" t="inlineStr">
        <is>
          <t>— MISSING —</t>
        </is>
      </c>
      <c r="Z329" s="168" t="inlineStr">
        <is>
          <t>— no certificate —</t>
        </is>
      </c>
      <c r="AA329" s="169" t="inlineStr">
        <is>
          <t>✗</t>
        </is>
      </c>
    </row>
    <row r="330" ht="21" customHeight="1" s="70">
      <c r="A330" s="258" t="n"/>
      <c r="B330" s="256" t="n"/>
      <c r="C330" s="256" t="n"/>
      <c r="D330" s="259" t="n"/>
      <c r="E330" s="257" t="n"/>
      <c r="F330" s="260" t="n"/>
      <c r="G330" s="259" t="n"/>
      <c r="H330" s="257" t="n"/>
      <c r="I330" s="260" t="n"/>
      <c r="J330" s="141" t="inlineStr">
        <is>
          <t>549-1080-26, (31.08.2026) [IJZ-MB]</t>
        </is>
      </c>
      <c r="K330" s="120" t="n"/>
      <c r="L330" s="120" t="n"/>
      <c r="M330" s="120" t="n"/>
      <c r="N330" s="121" t="n"/>
      <c r="O330" s="260" t="n"/>
      <c r="P330" s="170" t="inlineStr">
        <is>
          <t>— no certificate —</t>
        </is>
      </c>
      <c r="Q330" s="120" t="n"/>
      <c r="R330" s="121" t="n"/>
      <c r="S330" s="260" t="n"/>
      <c r="T330" s="170" t="inlineStr">
        <is>
          <t>— no certificate —</t>
        </is>
      </c>
      <c r="U330" s="120" t="n"/>
      <c r="V330" s="120" t="n"/>
      <c r="W330" s="121" t="n"/>
      <c r="X330" s="260" t="n"/>
      <c r="Y330" s="259" t="n"/>
      <c r="Z330" s="257" t="n"/>
      <c r="AA330" s="261" t="n"/>
    </row>
    <row r="331" ht="17.625" customHeight="1" s="70">
      <c r="A331" s="258" t="n"/>
      <c r="B331" s="256" t="n"/>
      <c r="C331" s="256" t="n"/>
      <c r="D331" s="145" t="n"/>
      <c r="E331" s="144" t="n"/>
      <c r="F331" s="146" t="n"/>
      <c r="G331" s="189" t="inlineStr">
        <is>
          <t>not on this certificate</t>
        </is>
      </c>
      <c r="H331" s="190" t="inlineStr">
        <is>
          <t>051-3-K-26, (04.03.2026) [FHM-K] · on file, not credited</t>
        </is>
      </c>
      <c r="I331" s="191" t="inlineStr">
        <is>
          <t>•</t>
        </is>
      </c>
      <c r="J331" s="145" t="n"/>
      <c r="K331" s="144" t="n"/>
      <c r="L331" s="144" t="n"/>
      <c r="M331" s="144" t="n"/>
      <c r="N331" s="144" t="n"/>
      <c r="O331" s="146" t="n"/>
      <c r="P331" s="145" t="n"/>
      <c r="Q331" s="144" t="n"/>
      <c r="R331" s="144" t="n"/>
      <c r="S331" s="146" t="n"/>
      <c r="T331" s="145" t="n"/>
      <c r="U331" s="144" t="n"/>
      <c r="V331" s="144" t="n"/>
      <c r="W331" s="144" t="n"/>
      <c r="X331" s="146" t="n"/>
      <c r="Y331" s="145" t="n"/>
      <c r="Z331" s="144" t="n"/>
      <c r="AA331" s="157" t="n"/>
    </row>
    <row r="332" ht="15.375" customHeight="1" s="70">
      <c r="A332" s="258" t="n"/>
      <c r="B332" s="256" t="n"/>
      <c r="C332" s="256" t="n"/>
      <c r="D332" s="194" t="n"/>
      <c r="E332" s="193" t="n"/>
      <c r="F332" s="195" t="n"/>
      <c r="G332" s="259" t="n"/>
      <c r="H332" s="257" t="n"/>
      <c r="I332" s="260" t="n"/>
      <c r="J332" s="194" t="n"/>
      <c r="K332" s="193" t="n"/>
      <c r="L332" s="193" t="n"/>
      <c r="M332" s="193" t="n"/>
      <c r="N332" s="193" t="n"/>
      <c r="O332" s="195" t="n"/>
      <c r="P332" s="194" t="n"/>
      <c r="Q332" s="193" t="n"/>
      <c r="R332" s="193" t="n"/>
      <c r="S332" s="195" t="n"/>
      <c r="T332" s="194" t="n"/>
      <c r="U332" s="193" t="n"/>
      <c r="V332" s="193" t="n"/>
      <c r="W332" s="193" t="n"/>
      <c r="X332" s="195" t="n"/>
      <c r="Y332" s="194" t="n"/>
      <c r="Z332" s="193" t="n"/>
      <c r="AA332" s="196" t="n"/>
    </row>
    <row r="333" ht="17.625" customHeight="1" s="70">
      <c r="A333" s="258" t="n"/>
      <c r="B333" s="256" t="n"/>
      <c r="C333" s="256" t="n"/>
      <c r="D333" s="145" t="n"/>
      <c r="E333" s="144" t="n"/>
      <c r="F333" s="146" t="n"/>
      <c r="G333" s="145" t="n"/>
      <c r="H333" s="144" t="n"/>
      <c r="I333" s="146" t="n"/>
      <c r="J333" s="145" t="n"/>
      <c r="K333" s="144" t="n"/>
      <c r="L333" s="144" t="n"/>
      <c r="M333" s="144" t="n"/>
      <c r="N333" s="144" t="n"/>
      <c r="O333" s="146" t="n"/>
      <c r="P333" s="145" t="n"/>
      <c r="Q333" s="144" t="n"/>
      <c r="R333" s="144" t="n"/>
      <c r="S333" s="146" t="n"/>
      <c r="T333" s="145" t="n"/>
      <c r="U333" s="144" t="n"/>
      <c r="V333" s="144" t="n"/>
      <c r="W333" s="144" t="n"/>
      <c r="X333" s="146" t="n"/>
      <c r="Y333" s="145" t="n"/>
      <c r="Z333" s="144" t="n"/>
      <c r="AA333" s="157" t="n"/>
    </row>
    <row r="334" ht="13" customHeight="1" s="70">
      <c r="A334" s="262" t="n"/>
      <c r="B334" s="263" t="n"/>
      <c r="C334" s="263" t="n"/>
      <c r="D334" s="160" t="n"/>
      <c r="E334" s="159" t="n"/>
      <c r="F334" s="161" t="n"/>
      <c r="G334" s="160" t="n"/>
      <c r="H334" s="159" t="n"/>
      <c r="I334" s="161" t="n"/>
      <c r="J334" s="160" t="n"/>
      <c r="K334" s="159" t="n"/>
      <c r="L334" s="159" t="n"/>
      <c r="M334" s="159" t="n"/>
      <c r="N334" s="159" t="n"/>
      <c r="O334" s="161" t="n"/>
      <c r="P334" s="160" t="n"/>
      <c r="Q334" s="159" t="n"/>
      <c r="R334" s="159" t="n"/>
      <c r="S334" s="161" t="n"/>
      <c r="T334" s="160" t="n"/>
      <c r="U334" s="159" t="n"/>
      <c r="V334" s="159" t="n"/>
      <c r="W334" s="159" t="n"/>
      <c r="X334" s="161" t="n"/>
      <c r="Y334" s="160" t="n"/>
      <c r="Z334" s="159" t="n"/>
      <c r="AA334" s="163" t="n"/>
    </row>
    <row r="335" ht="21" customHeight="1" s="70">
      <c r="A335" s="125" t="inlineStr">
        <is>
          <t>SJ112501</t>
        </is>
      </c>
      <c r="B335" s="126" t="inlineStr">
        <is>
          <t>P060192</t>
        </is>
      </c>
      <c r="C335" s="171" t="inlineStr">
        <is>
          <t>✗ 4 NO RESULT
(4 no cert / 0 cert w/o result)
3 testing instances
• 2 document(s) on file, not credited</t>
        </is>
      </c>
      <c r="D335" s="128" t="inlineStr">
        <is>
          <t>Conforms</t>
        </is>
      </c>
      <c r="E335" s="129">
        <f>IFERROR(INDEX('iCoA Register'!$B:$B,MATCH("P060192|I",'iCoA Register'!$AA:$AA,0)),"iCoA — at issue")&amp;", (31.03.2026) [PP]"</f>
        <v/>
      </c>
      <c r="F335" s="130" t="inlineStr">
        <is>
          <t>✓</t>
        </is>
      </c>
      <c r="G335" s="128" t="inlineStr">
        <is>
          <t>6.7</t>
        </is>
      </c>
      <c r="H335" s="129" t="inlineStr">
        <is>
          <t>051-2-LoD-26, (02.03.2026) [FHM-K]</t>
        </is>
      </c>
      <c r="I335" s="130" t="inlineStr">
        <is>
          <t>✓</t>
        </is>
      </c>
      <c r="J335" s="165" t="inlineStr">
        <is>
          <t>— MISSING —</t>
        </is>
      </c>
      <c r="K335" s="166" t="inlineStr">
        <is>
          <t>— MISSING —</t>
        </is>
      </c>
      <c r="L335" s="166" t="inlineStr">
        <is>
          <t>— MISSING —</t>
        </is>
      </c>
      <c r="M335" s="166" t="inlineStr">
        <is>
          <t>— MISSING —</t>
        </is>
      </c>
      <c r="N335" s="166" t="inlineStr">
        <is>
          <t>— MISSING —</t>
        </is>
      </c>
      <c r="O335" s="167" t="inlineStr">
        <is>
          <t>✗</t>
        </is>
      </c>
      <c r="P335" s="165" t="inlineStr">
        <is>
          <t>— MISSING —</t>
        </is>
      </c>
      <c r="Q335" s="166" t="inlineStr">
        <is>
          <t>— MISSING —</t>
        </is>
      </c>
      <c r="R335" s="166" t="inlineStr">
        <is>
          <t>— MISSING —</t>
        </is>
      </c>
      <c r="S335" s="167" t="inlineStr">
        <is>
          <t>✗</t>
        </is>
      </c>
      <c r="T335" s="165" t="inlineStr">
        <is>
          <t>— MISSING —</t>
        </is>
      </c>
      <c r="U335" s="166" t="inlineStr">
        <is>
          <t>— MISSING —</t>
        </is>
      </c>
      <c r="V335" s="166" t="inlineStr">
        <is>
          <t>— MISSING —</t>
        </is>
      </c>
      <c r="W335" s="166" t="inlineStr">
        <is>
          <t>— MISSING —</t>
        </is>
      </c>
      <c r="X335" s="167" t="inlineStr">
        <is>
          <t>✗</t>
        </is>
      </c>
      <c r="Y335" s="165" t="inlineStr">
        <is>
          <t>— MISSING —</t>
        </is>
      </c>
      <c r="Z335" s="168" t="inlineStr">
        <is>
          <t>— no certificate —</t>
        </is>
      </c>
      <c r="AA335" s="169" t="inlineStr">
        <is>
          <t>✗</t>
        </is>
      </c>
    </row>
    <row r="336" ht="21" customHeight="1" s="70">
      <c r="A336" s="258" t="n"/>
      <c r="B336" s="256" t="n"/>
      <c r="C336" s="256" t="n"/>
      <c r="D336" s="259" t="n"/>
      <c r="E336" s="257" t="n"/>
      <c r="F336" s="260" t="n"/>
      <c r="G336" s="259" t="n"/>
      <c r="H336" s="257" t="n"/>
      <c r="I336" s="260" t="n"/>
      <c r="J336" s="170" t="inlineStr">
        <is>
          <t>— no certificate —</t>
        </is>
      </c>
      <c r="K336" s="120" t="n"/>
      <c r="L336" s="120" t="n"/>
      <c r="M336" s="120" t="n"/>
      <c r="N336" s="121" t="n"/>
      <c r="O336" s="260" t="n"/>
      <c r="P336" s="170" t="inlineStr">
        <is>
          <t>— no certificate —</t>
        </is>
      </c>
      <c r="Q336" s="120" t="n"/>
      <c r="R336" s="121" t="n"/>
      <c r="S336" s="260" t="n"/>
      <c r="T336" s="170" t="inlineStr">
        <is>
          <t>— no certificate —</t>
        </is>
      </c>
      <c r="U336" s="120" t="n"/>
      <c r="V336" s="120" t="n"/>
      <c r="W336" s="121" t="n"/>
      <c r="X336" s="260" t="n"/>
      <c r="Y336" s="259" t="n"/>
      <c r="Z336" s="257" t="n"/>
      <c r="AA336" s="261" t="n"/>
    </row>
    <row r="337" ht="17.625" customHeight="1" s="70">
      <c r="A337" s="258" t="n"/>
      <c r="B337" s="256" t="n"/>
      <c r="C337" s="256" t="n"/>
      <c r="D337" s="145" t="n"/>
      <c r="E337" s="144" t="n"/>
      <c r="F337" s="146" t="n"/>
      <c r="G337" s="189" t="inlineStr">
        <is>
          <t>not on this certificate</t>
        </is>
      </c>
      <c r="H337" s="190" t="inlineStr">
        <is>
          <t>051-2-K-26, (04.03.2026) [FHM-K] · on file, not credited</t>
        </is>
      </c>
      <c r="I337" s="191" t="inlineStr">
        <is>
          <t>•</t>
        </is>
      </c>
      <c r="J337" s="145" t="n"/>
      <c r="K337" s="144" t="n"/>
      <c r="L337" s="144" t="n"/>
      <c r="M337" s="144" t="n"/>
      <c r="N337" s="144" t="n"/>
      <c r="O337" s="146" t="n"/>
      <c r="P337" s="145" t="n"/>
      <c r="Q337" s="144" t="n"/>
      <c r="R337" s="144" t="n"/>
      <c r="S337" s="146" t="n"/>
      <c r="T337" s="145" t="n"/>
      <c r="U337" s="144" t="n"/>
      <c r="V337" s="144" t="n"/>
      <c r="W337" s="144" t="n"/>
      <c r="X337" s="146" t="n"/>
      <c r="Y337" s="145" t="n"/>
      <c r="Z337" s="144" t="n"/>
      <c r="AA337" s="157" t="n"/>
    </row>
    <row r="338" ht="15.375" customHeight="1" s="70">
      <c r="A338" s="258" t="n"/>
      <c r="B338" s="256" t="n"/>
      <c r="C338" s="256" t="n"/>
      <c r="D338" s="194" t="n"/>
      <c r="E338" s="193" t="n"/>
      <c r="F338" s="195" t="n"/>
      <c r="G338" s="259" t="n"/>
      <c r="H338" s="257" t="n"/>
      <c r="I338" s="260" t="n"/>
      <c r="J338" s="194" t="n"/>
      <c r="K338" s="193" t="n"/>
      <c r="L338" s="193" t="n"/>
      <c r="M338" s="193" t="n"/>
      <c r="N338" s="193" t="n"/>
      <c r="O338" s="195" t="n"/>
      <c r="P338" s="194" t="n"/>
      <c r="Q338" s="193" t="n"/>
      <c r="R338" s="193" t="n"/>
      <c r="S338" s="195" t="n"/>
      <c r="T338" s="194" t="n"/>
      <c r="U338" s="193" t="n"/>
      <c r="V338" s="193" t="n"/>
      <c r="W338" s="193" t="n"/>
      <c r="X338" s="195" t="n"/>
      <c r="Y338" s="194" t="n"/>
      <c r="Z338" s="193" t="n"/>
      <c r="AA338" s="196" t="n"/>
    </row>
    <row r="339" ht="17.625" customHeight="1" s="70">
      <c r="A339" s="258" t="n"/>
      <c r="B339" s="256" t="n"/>
      <c r="C339" s="256" t="n"/>
      <c r="D339" s="145" t="n"/>
      <c r="E339" s="144" t="n"/>
      <c r="F339" s="146" t="n"/>
      <c r="G339" s="145" t="n"/>
      <c r="H339" s="144" t="n"/>
      <c r="I339" s="146" t="n"/>
      <c r="J339" s="145" t="n"/>
      <c r="K339" s="144" t="n"/>
      <c r="L339" s="144" t="n"/>
      <c r="M339" s="144" t="n"/>
      <c r="N339" s="144" t="n"/>
      <c r="O339" s="146" t="n"/>
      <c r="P339" s="145" t="n"/>
      <c r="Q339" s="144" t="n"/>
      <c r="R339" s="144" t="n"/>
      <c r="S339" s="146" t="n"/>
      <c r="T339" s="145" t="n"/>
      <c r="U339" s="144" t="n"/>
      <c r="V339" s="144" t="n"/>
      <c r="W339" s="144" t="n"/>
      <c r="X339" s="146" t="n"/>
      <c r="Y339" s="145" t="n"/>
      <c r="Z339" s="144" t="n"/>
      <c r="AA339" s="157" t="n"/>
    </row>
    <row r="340" ht="13" customHeight="1" s="70">
      <c r="A340" s="262" t="n"/>
      <c r="B340" s="263" t="n"/>
      <c r="C340" s="263" t="n"/>
      <c r="D340" s="160" t="n"/>
      <c r="E340" s="159" t="n"/>
      <c r="F340" s="161" t="n"/>
      <c r="G340" s="160" t="n"/>
      <c r="H340" s="159" t="n"/>
      <c r="I340" s="161" t="n"/>
      <c r="J340" s="160" t="n"/>
      <c r="K340" s="159" t="n"/>
      <c r="L340" s="159" t="n"/>
      <c r="M340" s="159" t="n"/>
      <c r="N340" s="159" t="n"/>
      <c r="O340" s="161" t="n"/>
      <c r="P340" s="160" t="n"/>
      <c r="Q340" s="159" t="n"/>
      <c r="R340" s="159" t="n"/>
      <c r="S340" s="161" t="n"/>
      <c r="T340" s="160" t="n"/>
      <c r="U340" s="159" t="n"/>
      <c r="V340" s="159" t="n"/>
      <c r="W340" s="159" t="n"/>
      <c r="X340" s="161" t="n"/>
      <c r="Y340" s="160" t="n"/>
      <c r="Z340" s="159" t="n"/>
      <c r="AA340" s="163" t="n"/>
    </row>
    <row r="341" ht="62" customHeight="1" s="70">
      <c r="A341"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1" t="n"/>
    </row>
    <row r="344" ht="20" customHeight="1" s="70">
      <c r="A344" s="242" t="inlineStr">
        <is>
          <t>RECONCILIATION 09.09</t>
        </is>
      </c>
    </row>
    <row r="345">
      <c r="A345" s="271" t="inlineStr">
        <is>
          <t>THE PASS THIS BUILD READ</t>
        </is>
      </c>
      <c r="B345" s="271" t="inlineStr"/>
      <c r="C345" s="271" t="inlineStr"/>
      <c r="D345" s="271" t="inlineStr"/>
      <c r="E345" s="271" t="inlineStr"/>
    </row>
    <row r="347">
      <c r="A347" s="272" t="inlineStr">
        <is>
          <t>Source</t>
        </is>
      </c>
      <c r="B347" s="273" t="inlineStr">
        <is>
          <t>CoQ_Analysis_Master_v20_owner.xlsx</t>
        </is>
      </c>
      <c r="D347" s="274" t="inlineStr">
        <is>
          <t>the owner's workbook of 09.09.2026, vendored beside this one; the three sheets it was read from are Cell Resolution 09.09, Coverage Update 09.09 and Identity Problem 09.09</t>
        </is>
      </c>
    </row>
    <row r="348">
      <c r="A348" s="272" t="inlineStr">
        <is>
          <t>Certificates it read</t>
        </is>
      </c>
      <c r="B348" s="273" t="inlineStr">
        <is>
          <t>387</t>
        </is>
      </c>
      <c r="D348" s="274" t="inlineStr">
        <is>
          <t>eCoA_DATABASE, name for name</t>
        </is>
      </c>
    </row>
    <row r="349">
      <c r="A349" s="272" t="inlineStr">
        <is>
          <t>Determinations it resolved</t>
        </is>
      </c>
      <c r="B349" s="273" t="inlineStr">
        <is>
          <t>600</t>
        </is>
      </c>
      <c r="D349" s="274" t="inlineStr">
        <is>
          <t>50 lots of Tranches 1 and 2 x 12</t>
        </is>
      </c>
    </row>
    <row r="351">
      <c r="A351" s="271" t="inlineStr">
        <is>
          <t>WHAT IT CLOSED ON BATCH COVERAGE</t>
        </is>
      </c>
      <c r="B351" s="271" t="inlineStr"/>
      <c r="C351" s="271" t="inlineStr"/>
      <c r="D351" s="271" t="inlineStr"/>
      <c r="E351" s="271" t="inlineStr"/>
    </row>
    <row r="353">
      <c r="A353" s="272" t="inlineStr">
        <is>
          <t>Parameters closed</t>
        </is>
      </c>
      <c r="B353" s="273" t="inlineStr">
        <is>
          <t>101</t>
        </is>
      </c>
      <c r="D353" s="274" t="inlineStr">
        <is>
          <t>a certificate on file that this sheet still marked missing</t>
        </is>
      </c>
    </row>
    <row r="354">
      <c r="A354" s="272" t="inlineStr">
        <is>
          <t>Lots affected</t>
        </is>
      </c>
      <c r="B354" s="273" t="inlineStr">
        <is>
          <t>28</t>
        </is>
      </c>
    </row>
    <row r="355">
      <c r="A355" s="272" t="inlineStr">
        <is>
          <t>Closures not applied</t>
        </is>
      </c>
      <c r="B355" s="273" t="inlineStr">
        <is>
          <t>20</t>
        </is>
      </c>
      <c r="D355" s="274" t="inlineStr">
        <is>
          <t>already covered, or the lot has no row on Batch Coverage — listed below</t>
        </is>
      </c>
    </row>
    <row r="357">
      <c r="A357" s="271" t="inlineStr">
        <is>
          <t>WHAT THE TWO RECORDS SAY ABOUT THE SAME 600 CELLS</t>
        </is>
      </c>
      <c r="B357" s="271" t="inlineStr"/>
      <c r="C357" s="271" t="inlineStr"/>
      <c r="D357" s="271" t="inlineStr"/>
      <c r="E357" s="271" t="inlineStr"/>
    </row>
    <row r="359">
      <c r="A359" s="272" t="inlineStr">
        <is>
          <t>agree</t>
        </is>
      </c>
      <c r="B359" s="273" t="inlineStr">
        <is>
          <t>146</t>
        </is>
      </c>
      <c r="D359" s="274" t="inlineStr">
        <is>
          <t>both hold a value and it is the same value</t>
        </is>
      </c>
    </row>
    <row r="360">
      <c r="A360" s="272" t="inlineStr">
        <is>
          <t>values</t>
        </is>
      </c>
      <c r="B360" s="273" t="inlineStr">
        <is>
          <t>208</t>
        </is>
      </c>
      <c r="D360" s="274" t="inlineStr">
        <is>
          <t>both hold a value and the values differ — a finding</t>
        </is>
      </c>
    </row>
    <row r="361">
      <c r="A361" s="272" t="inlineStr">
        <is>
          <t>order</t>
        </is>
      </c>
      <c r="B361" s="273" t="inlineStr">
        <is>
          <t>3</t>
        </is>
      </c>
      <c r="D361" s="274" t="inlineStr">
        <is>
          <t>the same values against different analytes — a finding</t>
        </is>
      </c>
    </row>
    <row r="362">
      <c r="A362" s="272" t="inlineStr">
        <is>
          <t>fill</t>
        </is>
      </c>
      <c r="B362" s="273" t="inlineStr">
        <is>
          <t>17</t>
        </is>
      </c>
      <c r="D362" s="274" t="inlineStr">
        <is>
          <t>the desk held nothing and the pass holds a printable result</t>
        </is>
      </c>
    </row>
    <row r="363">
      <c r="A363" s="272" t="inlineStr">
        <is>
          <t>ambiguous</t>
        </is>
      </c>
      <c r="B363" s="273" t="inlineStr">
        <is>
          <t>54</t>
        </is>
      </c>
      <c r="D363" s="274" t="inlineStr">
        <is>
          <t>the pass holds a list of values it does not label</t>
        </is>
      </c>
    </row>
    <row r="364">
      <c r="A364" s="272" t="inlineStr">
        <is>
          <t>basis note</t>
        </is>
      </c>
      <c r="B364" s="273" t="inlineStr">
        <is>
          <t>25</t>
        </is>
      </c>
      <c r="D364" s="274" t="inlineStr">
        <is>
          <t>the pass names where identity comes from, not a result</t>
        </is>
      </c>
    </row>
    <row r="365">
      <c r="A365" s="272" t="inlineStr">
        <is>
          <t>none</t>
        </is>
      </c>
      <c r="B365" s="273" t="inlineStr">
        <is>
          <t>39</t>
        </is>
      </c>
      <c r="D365" s="274" t="inlineStr">
        <is>
          <t>neither record holds anything</t>
        </is>
      </c>
    </row>
    <row r="366">
      <c r="A366" s="272" t="inlineStr">
        <is>
          <t>not comparable</t>
        </is>
      </c>
      <c r="B366" s="273" t="inlineStr">
        <is>
          <t>85</t>
        </is>
      </c>
      <c r="D366" s="274" t="inlineStr">
        <is>
          <t>the two records hold different numbers of lines</t>
        </is>
      </c>
    </row>
    <row r="367">
      <c r="A367" s="272" t="inlineStr">
        <is>
          <t>no desk lot</t>
        </is>
      </c>
      <c r="B367" s="273" t="inlineStr">
        <is>
          <t>23</t>
        </is>
      </c>
      <c r="D367" s="274" t="inlineStr">
        <is>
          <t>the desk carries no initial-release CoQ for the batch</t>
        </is>
      </c>
    </row>
    <row r="369">
      <c r="A369" s="271" t="inlineStr">
        <is>
          <t>THE DISAGREEMENTS</t>
        </is>
      </c>
      <c r="B369" s="271" t="inlineStr"/>
      <c r="C369" s="271" t="inlineStr"/>
      <c r="D369" s="271" t="inlineStr"/>
      <c r="E369" s="271" t="inlineStr"/>
    </row>
    <row r="371">
      <c r="A371" s="271" t="inlineStr">
        <is>
          <t>Batch</t>
        </is>
      </c>
      <c r="B371" s="271" t="inlineStr">
        <is>
          <t>Determination</t>
        </is>
      </c>
      <c r="C371" s="271" t="inlineStr">
        <is>
          <t>Kind</t>
        </is>
      </c>
      <c r="D371" s="271" t="inlineStr">
        <is>
          <t>The desk holds</t>
        </is>
      </c>
      <c r="E371" s="271" t="inlineStr">
        <is>
          <t>The 09.09 pass reads</t>
        </is>
      </c>
    </row>
    <row r="372">
      <c r="A372" s="273" t="inlineStr">
        <is>
          <t>BG1024</t>
        </is>
      </c>
      <c r="B372" s="273" t="inlineStr">
        <is>
          <t>#1</t>
        </is>
      </c>
      <c r="C372" s="275" t="inlineStr">
        <is>
          <t>different values</t>
        </is>
      </c>
      <c r="D372" s="273" t="inlineStr">
        <is>
          <t>Conforms | Одговара</t>
        </is>
      </c>
      <c r="E372" s="273" t="inlineStr">
        <is>
          <t>Conforms</t>
        </is>
      </c>
    </row>
    <row r="373">
      <c r="A373" s="273" t="inlineStr">
        <is>
          <t>BG1024</t>
        </is>
      </c>
      <c r="B373" s="273" t="inlineStr">
        <is>
          <t>#2</t>
        </is>
      </c>
      <c r="C373" s="275" t="inlineStr">
        <is>
          <t>different values</t>
        </is>
      </c>
      <c r="D373" s="273" t="inlineStr">
        <is>
          <t>Conforms | Одговара</t>
        </is>
      </c>
      <c r="E373" s="273" t="inlineStr">
        <is>
          <t>Conforms</t>
        </is>
      </c>
    </row>
    <row r="374">
      <c r="A374" s="273" t="inlineStr">
        <is>
          <t>BG1024</t>
        </is>
      </c>
      <c r="B374" s="273" t="inlineStr">
        <is>
          <t>#7</t>
        </is>
      </c>
      <c r="C374" s="275" t="inlineStr">
        <is>
          <t>different values</t>
        </is>
      </c>
      <c r="D374" s="273" t="inlineStr">
        <is>
          <t>Conforms | Одговара</t>
        </is>
      </c>
      <c r="E374" s="273" t="inlineStr">
        <is>
          <t>Conforms</t>
        </is>
      </c>
    </row>
    <row r="375">
      <c r="A375" s="273" t="inlineStr">
        <is>
          <t>BG1024</t>
        </is>
      </c>
      <c r="B375" s="273" t="inlineStr">
        <is>
          <t>#9</t>
        </is>
      </c>
      <c r="C375" s="275" t="inlineStr">
        <is>
          <t>different values</t>
        </is>
      </c>
      <c r="D375" s="273" t="inlineStr">
        <is>
          <t>1.6 × 10⁴; 1 × 10⁴; &lt; 10² and &gt; 10; Absent | Отсутна; Absent | Отсутна</t>
        </is>
      </c>
      <c r="E375" s="273" t="inlineStr">
        <is>
          <t>1,6 x 10⁴ CFU/g; 1 x 10⁴ CFU/g; &lt; 10² и &gt; 10 CFU/g; Одговара; Одговара</t>
        </is>
      </c>
    </row>
    <row r="376">
      <c r="A376" s="273" t="inlineStr">
        <is>
          <t>BSS1024</t>
        </is>
      </c>
      <c r="B376" s="273" t="inlineStr">
        <is>
          <t>#1</t>
        </is>
      </c>
      <c r="C376" s="275" t="inlineStr">
        <is>
          <t>different values</t>
        </is>
      </c>
      <c r="D376" s="273" t="inlineStr">
        <is>
          <t>Conforms | Одговара</t>
        </is>
      </c>
      <c r="E376" s="273" t="inlineStr">
        <is>
          <t>Conforms</t>
        </is>
      </c>
    </row>
    <row r="377">
      <c r="A377" s="273" t="inlineStr">
        <is>
          <t>BSS1024</t>
        </is>
      </c>
      <c r="B377" s="273" t="inlineStr">
        <is>
          <t>#2</t>
        </is>
      </c>
      <c r="C377" s="275" t="inlineStr">
        <is>
          <t>different values</t>
        </is>
      </c>
      <c r="D377" s="273" t="inlineStr">
        <is>
          <t>Conforms | Одговара</t>
        </is>
      </c>
      <c r="E377" s="273" t="inlineStr">
        <is>
          <t>Conforms</t>
        </is>
      </c>
    </row>
    <row r="378">
      <c r="A378" s="273" t="inlineStr">
        <is>
          <t>BSS1024</t>
        </is>
      </c>
      <c r="B378" s="273" t="inlineStr">
        <is>
          <t>#7</t>
        </is>
      </c>
      <c r="C378" s="275" t="inlineStr">
        <is>
          <t>different values</t>
        </is>
      </c>
      <c r="D378" s="273" t="inlineStr">
        <is>
          <t>Conforms | Одговара</t>
        </is>
      </c>
      <c r="E378" s="273" t="inlineStr">
        <is>
          <t>Conforms</t>
        </is>
      </c>
    </row>
    <row r="379">
      <c r="A379" s="273" t="inlineStr">
        <is>
          <t>BSS1024</t>
        </is>
      </c>
      <c r="B379" s="273" t="inlineStr">
        <is>
          <t>#9</t>
        </is>
      </c>
      <c r="C379" s="275" t="inlineStr">
        <is>
          <t>different values</t>
        </is>
      </c>
      <c r="D379" s="273" t="inlineStr">
        <is>
          <t>1.5 × 10⁴; 2.2 × 10³; &lt; 10² and &gt; 10; Absent | Отсутна; Absent | Отсутна</t>
        </is>
      </c>
      <c r="E379" s="273" t="inlineStr">
        <is>
          <t>1,5 x 10⁴ CFU/g; 2,2 x 10³ CFU/g; &lt; 10² и &gt; 10 CFU/g; Одговара; Одговара</t>
        </is>
      </c>
    </row>
    <row r="380">
      <c r="A380" s="273" t="inlineStr">
        <is>
          <t>BSS1024</t>
        </is>
      </c>
      <c r="B380" s="273" t="inlineStr">
        <is>
          <t>#11</t>
        </is>
      </c>
      <c r="C380" s="276" t="inlineStr">
        <is>
          <t>same values,
other order</t>
        </is>
      </c>
      <c r="D380" s="273" t="inlineStr">
        <is>
          <t>0.071; 0.014; 0.081; 0.014</t>
        </is>
      </c>
      <c r="E380" s="273" t="inlineStr">
        <is>
          <t>0,081 mg/kg(l); 0,071 mg/kg(l); 0,014 mg/kg(l); 0,014 mg/kg(l)</t>
        </is>
      </c>
    </row>
    <row r="381">
      <c r="A381" s="273" t="inlineStr">
        <is>
          <t>CJ052501/01</t>
        </is>
      </c>
      <c r="B381" s="273" t="inlineStr">
        <is>
          <t>#1</t>
        </is>
      </c>
      <c r="C381" s="275" t="inlineStr">
        <is>
          <t>different values</t>
        </is>
      </c>
      <c r="D381" s="273" t="inlineStr">
        <is>
          <t>Conforms | Одговара</t>
        </is>
      </c>
      <c r="E381" s="273" t="inlineStr">
        <is>
          <t>Conforms</t>
        </is>
      </c>
    </row>
    <row r="382">
      <c r="A382" s="273" t="inlineStr">
        <is>
          <t>CJ052501/01</t>
        </is>
      </c>
      <c r="B382" s="273" t="inlineStr">
        <is>
          <t>#2</t>
        </is>
      </c>
      <c r="C382" s="275" t="inlineStr">
        <is>
          <t>different values</t>
        </is>
      </c>
      <c r="D382" s="273" t="inlineStr">
        <is>
          <t>Conforms | Одговара</t>
        </is>
      </c>
      <c r="E382" s="273" t="inlineStr">
        <is>
          <t>Conforms</t>
        </is>
      </c>
    </row>
    <row r="383">
      <c r="A383" s="273" t="inlineStr">
        <is>
          <t>CJ052501/01</t>
        </is>
      </c>
      <c r="B383" s="273" t="inlineStr">
        <is>
          <t>#3</t>
        </is>
      </c>
      <c r="C383" s="275" t="inlineStr">
        <is>
          <t>different values</t>
        </is>
      </c>
      <c r="D383" s="273" t="inlineStr">
        <is>
          <t>Conforms | Одговара</t>
        </is>
      </c>
      <c r="E383" s="273" t="inlineStr">
        <is>
          <t>Conforms (ImB spec.)</t>
        </is>
      </c>
    </row>
    <row r="384">
      <c r="A384" s="273" t="inlineStr">
        <is>
          <t>CJ052501/01</t>
        </is>
      </c>
      <c r="B384" s="273" t="inlineStr">
        <is>
          <t>#7</t>
        </is>
      </c>
      <c r="C384" s="275" t="inlineStr">
        <is>
          <t>different values</t>
        </is>
      </c>
      <c r="D384" s="273" t="inlineStr">
        <is>
          <t>Conforms | Одговара</t>
        </is>
      </c>
      <c r="E384" s="273" t="inlineStr">
        <is>
          <t>Conforms</t>
        </is>
      </c>
    </row>
    <row r="385">
      <c r="A385" s="273" t="inlineStr">
        <is>
          <t>CJ052501/01</t>
        </is>
      </c>
      <c r="B385" s="273" t="inlineStr">
        <is>
          <t>#9</t>
        </is>
      </c>
      <c r="C385" s="275" t="inlineStr">
        <is>
          <t>different values</t>
        </is>
      </c>
      <c r="D385" s="273" t="inlineStr">
        <is>
          <t>2.8 × 10⁴; 1.7 × 10⁴; &lt; 10³ and &gt; 10²; Absent | Отсутна; Absent | Отсутна</t>
        </is>
      </c>
      <c r="E385" s="273" t="inlineStr">
        <is>
          <t>2.8×10⁴; 1.7×10⁴; &lt;10³ and &gt;10² ᴿ; Одговара; Одговара</t>
        </is>
      </c>
    </row>
    <row r="386">
      <c r="A386" s="273" t="inlineStr">
        <is>
          <t>CJ052501/01</t>
        </is>
      </c>
      <c r="B386" s="273" t="inlineStr">
        <is>
          <t>#12</t>
        </is>
      </c>
      <c r="C386" s="275" t="inlineStr">
        <is>
          <t>different values</t>
        </is>
      </c>
      <c r="D386" s="273" t="inlineStr">
        <is>
          <t>ND</t>
        </is>
      </c>
      <c r="E386" s="273" t="inlineStr">
        <is>
          <t>≤ LOQ (all 24 compounds)</t>
        </is>
      </c>
    </row>
    <row r="387">
      <c r="A387" s="273" t="inlineStr">
        <is>
          <t>CJ082501/2</t>
        </is>
      </c>
      <c r="B387" s="273" t="inlineStr">
        <is>
          <t>#1</t>
        </is>
      </c>
      <c r="C387" s="275" t="inlineStr">
        <is>
          <t>different values</t>
        </is>
      </c>
      <c r="D387" s="273" t="inlineStr">
        <is>
          <t>Conforms | Одговара</t>
        </is>
      </c>
      <c r="E387" s="273" t="inlineStr">
        <is>
          <t>Conforms</t>
        </is>
      </c>
    </row>
    <row r="388">
      <c r="A388" s="273" t="inlineStr">
        <is>
          <t>CJ082501/2</t>
        </is>
      </c>
      <c r="B388" s="273" t="inlineStr">
        <is>
          <t>#2</t>
        </is>
      </c>
      <c r="C388" s="275" t="inlineStr">
        <is>
          <t>different values</t>
        </is>
      </c>
      <c r="D388" s="273" t="inlineStr">
        <is>
          <t>Conforms | Одговара</t>
        </is>
      </c>
      <c r="E388" s="273" t="inlineStr">
        <is>
          <t>Conforms</t>
        </is>
      </c>
    </row>
    <row r="389">
      <c r="A389" s="273" t="inlineStr">
        <is>
          <t>CJ082501/2</t>
        </is>
      </c>
      <c r="B389" s="273" t="inlineStr">
        <is>
          <t>#3</t>
        </is>
      </c>
      <c r="C389" s="275" t="inlineStr">
        <is>
          <t>different values</t>
        </is>
      </c>
      <c r="D389" s="273" t="inlineStr">
        <is>
          <t>Conforms | Одговара</t>
        </is>
      </c>
      <c r="E389" s="273" t="inlineStr">
        <is>
          <t>Conforms (ImB spec.)</t>
        </is>
      </c>
    </row>
    <row r="390">
      <c r="A390" s="273" t="inlineStr">
        <is>
          <t>CJ082501/2</t>
        </is>
      </c>
      <c r="B390" s="273" t="inlineStr">
        <is>
          <t>#7</t>
        </is>
      </c>
      <c r="C390" s="275" t="inlineStr">
        <is>
          <t>different values</t>
        </is>
      </c>
      <c r="D390" s="273" t="inlineStr">
        <is>
          <t>Conforms | Одговара</t>
        </is>
      </c>
      <c r="E390" s="273" t="inlineStr">
        <is>
          <t>Conforms</t>
        </is>
      </c>
    </row>
    <row r="391">
      <c r="A391" s="273" t="inlineStr">
        <is>
          <t>CJ082501/2</t>
        </is>
      </c>
      <c r="B391" s="273" t="inlineStr">
        <is>
          <t>#9</t>
        </is>
      </c>
      <c r="C391" s="275" t="inlineStr">
        <is>
          <t>different values</t>
        </is>
      </c>
      <c r="D391" s="273" t="inlineStr">
        <is>
          <t>9.5 × 10²; 1.2 × 10³; &lt; 10; Absent | Отсутна; Absent | Отсутна</t>
        </is>
      </c>
      <c r="E391" s="273" t="inlineStr">
        <is>
          <t>9.5×10²; 1.2×10³; &lt;10; Одговара; Одговара</t>
        </is>
      </c>
    </row>
    <row r="392">
      <c r="A392" s="273" t="inlineStr">
        <is>
          <t>CJ082501/2</t>
        </is>
      </c>
      <c r="B392" s="273" t="inlineStr">
        <is>
          <t>#12</t>
        </is>
      </c>
      <c r="C392" s="275" t="inlineStr">
        <is>
          <t>different values</t>
        </is>
      </c>
      <c r="D392" s="273" t="inlineStr">
        <is>
          <t>ND</t>
        </is>
      </c>
      <c r="E392" s="273" t="inlineStr">
        <is>
          <t>≤ LOQ (all 29 compounds)</t>
        </is>
      </c>
    </row>
    <row r="393">
      <c r="A393" s="273" t="inlineStr">
        <is>
          <t>FB012602</t>
        </is>
      </c>
      <c r="B393" s="273" t="inlineStr">
        <is>
          <t>#1</t>
        </is>
      </c>
      <c r="C393" s="275" t="inlineStr">
        <is>
          <t>different values</t>
        </is>
      </c>
      <c r="D393" s="273" t="inlineStr">
        <is>
          <t>Conforms | Одговара</t>
        </is>
      </c>
      <c r="E393" s="273" t="inlineStr">
        <is>
          <t>Conforms</t>
        </is>
      </c>
    </row>
    <row r="394">
      <c r="A394" s="273" t="inlineStr">
        <is>
          <t>FB012602</t>
        </is>
      </c>
      <c r="B394" s="273" t="inlineStr">
        <is>
          <t>#2</t>
        </is>
      </c>
      <c r="C394" s="275" t="inlineStr">
        <is>
          <t>different values</t>
        </is>
      </c>
      <c r="D394" s="273" t="inlineStr">
        <is>
          <t>Conforms | Одговара</t>
        </is>
      </c>
      <c r="E394" s="273" t="inlineStr">
        <is>
          <t>Conforms</t>
        </is>
      </c>
    </row>
    <row r="395">
      <c r="A395" s="273" t="inlineStr">
        <is>
          <t>FB012602</t>
        </is>
      </c>
      <c r="B395" s="273" t="inlineStr">
        <is>
          <t>#7</t>
        </is>
      </c>
      <c r="C395" s="275" t="inlineStr">
        <is>
          <t>different values</t>
        </is>
      </c>
      <c r="D395" s="273" t="inlineStr">
        <is>
          <t>Conforms | Одговара</t>
        </is>
      </c>
      <c r="E395" s="273" t="inlineStr">
        <is>
          <t>Conforms</t>
        </is>
      </c>
    </row>
    <row r="396">
      <c r="A396" s="273" t="inlineStr">
        <is>
          <t>GG1024_01</t>
        </is>
      </c>
      <c r="B396" s="273" t="inlineStr">
        <is>
          <t>#1</t>
        </is>
      </c>
      <c r="C396" s="275" t="inlineStr">
        <is>
          <t>different values</t>
        </is>
      </c>
      <c r="D396" s="273" t="inlineStr">
        <is>
          <t>Conforms | Одговара</t>
        </is>
      </c>
      <c r="E396" s="273" t="inlineStr">
        <is>
          <t>Conforms</t>
        </is>
      </c>
    </row>
    <row r="397">
      <c r="A397" s="273" t="inlineStr">
        <is>
          <t>GG1024_01</t>
        </is>
      </c>
      <c r="B397" s="273" t="inlineStr">
        <is>
          <t>#2</t>
        </is>
      </c>
      <c r="C397" s="275" t="inlineStr">
        <is>
          <t>different values</t>
        </is>
      </c>
      <c r="D397" s="273" t="inlineStr">
        <is>
          <t>Conforms | Одговара</t>
        </is>
      </c>
      <c r="E397" s="273" t="inlineStr">
        <is>
          <t>Conforms</t>
        </is>
      </c>
    </row>
    <row r="398">
      <c r="A398" s="273" t="inlineStr">
        <is>
          <t>GG1024_01</t>
        </is>
      </c>
      <c r="B398" s="273" t="inlineStr">
        <is>
          <t>#3</t>
        </is>
      </c>
      <c r="C398" s="275" t="inlineStr">
        <is>
          <t>different values</t>
        </is>
      </c>
      <c r="D398" s="273" t="inlineStr">
        <is>
          <t>Conforms | Одговара</t>
        </is>
      </c>
      <c r="E398" s="273" t="inlineStr">
        <is>
          <t>Conforms (ImB spec.)</t>
        </is>
      </c>
    </row>
    <row r="399">
      <c r="A399" s="273" t="inlineStr">
        <is>
          <t>GG1024_01</t>
        </is>
      </c>
      <c r="B399" s="273" t="inlineStr">
        <is>
          <t>#7</t>
        </is>
      </c>
      <c r="C399" s="275" t="inlineStr">
        <is>
          <t>different values</t>
        </is>
      </c>
      <c r="D399" s="273" t="inlineStr">
        <is>
          <t>Conforms | Одговара</t>
        </is>
      </c>
      <c r="E399" s="273" t="inlineStr">
        <is>
          <t>Conforms</t>
        </is>
      </c>
    </row>
    <row r="400">
      <c r="A400" s="273" t="inlineStr">
        <is>
          <t>GG1024_01</t>
        </is>
      </c>
      <c r="B400" s="273" t="inlineStr">
        <is>
          <t>#9</t>
        </is>
      </c>
      <c r="C400" s="275" t="inlineStr">
        <is>
          <t>different values</t>
        </is>
      </c>
      <c r="D400" s="273" t="inlineStr">
        <is>
          <t>5.1 × 10⁴; 4.2 × 10⁴; &lt; 10; Absent | Отсутна; Absent | Отсутна</t>
        </is>
      </c>
      <c r="E400" s="273" t="inlineStr">
        <is>
          <t>5.1 x 10⁴; 4.2 x 10⁴; &lt;10; Одговара; Одговара</t>
        </is>
      </c>
    </row>
    <row r="401">
      <c r="A401" s="273" t="inlineStr">
        <is>
          <t>GG1024_01</t>
        </is>
      </c>
      <c r="B401" s="273" t="inlineStr">
        <is>
          <t>#12</t>
        </is>
      </c>
      <c r="C401" s="275" t="inlineStr">
        <is>
          <t>different values</t>
        </is>
      </c>
      <c r="D401" s="273" t="inlineStr">
        <is>
          <t>ND</t>
        </is>
      </c>
      <c r="E401" s="273" t="inlineStr">
        <is>
          <t>≤ LOQ (all 27 compounds)</t>
        </is>
      </c>
    </row>
    <row r="402">
      <c r="A402" s="273" t="inlineStr">
        <is>
          <t>GP052501</t>
        </is>
      </c>
      <c r="B402" s="273" t="inlineStr">
        <is>
          <t>#1</t>
        </is>
      </c>
      <c r="C402" s="275" t="inlineStr">
        <is>
          <t>different values</t>
        </is>
      </c>
      <c r="D402" s="273" t="inlineStr">
        <is>
          <t>Conforms | Одговара</t>
        </is>
      </c>
      <c r="E402" s="273" t="inlineStr">
        <is>
          <t>Conforms</t>
        </is>
      </c>
    </row>
    <row r="403">
      <c r="A403" s="273" t="inlineStr">
        <is>
          <t>GP052501</t>
        </is>
      </c>
      <c r="B403" s="273" t="inlineStr">
        <is>
          <t>#2</t>
        </is>
      </c>
      <c r="C403" s="275" t="inlineStr">
        <is>
          <t>different values</t>
        </is>
      </c>
      <c r="D403" s="273" t="inlineStr">
        <is>
          <t>Conforms | Одговара</t>
        </is>
      </c>
      <c r="E403" s="273" t="inlineStr">
        <is>
          <t>Conforms</t>
        </is>
      </c>
    </row>
    <row r="404">
      <c r="A404" s="273" t="inlineStr">
        <is>
          <t>GP052501</t>
        </is>
      </c>
      <c r="B404" s="273" t="inlineStr">
        <is>
          <t>#3</t>
        </is>
      </c>
      <c r="C404" s="275" t="inlineStr">
        <is>
          <t>different values</t>
        </is>
      </c>
      <c r="D404" s="273" t="inlineStr">
        <is>
          <t>Conforms | Одговара</t>
        </is>
      </c>
      <c r="E404" s="273" t="inlineStr">
        <is>
          <t>Conforms (ImB spec.)</t>
        </is>
      </c>
    </row>
    <row r="405">
      <c r="A405" s="273" t="inlineStr">
        <is>
          <t>GP052501</t>
        </is>
      </c>
      <c r="B405" s="273" t="inlineStr">
        <is>
          <t>#7</t>
        </is>
      </c>
      <c r="C405" s="275" t="inlineStr">
        <is>
          <t>different values</t>
        </is>
      </c>
      <c r="D405" s="273" t="inlineStr">
        <is>
          <t>Conforms | Одговара</t>
        </is>
      </c>
      <c r="E405" s="273" t="inlineStr">
        <is>
          <t>Conforms</t>
        </is>
      </c>
    </row>
    <row r="406">
      <c r="A406" s="273" t="inlineStr">
        <is>
          <t>GP052501</t>
        </is>
      </c>
      <c r="B406" s="273" t="inlineStr">
        <is>
          <t>#9</t>
        </is>
      </c>
      <c r="C406" s="275" t="inlineStr">
        <is>
          <t>different values</t>
        </is>
      </c>
      <c r="D406" s="273" t="inlineStr">
        <is>
          <t>2.1 × 10⁴; 3.6 × 10⁴; &lt; 10² and &gt; 10¹; Absent | Отсутна; Absent | Отсутна</t>
        </is>
      </c>
      <c r="E406" s="273" t="inlineStr">
        <is>
          <t>2.1×10⁴ ᴿ; 3.6 x 10⁴; &lt;10² и &gt;10¹; Одговара; Одговара</t>
        </is>
      </c>
    </row>
    <row r="407">
      <c r="A407" s="273" t="inlineStr">
        <is>
          <t>GP052501</t>
        </is>
      </c>
      <c r="B407" s="273" t="inlineStr">
        <is>
          <t>#12</t>
        </is>
      </c>
      <c r="C407" s="275" t="inlineStr">
        <is>
          <t>different values</t>
        </is>
      </c>
      <c r="D407" s="273" t="inlineStr">
        <is>
          <t>ND</t>
        </is>
      </c>
      <c r="E407" s="273" t="inlineStr">
        <is>
          <t>≤ LOQ (all 29 compounds)</t>
        </is>
      </c>
    </row>
    <row r="408">
      <c r="A408" s="273" t="inlineStr">
        <is>
          <t>GP0824_02</t>
        </is>
      </c>
      <c r="B408" s="273" t="inlineStr">
        <is>
          <t>#1</t>
        </is>
      </c>
      <c r="C408" s="275" t="inlineStr">
        <is>
          <t>different values</t>
        </is>
      </c>
      <c r="D408" s="273" t="inlineStr">
        <is>
          <t>Conforms | Одговара</t>
        </is>
      </c>
      <c r="E408" s="273" t="inlineStr">
        <is>
          <t>Conforms</t>
        </is>
      </c>
    </row>
    <row r="409">
      <c r="A409" s="273" t="inlineStr">
        <is>
          <t>GP0824_02</t>
        </is>
      </c>
      <c r="B409" s="273" t="inlineStr">
        <is>
          <t>#2</t>
        </is>
      </c>
      <c r="C409" s="275" t="inlineStr">
        <is>
          <t>different values</t>
        </is>
      </c>
      <c r="D409" s="273" t="inlineStr">
        <is>
          <t>Conforms | Одговара</t>
        </is>
      </c>
      <c r="E409" s="273" t="inlineStr">
        <is>
          <t>Conforms</t>
        </is>
      </c>
    </row>
    <row r="410">
      <c r="A410" s="273" t="inlineStr">
        <is>
          <t>GP0824_02</t>
        </is>
      </c>
      <c r="B410" s="273" t="inlineStr">
        <is>
          <t>#3</t>
        </is>
      </c>
      <c r="C410" s="275" t="inlineStr">
        <is>
          <t>different values</t>
        </is>
      </c>
      <c r="D410" s="273" t="inlineStr">
        <is>
          <t>Conforms | Одговара</t>
        </is>
      </c>
      <c r="E410" s="273" t="inlineStr">
        <is>
          <t>Conforms (ImB spec.)</t>
        </is>
      </c>
    </row>
    <row r="411">
      <c r="A411" s="273" t="inlineStr">
        <is>
          <t>GP0824_02</t>
        </is>
      </c>
      <c r="B411" s="273" t="inlineStr">
        <is>
          <t>#7</t>
        </is>
      </c>
      <c r="C411" s="275" t="inlineStr">
        <is>
          <t>different values</t>
        </is>
      </c>
      <c r="D411" s="273" t="inlineStr">
        <is>
          <t>Conforms | Одговара</t>
        </is>
      </c>
      <c r="E411" s="273" t="inlineStr">
        <is>
          <t>Conforms</t>
        </is>
      </c>
    </row>
    <row r="412">
      <c r="A412" s="273" t="inlineStr">
        <is>
          <t>GP0824_02</t>
        </is>
      </c>
      <c r="B412" s="273" t="inlineStr">
        <is>
          <t>#9</t>
        </is>
      </c>
      <c r="C412" s="275" t="inlineStr">
        <is>
          <t>different values</t>
        </is>
      </c>
      <c r="D412" s="273" t="inlineStr">
        <is>
          <t>&lt; 10; &lt; 10; &lt; 10; Absent | Отсутна; Absent | Отсутна</t>
        </is>
      </c>
      <c r="E412" s="273" t="inlineStr">
        <is>
          <t>700; 10; &lt;10^2 и &gt;10; Одговара; Одговара</t>
        </is>
      </c>
    </row>
    <row r="413">
      <c r="A413" s="273" t="inlineStr">
        <is>
          <t>GP0824_02</t>
        </is>
      </c>
      <c r="B413" s="273" t="inlineStr">
        <is>
          <t>#11</t>
        </is>
      </c>
      <c r="C413" s="275" t="inlineStr">
        <is>
          <t>different values</t>
        </is>
      </c>
      <c r="D413" s="273" t="inlineStr">
        <is>
          <t>ND; ND; 0.047; ND</t>
        </is>
      </c>
      <c r="E413" s="273" t="inlineStr">
        <is>
          <t>н.д.; н.д.; н.д.; н.д.</t>
        </is>
      </c>
    </row>
    <row r="414">
      <c r="A414" s="273" t="inlineStr">
        <is>
          <t>GP0824_02</t>
        </is>
      </c>
      <c r="B414" s="273" t="inlineStr">
        <is>
          <t>#12</t>
        </is>
      </c>
      <c r="C414" s="275" t="inlineStr">
        <is>
          <t>different values</t>
        </is>
      </c>
      <c r="D414" s="273" t="inlineStr">
        <is>
          <t>ND</t>
        </is>
      </c>
      <c r="E414" s="273" t="inlineStr">
        <is>
          <t>≤ LOQ (all 29 compounds)</t>
        </is>
      </c>
    </row>
    <row r="415">
      <c r="A415" s="273" t="inlineStr">
        <is>
          <t>GP082501/2</t>
        </is>
      </c>
      <c r="B415" s="273" t="inlineStr">
        <is>
          <t>#1</t>
        </is>
      </c>
      <c r="C415" s="275" t="inlineStr">
        <is>
          <t>different values</t>
        </is>
      </c>
      <c r="D415" s="273" t="inlineStr">
        <is>
          <t>Conforms | Одговара</t>
        </is>
      </c>
      <c r="E415" s="273" t="inlineStr">
        <is>
          <t>Conforms</t>
        </is>
      </c>
    </row>
    <row r="416">
      <c r="A416" s="273" t="inlineStr">
        <is>
          <t>GP082501/2</t>
        </is>
      </c>
      <c r="B416" s="273" t="inlineStr">
        <is>
          <t>#2</t>
        </is>
      </c>
      <c r="C416" s="275" t="inlineStr">
        <is>
          <t>different values</t>
        </is>
      </c>
      <c r="D416" s="273" t="inlineStr">
        <is>
          <t>Conforms | Одговара</t>
        </is>
      </c>
      <c r="E416" s="273" t="inlineStr">
        <is>
          <t>Conforms</t>
        </is>
      </c>
    </row>
    <row r="417">
      <c r="A417" s="273" t="inlineStr">
        <is>
          <t>GP082501/2</t>
        </is>
      </c>
      <c r="B417" s="273" t="inlineStr">
        <is>
          <t>#3</t>
        </is>
      </c>
      <c r="C417" s="275" t="inlineStr">
        <is>
          <t>different values</t>
        </is>
      </c>
      <c r="D417" s="273" t="inlineStr">
        <is>
          <t>Conforms | Одговара</t>
        </is>
      </c>
      <c r="E417" s="273" t="inlineStr">
        <is>
          <t>Conforms (ImB spec.)</t>
        </is>
      </c>
    </row>
    <row r="418">
      <c r="A418" s="273" t="inlineStr">
        <is>
          <t>GP082501/2</t>
        </is>
      </c>
      <c r="B418" s="273" t="inlineStr">
        <is>
          <t>#7</t>
        </is>
      </c>
      <c r="C418" s="275" t="inlineStr">
        <is>
          <t>different values</t>
        </is>
      </c>
      <c r="D418" s="273" t="inlineStr">
        <is>
          <t>Conforms | Одговара</t>
        </is>
      </c>
      <c r="E418" s="273" t="inlineStr">
        <is>
          <t>Conforms</t>
        </is>
      </c>
    </row>
    <row r="419">
      <c r="A419" s="273" t="inlineStr">
        <is>
          <t>GP082501/2</t>
        </is>
      </c>
      <c r="B419" s="273" t="inlineStr">
        <is>
          <t>#9</t>
        </is>
      </c>
      <c r="C419" s="275" t="inlineStr">
        <is>
          <t>different values</t>
        </is>
      </c>
      <c r="D419" s="273" t="inlineStr">
        <is>
          <t>3.2 × 10³; 5.8 × 10³; &lt; 10⁴ and &gt; 10³; Absent | Отсутна; Absent | Отсутна</t>
        </is>
      </c>
      <c r="E419" s="273" t="inlineStr">
        <is>
          <t>3.2 x 10³; 5.8 x 10³; &lt;10^4 и &gt;10^3; Одговара; Одговара</t>
        </is>
      </c>
    </row>
    <row r="420">
      <c r="A420" s="273" t="inlineStr">
        <is>
          <t>GP082501/2</t>
        </is>
      </c>
      <c r="B420" s="273" t="inlineStr">
        <is>
          <t>#12</t>
        </is>
      </c>
      <c r="C420" s="275" t="inlineStr">
        <is>
          <t>different values</t>
        </is>
      </c>
      <c r="D420" s="273" t="inlineStr">
        <is>
          <t>ND</t>
        </is>
      </c>
      <c r="E420" s="273" t="inlineStr">
        <is>
          <t>≤ LOQ (all 29 compounds)</t>
        </is>
      </c>
    </row>
    <row r="421">
      <c r="A421" s="273" t="inlineStr">
        <is>
          <t>HPA1024</t>
        </is>
      </c>
      <c r="B421" s="273" t="inlineStr">
        <is>
          <t>#1</t>
        </is>
      </c>
      <c r="C421" s="275" t="inlineStr">
        <is>
          <t>different values</t>
        </is>
      </c>
      <c r="D421" s="273" t="inlineStr">
        <is>
          <t>Conforms | Одговара</t>
        </is>
      </c>
      <c r="E421" s="273" t="inlineStr">
        <is>
          <t>Conforms</t>
        </is>
      </c>
    </row>
    <row r="422">
      <c r="A422" s="273" t="inlineStr">
        <is>
          <t>HPA1024</t>
        </is>
      </c>
      <c r="B422" s="273" t="inlineStr">
        <is>
          <t>#2</t>
        </is>
      </c>
      <c r="C422" s="275" t="inlineStr">
        <is>
          <t>different values</t>
        </is>
      </c>
      <c r="D422" s="273" t="inlineStr">
        <is>
          <t>Conforms | Одговара</t>
        </is>
      </c>
      <c r="E422" s="273" t="inlineStr">
        <is>
          <t>Conforms</t>
        </is>
      </c>
    </row>
    <row r="423">
      <c r="A423" s="273" t="inlineStr">
        <is>
          <t>HPA1024</t>
        </is>
      </c>
      <c r="B423" s="273" t="inlineStr">
        <is>
          <t>#4</t>
        </is>
      </c>
      <c r="C423" s="275" t="inlineStr">
        <is>
          <t>different values</t>
        </is>
      </c>
      <c r="D423" s="273" t="inlineStr">
        <is>
          <t>14.97</t>
        </is>
      </c>
      <c r="E423" s="273" t="inlineStr">
        <is>
          <t>19.68 %w/w</t>
        </is>
      </c>
    </row>
    <row r="424">
      <c r="A424" s="273" t="inlineStr">
        <is>
          <t>HPA1024</t>
        </is>
      </c>
      <c r="B424" s="273" t="inlineStr">
        <is>
          <t>#5</t>
        </is>
      </c>
      <c r="C424" s="275" t="inlineStr">
        <is>
          <t>different values</t>
        </is>
      </c>
      <c r="D424" s="273" t="inlineStr">
        <is>
          <t>0.04</t>
        </is>
      </c>
      <c r="E424" s="273" t="inlineStr">
        <is>
          <t>&lt; LOQ %w/w</t>
        </is>
      </c>
    </row>
    <row r="425">
      <c r="A425" s="273" t="inlineStr">
        <is>
          <t>HPA1024</t>
        </is>
      </c>
      <c r="B425" s="273" t="inlineStr">
        <is>
          <t>#7</t>
        </is>
      </c>
      <c r="C425" s="275" t="inlineStr">
        <is>
          <t>different values</t>
        </is>
      </c>
      <c r="D425" s="273" t="inlineStr">
        <is>
          <t>Conforms | Одговара</t>
        </is>
      </c>
      <c r="E425" s="273" t="inlineStr">
        <is>
          <t>Conforms</t>
        </is>
      </c>
    </row>
    <row r="426">
      <c r="A426" s="273" t="inlineStr">
        <is>
          <t>HPA1024</t>
        </is>
      </c>
      <c r="B426" s="273" t="inlineStr">
        <is>
          <t>#9</t>
        </is>
      </c>
      <c r="C426" s="275" t="inlineStr">
        <is>
          <t>different values</t>
        </is>
      </c>
      <c r="D426" s="273" t="inlineStr">
        <is>
          <t>5.2 × 10⁴; 7 × 10²; &lt; 10; Absent | Отсутна; Absent | Отсутна</t>
        </is>
      </c>
      <c r="E426" s="273" t="inlineStr">
        <is>
          <t>5.2·10⁴ CFU/g CFU/g; 7·10² CFU/g CFU/g; &lt;10 CFU/g CFU/g; Absent; Absent</t>
        </is>
      </c>
    </row>
    <row r="427">
      <c r="A427" s="273" t="inlineStr">
        <is>
          <t>HPA1024</t>
        </is>
      </c>
      <c r="B427" s="273" t="inlineStr">
        <is>
          <t>#11</t>
        </is>
      </c>
      <c r="C427" s="276" t="inlineStr">
        <is>
          <t>same values,
other order</t>
        </is>
      </c>
      <c r="D427" s="273" t="inlineStr">
        <is>
          <t>0.02; 0.013; 0.017; 0.0026</t>
        </is>
      </c>
      <c r="E427" s="273" t="inlineStr">
        <is>
          <t>0.013 mg/kg mg/kg; 0.02 mg/kg mg/kg; 0.0026 mg/kg mg/kg; 0.017 mg/kg mg/kg</t>
        </is>
      </c>
    </row>
    <row r="428">
      <c r="A428" s="273" t="inlineStr">
        <is>
          <t>HPA1024_01</t>
        </is>
      </c>
      <c r="B428" s="273" t="inlineStr">
        <is>
          <t>#1</t>
        </is>
      </c>
      <c r="C428" s="275" t="inlineStr">
        <is>
          <t>different values</t>
        </is>
      </c>
      <c r="D428" s="273" t="inlineStr">
        <is>
          <t>Conforms | Одговара</t>
        </is>
      </c>
      <c r="E428" s="273" t="inlineStr">
        <is>
          <t>Conforms</t>
        </is>
      </c>
    </row>
    <row r="429">
      <c r="A429" s="273" t="inlineStr">
        <is>
          <t>HPA1024_01</t>
        </is>
      </c>
      <c r="B429" s="273" t="inlineStr">
        <is>
          <t>#2</t>
        </is>
      </c>
      <c r="C429" s="275" t="inlineStr">
        <is>
          <t>different values</t>
        </is>
      </c>
      <c r="D429" s="273" t="inlineStr">
        <is>
          <t>Conforms | Одговара</t>
        </is>
      </c>
      <c r="E429" s="273" t="inlineStr">
        <is>
          <t>Conforms</t>
        </is>
      </c>
    </row>
    <row r="430">
      <c r="A430" s="273" t="inlineStr">
        <is>
          <t>HPA1024_01</t>
        </is>
      </c>
      <c r="B430" s="273" t="inlineStr">
        <is>
          <t>#3</t>
        </is>
      </c>
      <c r="C430" s="275" t="inlineStr">
        <is>
          <t>different values</t>
        </is>
      </c>
      <c r="D430" s="273" t="inlineStr">
        <is>
          <t>Conforms | Одговара</t>
        </is>
      </c>
      <c r="E430" s="273" t="inlineStr">
        <is>
          <t>Conforms (ImB spec.)</t>
        </is>
      </c>
    </row>
    <row r="431">
      <c r="A431" s="273" t="inlineStr">
        <is>
          <t>HPA1024_01</t>
        </is>
      </c>
      <c r="B431" s="273" t="inlineStr">
        <is>
          <t>#7</t>
        </is>
      </c>
      <c r="C431" s="275" t="inlineStr">
        <is>
          <t>different values</t>
        </is>
      </c>
      <c r="D431" s="273" t="inlineStr">
        <is>
          <t>Conforms | Одговара</t>
        </is>
      </c>
      <c r="E431" s="273" t="inlineStr">
        <is>
          <t>Conforms</t>
        </is>
      </c>
    </row>
    <row r="432">
      <c r="A432" s="273" t="inlineStr">
        <is>
          <t>HPA1024_01</t>
        </is>
      </c>
      <c r="B432" s="273" t="inlineStr">
        <is>
          <t>#9</t>
        </is>
      </c>
      <c r="C432" s="275" t="inlineStr">
        <is>
          <t>different values</t>
        </is>
      </c>
      <c r="D432" s="273" t="inlineStr">
        <is>
          <t>9.6 × 10³; 1.5 × 10⁴; &lt; 10; Absent | Отсутна; Absent | Отсутна</t>
        </is>
      </c>
      <c r="E432" s="273" t="inlineStr">
        <is>
          <t>9.6 x 10³; 1.5 x 10⁴; &lt;10; Одговара; Одговара</t>
        </is>
      </c>
    </row>
    <row r="433">
      <c r="A433" s="273" t="inlineStr">
        <is>
          <t>HPA1024_01</t>
        </is>
      </c>
      <c r="B433" s="273" t="inlineStr">
        <is>
          <t>#12</t>
        </is>
      </c>
      <c r="C433" s="275" t="inlineStr">
        <is>
          <t>different values</t>
        </is>
      </c>
      <c r="D433" s="273" t="inlineStr">
        <is>
          <t>ND</t>
        </is>
      </c>
      <c r="E433" s="273" t="inlineStr">
        <is>
          <t>≤ LOQ (all 23 compounds)</t>
        </is>
      </c>
    </row>
    <row r="434">
      <c r="A434" s="273" t="inlineStr">
        <is>
          <t>J31102501</t>
        </is>
      </c>
      <c r="B434" s="273" t="inlineStr">
        <is>
          <t>#1</t>
        </is>
      </c>
      <c r="C434" s="275" t="inlineStr">
        <is>
          <t>different values</t>
        </is>
      </c>
      <c r="D434" s="273" t="inlineStr">
        <is>
          <t>Conforms | Одговара</t>
        </is>
      </c>
      <c r="E434" s="273" t="inlineStr">
        <is>
          <t>Conforms</t>
        </is>
      </c>
    </row>
    <row r="435">
      <c r="A435" s="273" t="inlineStr">
        <is>
          <t>J31102501</t>
        </is>
      </c>
      <c r="B435" s="273" t="inlineStr">
        <is>
          <t>#2</t>
        </is>
      </c>
      <c r="C435" s="275" t="inlineStr">
        <is>
          <t>different values</t>
        </is>
      </c>
      <c r="D435" s="273" t="inlineStr">
        <is>
          <t>Conforms | Одговара</t>
        </is>
      </c>
      <c r="E435" s="273" t="inlineStr">
        <is>
          <t>Conforms</t>
        </is>
      </c>
    </row>
    <row r="436">
      <c r="A436" s="273" t="inlineStr">
        <is>
          <t>J31102501</t>
        </is>
      </c>
      <c r="B436" s="273" t="inlineStr">
        <is>
          <t>#3</t>
        </is>
      </c>
      <c r="C436" s="275" t="inlineStr">
        <is>
          <t>different values</t>
        </is>
      </c>
      <c r="D436" s="273" t="inlineStr">
        <is>
          <t>Conforms | Одговара</t>
        </is>
      </c>
      <c r="E436" s="273" t="inlineStr">
        <is>
          <t>Conforms (ImB spec.) ᴿ</t>
        </is>
      </c>
    </row>
    <row r="437">
      <c r="A437" s="273" t="inlineStr">
        <is>
          <t>J31102501</t>
        </is>
      </c>
      <c r="B437" s="273" t="inlineStr">
        <is>
          <t>#7</t>
        </is>
      </c>
      <c r="C437" s="275" t="inlineStr">
        <is>
          <t>different values</t>
        </is>
      </c>
      <c r="D437" s="273" t="inlineStr">
        <is>
          <t>Conforms | Одговара</t>
        </is>
      </c>
      <c r="E437" s="273" t="inlineStr">
        <is>
          <t>Conforms</t>
        </is>
      </c>
    </row>
    <row r="438">
      <c r="A438" s="273" t="inlineStr">
        <is>
          <t>JD112501</t>
        </is>
      </c>
      <c r="B438" s="273" t="inlineStr">
        <is>
          <t>#1</t>
        </is>
      </c>
      <c r="C438" s="275" t="inlineStr">
        <is>
          <t>different values</t>
        </is>
      </c>
      <c r="D438" s="273" t="inlineStr">
        <is>
          <t>Conforms | Одговара</t>
        </is>
      </c>
      <c r="E438" s="273" t="inlineStr">
        <is>
          <t>Conforms</t>
        </is>
      </c>
    </row>
    <row r="439">
      <c r="A439" s="273" t="inlineStr">
        <is>
          <t>JD112501</t>
        </is>
      </c>
      <c r="B439" s="273" t="inlineStr">
        <is>
          <t>#2</t>
        </is>
      </c>
      <c r="C439" s="275" t="inlineStr">
        <is>
          <t>different values</t>
        </is>
      </c>
      <c r="D439" s="273" t="inlineStr">
        <is>
          <t>Conforms | Одговара</t>
        </is>
      </c>
      <c r="E439" s="273" t="inlineStr">
        <is>
          <t>Conforms</t>
        </is>
      </c>
    </row>
    <row r="440">
      <c r="A440" s="273" t="inlineStr">
        <is>
          <t>JD112501</t>
        </is>
      </c>
      <c r="B440" s="273" t="inlineStr">
        <is>
          <t>#6</t>
        </is>
      </c>
      <c r="C440" s="275" t="inlineStr">
        <is>
          <t>different values</t>
        </is>
      </c>
      <c r="D440" s="273" t="inlineStr">
        <is>
          <t>&lt; LOQ %</t>
        </is>
      </c>
      <c r="E440" s="273" t="inlineStr">
        <is>
          <t>BLQ %</t>
        </is>
      </c>
    </row>
    <row r="441">
      <c r="A441" s="273" t="inlineStr">
        <is>
          <t>JD112501</t>
        </is>
      </c>
      <c r="B441" s="273" t="inlineStr">
        <is>
          <t>#7</t>
        </is>
      </c>
      <c r="C441" s="275" t="inlineStr">
        <is>
          <t>different values</t>
        </is>
      </c>
      <c r="D441" s="273" t="inlineStr">
        <is>
          <t>Conforms | Одговара</t>
        </is>
      </c>
      <c r="E441" s="273" t="inlineStr">
        <is>
          <t>Conforms</t>
        </is>
      </c>
    </row>
    <row r="442">
      <c r="A442" s="273" t="inlineStr">
        <is>
          <t>OPM1024</t>
        </is>
      </c>
      <c r="B442" s="273" t="inlineStr">
        <is>
          <t>#1</t>
        </is>
      </c>
      <c r="C442" s="275" t="inlineStr">
        <is>
          <t>different values</t>
        </is>
      </c>
      <c r="D442" s="273" t="inlineStr">
        <is>
          <t>Conforms | Одговара</t>
        </is>
      </c>
      <c r="E442" s="273" t="inlineStr">
        <is>
          <t>Confirms</t>
        </is>
      </c>
    </row>
    <row r="443">
      <c r="A443" s="273" t="inlineStr">
        <is>
          <t>OPM1024</t>
        </is>
      </c>
      <c r="B443" s="273" t="inlineStr">
        <is>
          <t>#2</t>
        </is>
      </c>
      <c r="C443" s="275" t="inlineStr">
        <is>
          <t>different values</t>
        </is>
      </c>
      <c r="D443" s="273" t="inlineStr">
        <is>
          <t>Conforms | Одговара</t>
        </is>
      </c>
      <c r="E443" s="273" t="inlineStr">
        <is>
          <t>Conforms</t>
        </is>
      </c>
    </row>
    <row r="444">
      <c r="A444" s="273" t="inlineStr">
        <is>
          <t>OPM1024</t>
        </is>
      </c>
      <c r="B444" s="273" t="inlineStr">
        <is>
          <t>#4</t>
        </is>
      </c>
      <c r="C444" s="275" t="inlineStr">
        <is>
          <t>different values</t>
        </is>
      </c>
      <c r="D444" s="273" t="inlineStr">
        <is>
          <t>19.96</t>
        </is>
      </c>
      <c r="E444" s="273" t="inlineStr">
        <is>
          <t>20.03 %w/w</t>
        </is>
      </c>
    </row>
    <row r="445">
      <c r="A445" s="273" t="inlineStr">
        <is>
          <t>OPM1024</t>
        </is>
      </c>
      <c r="B445" s="273" t="inlineStr">
        <is>
          <t>#5</t>
        </is>
      </c>
      <c r="C445" s="275" t="inlineStr">
        <is>
          <t>different values</t>
        </is>
      </c>
      <c r="D445" s="273" t="inlineStr">
        <is>
          <t>0.05</t>
        </is>
      </c>
      <c r="E445" s="273" t="inlineStr">
        <is>
          <t>&lt; LOQ %w/w</t>
        </is>
      </c>
    </row>
    <row r="446">
      <c r="A446" s="273" t="inlineStr">
        <is>
          <t>OPM1024</t>
        </is>
      </c>
      <c r="B446" s="273" t="inlineStr">
        <is>
          <t>#7</t>
        </is>
      </c>
      <c r="C446" s="275" t="inlineStr">
        <is>
          <t>different values</t>
        </is>
      </c>
      <c r="D446" s="273" t="inlineStr">
        <is>
          <t>Conforms | Одговара</t>
        </is>
      </c>
      <c r="E446" s="273" t="inlineStr">
        <is>
          <t>Confirms</t>
        </is>
      </c>
    </row>
    <row r="447">
      <c r="A447" s="273" t="inlineStr">
        <is>
          <t>OPM1024</t>
        </is>
      </c>
      <c r="B447" s="273" t="inlineStr">
        <is>
          <t>#9</t>
        </is>
      </c>
      <c r="C447" s="275" t="inlineStr">
        <is>
          <t>different values</t>
        </is>
      </c>
      <c r="D447" s="273" t="inlineStr">
        <is>
          <t>1.3 × 10⁴; 7 × 10²; &lt; 10² &gt; 10³; Absent | Отсутна; Absent | Отсутна</t>
        </is>
      </c>
      <c r="E447" s="273" t="inlineStr">
        <is>
          <t>1.3·10⁴ CFU/g CFU/g; 7·10² CFU/g CFU/g; &lt;10²&gt;10³CFU/g CFU/g; Absent; Absent</t>
        </is>
      </c>
    </row>
    <row r="448">
      <c r="A448" s="273" t="inlineStr">
        <is>
          <t>OPM1024</t>
        </is>
      </c>
      <c r="B448" s="273" t="inlineStr">
        <is>
          <t>#11</t>
        </is>
      </c>
      <c r="C448" s="276" t="inlineStr">
        <is>
          <t>same values,
other order</t>
        </is>
      </c>
      <c r="D448" s="273" t="inlineStr">
        <is>
          <t>0.031; 0.017; 0.045; 0.005</t>
        </is>
      </c>
      <c r="E448" s="273" t="inlineStr">
        <is>
          <t>0.017 mg/kg mg/kg; 0.031 mg/kg mg/kg; 0.005 mg/kg mg/kg; 0.045 mg/kg mg/kg</t>
        </is>
      </c>
    </row>
    <row r="449">
      <c r="A449" s="273" t="inlineStr">
        <is>
          <t>OPM1024_02</t>
        </is>
      </c>
      <c r="B449" s="273" t="inlineStr">
        <is>
          <t>#1</t>
        </is>
      </c>
      <c r="C449" s="275" t="inlineStr">
        <is>
          <t>different values</t>
        </is>
      </c>
      <c r="D449" s="273" t="inlineStr">
        <is>
          <t>Conforms | Одговара</t>
        </is>
      </c>
      <c r="E449" s="273" t="inlineStr">
        <is>
          <t>Conforms</t>
        </is>
      </c>
    </row>
    <row r="450">
      <c r="A450" s="273" t="inlineStr">
        <is>
          <t>OPM1024_02</t>
        </is>
      </c>
      <c r="B450" s="273" t="inlineStr">
        <is>
          <t>#2</t>
        </is>
      </c>
      <c r="C450" s="275" t="inlineStr">
        <is>
          <t>different values</t>
        </is>
      </c>
      <c r="D450" s="273" t="inlineStr">
        <is>
          <t>Conforms | Одговара</t>
        </is>
      </c>
      <c r="E450" s="273" t="inlineStr">
        <is>
          <t>Conforms</t>
        </is>
      </c>
    </row>
    <row r="451">
      <c r="A451" s="273" t="inlineStr">
        <is>
          <t>OPM1024_02</t>
        </is>
      </c>
      <c r="B451" s="273" t="inlineStr">
        <is>
          <t>#3</t>
        </is>
      </c>
      <c r="C451" s="275" t="inlineStr">
        <is>
          <t>different values</t>
        </is>
      </c>
      <c r="D451" s="273" t="inlineStr">
        <is>
          <t>Conforms | Одговара</t>
        </is>
      </c>
      <c r="E451" s="273" t="inlineStr">
        <is>
          <t>Conforms (ImB spec.)</t>
        </is>
      </c>
    </row>
    <row r="452">
      <c r="A452" s="273" t="inlineStr">
        <is>
          <t>OPM1024_02</t>
        </is>
      </c>
      <c r="B452" s="273" t="inlineStr">
        <is>
          <t>#7</t>
        </is>
      </c>
      <c r="C452" s="275" t="inlineStr">
        <is>
          <t>different values</t>
        </is>
      </c>
      <c r="D452" s="273" t="inlineStr">
        <is>
          <t>Conforms | Одговара</t>
        </is>
      </c>
      <c r="E452" s="273" t="inlineStr">
        <is>
          <t>Conforms</t>
        </is>
      </c>
    </row>
    <row r="453">
      <c r="A453" s="273" t="inlineStr">
        <is>
          <t>OPM1024_02</t>
        </is>
      </c>
      <c r="B453" s="273" t="inlineStr">
        <is>
          <t>#9</t>
        </is>
      </c>
      <c r="C453" s="275" t="inlineStr">
        <is>
          <t>different values</t>
        </is>
      </c>
      <c r="D453" s="273" t="inlineStr">
        <is>
          <t>3.4 × 10³; 3.6 × 10³; &lt; 10; Absent | Отсутна; Absent | Отсутна</t>
        </is>
      </c>
      <c r="E453" s="273" t="inlineStr">
        <is>
          <t>3.4 x 10³; 3.6 x 10³; &lt;10; Одговара; Одговара</t>
        </is>
      </c>
    </row>
    <row r="454">
      <c r="A454" s="273" t="inlineStr">
        <is>
          <t>OPM1024_02</t>
        </is>
      </c>
      <c r="B454" s="273" t="inlineStr">
        <is>
          <t>#12</t>
        </is>
      </c>
      <c r="C454" s="275" t="inlineStr">
        <is>
          <t>different values</t>
        </is>
      </c>
      <c r="D454" s="273" t="inlineStr">
        <is>
          <t>ND</t>
        </is>
      </c>
      <c r="E454" s="273" t="inlineStr">
        <is>
          <t>FINDS: delta HCH &lt;0.01</t>
        </is>
      </c>
    </row>
    <row r="455">
      <c r="A455" s="273" t="inlineStr">
        <is>
          <t>OPM122501</t>
        </is>
      </c>
      <c r="B455" s="273" t="inlineStr">
        <is>
          <t>#1</t>
        </is>
      </c>
      <c r="C455" s="275" t="inlineStr">
        <is>
          <t>different values</t>
        </is>
      </c>
      <c r="D455" s="273" t="inlineStr">
        <is>
          <t>Conforms | Одговара</t>
        </is>
      </c>
      <c r="E455" s="273" t="inlineStr">
        <is>
          <t>Conforms</t>
        </is>
      </c>
    </row>
    <row r="456">
      <c r="A456" s="273" t="inlineStr">
        <is>
          <t>OPM122501</t>
        </is>
      </c>
      <c r="B456" s="273" t="inlineStr">
        <is>
          <t>#2</t>
        </is>
      </c>
      <c r="C456" s="275" t="inlineStr">
        <is>
          <t>different values</t>
        </is>
      </c>
      <c r="D456" s="273" t="inlineStr">
        <is>
          <t>Conforms | Одговара</t>
        </is>
      </c>
      <c r="E456" s="273" t="inlineStr">
        <is>
          <t>Conforms</t>
        </is>
      </c>
    </row>
    <row r="457">
      <c r="A457" s="273" t="inlineStr">
        <is>
          <t>OPM122501</t>
        </is>
      </c>
      <c r="B457" s="273" t="inlineStr">
        <is>
          <t>#3</t>
        </is>
      </c>
      <c r="C457" s="275" t="inlineStr">
        <is>
          <t>different values</t>
        </is>
      </c>
      <c r="D457" s="273" t="inlineStr">
        <is>
          <t>Conforms | Одговара</t>
        </is>
      </c>
      <c r="E457" s="273" t="inlineStr">
        <is>
          <t>Conforms (ImB spec.) ᴿ</t>
        </is>
      </c>
    </row>
    <row r="458">
      <c r="A458" s="273" t="inlineStr">
        <is>
          <t>OPM122501</t>
        </is>
      </c>
      <c r="B458" s="273" t="inlineStr">
        <is>
          <t>#7</t>
        </is>
      </c>
      <c r="C458" s="275" t="inlineStr">
        <is>
          <t>different values</t>
        </is>
      </c>
      <c r="D458" s="273" t="inlineStr">
        <is>
          <t>Conforms | Одговара</t>
        </is>
      </c>
      <c r="E458" s="273" t="inlineStr">
        <is>
          <t>Conforms</t>
        </is>
      </c>
    </row>
    <row r="459">
      <c r="A459" s="273" t="inlineStr">
        <is>
          <t>OPM122501</t>
        </is>
      </c>
      <c r="B459" s="273" t="inlineStr">
        <is>
          <t>#9</t>
        </is>
      </c>
      <c r="C459" s="275" t="inlineStr">
        <is>
          <t>different values</t>
        </is>
      </c>
      <c r="D459" s="273" t="inlineStr">
        <is>
          <t>120; 100; &lt; 10; Absent | Отсутна; Absent | Отсутна</t>
        </is>
      </c>
      <c r="E459" s="273" t="inlineStr">
        <is>
          <t>120; 100; &lt;10; Одговара; Одговара</t>
        </is>
      </c>
    </row>
    <row r="460">
      <c r="A460" s="273" t="inlineStr">
        <is>
          <t>OPM122501</t>
        </is>
      </c>
      <c r="B460" s="273" t="inlineStr">
        <is>
          <t>#12</t>
        </is>
      </c>
      <c r="C460" s="275" t="inlineStr">
        <is>
          <t>different values</t>
        </is>
      </c>
      <c r="D460" s="273" t="inlineStr">
        <is>
          <t>ND</t>
        </is>
      </c>
      <c r="E460" s="273" t="inlineStr">
        <is>
          <t>≤ LOQ (all 25 compounds)</t>
        </is>
      </c>
    </row>
    <row r="461">
      <c r="A461" s="273" t="inlineStr">
        <is>
          <t>PM092501</t>
        </is>
      </c>
      <c r="B461" s="273" t="inlineStr">
        <is>
          <t>#1</t>
        </is>
      </c>
      <c r="C461" s="275" t="inlineStr">
        <is>
          <t>different values</t>
        </is>
      </c>
      <c r="D461" s="273" t="inlineStr">
        <is>
          <t>Conforms | Одговара</t>
        </is>
      </c>
      <c r="E461" s="273" t="inlineStr">
        <is>
          <t>Conforms</t>
        </is>
      </c>
    </row>
    <row r="462">
      <c r="A462" s="273" t="inlineStr">
        <is>
          <t>PM092501</t>
        </is>
      </c>
      <c r="B462" s="273" t="inlineStr">
        <is>
          <t>#2</t>
        </is>
      </c>
      <c r="C462" s="275" t="inlineStr">
        <is>
          <t>different values</t>
        </is>
      </c>
      <c r="D462" s="273" t="inlineStr">
        <is>
          <t>Conforms | Одговара</t>
        </is>
      </c>
      <c r="E462" s="273" t="inlineStr">
        <is>
          <t>Conforms</t>
        </is>
      </c>
    </row>
    <row r="463">
      <c r="A463" s="273" t="inlineStr">
        <is>
          <t>PM092501</t>
        </is>
      </c>
      <c r="B463" s="273" t="inlineStr">
        <is>
          <t>#3</t>
        </is>
      </c>
      <c r="C463" s="275" t="inlineStr">
        <is>
          <t>different values</t>
        </is>
      </c>
      <c r="D463" s="273" t="inlineStr">
        <is>
          <t>Conforms | Одговара</t>
        </is>
      </c>
      <c r="E463" s="273" t="inlineStr">
        <is>
          <t>Conforms (ImB spec.) ᴿ</t>
        </is>
      </c>
    </row>
    <row r="464">
      <c r="A464" s="273" t="inlineStr">
        <is>
          <t>PM092501</t>
        </is>
      </c>
      <c r="B464" s="273" t="inlineStr">
        <is>
          <t>#6</t>
        </is>
      </c>
      <c r="C464" s="275" t="inlineStr">
        <is>
          <t>different values</t>
        </is>
      </c>
      <c r="D464" s="273" t="inlineStr">
        <is>
          <t>&lt; LOQ ᴰ</t>
        </is>
      </c>
      <c r="E464" s="273" t="inlineStr">
        <is>
          <t>BLQ ᴰ</t>
        </is>
      </c>
    </row>
    <row r="465">
      <c r="A465" s="273" t="inlineStr">
        <is>
          <t>PM092501</t>
        </is>
      </c>
      <c r="B465" s="273" t="inlineStr">
        <is>
          <t>#7</t>
        </is>
      </c>
      <c r="C465" s="275" t="inlineStr">
        <is>
          <t>different values</t>
        </is>
      </c>
      <c r="D465" s="273" t="inlineStr">
        <is>
          <t>Conforms | Одговара</t>
        </is>
      </c>
      <c r="E465" s="273" t="inlineStr">
        <is>
          <t>Conforms</t>
        </is>
      </c>
    </row>
    <row r="466">
      <c r="A466" s="273" t="inlineStr">
        <is>
          <t>PM092501</t>
        </is>
      </c>
      <c r="B466" s="273" t="inlineStr">
        <is>
          <t>#9</t>
        </is>
      </c>
      <c r="C466" s="275" t="inlineStr">
        <is>
          <t>different values</t>
        </is>
      </c>
      <c r="D466" s="273" t="inlineStr">
        <is>
          <t>2 × 10³; 2.2 × 10³; &lt; 10; Absent | Отсутна; Absent | Отсутна</t>
        </is>
      </c>
      <c r="E466" s="273" t="inlineStr">
        <is>
          <t>2×10³; 2.2×10³; &lt;10; Одговара; Одговара</t>
        </is>
      </c>
    </row>
    <row r="467">
      <c r="A467" s="273" t="inlineStr">
        <is>
          <t>PM092501</t>
        </is>
      </c>
      <c r="B467" s="273" t="inlineStr">
        <is>
          <t>#12</t>
        </is>
      </c>
      <c r="C467" s="275" t="inlineStr">
        <is>
          <t>different values</t>
        </is>
      </c>
      <c r="D467" s="273" t="inlineStr">
        <is>
          <t>ND</t>
        </is>
      </c>
      <c r="E467" s="273" t="inlineStr">
        <is>
          <t>≤ LOQ (all 28 compounds)</t>
        </is>
      </c>
    </row>
    <row r="468">
      <c r="A468" s="273" t="inlineStr">
        <is>
          <t>SCR012603</t>
        </is>
      </c>
      <c r="B468" s="273" t="inlineStr">
        <is>
          <t>#1</t>
        </is>
      </c>
      <c r="C468" s="275" t="inlineStr">
        <is>
          <t>different values</t>
        </is>
      </c>
      <c r="D468" s="273" t="inlineStr">
        <is>
          <t>Conforms | Одговара</t>
        </is>
      </c>
      <c r="E468" s="273" t="inlineStr">
        <is>
          <t>Conforms</t>
        </is>
      </c>
    </row>
    <row r="469">
      <c r="A469" s="273" t="inlineStr">
        <is>
          <t>SCR012603</t>
        </is>
      </c>
      <c r="B469" s="273" t="inlineStr">
        <is>
          <t>#2</t>
        </is>
      </c>
      <c r="C469" s="275" t="inlineStr">
        <is>
          <t>different values</t>
        </is>
      </c>
      <c r="D469" s="273" t="inlineStr">
        <is>
          <t>Conforms | Одговара</t>
        </is>
      </c>
      <c r="E469" s="273" t="inlineStr">
        <is>
          <t>Conforms</t>
        </is>
      </c>
    </row>
    <row r="470">
      <c r="A470" s="273" t="inlineStr">
        <is>
          <t>SCR012603</t>
        </is>
      </c>
      <c r="B470" s="273" t="inlineStr">
        <is>
          <t>#7</t>
        </is>
      </c>
      <c r="C470" s="275" t="inlineStr">
        <is>
          <t>different values</t>
        </is>
      </c>
      <c r="D470" s="273" t="inlineStr">
        <is>
          <t>Conforms | Одговара</t>
        </is>
      </c>
      <c r="E470" s="273" t="inlineStr">
        <is>
          <t>Conforms</t>
        </is>
      </c>
    </row>
    <row r="471">
      <c r="A471" s="273" t="inlineStr">
        <is>
          <t>BSS052501</t>
        </is>
      </c>
      <c r="B471" s="273" t="inlineStr">
        <is>
          <t>#1</t>
        </is>
      </c>
      <c r="C471" s="275" t="inlineStr">
        <is>
          <t>different values</t>
        </is>
      </c>
      <c r="D471" s="273" t="inlineStr">
        <is>
          <t>Conforms | Одговара</t>
        </is>
      </c>
      <c r="E471" s="273" t="inlineStr">
        <is>
          <t>Conforms</t>
        </is>
      </c>
    </row>
    <row r="472">
      <c r="A472" s="273" t="inlineStr">
        <is>
          <t>BSS052501</t>
        </is>
      </c>
      <c r="B472" s="273" t="inlineStr">
        <is>
          <t>#2</t>
        </is>
      </c>
      <c r="C472" s="275" t="inlineStr">
        <is>
          <t>different values</t>
        </is>
      </c>
      <c r="D472" s="273" t="inlineStr">
        <is>
          <t>Conforms | Одговара</t>
        </is>
      </c>
      <c r="E472" s="273" t="inlineStr">
        <is>
          <t>Conforms</t>
        </is>
      </c>
    </row>
    <row r="473">
      <c r="A473" s="273" t="inlineStr">
        <is>
          <t>BSS052501</t>
        </is>
      </c>
      <c r="B473" s="273" t="inlineStr">
        <is>
          <t>#7</t>
        </is>
      </c>
      <c r="C473" s="275" t="inlineStr">
        <is>
          <t>different values</t>
        </is>
      </c>
      <c r="D473" s="273" t="inlineStr">
        <is>
          <t>Conforms | Одговара</t>
        </is>
      </c>
      <c r="E473" s="273" t="inlineStr">
        <is>
          <t>Conforms</t>
        </is>
      </c>
    </row>
    <row r="474">
      <c r="A474" s="273" t="inlineStr">
        <is>
          <t>BSS052501</t>
        </is>
      </c>
      <c r="B474" s="273" t="inlineStr">
        <is>
          <t>#9</t>
        </is>
      </c>
      <c r="C474" s="275" t="inlineStr">
        <is>
          <t>different values</t>
        </is>
      </c>
      <c r="D474" s="273" t="inlineStr">
        <is>
          <t>200; 200; &lt; 10² and &gt; 10; Absent | Отсутна; Absent | Отсутна</t>
        </is>
      </c>
      <c r="E474" s="273" t="inlineStr">
        <is>
          <t>200 CFU/g CFU/g; 200 CFU/g CFU/g; &lt; 10² и &gt;10 CFU/g CFU/g; Одговара /g; Одговара /25 g</t>
        </is>
      </c>
    </row>
    <row r="475">
      <c r="A475" s="273" t="inlineStr">
        <is>
          <t>BSS052501</t>
        </is>
      </c>
      <c r="B475" s="273" t="inlineStr">
        <is>
          <t>#12</t>
        </is>
      </c>
      <c r="C475" s="275" t="inlineStr">
        <is>
          <t>different values</t>
        </is>
      </c>
      <c r="D475" s="273" t="inlineStr">
        <is>
          <t>Not found any pesticide above LOQ (≤LOQ) — COMPLIES with Ph. Eur.</t>
        </is>
      </c>
      <c r="E475" s="273" t="inlineStr">
        <is>
          <t>≤ LOQ (0.01 mg/kg) mg/kg</t>
        </is>
      </c>
    </row>
    <row r="476">
      <c r="A476" s="273" t="inlineStr">
        <is>
          <t>CJ062501/1</t>
        </is>
      </c>
      <c r="B476" s="273" t="inlineStr">
        <is>
          <t>#1</t>
        </is>
      </c>
      <c r="C476" s="275" t="inlineStr">
        <is>
          <t>different values</t>
        </is>
      </c>
      <c r="D476" s="273" t="inlineStr">
        <is>
          <t>Conforms | Одговара</t>
        </is>
      </c>
      <c r="E476" s="273" t="inlineStr">
        <is>
          <t>Conforms</t>
        </is>
      </c>
    </row>
    <row r="477">
      <c r="A477" s="273" t="inlineStr">
        <is>
          <t>CJ062501/1</t>
        </is>
      </c>
      <c r="B477" s="273" t="inlineStr">
        <is>
          <t>#2</t>
        </is>
      </c>
      <c r="C477" s="275" t="inlineStr">
        <is>
          <t>different values</t>
        </is>
      </c>
      <c r="D477" s="273" t="inlineStr">
        <is>
          <t>Conforms | Одговара</t>
        </is>
      </c>
      <c r="E477" s="273" t="inlineStr">
        <is>
          <t>Conforms</t>
        </is>
      </c>
    </row>
    <row r="478">
      <c r="A478" s="273" t="inlineStr">
        <is>
          <t>CJ062501/1</t>
        </is>
      </c>
      <c r="B478" s="273" t="inlineStr">
        <is>
          <t>#3</t>
        </is>
      </c>
      <c r="C478" s="275" t="inlineStr">
        <is>
          <t>different values</t>
        </is>
      </c>
      <c r="D478" s="273" t="inlineStr">
        <is>
          <t>Conforms | Одговара</t>
        </is>
      </c>
      <c r="E478" s="273" t="inlineStr">
        <is>
          <t>Conforms (ImB spec.)</t>
        </is>
      </c>
    </row>
    <row r="479">
      <c r="A479" s="273" t="inlineStr">
        <is>
          <t>CJ062501/1</t>
        </is>
      </c>
      <c r="B479" s="273" t="inlineStr">
        <is>
          <t>#7</t>
        </is>
      </c>
      <c r="C479" s="275" t="inlineStr">
        <is>
          <t>different values</t>
        </is>
      </c>
      <c r="D479" s="273" t="inlineStr">
        <is>
          <t>Conforms | Одговара</t>
        </is>
      </c>
      <c r="E479" s="273" t="inlineStr">
        <is>
          <t>Conforms</t>
        </is>
      </c>
    </row>
    <row r="480">
      <c r="A480" s="273" t="inlineStr">
        <is>
          <t>CJ062501/1</t>
        </is>
      </c>
      <c r="B480" s="273" t="inlineStr">
        <is>
          <t>#9</t>
        </is>
      </c>
      <c r="C480" s="275" t="inlineStr">
        <is>
          <t>different values</t>
        </is>
      </c>
      <c r="D480" s="273" t="inlineStr">
        <is>
          <t>&lt; 10; 20; &lt; 10; Absent | Отсутна; Absent | Отсутна</t>
        </is>
      </c>
      <c r="E480" s="273" t="inlineStr">
        <is>
          <t>&lt;10; 20; &lt;10; Одговара; Одговара</t>
        </is>
      </c>
    </row>
    <row r="481">
      <c r="A481" s="273" t="inlineStr">
        <is>
          <t>CJ062501/1</t>
        </is>
      </c>
      <c r="B481" s="273" t="inlineStr">
        <is>
          <t>#12</t>
        </is>
      </c>
      <c r="C481" s="275" t="inlineStr">
        <is>
          <t>different values</t>
        </is>
      </c>
      <c r="D481" s="273" t="inlineStr">
        <is>
          <t>ND</t>
        </is>
      </c>
      <c r="E481" s="273" t="inlineStr">
        <is>
          <t>≤ LOQ (all 29 compounds)</t>
        </is>
      </c>
    </row>
    <row r="482">
      <c r="A482" s="273" t="inlineStr">
        <is>
          <t>CJ082501/1</t>
        </is>
      </c>
      <c r="B482" s="273" t="inlineStr">
        <is>
          <t>#1</t>
        </is>
      </c>
      <c r="C482" s="275" t="inlineStr">
        <is>
          <t>different values</t>
        </is>
      </c>
      <c r="D482" s="273" t="inlineStr">
        <is>
          <t>Conforms | Одговара</t>
        </is>
      </c>
      <c r="E482" s="273" t="inlineStr">
        <is>
          <t>Conforms</t>
        </is>
      </c>
    </row>
    <row r="483">
      <c r="A483" s="273" t="inlineStr">
        <is>
          <t>CJ082501/1</t>
        </is>
      </c>
      <c r="B483" s="273" t="inlineStr">
        <is>
          <t>#2</t>
        </is>
      </c>
      <c r="C483" s="275" t="inlineStr">
        <is>
          <t>different values</t>
        </is>
      </c>
      <c r="D483" s="273" t="inlineStr">
        <is>
          <t>Conforms | Одговара</t>
        </is>
      </c>
      <c r="E483" s="273" t="inlineStr">
        <is>
          <t>Conforms</t>
        </is>
      </c>
    </row>
    <row r="484">
      <c r="A484" s="273" t="inlineStr">
        <is>
          <t>CJ082501/1</t>
        </is>
      </c>
      <c r="B484" s="273" t="inlineStr">
        <is>
          <t>#3</t>
        </is>
      </c>
      <c r="C484" s="275" t="inlineStr">
        <is>
          <t>different values</t>
        </is>
      </c>
      <c r="D484" s="273" t="inlineStr">
        <is>
          <t>Conforms | Одговара</t>
        </is>
      </c>
      <c r="E484" s="273" t="inlineStr">
        <is>
          <t>Conforms (ImB spec.)</t>
        </is>
      </c>
    </row>
    <row r="485">
      <c r="A485" s="273" t="inlineStr">
        <is>
          <t>CJ082501/1</t>
        </is>
      </c>
      <c r="B485" s="273" t="inlineStr">
        <is>
          <t>#7</t>
        </is>
      </c>
      <c r="C485" s="275" t="inlineStr">
        <is>
          <t>different values</t>
        </is>
      </c>
      <c r="D485" s="273" t="inlineStr">
        <is>
          <t>Conforms | Одговара</t>
        </is>
      </c>
      <c r="E485" s="273" t="inlineStr">
        <is>
          <t>Conforms</t>
        </is>
      </c>
    </row>
    <row r="486">
      <c r="A486" s="273" t="inlineStr">
        <is>
          <t>CJ082501/1</t>
        </is>
      </c>
      <c r="B486" s="273" t="inlineStr">
        <is>
          <t>#9</t>
        </is>
      </c>
      <c r="C486" s="275" t="inlineStr">
        <is>
          <t>different values</t>
        </is>
      </c>
      <c r="D486" s="273" t="inlineStr">
        <is>
          <t>1.5 × 10²; 1.3 × 10²; &lt; 10; Absent | Отсутна; Absent | Отсутна</t>
        </is>
      </c>
      <c r="E486" s="273" t="inlineStr">
        <is>
          <t>1,5 x 10² CFU/g CFU/g; 1,3 x 10² CFU/g CFU/g; &lt; 10 CFU/g CFU/g; Одговара /g; Одговара /25 g</t>
        </is>
      </c>
    </row>
    <row r="487">
      <c r="A487" s="273" t="inlineStr">
        <is>
          <t>CJ082501/1</t>
        </is>
      </c>
      <c r="B487" s="273" t="inlineStr">
        <is>
          <t>#12</t>
        </is>
      </c>
      <c r="C487" s="275" t="inlineStr">
        <is>
          <t>different values</t>
        </is>
      </c>
      <c r="D487" s="273" t="inlineStr">
        <is>
          <t>ND</t>
        </is>
      </c>
      <c r="E487" s="273" t="inlineStr">
        <is>
          <t>≤ LOQ (all 26 compounds)</t>
        </is>
      </c>
    </row>
    <row r="488">
      <c r="A488" s="273" t="inlineStr">
        <is>
          <t>CJ092501</t>
        </is>
      </c>
      <c r="B488" s="273" t="inlineStr">
        <is>
          <t>#1</t>
        </is>
      </c>
      <c r="C488" s="275" t="inlineStr">
        <is>
          <t>different values</t>
        </is>
      </c>
      <c r="D488" s="273" t="inlineStr">
        <is>
          <t>Conforms | Одговара</t>
        </is>
      </c>
      <c r="E488" s="273" t="inlineStr">
        <is>
          <t>Conforms</t>
        </is>
      </c>
    </row>
    <row r="489">
      <c r="A489" s="273" t="inlineStr">
        <is>
          <t>CJ092501</t>
        </is>
      </c>
      <c r="B489" s="273" t="inlineStr">
        <is>
          <t>#2</t>
        </is>
      </c>
      <c r="C489" s="275" t="inlineStr">
        <is>
          <t>different values</t>
        </is>
      </c>
      <c r="D489" s="273" t="inlineStr">
        <is>
          <t>Conforms | Одговара</t>
        </is>
      </c>
      <c r="E489" s="273" t="inlineStr">
        <is>
          <t>Conforms</t>
        </is>
      </c>
    </row>
    <row r="490">
      <c r="A490" s="273" t="inlineStr">
        <is>
          <t>CJ092501</t>
        </is>
      </c>
      <c r="B490" s="273" t="inlineStr">
        <is>
          <t>#3</t>
        </is>
      </c>
      <c r="C490" s="275" t="inlineStr">
        <is>
          <t>different values</t>
        </is>
      </c>
      <c r="D490" s="273" t="inlineStr">
        <is>
          <t>Conforms | Одговара</t>
        </is>
      </c>
      <c r="E490" s="273" t="inlineStr">
        <is>
          <t>Conforms (ImB spec.)</t>
        </is>
      </c>
    </row>
    <row r="491">
      <c r="A491" s="273" t="inlineStr">
        <is>
          <t>CJ092501</t>
        </is>
      </c>
      <c r="B491" s="273" t="inlineStr">
        <is>
          <t>#7</t>
        </is>
      </c>
      <c r="C491" s="275" t="inlineStr">
        <is>
          <t>different values</t>
        </is>
      </c>
      <c r="D491" s="273" t="inlineStr">
        <is>
          <t>Conforms | Одговара</t>
        </is>
      </c>
      <c r="E491" s="273" t="inlineStr">
        <is>
          <t>Conforms</t>
        </is>
      </c>
    </row>
    <row r="492">
      <c r="A492" s="273" t="inlineStr">
        <is>
          <t>CJ092501</t>
        </is>
      </c>
      <c r="B492" s="273" t="inlineStr">
        <is>
          <t>#9</t>
        </is>
      </c>
      <c r="C492" s="275" t="inlineStr">
        <is>
          <t>different values</t>
        </is>
      </c>
      <c r="D492" s="273" t="inlineStr">
        <is>
          <t>&lt; 10; &lt; 10; &lt; 10; Absent | Отсутна; Absent | Отсутна</t>
        </is>
      </c>
      <c r="E492" s="273" t="inlineStr">
        <is>
          <t>&lt;10; &lt;10; &lt;10; Одговара; Одговара</t>
        </is>
      </c>
    </row>
    <row r="493">
      <c r="A493" s="273" t="inlineStr">
        <is>
          <t>CJ092501</t>
        </is>
      </c>
      <c r="B493" s="273" t="inlineStr">
        <is>
          <t>#12</t>
        </is>
      </c>
      <c r="C493" s="275" t="inlineStr">
        <is>
          <t>different values</t>
        </is>
      </c>
      <c r="D493" s="273" t="inlineStr">
        <is>
          <t>ND</t>
        </is>
      </c>
      <c r="E493" s="273" t="inlineStr">
        <is>
          <t>≤ LOQ (all 29 compounds)</t>
        </is>
      </c>
    </row>
    <row r="494">
      <c r="A494" s="273" t="inlineStr">
        <is>
          <t>CLE072501</t>
        </is>
      </c>
      <c r="B494" s="273" t="inlineStr">
        <is>
          <t>#1</t>
        </is>
      </c>
      <c r="C494" s="275" t="inlineStr">
        <is>
          <t>different values</t>
        </is>
      </c>
      <c r="D494" s="273" t="inlineStr">
        <is>
          <t>Conforms | Одговара</t>
        </is>
      </c>
      <c r="E494" s="273" t="inlineStr">
        <is>
          <t>Conforms</t>
        </is>
      </c>
    </row>
    <row r="495">
      <c r="A495" s="273" t="inlineStr">
        <is>
          <t>CLE072501</t>
        </is>
      </c>
      <c r="B495" s="273" t="inlineStr">
        <is>
          <t>#2</t>
        </is>
      </c>
      <c r="C495" s="275" t="inlineStr">
        <is>
          <t>different values</t>
        </is>
      </c>
      <c r="D495" s="273" t="inlineStr">
        <is>
          <t>Conforms | Одговара</t>
        </is>
      </c>
      <c r="E495" s="273" t="inlineStr">
        <is>
          <t>Conforms</t>
        </is>
      </c>
    </row>
    <row r="496">
      <c r="A496" s="273" t="inlineStr">
        <is>
          <t>CLE072501</t>
        </is>
      </c>
      <c r="B496" s="273" t="inlineStr">
        <is>
          <t>#3</t>
        </is>
      </c>
      <c r="C496" s="275" t="inlineStr">
        <is>
          <t>different values</t>
        </is>
      </c>
      <c r="D496" s="273" t="inlineStr">
        <is>
          <t>Conforms | Одговара</t>
        </is>
      </c>
      <c r="E496" s="273" t="inlineStr">
        <is>
          <t>Conforms (ImB spec.)</t>
        </is>
      </c>
    </row>
    <row r="497">
      <c r="A497" s="273" t="inlineStr">
        <is>
          <t>CLE072501</t>
        </is>
      </c>
      <c r="B497" s="273" t="inlineStr">
        <is>
          <t>#6</t>
        </is>
      </c>
      <c r="C497" s="275" t="inlineStr">
        <is>
          <t>different values</t>
        </is>
      </c>
      <c r="D497" s="273" t="inlineStr">
        <is>
          <t>&lt; LOQ ᴰ</t>
        </is>
      </c>
      <c r="E497" s="273" t="inlineStr">
        <is>
          <t>BLQ ᴰ</t>
        </is>
      </c>
    </row>
    <row r="498">
      <c r="A498" s="273" t="inlineStr">
        <is>
          <t>CLE072501</t>
        </is>
      </c>
      <c r="B498" s="273" t="inlineStr">
        <is>
          <t>#7</t>
        </is>
      </c>
      <c r="C498" s="275" t="inlineStr">
        <is>
          <t>different values</t>
        </is>
      </c>
      <c r="D498" s="273" t="inlineStr">
        <is>
          <t>Conforms | Одговара</t>
        </is>
      </c>
      <c r="E498" s="273" t="inlineStr">
        <is>
          <t>Conforms</t>
        </is>
      </c>
    </row>
    <row r="499">
      <c r="A499" s="273" t="inlineStr">
        <is>
          <t>CLE072501</t>
        </is>
      </c>
      <c r="B499" s="273" t="inlineStr">
        <is>
          <t>#9</t>
        </is>
      </c>
      <c r="C499" s="275" t="inlineStr">
        <is>
          <t>different values</t>
        </is>
      </c>
      <c r="D499" s="273" t="inlineStr">
        <is>
          <t>&lt; 10; &lt; 10; &lt; 10; Absent | Отсутна; Absent | Отсутна</t>
        </is>
      </c>
      <c r="E499" s="273" t="inlineStr">
        <is>
          <t>&lt;10; &lt;10; &lt;10; Одговара; Одговара</t>
        </is>
      </c>
    </row>
    <row r="500">
      <c r="A500" s="273" t="inlineStr">
        <is>
          <t>CLE072501</t>
        </is>
      </c>
      <c r="B500" s="273" t="inlineStr">
        <is>
          <t>#12</t>
        </is>
      </c>
      <c r="C500" s="275" t="inlineStr">
        <is>
          <t>different values</t>
        </is>
      </c>
      <c r="D500" s="273" t="inlineStr">
        <is>
          <t>ND</t>
        </is>
      </c>
      <c r="E500" s="273" t="inlineStr">
        <is>
          <t>≤ LOQ (all 27 compounds)</t>
        </is>
      </c>
    </row>
    <row r="501">
      <c r="A501" s="273" t="inlineStr">
        <is>
          <t>FB012601/1</t>
        </is>
      </c>
      <c r="B501" s="273" t="inlineStr">
        <is>
          <t>#1</t>
        </is>
      </c>
      <c r="C501" s="275" t="inlineStr">
        <is>
          <t>different values</t>
        </is>
      </c>
      <c r="D501" s="273" t="inlineStr">
        <is>
          <t>Conforms | Одговара</t>
        </is>
      </c>
      <c r="E501" s="273" t="inlineStr">
        <is>
          <t>Conforms</t>
        </is>
      </c>
    </row>
    <row r="502">
      <c r="A502" s="273" t="inlineStr">
        <is>
          <t>FB012601/1</t>
        </is>
      </c>
      <c r="B502" s="273" t="inlineStr">
        <is>
          <t>#2</t>
        </is>
      </c>
      <c r="C502" s="275" t="inlineStr">
        <is>
          <t>different values</t>
        </is>
      </c>
      <c r="D502" s="273" t="inlineStr">
        <is>
          <t>Conforms | Одговара</t>
        </is>
      </c>
      <c r="E502" s="273" t="inlineStr">
        <is>
          <t>Conforms</t>
        </is>
      </c>
    </row>
    <row r="503">
      <c r="A503" s="273" t="inlineStr">
        <is>
          <t>FB012601/1</t>
        </is>
      </c>
      <c r="B503" s="273" t="inlineStr">
        <is>
          <t>#6</t>
        </is>
      </c>
      <c r="C503" s="275" t="inlineStr">
        <is>
          <t>different values</t>
        </is>
      </c>
      <c r="D503" s="273" t="inlineStr">
        <is>
          <t>&lt; LOQ %</t>
        </is>
      </c>
      <c r="E503" s="273" t="inlineStr">
        <is>
          <t>BLQ %</t>
        </is>
      </c>
    </row>
    <row r="504">
      <c r="A504" s="273" t="inlineStr">
        <is>
          <t>FB012601/1</t>
        </is>
      </c>
      <c r="B504" s="273" t="inlineStr">
        <is>
          <t>#7</t>
        </is>
      </c>
      <c r="C504" s="275" t="inlineStr">
        <is>
          <t>different values</t>
        </is>
      </c>
      <c r="D504" s="273" t="inlineStr">
        <is>
          <t>Conforms | Одговара</t>
        </is>
      </c>
      <c r="E504" s="273" t="inlineStr">
        <is>
          <t>Conforms</t>
        </is>
      </c>
    </row>
    <row r="505">
      <c r="A505" s="273" t="inlineStr">
        <is>
          <t>GG1024</t>
        </is>
      </c>
      <c r="B505" s="273" t="inlineStr">
        <is>
          <t>#1</t>
        </is>
      </c>
      <c r="C505" s="275" t="inlineStr">
        <is>
          <t>different values</t>
        </is>
      </c>
      <c r="D505" s="273" t="inlineStr">
        <is>
          <t>Conforms | Одговара</t>
        </is>
      </c>
      <c r="E505" s="273" t="inlineStr">
        <is>
          <t>Conforms</t>
        </is>
      </c>
    </row>
    <row r="506">
      <c r="A506" s="273" t="inlineStr">
        <is>
          <t>GG1024</t>
        </is>
      </c>
      <c r="B506" s="273" t="inlineStr">
        <is>
          <t>#2</t>
        </is>
      </c>
      <c r="C506" s="275" t="inlineStr">
        <is>
          <t>different values</t>
        </is>
      </c>
      <c r="D506" s="273" t="inlineStr">
        <is>
          <t>Conforms | Одговара</t>
        </is>
      </c>
      <c r="E506" s="273" t="inlineStr">
        <is>
          <t>Conforms</t>
        </is>
      </c>
    </row>
    <row r="507">
      <c r="A507" s="273" t="inlineStr">
        <is>
          <t>GG1024</t>
        </is>
      </c>
      <c r="B507" s="273" t="inlineStr">
        <is>
          <t>#7</t>
        </is>
      </c>
      <c r="C507" s="275" t="inlineStr">
        <is>
          <t>different values</t>
        </is>
      </c>
      <c r="D507" s="273" t="inlineStr">
        <is>
          <t>Conforms | Одговара</t>
        </is>
      </c>
      <c r="E507" s="273" t="inlineStr">
        <is>
          <t>Confirms</t>
        </is>
      </c>
    </row>
    <row r="508">
      <c r="A508" s="273" t="inlineStr">
        <is>
          <t>GP072501/2</t>
        </is>
      </c>
      <c r="B508" s="273" t="inlineStr">
        <is>
          <t>#1</t>
        </is>
      </c>
      <c r="C508" s="275" t="inlineStr">
        <is>
          <t>different values</t>
        </is>
      </c>
      <c r="D508" s="273" t="inlineStr">
        <is>
          <t>Conforms | Одговара</t>
        </is>
      </c>
      <c r="E508" s="273" t="inlineStr">
        <is>
          <t>Conforms</t>
        </is>
      </c>
    </row>
    <row r="509">
      <c r="A509" s="273" t="inlineStr">
        <is>
          <t>GP072501/2</t>
        </is>
      </c>
      <c r="B509" s="273" t="inlineStr">
        <is>
          <t>#2</t>
        </is>
      </c>
      <c r="C509" s="275" t="inlineStr">
        <is>
          <t>different values</t>
        </is>
      </c>
      <c r="D509" s="273" t="inlineStr">
        <is>
          <t>Conforms | Одговара</t>
        </is>
      </c>
      <c r="E509" s="273" t="inlineStr">
        <is>
          <t>Conforms</t>
        </is>
      </c>
    </row>
    <row r="510">
      <c r="A510" s="273" t="inlineStr">
        <is>
          <t>GP072501/2</t>
        </is>
      </c>
      <c r="B510" s="273" t="inlineStr">
        <is>
          <t>#3</t>
        </is>
      </c>
      <c r="C510" s="275" t="inlineStr">
        <is>
          <t>different values</t>
        </is>
      </c>
      <c r="D510" s="273" t="inlineStr">
        <is>
          <t>Conforms | Одговара</t>
        </is>
      </c>
      <c r="E510" s="273" t="inlineStr">
        <is>
          <t>Conforms (ImB spec.)</t>
        </is>
      </c>
    </row>
    <row r="511">
      <c r="A511" s="273" t="inlineStr">
        <is>
          <t>GP072501/2</t>
        </is>
      </c>
      <c r="B511" s="273" t="inlineStr">
        <is>
          <t>#7</t>
        </is>
      </c>
      <c r="C511" s="275" t="inlineStr">
        <is>
          <t>different values</t>
        </is>
      </c>
      <c r="D511" s="273" t="inlineStr">
        <is>
          <t>Conforms | Одговара</t>
        </is>
      </c>
      <c r="E511" s="273" t="inlineStr">
        <is>
          <t>Conforms</t>
        </is>
      </c>
    </row>
    <row r="512">
      <c r="A512" s="273" t="inlineStr">
        <is>
          <t>GP072501/2</t>
        </is>
      </c>
      <c r="B512" s="273" t="inlineStr">
        <is>
          <t>#9</t>
        </is>
      </c>
      <c r="C512" s="275" t="inlineStr">
        <is>
          <t>different values</t>
        </is>
      </c>
      <c r="D512" s="273" t="inlineStr">
        <is>
          <t>2 × 10²; 3 × 10²; &lt; 10; Absent | Отсутна; Absent | Отсутна</t>
        </is>
      </c>
      <c r="E512" s="273" t="inlineStr">
        <is>
          <t>2 x 10² CFU/g CFU/g; 3 x 10² CFU/g CFU/g; &lt; 10 CFU/g CFU/g; Одговара /g; Одговара /25 g</t>
        </is>
      </c>
    </row>
    <row r="513">
      <c r="A513" s="273" t="inlineStr">
        <is>
          <t>GP072501/2</t>
        </is>
      </c>
      <c r="B513" s="273" t="inlineStr">
        <is>
          <t>#12</t>
        </is>
      </c>
      <c r="C513" s="275" t="inlineStr">
        <is>
          <t>different values</t>
        </is>
      </c>
      <c r="D513" s="273" t="inlineStr">
        <is>
          <t>ND</t>
        </is>
      </c>
      <c r="E513" s="273" t="inlineStr">
        <is>
          <t>≤ LOQ (all 29 compounds)</t>
        </is>
      </c>
    </row>
    <row r="514">
      <c r="A514" s="273" t="inlineStr">
        <is>
          <t>GP0824_03</t>
        </is>
      </c>
      <c r="B514" s="273" t="inlineStr">
        <is>
          <t>#1</t>
        </is>
      </c>
      <c r="C514" s="275" t="inlineStr">
        <is>
          <t>different values</t>
        </is>
      </c>
      <c r="D514" s="273" t="inlineStr">
        <is>
          <t>Conforms | Одговара</t>
        </is>
      </c>
      <c r="E514" s="273" t="inlineStr">
        <is>
          <t>Conforms</t>
        </is>
      </c>
    </row>
    <row r="515">
      <c r="A515" s="273" t="inlineStr">
        <is>
          <t>GP0824_03</t>
        </is>
      </c>
      <c r="B515" s="273" t="inlineStr">
        <is>
          <t>#2</t>
        </is>
      </c>
      <c r="C515" s="275" t="inlineStr">
        <is>
          <t>different values</t>
        </is>
      </c>
      <c r="D515" s="273" t="inlineStr">
        <is>
          <t>Conforms | Одговара</t>
        </is>
      </c>
      <c r="E515" s="273" t="inlineStr">
        <is>
          <t>Conforms</t>
        </is>
      </c>
    </row>
    <row r="516">
      <c r="A516" s="273" t="inlineStr">
        <is>
          <t>GP0824_03</t>
        </is>
      </c>
      <c r="B516" s="273" t="inlineStr">
        <is>
          <t>#3</t>
        </is>
      </c>
      <c r="C516" s="275" t="inlineStr">
        <is>
          <t>different values</t>
        </is>
      </c>
      <c r="D516" s="273" t="inlineStr">
        <is>
          <t>Conforms | Одговара</t>
        </is>
      </c>
      <c r="E516" s="273" t="inlineStr">
        <is>
          <t>Conforms (ImB spec.)</t>
        </is>
      </c>
    </row>
    <row r="517">
      <c r="A517" s="273" t="inlineStr">
        <is>
          <t>GP0824_03</t>
        </is>
      </c>
      <c r="B517" s="273" t="inlineStr">
        <is>
          <t>#6</t>
        </is>
      </c>
      <c r="C517" s="275" t="inlineStr">
        <is>
          <t>different values</t>
        </is>
      </c>
      <c r="D517" s="273" t="inlineStr">
        <is>
          <t>&lt; LOQ ᴰ</t>
        </is>
      </c>
      <c r="E517" s="273" t="inlineStr">
        <is>
          <t>BLQ ᴰ</t>
        </is>
      </c>
    </row>
    <row r="518">
      <c r="A518" s="273" t="inlineStr">
        <is>
          <t>GP0824_03</t>
        </is>
      </c>
      <c r="B518" s="273" t="inlineStr">
        <is>
          <t>#7</t>
        </is>
      </c>
      <c r="C518" s="275" t="inlineStr">
        <is>
          <t>different values</t>
        </is>
      </c>
      <c r="D518" s="273" t="inlineStr">
        <is>
          <t>Conforms | Одговара</t>
        </is>
      </c>
      <c r="E518" s="273" t="inlineStr">
        <is>
          <t>Conforms</t>
        </is>
      </c>
    </row>
    <row r="519">
      <c r="A519" s="273" t="inlineStr">
        <is>
          <t>GP0824_03</t>
        </is>
      </c>
      <c r="B519" s="273" t="inlineStr">
        <is>
          <t>#9</t>
        </is>
      </c>
      <c r="C519" s="275" t="inlineStr">
        <is>
          <t>different values</t>
        </is>
      </c>
      <c r="D519" s="273" t="inlineStr">
        <is>
          <t>1.1 × 10⁴; 1.2 × 10⁴; &lt; 10⁴ and &gt; 10³; Absent | Отсутна; Absent | Отсутна</t>
        </is>
      </c>
      <c r="E519" s="273" t="inlineStr">
        <is>
          <t>1.1 x 10⁴; 1.2 x 10⁴; &lt;10⁴ и &gt;10³; Одговара; Одговара</t>
        </is>
      </c>
    </row>
    <row r="520">
      <c r="A520" s="273" t="inlineStr">
        <is>
          <t>GP0824_03</t>
        </is>
      </c>
      <c r="B520" s="273" t="inlineStr">
        <is>
          <t>#12</t>
        </is>
      </c>
      <c r="C520" s="275" t="inlineStr">
        <is>
          <t>different values</t>
        </is>
      </c>
      <c r="D520" s="273" t="inlineStr">
        <is>
          <t>ND</t>
        </is>
      </c>
      <c r="E520" s="273" t="inlineStr">
        <is>
          <t>≤ LOQ (all 29 compounds)</t>
        </is>
      </c>
    </row>
    <row r="521">
      <c r="A521" s="273" t="inlineStr">
        <is>
          <t>GP082501/1</t>
        </is>
      </c>
      <c r="B521" s="273" t="inlineStr">
        <is>
          <t>#1</t>
        </is>
      </c>
      <c r="C521" s="275" t="inlineStr">
        <is>
          <t>different values</t>
        </is>
      </c>
      <c r="D521" s="273" t="inlineStr">
        <is>
          <t>Conforms | Одговара</t>
        </is>
      </c>
      <c r="E521" s="273" t="inlineStr">
        <is>
          <t>Conforms</t>
        </is>
      </c>
    </row>
    <row r="522">
      <c r="A522" s="273" t="inlineStr">
        <is>
          <t>GP082501/1</t>
        </is>
      </c>
      <c r="B522" s="273" t="inlineStr">
        <is>
          <t>#2</t>
        </is>
      </c>
      <c r="C522" s="275" t="inlineStr">
        <is>
          <t>different values</t>
        </is>
      </c>
      <c r="D522" s="273" t="inlineStr">
        <is>
          <t>Conforms | Одговара</t>
        </is>
      </c>
      <c r="E522" s="273" t="inlineStr">
        <is>
          <t>Conforms</t>
        </is>
      </c>
    </row>
    <row r="523">
      <c r="A523" s="273" t="inlineStr">
        <is>
          <t>GP082501/1</t>
        </is>
      </c>
      <c r="B523" s="273" t="inlineStr">
        <is>
          <t>#3</t>
        </is>
      </c>
      <c r="C523" s="275" t="inlineStr">
        <is>
          <t>different values</t>
        </is>
      </c>
      <c r="D523" s="273" t="inlineStr">
        <is>
          <t>Conforms | Одговара</t>
        </is>
      </c>
      <c r="E523" s="273" t="inlineStr">
        <is>
          <t>Conforms (ImB spec.)</t>
        </is>
      </c>
    </row>
    <row r="524">
      <c r="A524" s="273" t="inlineStr">
        <is>
          <t>GP082501/1</t>
        </is>
      </c>
      <c r="B524" s="273" t="inlineStr">
        <is>
          <t>#7</t>
        </is>
      </c>
      <c r="C524" s="275" t="inlineStr">
        <is>
          <t>different values</t>
        </is>
      </c>
      <c r="D524" s="273" t="inlineStr">
        <is>
          <t>Conforms | Одговара</t>
        </is>
      </c>
      <c r="E524" s="273" t="inlineStr">
        <is>
          <t>Conforms</t>
        </is>
      </c>
    </row>
    <row r="525">
      <c r="A525" s="273" t="inlineStr">
        <is>
          <t>GP082501/1</t>
        </is>
      </c>
      <c r="B525" s="273" t="inlineStr">
        <is>
          <t>#9</t>
        </is>
      </c>
      <c r="C525" s="275" t="inlineStr">
        <is>
          <t>different values</t>
        </is>
      </c>
      <c r="D525" s="273" t="inlineStr">
        <is>
          <t>4.3 × 10²; 1 × 10³; &lt; 10³ and &gt; 10²; Absent | Отсутна; Absent | Отсутна</t>
        </is>
      </c>
      <c r="E525" s="273" t="inlineStr">
        <is>
          <t>4,3 x 10² CFU/g CFU/g; 1 x 10³ CFU/g CFU/g; &lt; 10³ и &gt; 10² CFU/g CFU/g; Одговара /g; Одговара /25 g</t>
        </is>
      </c>
    </row>
    <row r="526">
      <c r="A526" s="273" t="inlineStr">
        <is>
          <t>GP082501/1</t>
        </is>
      </c>
      <c r="B526" s="273" t="inlineStr">
        <is>
          <t>#12</t>
        </is>
      </c>
      <c r="C526" s="275" t="inlineStr">
        <is>
          <t>different values</t>
        </is>
      </c>
      <c r="D526" s="273" t="inlineStr">
        <is>
          <t>ND</t>
        </is>
      </c>
      <c r="E526" s="273" t="inlineStr">
        <is>
          <t>≤ LOQ (all 28 compounds)</t>
        </is>
      </c>
    </row>
    <row r="527">
      <c r="A527" s="273" t="inlineStr">
        <is>
          <t>GP092501</t>
        </is>
      </c>
      <c r="B527" s="273" t="inlineStr">
        <is>
          <t>#1</t>
        </is>
      </c>
      <c r="C527" s="275" t="inlineStr">
        <is>
          <t>different values</t>
        </is>
      </c>
      <c r="D527" s="273" t="inlineStr">
        <is>
          <t>Conforms | Одговара</t>
        </is>
      </c>
      <c r="E527" s="273" t="inlineStr">
        <is>
          <t>Conforms</t>
        </is>
      </c>
    </row>
    <row r="528">
      <c r="A528" s="273" t="inlineStr">
        <is>
          <t>GP092501</t>
        </is>
      </c>
      <c r="B528" s="273" t="inlineStr">
        <is>
          <t>#2</t>
        </is>
      </c>
      <c r="C528" s="275" t="inlineStr">
        <is>
          <t>different values</t>
        </is>
      </c>
      <c r="D528" s="273" t="inlineStr">
        <is>
          <t>Conforms | Одговара</t>
        </is>
      </c>
      <c r="E528" s="273" t="inlineStr">
        <is>
          <t>Conforms</t>
        </is>
      </c>
    </row>
    <row r="529">
      <c r="A529" s="273" t="inlineStr">
        <is>
          <t>GP092501</t>
        </is>
      </c>
      <c r="B529" s="273" t="inlineStr">
        <is>
          <t>#3</t>
        </is>
      </c>
      <c r="C529" s="275" t="inlineStr">
        <is>
          <t>different values</t>
        </is>
      </c>
      <c r="D529" s="273" t="inlineStr">
        <is>
          <t>Conforms | Одговара</t>
        </is>
      </c>
      <c r="E529" s="273" t="inlineStr">
        <is>
          <t>Conforms (ImB spec.)</t>
        </is>
      </c>
    </row>
    <row r="530">
      <c r="A530" s="273" t="inlineStr">
        <is>
          <t>GP092501</t>
        </is>
      </c>
      <c r="B530" s="273" t="inlineStr">
        <is>
          <t>#7</t>
        </is>
      </c>
      <c r="C530" s="275" t="inlineStr">
        <is>
          <t>different values</t>
        </is>
      </c>
      <c r="D530" s="273" t="inlineStr">
        <is>
          <t>Conforms | Одговара</t>
        </is>
      </c>
      <c r="E530" s="273" t="inlineStr">
        <is>
          <t>Conforms</t>
        </is>
      </c>
    </row>
    <row r="531">
      <c r="A531" s="273" t="inlineStr">
        <is>
          <t>GP092501</t>
        </is>
      </c>
      <c r="B531" s="273" t="inlineStr">
        <is>
          <t>#9</t>
        </is>
      </c>
      <c r="C531" s="275" t="inlineStr">
        <is>
          <t>different values</t>
        </is>
      </c>
      <c r="D531" s="273" t="inlineStr">
        <is>
          <t>1 × 10²; &lt; 10; &lt; 10² and &gt; 10; Absent | Отсутна; Absent | Отсутна</t>
        </is>
      </c>
      <c r="E531" s="273" t="inlineStr">
        <is>
          <t>1 x 10² CFU/g CFU/g; &lt; 10 CFU/g CFU/g; &lt; 10² и &gt; 10 CFU/g CFU/g; Одговара /g; Одговара /25 g</t>
        </is>
      </c>
    </row>
    <row r="532">
      <c r="A532" s="273" t="inlineStr">
        <is>
          <t>GP092501</t>
        </is>
      </c>
      <c r="B532" s="273" t="inlineStr">
        <is>
          <t>#12</t>
        </is>
      </c>
      <c r="C532" s="275" t="inlineStr">
        <is>
          <t>different values</t>
        </is>
      </c>
      <c r="D532" s="273" t="inlineStr">
        <is>
          <t>ND</t>
        </is>
      </c>
      <c r="E532" s="273" t="inlineStr">
        <is>
          <t>≤ LOQ (all 29 compounds)</t>
        </is>
      </c>
    </row>
    <row r="533">
      <c r="A533" s="273" t="inlineStr">
        <is>
          <t>HPA052501</t>
        </is>
      </c>
      <c r="B533" s="273" t="inlineStr">
        <is>
          <t>#1</t>
        </is>
      </c>
      <c r="C533" s="275" t="inlineStr">
        <is>
          <t>different values</t>
        </is>
      </c>
      <c r="D533" s="273" t="inlineStr">
        <is>
          <t>Conforms | Одговара</t>
        </is>
      </c>
      <c r="E533" s="273" t="inlineStr">
        <is>
          <t>Conforms</t>
        </is>
      </c>
    </row>
    <row r="534">
      <c r="A534" s="273" t="inlineStr">
        <is>
          <t>HPA052501</t>
        </is>
      </c>
      <c r="B534" s="273" t="inlineStr">
        <is>
          <t>#2</t>
        </is>
      </c>
      <c r="C534" s="275" t="inlineStr">
        <is>
          <t>different values</t>
        </is>
      </c>
      <c r="D534" s="273" t="inlineStr">
        <is>
          <t>Conforms | Одговара</t>
        </is>
      </c>
      <c r="E534" s="273" t="inlineStr">
        <is>
          <t>Conforms</t>
        </is>
      </c>
    </row>
    <row r="535">
      <c r="A535" s="273" t="inlineStr">
        <is>
          <t>HPA052501</t>
        </is>
      </c>
      <c r="B535" s="273" t="inlineStr">
        <is>
          <t>#3</t>
        </is>
      </c>
      <c r="C535" s="275" t="inlineStr">
        <is>
          <t>different values</t>
        </is>
      </c>
      <c r="D535" s="273" t="inlineStr">
        <is>
          <t>Conforms | Одговара</t>
        </is>
      </c>
      <c r="E535" s="273" t="inlineStr">
        <is>
          <t>Conforms (ImB spec.)</t>
        </is>
      </c>
    </row>
    <row r="536">
      <c r="A536" s="273" t="inlineStr">
        <is>
          <t>HPA052501</t>
        </is>
      </c>
      <c r="B536" s="273" t="inlineStr">
        <is>
          <t>#7</t>
        </is>
      </c>
      <c r="C536" s="275" t="inlineStr">
        <is>
          <t>different values</t>
        </is>
      </c>
      <c r="D536" s="273" t="inlineStr">
        <is>
          <t>Conforms | Одговара</t>
        </is>
      </c>
      <c r="E536" s="273" t="inlineStr">
        <is>
          <t>Conforms</t>
        </is>
      </c>
    </row>
    <row r="537">
      <c r="A537" s="273" t="inlineStr">
        <is>
          <t>HPA052501</t>
        </is>
      </c>
      <c r="B537" s="273" t="inlineStr">
        <is>
          <t>#9</t>
        </is>
      </c>
      <c r="C537" s="275" t="inlineStr">
        <is>
          <t>different values</t>
        </is>
      </c>
      <c r="D537" s="273" t="inlineStr">
        <is>
          <t>2.7 × 10⁴; 2.6 × 10⁴; &lt; 10; Absent | Отсутна; Absent | Отсутна</t>
        </is>
      </c>
      <c r="E537" s="273" t="inlineStr">
        <is>
          <t>2,7 x 10⁴ CFU/g CFU/g; 2,6 x 10⁴ CFU/g CFU/g; &lt; 10 CFU/g CFU/g; Одговара /g; Одговара /25 g</t>
        </is>
      </c>
    </row>
    <row r="538">
      <c r="A538" s="273" t="inlineStr">
        <is>
          <t>HPA052501</t>
        </is>
      </c>
      <c r="B538" s="273" t="inlineStr">
        <is>
          <t>#12</t>
        </is>
      </c>
      <c r="C538" s="275" t="inlineStr">
        <is>
          <t>different values</t>
        </is>
      </c>
      <c r="D538" s="273" t="inlineStr">
        <is>
          <t>ND</t>
        </is>
      </c>
      <c r="E538" s="273" t="inlineStr">
        <is>
          <t>≤ LOQ (all 24 compounds)</t>
        </is>
      </c>
    </row>
    <row r="539">
      <c r="A539" s="273" t="inlineStr">
        <is>
          <t>JD012603/02</t>
        </is>
      </c>
      <c r="B539" s="273" t="inlineStr">
        <is>
          <t>#4</t>
        </is>
      </c>
      <c r="C539" s="275" t="inlineStr">
        <is>
          <t>different values</t>
        </is>
      </c>
      <c r="D539" s="273" t="inlineStr">
        <is>
          <t>20.54</t>
        </is>
      </c>
      <c r="E539" s="273" t="inlineStr">
        <is>
          <t>14.43 % w/w</t>
        </is>
      </c>
    </row>
    <row r="540">
      <c r="A540" s="273" t="inlineStr">
        <is>
          <t>JD012603/02</t>
        </is>
      </c>
      <c r="B540" s="273" t="inlineStr">
        <is>
          <t>#5</t>
        </is>
      </c>
      <c r="C540" s="275" t="inlineStr">
        <is>
          <t>different values</t>
        </is>
      </c>
      <c r="D540" s="273" t="inlineStr">
        <is>
          <t>0.05</t>
        </is>
      </c>
      <c r="E540" s="273" t="inlineStr">
        <is>
          <t>&lt; LOQ % w/w</t>
        </is>
      </c>
    </row>
    <row r="541">
      <c r="A541" s="273" t="inlineStr">
        <is>
          <t>JD012603/02</t>
        </is>
      </c>
      <c r="B541" s="273" t="inlineStr">
        <is>
          <t>#6</t>
        </is>
      </c>
      <c r="C541" s="275" t="inlineStr">
        <is>
          <t>different values</t>
        </is>
      </c>
      <c r="D541" s="273" t="inlineStr">
        <is>
          <t>0.05</t>
        </is>
      </c>
      <c r="E541" s="273" t="inlineStr">
        <is>
          <t>&lt; LOQ % w/w</t>
        </is>
      </c>
    </row>
    <row r="542">
      <c r="A542" s="273" t="inlineStr">
        <is>
          <t>JD012603/02V</t>
        </is>
      </c>
      <c r="B542" s="273" t="inlineStr">
        <is>
          <t>#4</t>
        </is>
      </c>
      <c r="C542" s="275" t="inlineStr">
        <is>
          <t>different values</t>
        </is>
      </c>
      <c r="D542" s="273" t="inlineStr">
        <is>
          <t>15.16</t>
        </is>
      </c>
      <c r="E542" s="273" t="inlineStr">
        <is>
          <t>17.09 % w/w</t>
        </is>
      </c>
    </row>
    <row r="543">
      <c r="A543" s="273" t="inlineStr">
        <is>
          <t>JD012603/02V</t>
        </is>
      </c>
      <c r="B543" s="273" t="inlineStr">
        <is>
          <t>#6</t>
        </is>
      </c>
      <c r="C543" s="275" t="inlineStr">
        <is>
          <t>different values</t>
        </is>
      </c>
      <c r="D543" s="273" t="inlineStr">
        <is>
          <t>0.04</t>
        </is>
      </c>
      <c r="E543" s="273" t="inlineStr">
        <is>
          <t>&lt; LOQ % w/w</t>
        </is>
      </c>
    </row>
    <row r="544">
      <c r="A544" s="273" t="inlineStr">
        <is>
          <t>KC102501</t>
        </is>
      </c>
      <c r="B544" s="273" t="inlineStr">
        <is>
          <t>#1</t>
        </is>
      </c>
      <c r="C544" s="275" t="inlineStr">
        <is>
          <t>different values</t>
        </is>
      </c>
      <c r="D544" s="273" t="inlineStr">
        <is>
          <t>Conforms | Одговара</t>
        </is>
      </c>
      <c r="E544" s="273" t="inlineStr">
        <is>
          <t>Conforms</t>
        </is>
      </c>
    </row>
    <row r="545">
      <c r="A545" s="273" t="inlineStr">
        <is>
          <t>KC102501</t>
        </is>
      </c>
      <c r="B545" s="273" t="inlineStr">
        <is>
          <t>#2</t>
        </is>
      </c>
      <c r="C545" s="275" t="inlineStr">
        <is>
          <t>different values</t>
        </is>
      </c>
      <c r="D545" s="273" t="inlineStr">
        <is>
          <t>Conforms | Одговара</t>
        </is>
      </c>
      <c r="E545" s="273" t="inlineStr">
        <is>
          <t>Conforms</t>
        </is>
      </c>
    </row>
    <row r="546">
      <c r="A546" s="273" t="inlineStr">
        <is>
          <t>KC102501</t>
        </is>
      </c>
      <c r="B546" s="273" t="inlineStr">
        <is>
          <t>#7</t>
        </is>
      </c>
      <c r="C546" s="275" t="inlineStr">
        <is>
          <t>different values</t>
        </is>
      </c>
      <c r="D546" s="273" t="inlineStr">
        <is>
          <t>Conforms | Одговара</t>
        </is>
      </c>
      <c r="E546" s="273" t="inlineStr">
        <is>
          <t>Conforms</t>
        </is>
      </c>
    </row>
    <row r="547">
      <c r="A547" s="273" t="inlineStr">
        <is>
          <t>MB0824_05</t>
        </is>
      </c>
      <c r="B547" s="273" t="inlineStr">
        <is>
          <t>#1</t>
        </is>
      </c>
      <c r="C547" s="275" t="inlineStr">
        <is>
          <t>different values</t>
        </is>
      </c>
      <c r="D547" s="273" t="inlineStr">
        <is>
          <t>Conforms | Одговара</t>
        </is>
      </c>
      <c r="E547" s="273" t="inlineStr">
        <is>
          <t>Conforms</t>
        </is>
      </c>
    </row>
    <row r="548">
      <c r="A548" s="273" t="inlineStr">
        <is>
          <t>MB0824_05</t>
        </is>
      </c>
      <c r="B548" s="273" t="inlineStr">
        <is>
          <t>#2</t>
        </is>
      </c>
      <c r="C548" s="275" t="inlineStr">
        <is>
          <t>different values</t>
        </is>
      </c>
      <c r="D548" s="273" t="inlineStr">
        <is>
          <t>Conforms | Одговара</t>
        </is>
      </c>
      <c r="E548" s="273" t="inlineStr">
        <is>
          <t>Conforms</t>
        </is>
      </c>
    </row>
    <row r="549">
      <c r="A549" s="273" t="inlineStr">
        <is>
          <t>MB0824_05</t>
        </is>
      </c>
      <c r="B549" s="273" t="inlineStr">
        <is>
          <t>#3</t>
        </is>
      </c>
      <c r="C549" s="275" t="inlineStr">
        <is>
          <t>different values</t>
        </is>
      </c>
      <c r="D549" s="273" t="inlineStr">
        <is>
          <t>Conforms | Одговара</t>
        </is>
      </c>
      <c r="E549" s="273" t="inlineStr">
        <is>
          <t>Conforms (ImB spec.)</t>
        </is>
      </c>
    </row>
    <row r="550">
      <c r="A550" s="273" t="inlineStr">
        <is>
          <t>MB0824_05</t>
        </is>
      </c>
      <c r="B550" s="273" t="inlineStr">
        <is>
          <t>#7</t>
        </is>
      </c>
      <c r="C550" s="275" t="inlineStr">
        <is>
          <t>different values</t>
        </is>
      </c>
      <c r="D550" s="273" t="inlineStr">
        <is>
          <t>Conforms | Одговара</t>
        </is>
      </c>
      <c r="E550" s="273" t="inlineStr">
        <is>
          <t>Conforms</t>
        </is>
      </c>
    </row>
    <row r="551">
      <c r="A551" s="273" t="inlineStr">
        <is>
          <t>MB0824_05</t>
        </is>
      </c>
      <c r="B551" s="273" t="inlineStr">
        <is>
          <t>#9</t>
        </is>
      </c>
      <c r="C551" s="275" t="inlineStr">
        <is>
          <t>different values</t>
        </is>
      </c>
      <c r="D551" s="273" t="inlineStr">
        <is>
          <t>3.5 × 10³; 1 × 10³; &lt; 10; Absent | Отсутна; Absent | Отсутна</t>
        </is>
      </c>
      <c r="E551" s="273" t="inlineStr">
        <is>
          <t>3,5 x 10³ CFU/g CFU/g; 1 x 10³ CFU/g CFU/g; &lt; 10 CFU/g CFU/g; Одговара /g; Одговара /25 g</t>
        </is>
      </c>
    </row>
    <row r="552">
      <c r="A552" s="273" t="inlineStr">
        <is>
          <t>OMP1024_01</t>
        </is>
      </c>
      <c r="B552" s="273" t="inlineStr">
        <is>
          <t>#1</t>
        </is>
      </c>
      <c r="C552" s="275" t="inlineStr">
        <is>
          <t>different values</t>
        </is>
      </c>
      <c r="D552" s="273" t="inlineStr">
        <is>
          <t>Conforms | Одговара</t>
        </is>
      </c>
      <c r="E552" s="273" t="inlineStr">
        <is>
          <t>Conforms</t>
        </is>
      </c>
    </row>
    <row r="553">
      <c r="A553" s="273" t="inlineStr">
        <is>
          <t>OMP1024_01</t>
        </is>
      </c>
      <c r="B553" s="273" t="inlineStr">
        <is>
          <t>#2</t>
        </is>
      </c>
      <c r="C553" s="275" t="inlineStr">
        <is>
          <t>different values</t>
        </is>
      </c>
      <c r="D553" s="273" t="inlineStr">
        <is>
          <t>Conforms | Одговара</t>
        </is>
      </c>
      <c r="E553" s="273" t="inlineStr">
        <is>
          <t>Conforms</t>
        </is>
      </c>
    </row>
    <row r="554">
      <c r="A554" s="273" t="inlineStr">
        <is>
          <t>OMP1024_01</t>
        </is>
      </c>
      <c r="B554" s="273" t="inlineStr">
        <is>
          <t>#7</t>
        </is>
      </c>
      <c r="C554" s="275" t="inlineStr">
        <is>
          <t>different values</t>
        </is>
      </c>
      <c r="D554" s="273" t="inlineStr">
        <is>
          <t>Conforms | Одговара</t>
        </is>
      </c>
      <c r="E554" s="273" t="inlineStr">
        <is>
          <t>Conforms</t>
        </is>
      </c>
    </row>
    <row r="555">
      <c r="A555" s="273" t="inlineStr">
        <is>
          <t>OMP1024_01</t>
        </is>
      </c>
      <c r="B555" s="273" t="inlineStr">
        <is>
          <t>#9</t>
        </is>
      </c>
      <c r="C555" s="275" t="inlineStr">
        <is>
          <t>different values</t>
        </is>
      </c>
      <c r="D555" s="273" t="inlineStr">
        <is>
          <t>&lt; 10; &lt; 10; &lt; 10² and &gt; 10; Absent | Отсутна; Absent | Отсутна</t>
        </is>
      </c>
      <c r="E555" s="273" t="inlineStr">
        <is>
          <t>10 CFU/g; &lt; 10 CFU/g; &lt; 10² и &gt; 10 CFU/g; Одговара; Одговара</t>
        </is>
      </c>
    </row>
    <row r="556">
      <c r="A556" s="273" t="inlineStr">
        <is>
          <t>OPM092501</t>
        </is>
      </c>
      <c r="B556" s="273" t="inlineStr">
        <is>
          <t>#1</t>
        </is>
      </c>
      <c r="C556" s="275" t="inlineStr">
        <is>
          <t>different values</t>
        </is>
      </c>
      <c r="D556" s="273" t="inlineStr">
        <is>
          <t>Conforms | Одговара</t>
        </is>
      </c>
      <c r="E556" s="273" t="inlineStr">
        <is>
          <t>Conforms</t>
        </is>
      </c>
    </row>
    <row r="557">
      <c r="A557" s="273" t="inlineStr">
        <is>
          <t>OPM092501</t>
        </is>
      </c>
      <c r="B557" s="273" t="inlineStr">
        <is>
          <t>#2</t>
        </is>
      </c>
      <c r="C557" s="275" t="inlineStr">
        <is>
          <t>different values</t>
        </is>
      </c>
      <c r="D557" s="273" t="inlineStr">
        <is>
          <t>Conforms | Одговара</t>
        </is>
      </c>
      <c r="E557" s="273" t="inlineStr">
        <is>
          <t>Conforms</t>
        </is>
      </c>
    </row>
    <row r="558">
      <c r="A558" s="273" t="inlineStr">
        <is>
          <t>OPM092501</t>
        </is>
      </c>
      <c r="B558" s="273" t="inlineStr">
        <is>
          <t>#3</t>
        </is>
      </c>
      <c r="C558" s="275" t="inlineStr">
        <is>
          <t>different values</t>
        </is>
      </c>
      <c r="D558" s="273" t="inlineStr">
        <is>
          <t>Conforms | Одговара</t>
        </is>
      </c>
      <c r="E558" s="273" t="inlineStr">
        <is>
          <t>Conforms (ImB spec.)</t>
        </is>
      </c>
    </row>
    <row r="559">
      <c r="A559" s="273" t="inlineStr">
        <is>
          <t>OPM092501</t>
        </is>
      </c>
      <c r="B559" s="273" t="inlineStr">
        <is>
          <t>#7</t>
        </is>
      </c>
      <c r="C559" s="275" t="inlineStr">
        <is>
          <t>different values</t>
        </is>
      </c>
      <c r="D559" s="273" t="inlineStr">
        <is>
          <t>Conforms | Одговара</t>
        </is>
      </c>
      <c r="E559" s="273" t="inlineStr">
        <is>
          <t>Conforms</t>
        </is>
      </c>
    </row>
    <row r="560">
      <c r="A560" s="273" t="inlineStr">
        <is>
          <t>OPM092501</t>
        </is>
      </c>
      <c r="B560" s="273" t="inlineStr">
        <is>
          <t>#9</t>
        </is>
      </c>
      <c r="C560" s="275" t="inlineStr">
        <is>
          <t>different values</t>
        </is>
      </c>
      <c r="D560" s="273" t="inlineStr">
        <is>
          <t>10; 10; &lt; 10² and &gt; 10; Absent | Отсутна; Absent | Отсутна</t>
        </is>
      </c>
      <c r="E560" s="273" t="inlineStr">
        <is>
          <t>10 CFU/g CFU/g; 10 CFU/g CFU/g; &lt; 10² и &gt; 10 CFU/g CFU/g; Одговара /g; Одговара /25 g</t>
        </is>
      </c>
    </row>
    <row r="561">
      <c r="A561" s="273" t="inlineStr">
        <is>
          <t>OPM092501</t>
        </is>
      </c>
      <c r="B561" s="273" t="inlineStr">
        <is>
          <t>#12</t>
        </is>
      </c>
      <c r="C561" s="275" t="inlineStr">
        <is>
          <t>different values</t>
        </is>
      </c>
      <c r="D561" s="273" t="inlineStr">
        <is>
          <t>ND</t>
        </is>
      </c>
      <c r="E561" s="273" t="inlineStr">
        <is>
          <t>≤ LOQ (all 29 compounds)</t>
        </is>
      </c>
    </row>
    <row r="562">
      <c r="A562" s="273" t="inlineStr">
        <is>
          <t>OPM1024_03</t>
        </is>
      </c>
      <c r="B562" s="273" t="inlineStr">
        <is>
          <t>#1</t>
        </is>
      </c>
      <c r="C562" s="275" t="inlineStr">
        <is>
          <t>different values</t>
        </is>
      </c>
      <c r="D562" s="273" t="inlineStr">
        <is>
          <t>Conforms | Одговара</t>
        </is>
      </c>
      <c r="E562" s="273" t="inlineStr">
        <is>
          <t>Conforms</t>
        </is>
      </c>
    </row>
    <row r="563">
      <c r="A563" s="273" t="inlineStr">
        <is>
          <t>OPM1024_03</t>
        </is>
      </c>
      <c r="B563" s="273" t="inlineStr">
        <is>
          <t>#2</t>
        </is>
      </c>
      <c r="C563" s="275" t="inlineStr">
        <is>
          <t>different values</t>
        </is>
      </c>
      <c r="D563" s="273" t="inlineStr">
        <is>
          <t>Conforms | Одговара</t>
        </is>
      </c>
      <c r="E563" s="273" t="inlineStr">
        <is>
          <t>Conforms</t>
        </is>
      </c>
    </row>
    <row r="564">
      <c r="A564" s="273" t="inlineStr">
        <is>
          <t>OPM1024_03</t>
        </is>
      </c>
      <c r="B564" s="273" t="inlineStr">
        <is>
          <t>#3</t>
        </is>
      </c>
      <c r="C564" s="275" t="inlineStr">
        <is>
          <t>different values</t>
        </is>
      </c>
      <c r="D564" s="273" t="inlineStr">
        <is>
          <t>Conforms | Одговара</t>
        </is>
      </c>
      <c r="E564" s="273" t="inlineStr">
        <is>
          <t>Conforms (ImB spec.)</t>
        </is>
      </c>
    </row>
    <row r="565">
      <c r="A565" s="273" t="inlineStr">
        <is>
          <t>OPM1024_03</t>
        </is>
      </c>
      <c r="B565" s="273" t="inlineStr">
        <is>
          <t>#7</t>
        </is>
      </c>
      <c r="C565" s="275" t="inlineStr">
        <is>
          <t>different values</t>
        </is>
      </c>
      <c r="D565" s="273" t="inlineStr">
        <is>
          <t>Conforms | Одговара</t>
        </is>
      </c>
      <c r="E565" s="273" t="inlineStr">
        <is>
          <t>Conforms</t>
        </is>
      </c>
    </row>
    <row r="566">
      <c r="A566" s="273" t="inlineStr">
        <is>
          <t>OPM1024_03</t>
        </is>
      </c>
      <c r="B566" s="273" t="inlineStr">
        <is>
          <t>#9</t>
        </is>
      </c>
      <c r="C566" s="275" t="inlineStr">
        <is>
          <t>different values</t>
        </is>
      </c>
      <c r="D566" s="273" t="inlineStr">
        <is>
          <t>2 × 10²; 3 × 10²; &lt; 10; Absent | Отсутна; Absent | Отсутна</t>
        </is>
      </c>
      <c r="E566" s="273" t="inlineStr">
        <is>
          <t>2 x 10² CFU/g CFU/g; 3 x 10² CFU/g CFU/g; &lt; 10 CFU/g CFU/g; Одговара /g; Одговара /25 g</t>
        </is>
      </c>
    </row>
    <row r="567">
      <c r="A567" s="273" t="inlineStr">
        <is>
          <t>OPM1024_03</t>
        </is>
      </c>
      <c r="B567" s="273" t="inlineStr">
        <is>
          <t>#12</t>
        </is>
      </c>
      <c r="C567" s="275" t="inlineStr">
        <is>
          <t>different values</t>
        </is>
      </c>
      <c r="D567" s="273" t="inlineStr">
        <is>
          <t>ND</t>
        </is>
      </c>
      <c r="E567" s="273" t="inlineStr">
        <is>
          <t>≤ LOQ (all 26 compounds)</t>
        </is>
      </c>
    </row>
    <row r="568">
      <c r="A568" s="273" t="inlineStr">
        <is>
          <t>PM112501</t>
        </is>
      </c>
      <c r="B568" s="273" t="inlineStr">
        <is>
          <t>#1</t>
        </is>
      </c>
      <c r="C568" s="275" t="inlineStr">
        <is>
          <t>different values</t>
        </is>
      </c>
      <c r="D568" s="273" t="inlineStr">
        <is>
          <t>Conforms | Одговара</t>
        </is>
      </c>
      <c r="E568" s="273" t="inlineStr">
        <is>
          <t>Conforms</t>
        </is>
      </c>
    </row>
    <row r="569">
      <c r="A569" s="273" t="inlineStr">
        <is>
          <t>PM112501</t>
        </is>
      </c>
      <c r="B569" s="273" t="inlineStr">
        <is>
          <t>#2</t>
        </is>
      </c>
      <c r="C569" s="275" t="inlineStr">
        <is>
          <t>different values</t>
        </is>
      </c>
      <c r="D569" s="273" t="inlineStr">
        <is>
          <t>Conforms | Одговара</t>
        </is>
      </c>
      <c r="E569" s="273" t="inlineStr">
        <is>
          <t>Conforms</t>
        </is>
      </c>
    </row>
    <row r="570">
      <c r="A570" s="273" t="inlineStr">
        <is>
          <t>PM112501</t>
        </is>
      </c>
      <c r="B570" s="273" t="inlineStr">
        <is>
          <t>#7</t>
        </is>
      </c>
      <c r="C570" s="275" t="inlineStr">
        <is>
          <t>different values</t>
        </is>
      </c>
      <c r="D570" s="273" t="inlineStr">
        <is>
          <t>Conforms | Одговара</t>
        </is>
      </c>
      <c r="E570" s="273" t="inlineStr">
        <is>
          <t>Conforms</t>
        </is>
      </c>
    </row>
    <row r="571">
      <c r="A571" s="273" t="inlineStr">
        <is>
          <t>SCR112501</t>
        </is>
      </c>
      <c r="B571" s="273" t="inlineStr">
        <is>
          <t>#1</t>
        </is>
      </c>
      <c r="C571" s="275" t="inlineStr">
        <is>
          <t>different values</t>
        </is>
      </c>
      <c r="D571" s="273" t="inlineStr">
        <is>
          <t>Conforms | Одговара</t>
        </is>
      </c>
      <c r="E571" s="273" t="inlineStr">
        <is>
          <t>Conforms</t>
        </is>
      </c>
    </row>
    <row r="572">
      <c r="A572" s="273" t="inlineStr">
        <is>
          <t>SCR112501</t>
        </is>
      </c>
      <c r="B572" s="273" t="inlineStr">
        <is>
          <t>#2</t>
        </is>
      </c>
      <c r="C572" s="275" t="inlineStr">
        <is>
          <t>different values</t>
        </is>
      </c>
      <c r="D572" s="273" t="inlineStr">
        <is>
          <t>Conforms | Одговара</t>
        </is>
      </c>
      <c r="E572" s="273" t="inlineStr">
        <is>
          <t>Conforms</t>
        </is>
      </c>
    </row>
    <row r="573">
      <c r="A573" s="273" t="inlineStr">
        <is>
          <t>SCR112501</t>
        </is>
      </c>
      <c r="B573" s="273" t="inlineStr">
        <is>
          <t>#6</t>
        </is>
      </c>
      <c r="C573" s="275" t="inlineStr">
        <is>
          <t>different values</t>
        </is>
      </c>
      <c r="D573" s="273" t="inlineStr">
        <is>
          <t>&lt; LOQ %</t>
        </is>
      </c>
      <c r="E573" s="273" t="inlineStr">
        <is>
          <t>BLQ %</t>
        </is>
      </c>
    </row>
    <row r="574">
      <c r="A574" s="273" t="inlineStr">
        <is>
          <t>SCR112501</t>
        </is>
      </c>
      <c r="B574" s="273" t="inlineStr">
        <is>
          <t>#7</t>
        </is>
      </c>
      <c r="C574" s="275" t="inlineStr">
        <is>
          <t>different values</t>
        </is>
      </c>
      <c r="D574" s="273" t="inlineStr">
        <is>
          <t>Conforms | Одговара</t>
        </is>
      </c>
      <c r="E574" s="273" t="inlineStr">
        <is>
          <t>Conforms</t>
        </is>
      </c>
    </row>
    <row r="575">
      <c r="A575" s="273" t="inlineStr">
        <is>
          <t>SJ092501</t>
        </is>
      </c>
      <c r="B575" s="273" t="inlineStr">
        <is>
          <t>#6</t>
        </is>
      </c>
      <c r="C575" s="275" t="inlineStr">
        <is>
          <t>different values</t>
        </is>
      </c>
      <c r="D575" s="273" t="inlineStr">
        <is>
          <t>&lt; LOQ</t>
        </is>
      </c>
      <c r="E575" s="273" t="inlineStr">
        <is>
          <t>BLQ</t>
        </is>
      </c>
    </row>
    <row r="576">
      <c r="A576" s="273" t="inlineStr">
        <is>
          <t>SJ092501</t>
        </is>
      </c>
      <c r="B576" s="273" t="inlineStr">
        <is>
          <t>#9</t>
        </is>
      </c>
      <c r="C576" s="275" t="inlineStr">
        <is>
          <t>different values</t>
        </is>
      </c>
      <c r="D576" s="273" t="inlineStr">
        <is>
          <t>&lt; 10; &lt; 10; &lt; 10; Absent | Отсутна; Absent | Отсутна</t>
        </is>
      </c>
      <c r="E576" s="273" t="inlineStr">
        <is>
          <t>&lt; 10 CFU/g CFU/g; &lt; 10 CFU/g CFU/g; &lt; 10 CFU/g CFU/g; Одговара /g; Одговара /25 g</t>
        </is>
      </c>
    </row>
    <row r="577">
      <c r="A577" s="273" t="inlineStr">
        <is>
          <t>WC082501</t>
        </is>
      </c>
      <c r="B577" s="273" t="inlineStr">
        <is>
          <t>#1</t>
        </is>
      </c>
      <c r="C577" s="275" t="inlineStr">
        <is>
          <t>different values</t>
        </is>
      </c>
      <c r="D577" s="273" t="inlineStr">
        <is>
          <t>Conforms | Одговара</t>
        </is>
      </c>
      <c r="E577" s="273" t="inlineStr">
        <is>
          <t>Conforms</t>
        </is>
      </c>
    </row>
    <row r="578">
      <c r="A578" s="273" t="inlineStr">
        <is>
          <t>WC082501</t>
        </is>
      </c>
      <c r="B578" s="273" t="inlineStr">
        <is>
          <t>#2</t>
        </is>
      </c>
      <c r="C578" s="275" t="inlineStr">
        <is>
          <t>different values</t>
        </is>
      </c>
      <c r="D578" s="273" t="inlineStr">
        <is>
          <t>Conforms | Одговара</t>
        </is>
      </c>
      <c r="E578" s="273" t="inlineStr">
        <is>
          <t>Conforms</t>
        </is>
      </c>
    </row>
    <row r="579">
      <c r="A579" s="273" t="inlineStr">
        <is>
          <t>WC082501</t>
        </is>
      </c>
      <c r="B579" s="273" t="inlineStr">
        <is>
          <t>#3</t>
        </is>
      </c>
      <c r="C579" s="275" t="inlineStr">
        <is>
          <t>different values</t>
        </is>
      </c>
      <c r="D579" s="273" t="inlineStr">
        <is>
          <t>Conforms | Одговара</t>
        </is>
      </c>
      <c r="E579" s="273" t="inlineStr">
        <is>
          <t>Conforms (ImB spec.)</t>
        </is>
      </c>
    </row>
    <row r="580">
      <c r="A580" s="273" t="inlineStr">
        <is>
          <t>WC082501</t>
        </is>
      </c>
      <c r="B580" s="273" t="inlineStr">
        <is>
          <t>#7</t>
        </is>
      </c>
      <c r="C580" s="275" t="inlineStr">
        <is>
          <t>different values</t>
        </is>
      </c>
      <c r="D580" s="273" t="inlineStr">
        <is>
          <t>Conforms | Одговара</t>
        </is>
      </c>
      <c r="E580" s="273" t="inlineStr">
        <is>
          <t>Conforms</t>
        </is>
      </c>
    </row>
    <row r="581">
      <c r="A581" s="273" t="inlineStr">
        <is>
          <t>WC082501</t>
        </is>
      </c>
      <c r="B581" s="273" t="inlineStr">
        <is>
          <t>#9</t>
        </is>
      </c>
      <c r="C581" s="275" t="inlineStr">
        <is>
          <t>different values</t>
        </is>
      </c>
      <c r="D581" s="273" t="inlineStr">
        <is>
          <t>10; 30; &lt; 10; Absent | Отсутна; Absent | Отсутна</t>
        </is>
      </c>
      <c r="E581" s="273" t="inlineStr">
        <is>
          <t>10 CFU/g CFU/g; 30 CFU/g CFU/g; &lt; 10 CFU/g CFU/g; Одговара /g; Одговара /25 g</t>
        </is>
      </c>
    </row>
    <row r="582">
      <c r="A582" s="273" t="inlineStr">
        <is>
          <t>WC082501</t>
        </is>
      </c>
      <c r="B582" s="273" t="inlineStr">
        <is>
          <t>#12</t>
        </is>
      </c>
      <c r="C582" s="275" t="inlineStr">
        <is>
          <t>different values</t>
        </is>
      </c>
      <c r="D582" s="273" t="inlineStr">
        <is>
          <t>ND</t>
        </is>
      </c>
      <c r="E582" s="273" t="inlineStr">
        <is>
          <t>≤ LOQ (all 29 compounds)</t>
        </is>
      </c>
    </row>
    <row r="584">
      <c r="A584" s="271" t="inlineStr">
        <is>
          <t>THE IDENTITY DETERMINATIONS ARE NOT A TRANSCRIPTION PROBLEM</t>
        </is>
      </c>
      <c r="B584" s="271" t="inlineStr"/>
      <c r="C584" s="271" t="inlineStr"/>
      <c r="D584" s="271" t="inlineStr"/>
      <c r="E584" s="271" t="inlineStr"/>
    </row>
    <row r="586">
      <c r="A586"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586" s="277" t="n"/>
      <c r="C586" s="277" t="n"/>
      <c r="D586" s="277" t="n"/>
      <c r="E586" s="278" t="n"/>
    </row>
    <row r="587">
      <c r="A587" s="279" t="n"/>
      <c r="E587" s="280" t="n"/>
    </row>
    <row r="588">
      <c r="A588" s="279" t="n"/>
      <c r="E588" s="280" t="n"/>
    </row>
    <row r="589">
      <c r="A589" s="279" t="n"/>
      <c r="E589" s="280" t="n"/>
    </row>
    <row r="590">
      <c r="A590" s="279" t="n"/>
      <c r="E590" s="280" t="n"/>
    </row>
    <row r="591">
      <c r="A591" s="279" t="n"/>
      <c r="E591" s="280" t="n"/>
    </row>
    <row r="592">
      <c r="A592" s="281" t="n"/>
      <c r="B592" s="282" t="n"/>
      <c r="C592" s="282" t="n"/>
      <c r="D592" s="282" t="n"/>
      <c r="E592" s="283" t="n"/>
    </row>
    <row r="594">
      <c r="A594" s="271" t="inlineStr">
        <is>
          <t>CLOSURES THAT FOUND NO ROW</t>
        </is>
      </c>
      <c r="B594" s="271" t="inlineStr"/>
      <c r="C594" s="271" t="inlineStr"/>
      <c r="D594" s="271" t="inlineStr"/>
      <c r="E594" s="271" t="inlineStr"/>
    </row>
    <row r="596">
      <c r="A596" s="271" t="inlineStr">
        <is>
          <t>CU batch</t>
        </is>
      </c>
      <c r="B596" s="271" t="inlineStr">
        <is>
          <t>P batch</t>
        </is>
      </c>
      <c r="C596" s="271" t="inlineStr"/>
      <c r="D596" s="271" t="inlineStr">
        <is>
          <t>Parameters now covered</t>
        </is>
      </c>
      <c r="E596" s="271" t="inlineStr">
        <is>
          <t>From</t>
        </is>
      </c>
    </row>
    <row r="597">
      <c r="A597" s="273" t="inlineStr">
        <is>
          <t>JD032601</t>
        </is>
      </c>
      <c r="B597" s="273" t="inlineStr">
        <is>
          <t>— not assigned —</t>
        </is>
      </c>
      <c r="D597" s="273" t="inlineStr">
        <is>
          <t>#9 Microbiological purity; #10 Mycotoxins; #11 Heavy metals; #12 Pesticide residues</t>
        </is>
      </c>
      <c r="E597" s="273" t="inlineStr">
        <is>
          <t>4374/2026 (11.08.2026) [IJZ]; 477/0929/26 (04.08.2026) [IJZ-MB]</t>
        </is>
      </c>
    </row>
    <row r="598">
      <c r="A598"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598" s="277" t="n"/>
      <c r="C598" s="277" t="n"/>
      <c r="D598" s="277" t="n"/>
      <c r="E598" s="278" t="n"/>
    </row>
    <row r="599">
      <c r="A599" s="279" t="n"/>
      <c r="E599" s="280" t="n"/>
    </row>
    <row r="600">
      <c r="A600" s="279" t="n"/>
      <c r="E600" s="280" t="n"/>
    </row>
    <row r="601">
      <c r="A601" s="281" t="n"/>
      <c r="B601" s="282" t="n"/>
      <c r="C601" s="282" t="n"/>
      <c r="D601" s="282" t="n"/>
      <c r="E601" s="283" t="n"/>
    </row>
    <row r="604" ht="20" customHeight="1" s="70">
      <c r="A604" s="242" t="inlineStr">
        <is>
          <t>CREDIT AUDIT</t>
        </is>
      </c>
    </row>
    <row r="605" ht="22" customHeight="1" s="70">
      <c r="A605" s="119" t="inlineStr">
        <is>
          <t>CU Batch</t>
        </is>
      </c>
      <c r="B605" s="119" t="inlineStr">
        <is>
          <t>P Batch</t>
        </is>
      </c>
      <c r="C605" s="119" t="inlineStr">
        <is>
          <t>Certificate</t>
        </is>
      </c>
      <c r="D605" s="119" t="inlineStr">
        <is>
          <t>Date</t>
        </is>
      </c>
      <c r="E605" s="119" t="inlineStr">
        <is>
          <t>Lab</t>
        </is>
      </c>
      <c r="F605" s="119" t="inlineStr">
        <is>
          <t>#</t>
        </is>
      </c>
      <c r="G605" s="119" t="inlineStr">
        <is>
          <t>Parameter</t>
        </is>
      </c>
      <c r="H605" s="119" t="inlineStr">
        <is>
          <t>Finding</t>
        </is>
      </c>
      <c r="I605" s="119" t="inlineStr">
        <is>
          <t>Action</t>
        </is>
      </c>
    </row>
    <row r="606">
      <c r="A606" s="234" t="inlineStr">
        <is>
          <t>BSS052501</t>
        </is>
      </c>
      <c r="B606" s="233" t="inlineStr">
        <is>
          <t>P050192</t>
        </is>
      </c>
      <c r="C606" s="233" t="inlineStr">
        <is>
          <t>NGP-QCG-SOP-024 F3</t>
        </is>
      </c>
      <c r="D606" s="235" t="n">
        <v>45989</v>
      </c>
      <c r="E606" s="233" t="inlineStr">
        <is>
          <t>NGP</t>
        </is>
      </c>
      <c r="F606" s="233" t="inlineStr">
        <is>
          <t>#6</t>
        </is>
      </c>
      <c r="G606" s="236" t="inlineStr">
        <is>
          <t>#6 Total CBN</t>
        </is>
      </c>
      <c r="H606" s="284" t="inlineStr">
        <is>
          <t>held for review</t>
        </is>
      </c>
      <c r="I606" s="285" t="inlineStr">
        <is>
          <t>The two independent reads disagreed. A person must confirm the figure from the page.</t>
        </is>
      </c>
    </row>
    <row r="607">
      <c r="A607" s="234" t="inlineStr">
        <is>
          <t>GP062501</t>
        </is>
      </c>
      <c r="B607" s="233" t="inlineStr">
        <is>
          <t>P050202</t>
        </is>
      </c>
      <c r="C607" s="233" t="inlineStr">
        <is>
          <t>NGP-QCG-SOP-024 F3</t>
        </is>
      </c>
      <c r="D607" s="235" t="n">
        <v>45989</v>
      </c>
      <c r="E607" s="233" t="inlineStr">
        <is>
          <t>NGP</t>
        </is>
      </c>
      <c r="F607" s="233" t="inlineStr">
        <is>
          <t>#6</t>
        </is>
      </c>
      <c r="G607" s="236" t="inlineStr">
        <is>
          <t>#6 Total CBN</t>
        </is>
      </c>
      <c r="H607" s="284" t="inlineStr">
        <is>
          <t>held for review</t>
        </is>
      </c>
      <c r="I607" s="285" t="inlineStr">
        <is>
          <t>The two independent reads disagreed. A person must confirm the figure from the page.</t>
        </is>
      </c>
    </row>
    <row r="608">
      <c r="A608" s="234" t="inlineStr">
        <is>
          <t>J31112501</t>
        </is>
      </c>
      <c r="B608" s="233" t="inlineStr">
        <is>
          <t>P060202</t>
        </is>
      </c>
      <c r="C608" s="233" t="inlineStr">
        <is>
          <t>100-1-K-26</t>
        </is>
      </c>
      <c r="D608" s="235" t="n">
        <v>46121</v>
      </c>
      <c r="E608" s="233" t="inlineStr">
        <is>
          <t>FHM-K</t>
        </is>
      </c>
      <c r="F608" s="233" t="inlineStr">
        <is>
          <t>#3</t>
        </is>
      </c>
      <c r="G608" s="236" t="inlineStr">
        <is>
          <t>#3 Identification C</t>
        </is>
      </c>
      <c r="H608" s="284" t="inlineStr">
        <is>
          <t>held for review</t>
        </is>
      </c>
      <c r="I608" s="285" t="inlineStr">
        <is>
          <t>The two independent reads disagreed. A person must confirm the figure from the page.</t>
        </is>
      </c>
    </row>
    <row r="609">
      <c r="A609" s="234" t="inlineStr">
        <is>
          <t>FB032601</t>
        </is>
      </c>
      <c r="B609" s="233" t="inlineStr">
        <is>
          <t>P060452</t>
        </is>
      </c>
      <c r="C609" s="233" t="inlineStr">
        <is>
          <t>ППК26127</t>
        </is>
      </c>
      <c r="D609" s="235" t="n">
        <v>46224</v>
      </c>
      <c r="E609" s="233" t="inlineStr">
        <is>
          <t>CNP</t>
        </is>
      </c>
      <c r="F609" s="233" t="inlineStr">
        <is>
          <t>#7</t>
        </is>
      </c>
      <c r="G609" s="236" t="inlineStr">
        <is>
          <t>#7 Foreign Matter</t>
        </is>
      </c>
      <c r="H609" s="284" t="inlineStr">
        <is>
          <t>non-conformance reported</t>
        </is>
      </c>
      <c r="I609" s="285" t="inlineStr">
        <is>
          <t>The certificate reports a result that does not conform. Open an investigation record; the Head of QC rules on the lot, and the iCoA for this parameter is held until then.</t>
        </is>
      </c>
    </row>
    <row r="610">
      <c r="A610" s="234" t="inlineStr">
        <is>
          <t>J31122501</t>
        </is>
      </c>
      <c r="B610" s="233" t="inlineStr">
        <is>
          <t>P060262</t>
        </is>
      </c>
      <c r="C610" s="233" t="inlineStr">
        <is>
          <t>100-3-K-26</t>
        </is>
      </c>
      <c r="D610" s="235" t="n">
        <v>46121</v>
      </c>
      <c r="E610" s="233" t="inlineStr">
        <is>
          <t>FHM-K</t>
        </is>
      </c>
      <c r="F610" s="233" t="inlineStr">
        <is>
          <t>#3</t>
        </is>
      </c>
      <c r="G610" s="236" t="inlineStr">
        <is>
          <t>#3 Identification C</t>
        </is>
      </c>
      <c r="H610" s="284" t="inlineStr">
        <is>
          <t>not ingested</t>
        </is>
      </c>
      <c r="I610" s="285" t="inlineStr">
        <is>
          <t>Re-extract the document into the corpus; the batch cannot reach a CoQ on this parameter until then.</t>
        </is>
      </c>
    </row>
    <row r="611">
      <c r="A611" s="234" t="inlineStr">
        <is>
          <t>J31122501</t>
        </is>
      </c>
      <c r="B611" s="233" t="inlineStr">
        <is>
          <t>P060262</t>
        </is>
      </c>
      <c r="C611" s="233" t="inlineStr">
        <is>
          <t>1625-2026</t>
        </is>
      </c>
      <c r="D611" s="235" t="n">
        <v>46135</v>
      </c>
      <c r="E611" s="233" t="inlineStr">
        <is>
          <t>IJZ</t>
        </is>
      </c>
      <c r="F611" s="233" t="inlineStr">
        <is>
          <t>#11</t>
        </is>
      </c>
      <c r="G611" s="236" t="inlineStr">
        <is>
          <t>#11 Heavy Metals</t>
        </is>
      </c>
      <c r="H611" s="284" t="inlineStr">
        <is>
          <t>not ingested</t>
        </is>
      </c>
      <c r="I611" s="285" t="inlineStr">
        <is>
          <t>Re-extract the document into the corpus; the batch cannot reach a CoQ on this parameter until then.</t>
        </is>
      </c>
    </row>
    <row r="612">
      <c r="A612" s="234" t="inlineStr">
        <is>
          <t>MB0824_04</t>
        </is>
      </c>
      <c r="B612" s="233" t="inlineStr">
        <is>
          <t>P050032</t>
        </is>
      </c>
      <c r="C612" s="233" t="inlineStr">
        <is>
          <t>ППК25118</t>
        </is>
      </c>
      <c r="D612" s="235" t="n">
        <v>45783</v>
      </c>
      <c r="E612" s="233" t="inlineStr">
        <is>
          <t>CNP</t>
        </is>
      </c>
      <c r="F612" s="233" t="inlineStr">
        <is>
          <t>#6</t>
        </is>
      </c>
      <c r="G612" s="236" t="inlineStr">
        <is>
          <t>#6 Total CBN</t>
        </is>
      </c>
      <c r="H612" s="284" t="inlineStr">
        <is>
          <t>not ingested</t>
        </is>
      </c>
      <c r="I612" s="285" t="inlineStr">
        <is>
          <t>Re-extract the document into the corpus; the batch cannot reach a CoQ on this parameter until then.</t>
        </is>
      </c>
    </row>
    <row r="613">
      <c r="A613" s="234" t="inlineStr">
        <is>
          <t>OPM052501</t>
        </is>
      </c>
      <c r="B613" s="233" t="inlineStr">
        <is>
          <t>P050132</t>
        </is>
      </c>
      <c r="C613" s="233" t="inlineStr">
        <is>
          <t>ППК25257</t>
        </is>
      </c>
      <c r="D613" s="235" t="n">
        <v>45905</v>
      </c>
      <c r="E613" s="233" t="inlineStr">
        <is>
          <t>CNP</t>
        </is>
      </c>
      <c r="F613" s="233" t="inlineStr">
        <is>
          <t>#6</t>
        </is>
      </c>
      <c r="G613" s="236" t="inlineStr">
        <is>
          <t>#6 Total CBN</t>
        </is>
      </c>
      <c r="H613" s="284" t="inlineStr">
        <is>
          <t>not ingested</t>
        </is>
      </c>
      <c r="I613" s="285" t="inlineStr">
        <is>
          <t>Re-extract the document into the corpus; the batch cannot reach a CoQ on this parameter until then.</t>
        </is>
      </c>
    </row>
    <row r="614">
      <c r="A614" s="234" t="inlineStr">
        <is>
          <t>OPM112501</t>
        </is>
      </c>
      <c r="B614" s="233" t="inlineStr">
        <is>
          <t>P060222</t>
        </is>
      </c>
      <c r="C614" s="233" t="inlineStr">
        <is>
          <t>ППК26031</t>
        </is>
      </c>
      <c r="D614" s="235" t="n">
        <v>46086</v>
      </c>
      <c r="E614" s="233" t="inlineStr">
        <is>
          <t>CNP</t>
        </is>
      </c>
      <c r="F614" s="233" t="inlineStr">
        <is>
          <t>#6</t>
        </is>
      </c>
      <c r="G614" s="236" t="inlineStr">
        <is>
          <t>#6 Total CBN</t>
        </is>
      </c>
      <c r="H614" s="284" t="inlineStr">
        <is>
          <t>not ingested</t>
        </is>
      </c>
      <c r="I614" s="285" t="inlineStr">
        <is>
          <t>Re-extract the document into the corpus; the batch cannot reach a CoQ on this parameter until then.</t>
        </is>
      </c>
    </row>
    <row r="615">
      <c r="A615" s="234" t="inlineStr">
        <is>
          <t>PM072501</t>
        </is>
      </c>
      <c r="B615" s="233" t="inlineStr">
        <is>
          <t>P050272</t>
        </is>
      </c>
      <c r="C615" s="233" t="inlineStr">
        <is>
          <t>ППК25368</t>
        </is>
      </c>
      <c r="D615" s="235" t="n">
        <v>45989</v>
      </c>
      <c r="E615" s="233" t="inlineStr">
        <is>
          <t>CNP</t>
        </is>
      </c>
      <c r="F615" s="233" t="inlineStr">
        <is>
          <t>#6</t>
        </is>
      </c>
      <c r="G615" s="236" t="inlineStr">
        <is>
          <t>#6 Total CBN</t>
        </is>
      </c>
      <c r="H615" s="284" t="inlineStr">
        <is>
          <t>not ingested</t>
        </is>
      </c>
      <c r="I615" s="285" t="inlineStr">
        <is>
          <t>Re-extract the document into the corpus; the batch cannot reach a CoQ on this parameter until then.</t>
        </is>
      </c>
    </row>
    <row r="616">
      <c r="A616" s="234" t="inlineStr">
        <is>
          <t>BSS052501</t>
        </is>
      </c>
      <c r="B616" s="233" t="inlineStr">
        <is>
          <t>P050192</t>
        </is>
      </c>
      <c r="C616" s="233" t="inlineStr">
        <is>
          <t>NGP-QCG-SOP-024 F3</t>
        </is>
      </c>
      <c r="D616" s="235" t="n">
        <v>45989</v>
      </c>
      <c r="E616" s="233" t="inlineStr">
        <is>
          <t>NGP</t>
        </is>
      </c>
      <c r="F616" s="233" t="inlineStr">
        <is>
          <t>#8</t>
        </is>
      </c>
      <c r="G616" s="236" t="inlineStr">
        <is>
          <t>#8 Loss on Drying</t>
        </is>
      </c>
      <c r="H616" s="286" t="inlineStr">
        <is>
          <t>not on this certificate</t>
        </is>
      </c>
      <c r="I616" s="285" t="inlineStr">
        <is>
          <t>Move the credit to the certificate that reports this parameter, or record why it stands.</t>
        </is>
      </c>
    </row>
    <row r="617">
      <c r="A617" s="234" t="inlineStr">
        <is>
          <t>BSS052501</t>
        </is>
      </c>
      <c r="B617" s="233" t="inlineStr">
        <is>
          <t>P050192</t>
        </is>
      </c>
      <c r="C617" s="233" t="inlineStr">
        <is>
          <t>5661-2025</t>
        </is>
      </c>
      <c r="D617" s="235" t="n">
        <v>45992</v>
      </c>
      <c r="E617" s="233" t="inlineStr">
        <is>
          <t>IJZ</t>
        </is>
      </c>
      <c r="F617" s="233" t="inlineStr">
        <is>
          <t>#10</t>
        </is>
      </c>
      <c r="G617" s="236" t="inlineStr">
        <is>
          <t>#10 Mycotoxins</t>
        </is>
      </c>
      <c r="H617" s="286" t="inlineStr">
        <is>
          <t>not on this certificate</t>
        </is>
      </c>
      <c r="I617" s="285" t="inlineStr">
        <is>
          <t>Move the credit to the certificate that reports this parameter, or record why it stands.</t>
        </is>
      </c>
    </row>
    <row r="618">
      <c r="A618" s="234" t="inlineStr">
        <is>
          <t>BSS052501</t>
        </is>
      </c>
      <c r="B618" s="233" t="inlineStr">
        <is>
          <t>P050192</t>
        </is>
      </c>
      <c r="C618" s="233" t="inlineStr">
        <is>
          <t>5661-2025</t>
        </is>
      </c>
      <c r="D618" s="235" t="n">
        <v>45992</v>
      </c>
      <c r="E618" s="233" t="inlineStr">
        <is>
          <t>IJZ</t>
        </is>
      </c>
      <c r="F618" s="233" t="inlineStr">
        <is>
          <t>#12</t>
        </is>
      </c>
      <c r="G618" s="236" t="inlineStr">
        <is>
          <t>#12 Pesticide Residues</t>
        </is>
      </c>
      <c r="H618" s="286" t="inlineStr">
        <is>
          <t>not on this certificate</t>
        </is>
      </c>
      <c r="I618" s="285" t="inlineStr">
        <is>
          <t>Move the credit to the certificate that reports this parameter, or record why it stands.</t>
        </is>
      </c>
    </row>
    <row r="621" ht="20" customHeight="1" s="70">
      <c r="A621" s="242" t="inlineStr">
        <is>
          <t>CREDIT CORRECTIONS</t>
        </is>
      </c>
    </row>
    <row r="622" ht="22" customHeight="1" s="70">
      <c r="A622" s="119" t="inlineStr">
        <is>
          <t>CU Batch</t>
        </is>
      </c>
      <c r="B622" s="119" t="inlineStr">
        <is>
          <t>P Batch</t>
        </is>
      </c>
      <c r="C622" s="119" t="inlineStr">
        <is>
          <t>Certificate</t>
        </is>
      </c>
      <c r="D622" s="119" t="inlineStr">
        <is>
          <t>Date</t>
        </is>
      </c>
      <c r="E622" s="119" t="inlineStr">
        <is>
          <t>Lab</t>
        </is>
      </c>
      <c r="F622" s="119" t="inlineStr">
        <is>
          <t>#</t>
        </is>
      </c>
      <c r="G622" s="119" t="inlineStr">
        <is>
          <t>Parameter</t>
        </is>
      </c>
      <c r="H622" s="119" t="inlineStr">
        <is>
          <t>Correction</t>
        </is>
      </c>
      <c r="I622" s="119" t="inlineStr">
        <is>
          <t>Evidence</t>
        </is>
      </c>
    </row>
    <row r="623">
      <c r="A623" s="234" t="inlineStr">
        <is>
          <t>BG1024</t>
        </is>
      </c>
      <c r="B623" s="233" t="inlineStr">
        <is>
          <t>N/A — no P batch assigned</t>
        </is>
      </c>
      <c r="C623" s="233" t="inlineStr">
        <is>
          <t>197-1-K-26</t>
        </is>
      </c>
      <c r="D623" s="235" t="n">
        <v>46241</v>
      </c>
      <c r="E623" s="233" t="inlineStr">
        <is>
          <t>FHM-K</t>
        </is>
      </c>
      <c r="F623" s="233" t="inlineStr">
        <is>
          <t>#8</t>
        </is>
      </c>
      <c r="G623" s="236" t="inlineStr">
        <is>
          <t>#8 Loss on Drying</t>
        </is>
      </c>
      <c r="H623" s="286" t="inlineStr">
        <is>
          <t>credit removed</t>
        </is>
      </c>
      <c r="I623" s="285" t="inlineStr">
        <is>
          <t>R1 Farmahem pair — cannabinoid certificate; loss on drying is on the LoD certificate</t>
        </is>
      </c>
    </row>
    <row r="624">
      <c r="A624" s="234" t="inlineStr">
        <is>
          <t>BSS1024</t>
        </is>
      </c>
      <c r="B624" s="233" t="inlineStr">
        <is>
          <t>N/A — no P batch assigned</t>
        </is>
      </c>
      <c r="C624" s="233" t="inlineStr">
        <is>
          <t>197-2-K-26</t>
        </is>
      </c>
      <c r="D624" s="235" t="n">
        <v>46241</v>
      </c>
      <c r="E624" s="233" t="inlineStr">
        <is>
          <t>FHM-K</t>
        </is>
      </c>
      <c r="F624" s="233" t="inlineStr">
        <is>
          <t>#8</t>
        </is>
      </c>
      <c r="G624" s="236" t="inlineStr">
        <is>
          <t>#8 Loss on Drying</t>
        </is>
      </c>
      <c r="H624" s="286" t="inlineStr">
        <is>
          <t>credit removed</t>
        </is>
      </c>
      <c r="I624" s="285" t="inlineStr">
        <is>
          <t>R1 Farmahem pair — cannabinoid certificate; loss on drying is on the LoD certificate</t>
        </is>
      </c>
    </row>
    <row r="625">
      <c r="A625" s="234" t="inlineStr">
        <is>
          <t>CC012601/1</t>
        </is>
      </c>
      <c r="B625" s="233" t="inlineStr">
        <is>
          <t>P060332</t>
        </is>
      </c>
      <c r="C625" s="233" t="inlineStr">
        <is>
          <t>197-6-K-26</t>
        </is>
      </c>
      <c r="D625" s="235" t="n">
        <v>46241</v>
      </c>
      <c r="E625" s="233" t="inlineStr">
        <is>
          <t>FHM-K</t>
        </is>
      </c>
      <c r="F625" s="233" t="inlineStr">
        <is>
          <t>#8</t>
        </is>
      </c>
      <c r="G625" s="236" t="inlineStr">
        <is>
          <t>#8 Loss on Drying</t>
        </is>
      </c>
      <c r="H625" s="286" t="inlineStr">
        <is>
          <t>credit removed</t>
        </is>
      </c>
      <c r="I625" s="285" t="inlineStr">
        <is>
          <t>R1 Farmahem pair — cannabinoid certificate; loss on drying is on the LoD certificate</t>
        </is>
      </c>
    </row>
    <row r="626">
      <c r="A626" s="234" t="inlineStr">
        <is>
          <t>CJ052501/01</t>
        </is>
      </c>
      <c r="B626" s="233" t="inlineStr">
        <is>
          <t>P050162</t>
        </is>
      </c>
      <c r="C626" s="233" t="inlineStr">
        <is>
          <t>197-3-K-26</t>
        </is>
      </c>
      <c r="D626" s="235" t="n">
        <v>46241</v>
      </c>
      <c r="E626" s="233" t="inlineStr">
        <is>
          <t>FHM-K</t>
        </is>
      </c>
      <c r="F626" s="233" t="inlineStr">
        <is>
          <t>#8</t>
        </is>
      </c>
      <c r="G626" s="236" t="inlineStr">
        <is>
          <t>#8 Loss on Drying</t>
        </is>
      </c>
      <c r="H626" s="286" t="inlineStr">
        <is>
          <t>credit removed</t>
        </is>
      </c>
      <c r="I626" s="285" t="inlineStr">
        <is>
          <t>R1 Farmahem pair — cannabinoid certificate; loss on drying is on the LoD certificate</t>
        </is>
      </c>
    </row>
    <row r="627">
      <c r="A627" s="234" t="inlineStr">
        <is>
          <t>CJ062501/2</t>
        </is>
      </c>
      <c r="B627" s="233" t="inlineStr">
        <is>
          <t>P050212</t>
        </is>
      </c>
      <c r="C627" s="233" t="inlineStr">
        <is>
          <t>197-4-K-26</t>
        </is>
      </c>
      <c r="D627" s="235" t="n">
        <v>46241</v>
      </c>
      <c r="E627" s="233" t="inlineStr">
        <is>
          <t>FHM-K</t>
        </is>
      </c>
      <c r="F627" s="233" t="inlineStr">
        <is>
          <t>#8</t>
        </is>
      </c>
      <c r="G627" s="236" t="inlineStr">
        <is>
          <t>#8 Loss on Drying</t>
        </is>
      </c>
      <c r="H627" s="286" t="inlineStr">
        <is>
          <t>credit removed</t>
        </is>
      </c>
      <c r="I627" s="285" t="inlineStr">
        <is>
          <t>R1 Farmahem pair — cannabinoid certificate; loss on drying is on the LoD certificate</t>
        </is>
      </c>
    </row>
    <row r="628">
      <c r="A628" s="234" t="inlineStr">
        <is>
          <t>CJ082501/2</t>
        </is>
      </c>
      <c r="B628" s="233" t="inlineStr">
        <is>
          <t>P060032</t>
        </is>
      </c>
      <c r="C628" s="233" t="inlineStr">
        <is>
          <t>197-5-K-26</t>
        </is>
      </c>
      <c r="D628" s="235" t="n">
        <v>46241</v>
      </c>
      <c r="E628" s="233" t="inlineStr">
        <is>
          <t>FHM-K</t>
        </is>
      </c>
      <c r="F628" s="233" t="inlineStr">
        <is>
          <t>#8</t>
        </is>
      </c>
      <c r="G628" s="236" t="inlineStr">
        <is>
          <t>#8 Loss on Drying</t>
        </is>
      </c>
      <c r="H628" s="286" t="inlineStr">
        <is>
          <t>credit removed</t>
        </is>
      </c>
      <c r="I628" s="285" t="inlineStr">
        <is>
          <t>R1 Farmahem pair — cannabinoid certificate; loss on drying is on the LoD certificate</t>
        </is>
      </c>
    </row>
    <row r="629">
      <c r="A629" s="234" t="inlineStr">
        <is>
          <t>FB012602*</t>
        </is>
      </c>
      <c r="B629" s="233" t="inlineStr">
        <is>
          <t>P060352</t>
        </is>
      </c>
      <c r="C629" s="233" t="inlineStr">
        <is>
          <t>197-7-K-26</t>
        </is>
      </c>
      <c r="D629" s="235" t="n">
        <v>46241</v>
      </c>
      <c r="E629" s="233" t="inlineStr">
        <is>
          <t>FHM-K</t>
        </is>
      </c>
      <c r="F629" s="233" t="inlineStr">
        <is>
          <t>#8</t>
        </is>
      </c>
      <c r="G629" s="236" t="inlineStr">
        <is>
          <t>#8 Loss on Drying</t>
        </is>
      </c>
      <c r="H629" s="286" t="inlineStr">
        <is>
          <t>credit removed</t>
        </is>
      </c>
      <c r="I629" s="285" t="inlineStr">
        <is>
          <t>R1 Farmahem pair — cannabinoid certificate; loss on drying is on the LoD certificate</t>
        </is>
      </c>
    </row>
    <row r="630">
      <c r="A630" s="234" t="inlineStr">
        <is>
          <t>GG012603</t>
        </is>
      </c>
      <c r="B630" s="233" t="inlineStr">
        <is>
          <t>P060402</t>
        </is>
      </c>
      <c r="C630" s="233" t="inlineStr">
        <is>
          <t>197-8-K-26</t>
        </is>
      </c>
      <c r="D630" s="235" t="n">
        <v>46241</v>
      </c>
      <c r="E630" s="233" t="inlineStr">
        <is>
          <t>FHM-K</t>
        </is>
      </c>
      <c r="F630" s="233" t="inlineStr">
        <is>
          <t>#8</t>
        </is>
      </c>
      <c r="G630" s="236" t="inlineStr">
        <is>
          <t>#8 Loss on Drying</t>
        </is>
      </c>
      <c r="H630" s="286" t="inlineStr">
        <is>
          <t>credit removed</t>
        </is>
      </c>
      <c r="I630" s="285" t="inlineStr">
        <is>
          <t>R1 Farmahem pair — cannabinoid certificate; loss on drying is on the LoD certificate</t>
        </is>
      </c>
    </row>
    <row r="631">
      <c r="A631" s="234" t="inlineStr">
        <is>
          <t>GG1024_01</t>
        </is>
      </c>
      <c r="B631" s="233" t="inlineStr">
        <is>
          <t>P050092</t>
        </is>
      </c>
      <c r="C631" s="233" t="inlineStr">
        <is>
          <t>197-9-K-26</t>
        </is>
      </c>
      <c r="D631" s="235" t="n">
        <v>46241</v>
      </c>
      <c r="E631" s="233" t="inlineStr">
        <is>
          <t>FHM-K</t>
        </is>
      </c>
      <c r="F631" s="233" t="inlineStr">
        <is>
          <t>#8</t>
        </is>
      </c>
      <c r="G631" s="236" t="inlineStr">
        <is>
          <t>#8 Loss on Drying</t>
        </is>
      </c>
      <c r="H631" s="286" t="inlineStr">
        <is>
          <t>credit removed</t>
        </is>
      </c>
      <c r="I631" s="285" t="inlineStr">
        <is>
          <t>R1 Farmahem pair — cannabinoid certificate; loss on drying is on the LoD certificate</t>
        </is>
      </c>
    </row>
    <row r="632">
      <c r="A632" s="234" t="inlineStr">
        <is>
          <t>GP052501</t>
        </is>
      </c>
      <c r="B632" s="233" t="inlineStr">
        <is>
          <t>P050152</t>
        </is>
      </c>
      <c r="C632" s="233" t="inlineStr">
        <is>
          <t>197-10-K-26</t>
        </is>
      </c>
      <c r="D632" s="235" t="n">
        <v>46241</v>
      </c>
      <c r="E632" s="233" t="inlineStr">
        <is>
          <t>FHM-K</t>
        </is>
      </c>
      <c r="F632" s="233" t="inlineStr">
        <is>
          <t>#8</t>
        </is>
      </c>
      <c r="G632" s="236" t="inlineStr">
        <is>
          <t>#8 Loss on Drying</t>
        </is>
      </c>
      <c r="H632" s="286" t="inlineStr">
        <is>
          <t>credit removed</t>
        </is>
      </c>
      <c r="I632" s="285" t="inlineStr">
        <is>
          <t>R1 Farmahem pair — cannabinoid certificate; loss on drying is on the LoD certificate</t>
        </is>
      </c>
    </row>
    <row r="633">
      <c r="A633" s="234" t="inlineStr">
        <is>
          <t>GP0824_02</t>
        </is>
      </c>
      <c r="B633" s="233" t="inlineStr">
        <is>
          <t>P050022</t>
        </is>
      </c>
      <c r="C633" s="233" t="inlineStr">
        <is>
          <t>197-11-K-26</t>
        </is>
      </c>
      <c r="D633" s="235" t="n">
        <v>46241</v>
      </c>
      <c r="E633" s="233" t="inlineStr">
        <is>
          <t>FHM-K</t>
        </is>
      </c>
      <c r="F633" s="233" t="inlineStr">
        <is>
          <t>#8</t>
        </is>
      </c>
      <c r="G633" s="236" t="inlineStr">
        <is>
          <t>#8 Loss on Drying</t>
        </is>
      </c>
      <c r="H633" s="286" t="inlineStr">
        <is>
          <t>credit removed</t>
        </is>
      </c>
      <c r="I633" s="285" t="inlineStr">
        <is>
          <t>R1 Farmahem pair — cannabinoid certificate; loss on drying is on the LoD certificate</t>
        </is>
      </c>
    </row>
    <row r="634">
      <c r="A634" s="234" t="inlineStr">
        <is>
          <t>GP082501/2</t>
        </is>
      </c>
      <c r="B634" s="233" t="inlineStr">
        <is>
          <t>P050322</t>
        </is>
      </c>
      <c r="C634" s="233" t="inlineStr">
        <is>
          <t>197-12-K-26</t>
        </is>
      </c>
      <c r="D634" s="235" t="n">
        <v>46241</v>
      </c>
      <c r="E634" s="233" t="inlineStr">
        <is>
          <t>FHM-K</t>
        </is>
      </c>
      <c r="F634" s="233" t="inlineStr">
        <is>
          <t>#8</t>
        </is>
      </c>
      <c r="G634" s="236" t="inlineStr">
        <is>
          <t>#8 Loss on Drying</t>
        </is>
      </c>
      <c r="H634" s="286" t="inlineStr">
        <is>
          <t>credit removed</t>
        </is>
      </c>
      <c r="I634" s="285" t="inlineStr">
        <is>
          <t>R1 Farmahem pair — cannabinoid certificate; loss on drying is on the LoD certificate</t>
        </is>
      </c>
    </row>
    <row r="635">
      <c r="A635" s="234" t="inlineStr">
        <is>
          <t>GRC102501</t>
        </is>
      </c>
      <c r="B635" s="233" t="inlineStr">
        <is>
          <t>P060142 / P060182</t>
        </is>
      </c>
      <c r="C635" s="233" t="inlineStr">
        <is>
          <t>051-6-LoD-26</t>
        </is>
      </c>
      <c r="D635" s="235" t="n">
        <v>46083</v>
      </c>
      <c r="E635" s="233" t="inlineStr">
        <is>
          <t>FHM-K</t>
        </is>
      </c>
      <c r="F635" s="233" t="inlineStr">
        <is>
          <t>#3</t>
        </is>
      </c>
      <c r="G635" s="236" t="inlineStr">
        <is>
          <t>#3 Identification C</t>
        </is>
      </c>
      <c r="H635" s="286" t="inlineStr">
        <is>
          <t>credit removed</t>
        </is>
      </c>
      <c r="I635" s="285" t="inlineStr">
        <is>
          <t>R1 Farmahem pair — loss-on-drying certificate; reports no such determination</t>
        </is>
      </c>
    </row>
    <row r="636">
      <c r="A636" s="234" t="inlineStr">
        <is>
          <t>GRC102501</t>
        </is>
      </c>
      <c r="B636" s="233" t="inlineStr">
        <is>
          <t>P060142 / P060182</t>
        </is>
      </c>
      <c r="C636" s="233" t="inlineStr">
        <is>
          <t>051-6-LoD-26</t>
        </is>
      </c>
      <c r="D636" s="235" t="n">
        <v>46083</v>
      </c>
      <c r="E636" s="233" t="inlineStr">
        <is>
          <t>FHM-K</t>
        </is>
      </c>
      <c r="F636" s="233" t="inlineStr">
        <is>
          <t>#4</t>
        </is>
      </c>
      <c r="G636" s="236" t="inlineStr">
        <is>
          <t>#4 Assay — Total Δ⁹-THC*</t>
        </is>
      </c>
      <c r="H636" s="286" t="inlineStr">
        <is>
          <t>credit removed</t>
        </is>
      </c>
      <c r="I636" s="285" t="inlineStr">
        <is>
          <t>R1 Farmahem pair — loss-on-drying certificate; reports no such determination</t>
        </is>
      </c>
    </row>
    <row r="637">
      <c r="A637" s="234" t="inlineStr">
        <is>
          <t>GRC102501</t>
        </is>
      </c>
      <c r="B637" s="233" t="inlineStr">
        <is>
          <t>P060142 / P060182</t>
        </is>
      </c>
      <c r="C637" s="233" t="inlineStr">
        <is>
          <t>051-6-LoD-26</t>
        </is>
      </c>
      <c r="D637" s="235" t="n">
        <v>46083</v>
      </c>
      <c r="E637" s="233" t="inlineStr">
        <is>
          <t>FHM-K</t>
        </is>
      </c>
      <c r="F637" s="233" t="inlineStr">
        <is>
          <t>#5</t>
        </is>
      </c>
      <c r="G637" s="236" t="inlineStr">
        <is>
          <t>#5 Assay — Total CBD</t>
        </is>
      </c>
      <c r="H637" s="286" t="inlineStr">
        <is>
          <t>credit removed</t>
        </is>
      </c>
      <c r="I637" s="285" t="inlineStr">
        <is>
          <t>R1 Farmahem pair — loss-on-drying certificate; reports no such determination</t>
        </is>
      </c>
    </row>
    <row r="638">
      <c r="A638" s="234" t="inlineStr">
        <is>
          <t>GRC102501</t>
        </is>
      </c>
      <c r="B638" s="233" t="inlineStr">
        <is>
          <t>P060142 / P060182</t>
        </is>
      </c>
      <c r="C638" s="233" t="inlineStr">
        <is>
          <t>051-6-LoD-26</t>
        </is>
      </c>
      <c r="D638" s="235" t="n">
        <v>46083</v>
      </c>
      <c r="E638" s="233" t="inlineStr">
        <is>
          <t>FHM-K</t>
        </is>
      </c>
      <c r="F638" s="233" t="inlineStr">
        <is>
          <t>#6</t>
        </is>
      </c>
      <c r="G638" s="236" t="inlineStr">
        <is>
          <t>#6 Total CBN</t>
        </is>
      </c>
      <c r="H638" s="286" t="inlineStr">
        <is>
          <t>credit removed</t>
        </is>
      </c>
      <c r="I638" s="285" t="inlineStr">
        <is>
          <t>R1 Farmahem pair — loss-on-drying certificate; reports no such determination</t>
        </is>
      </c>
    </row>
    <row r="639">
      <c r="A639" s="234" t="inlineStr">
        <is>
          <t>GRC102501</t>
        </is>
      </c>
      <c r="B639" s="233" t="inlineStr">
        <is>
          <t>P060142 / P060182</t>
        </is>
      </c>
      <c r="C639" s="233" t="inlineStr">
        <is>
          <t>051-6-K-26</t>
        </is>
      </c>
      <c r="D639" s="235" t="n">
        <v>46085</v>
      </c>
      <c r="E639" s="233" t="inlineStr">
        <is>
          <t>FHM-K</t>
        </is>
      </c>
      <c r="F639" s="233" t="inlineStr">
        <is>
          <t>#8</t>
        </is>
      </c>
      <c r="G639" s="236" t="inlineStr">
        <is>
          <t>#8 Loss on Drying</t>
        </is>
      </c>
      <c r="H639" s="286" t="inlineStr">
        <is>
          <t>credit removed</t>
        </is>
      </c>
      <c r="I639" s="285" t="inlineStr">
        <is>
          <t>R1 Farmahem pair — cannabinoid certificate; loss on drying is on the LoD certificate</t>
        </is>
      </c>
    </row>
    <row r="640">
      <c r="A640" s="234" t="inlineStr">
        <is>
          <t>HPA1024</t>
        </is>
      </c>
      <c r="B640" s="233" t="inlineStr">
        <is>
          <t>N/A — no P batch assigned</t>
        </is>
      </c>
      <c r="C640" s="233" t="inlineStr">
        <is>
          <t>197-13-K-26</t>
        </is>
      </c>
      <c r="D640" s="235" t="n">
        <v>46241</v>
      </c>
      <c r="E640" s="233" t="inlineStr">
        <is>
          <t>FHM-K</t>
        </is>
      </c>
      <c r="F640" s="233" t="inlineStr">
        <is>
          <t>#8</t>
        </is>
      </c>
      <c r="G640" s="236" t="inlineStr">
        <is>
          <t>#8 Loss on Drying</t>
        </is>
      </c>
      <c r="H640" s="286" t="inlineStr">
        <is>
          <t>credit removed</t>
        </is>
      </c>
      <c r="I640" s="285" t="inlineStr">
        <is>
          <t>R1 Farmahem pair — cannabinoid certificate; loss on drying is on the LoD certificate</t>
        </is>
      </c>
    </row>
    <row r="641">
      <c r="A641" s="234" t="inlineStr">
        <is>
          <t>HPA1024_01</t>
        </is>
      </c>
      <c r="B641" s="233" t="inlineStr">
        <is>
          <t>P050052</t>
        </is>
      </c>
      <c r="C641" s="233" t="inlineStr">
        <is>
          <t>197-14-K-26</t>
        </is>
      </c>
      <c r="D641" s="235" t="n">
        <v>46241</v>
      </c>
      <c r="E641" s="233" t="inlineStr">
        <is>
          <t>FHM-K</t>
        </is>
      </c>
      <c r="F641" s="233" t="inlineStr">
        <is>
          <t>#8</t>
        </is>
      </c>
      <c r="G641" s="236" t="inlineStr">
        <is>
          <t>#8 Loss on Drying</t>
        </is>
      </c>
      <c r="H641" s="286" t="inlineStr">
        <is>
          <t>credit removed</t>
        </is>
      </c>
      <c r="I641" s="285" t="inlineStr">
        <is>
          <t>R1 Farmahem pair — cannabinoid certificate; loss on drying is on the LoD certificate</t>
        </is>
      </c>
    </row>
    <row r="642">
      <c r="A642" s="234" t="inlineStr">
        <is>
          <t>J31102501</t>
        </is>
      </c>
      <c r="B642" s="233" t="inlineStr">
        <is>
          <t>P060152</t>
        </is>
      </c>
      <c r="C642" s="233" t="inlineStr">
        <is>
          <t>051-1-LoD-26</t>
        </is>
      </c>
      <c r="D642" s="235" t="n">
        <v>46083</v>
      </c>
      <c r="E642" s="233" t="inlineStr">
        <is>
          <t>FHM-K</t>
        </is>
      </c>
      <c r="F642" s="233" t="inlineStr">
        <is>
          <t>#3</t>
        </is>
      </c>
      <c r="G642" s="236" t="inlineStr">
        <is>
          <t>#3 Identification C</t>
        </is>
      </c>
      <c r="H642" s="286" t="inlineStr">
        <is>
          <t>credit removed</t>
        </is>
      </c>
      <c r="I642" s="285" t="inlineStr">
        <is>
          <t>R1 Farmahem pair — loss-on-drying certificate; reports no such determination</t>
        </is>
      </c>
    </row>
    <row r="643">
      <c r="A643" s="234" t="inlineStr">
        <is>
          <t>J31102501</t>
        </is>
      </c>
      <c r="B643" s="233" t="inlineStr">
        <is>
          <t>P060152</t>
        </is>
      </c>
      <c r="C643" s="233" t="inlineStr">
        <is>
          <t>051-1-LoD-26</t>
        </is>
      </c>
      <c r="D643" s="235" t="n">
        <v>46083</v>
      </c>
      <c r="E643" s="233" t="inlineStr">
        <is>
          <t>FHM-K</t>
        </is>
      </c>
      <c r="F643" s="233" t="inlineStr">
        <is>
          <t>#4</t>
        </is>
      </c>
      <c r="G643" s="236" t="inlineStr">
        <is>
          <t>#4 Assay — Total Δ⁹-THC*</t>
        </is>
      </c>
      <c r="H643" s="286" t="inlineStr">
        <is>
          <t>credit removed</t>
        </is>
      </c>
      <c r="I643" s="285" t="inlineStr">
        <is>
          <t>R1 Farmahem pair — loss-on-drying certificate; reports no such determination</t>
        </is>
      </c>
    </row>
    <row r="644">
      <c r="A644" s="234" t="inlineStr">
        <is>
          <t>J31102501</t>
        </is>
      </c>
      <c r="B644" s="233" t="inlineStr">
        <is>
          <t>P060152</t>
        </is>
      </c>
      <c r="C644" s="233" t="inlineStr">
        <is>
          <t>051-1-LoD-26</t>
        </is>
      </c>
      <c r="D644" s="235" t="n">
        <v>46083</v>
      </c>
      <c r="E644" s="233" t="inlineStr">
        <is>
          <t>FHM-K</t>
        </is>
      </c>
      <c r="F644" s="233" t="inlineStr">
        <is>
          <t>#5</t>
        </is>
      </c>
      <c r="G644" s="236" t="inlineStr">
        <is>
          <t>#5 Assay — Total CBD</t>
        </is>
      </c>
      <c r="H644" s="286" t="inlineStr">
        <is>
          <t>credit removed</t>
        </is>
      </c>
      <c r="I644" s="285" t="inlineStr">
        <is>
          <t>R1 Farmahem pair — loss-on-drying certificate; reports no such determination</t>
        </is>
      </c>
    </row>
    <row r="645">
      <c r="A645" s="234" t="inlineStr">
        <is>
          <t>J31102501</t>
        </is>
      </c>
      <c r="B645" s="233" t="inlineStr">
        <is>
          <t>P060152</t>
        </is>
      </c>
      <c r="C645" s="233" t="inlineStr">
        <is>
          <t>051-1-LoD-26</t>
        </is>
      </c>
      <c r="D645" s="235" t="n">
        <v>46083</v>
      </c>
      <c r="E645" s="233" t="inlineStr">
        <is>
          <t>FHM-K</t>
        </is>
      </c>
      <c r="F645" s="233" t="inlineStr">
        <is>
          <t>#6</t>
        </is>
      </c>
      <c r="G645" s="236" t="inlineStr">
        <is>
          <t>#6 Total CBN</t>
        </is>
      </c>
      <c r="H645" s="286" t="inlineStr">
        <is>
          <t>credit removed</t>
        </is>
      </c>
      <c r="I645" s="285" t="inlineStr">
        <is>
          <t>R1 Farmahem pair — loss-on-drying certificate; reports no such determination</t>
        </is>
      </c>
    </row>
    <row r="646">
      <c r="A646" s="234" t="inlineStr">
        <is>
          <t>J31102501</t>
        </is>
      </c>
      <c r="B646" s="233" t="inlineStr">
        <is>
          <t>P060152</t>
        </is>
      </c>
      <c r="C646" s="233" t="inlineStr">
        <is>
          <t>051-1-K-26</t>
        </is>
      </c>
      <c r="D646" s="235" t="n">
        <v>46085</v>
      </c>
      <c r="E646" s="233" t="inlineStr">
        <is>
          <t>FHM-K</t>
        </is>
      </c>
      <c r="F646" s="233" t="inlineStr">
        <is>
          <t>#8</t>
        </is>
      </c>
      <c r="G646" s="236" t="inlineStr">
        <is>
          <t>#8 Loss on Drying</t>
        </is>
      </c>
      <c r="H646" s="286" t="inlineStr">
        <is>
          <t>credit removed</t>
        </is>
      </c>
      <c r="I646" s="285" t="inlineStr">
        <is>
          <t>R1 Farmahem pair — cannabinoid certificate; loss on drying is on the LoD certificate</t>
        </is>
      </c>
    </row>
    <row r="647">
      <c r="A647" s="234" t="inlineStr">
        <is>
          <t>J31102501</t>
        </is>
      </c>
      <c r="B647" s="233" t="inlineStr">
        <is>
          <t>P060152</t>
        </is>
      </c>
      <c r="C647" s="233" t="inlineStr">
        <is>
          <t>197-16-K-26</t>
        </is>
      </c>
      <c r="D647" s="235" t="n">
        <v>46241</v>
      </c>
      <c r="E647" s="233" t="inlineStr">
        <is>
          <t>FHM-K</t>
        </is>
      </c>
      <c r="F647" s="233" t="inlineStr">
        <is>
          <t>#8</t>
        </is>
      </c>
      <c r="G647" s="236" t="inlineStr">
        <is>
          <t>#8 Loss on Drying</t>
        </is>
      </c>
      <c r="H647" s="286" t="inlineStr">
        <is>
          <t>credit removed</t>
        </is>
      </c>
      <c r="I647" s="285" t="inlineStr">
        <is>
          <t>R1 Farmahem pair — cannabinoid certificate; loss on drying is on the LoD certificate</t>
        </is>
      </c>
    </row>
    <row r="648">
      <c r="A648" s="234" t="inlineStr">
        <is>
          <t>J31112501</t>
        </is>
      </c>
      <c r="B648" s="233" t="inlineStr">
        <is>
          <t>P060202</t>
        </is>
      </c>
      <c r="C648" s="233" t="inlineStr">
        <is>
          <t>051-5-LoD-26</t>
        </is>
      </c>
      <c r="D648" s="235" t="n">
        <v>46083</v>
      </c>
      <c r="E648" s="233" t="inlineStr">
        <is>
          <t>FHM-K</t>
        </is>
      </c>
      <c r="F648" s="233" t="inlineStr">
        <is>
          <t>#3</t>
        </is>
      </c>
      <c r="G648" s="236" t="inlineStr">
        <is>
          <t>#3 Identification C</t>
        </is>
      </c>
      <c r="H648" s="286" t="inlineStr">
        <is>
          <t>credit removed</t>
        </is>
      </c>
      <c r="I648" s="285" t="inlineStr">
        <is>
          <t>R1 Farmahem pair — loss-on-drying certificate; reports no such determination</t>
        </is>
      </c>
    </row>
    <row r="649">
      <c r="A649" s="234" t="inlineStr">
        <is>
          <t>J31112501</t>
        </is>
      </c>
      <c r="B649" s="233" t="inlineStr">
        <is>
          <t>P060202</t>
        </is>
      </c>
      <c r="C649" s="233" t="inlineStr">
        <is>
          <t>100-1-LoD-26</t>
        </is>
      </c>
      <c r="D649" s="235" t="n">
        <v>46121</v>
      </c>
      <c r="E649" s="233" t="inlineStr">
        <is>
          <t>FHM-K</t>
        </is>
      </c>
      <c r="F649" s="233" t="inlineStr">
        <is>
          <t>#3</t>
        </is>
      </c>
      <c r="G649" s="236" t="inlineStr">
        <is>
          <t>#3 Identification C</t>
        </is>
      </c>
      <c r="H649" s="286" t="inlineStr">
        <is>
          <t>credit removed</t>
        </is>
      </c>
      <c r="I649" s="285" t="inlineStr">
        <is>
          <t>R1 Farmahem pair — loss-on-drying certificate; reports no such determination</t>
        </is>
      </c>
    </row>
    <row r="650">
      <c r="A650" s="234" t="inlineStr">
        <is>
          <t>J31112501</t>
        </is>
      </c>
      <c r="B650" s="233" t="inlineStr">
        <is>
          <t>P060202</t>
        </is>
      </c>
      <c r="C650" s="233" t="inlineStr">
        <is>
          <t>100-2-LoD-26</t>
        </is>
      </c>
      <c r="D650" s="235" t="n">
        <v>46121</v>
      </c>
      <c r="E650" s="233" t="inlineStr">
        <is>
          <t>FHM-K</t>
        </is>
      </c>
      <c r="F650" s="233" t="inlineStr">
        <is>
          <t>#3</t>
        </is>
      </c>
      <c r="G650" s="236" t="inlineStr">
        <is>
          <t>#3 Identification C</t>
        </is>
      </c>
      <c r="H650" s="286" t="inlineStr">
        <is>
          <t>credit removed</t>
        </is>
      </c>
      <c r="I650" s="285" t="inlineStr">
        <is>
          <t>R1 Farmahem pair — loss-on-drying certificate; reports no such determination</t>
        </is>
      </c>
    </row>
    <row r="651">
      <c r="A651" s="234" t="inlineStr">
        <is>
          <t>J31112501</t>
        </is>
      </c>
      <c r="B651" s="233" t="inlineStr">
        <is>
          <t>P060202</t>
        </is>
      </c>
      <c r="C651" s="233" t="inlineStr">
        <is>
          <t>100-3-LoD-26</t>
        </is>
      </c>
      <c r="D651" s="235" t="n">
        <v>46121</v>
      </c>
      <c r="E651" s="233" t="inlineStr">
        <is>
          <t>FHM-K</t>
        </is>
      </c>
      <c r="F651" s="233" t="inlineStr">
        <is>
          <t>#3</t>
        </is>
      </c>
      <c r="G651" s="236" t="inlineStr">
        <is>
          <t>#3 Identification C</t>
        </is>
      </c>
      <c r="H651" s="286" t="inlineStr">
        <is>
          <t>credit removed</t>
        </is>
      </c>
      <c r="I651" s="285" t="inlineStr">
        <is>
          <t>R1 Farmahem pair — loss-on-drying certificate; reports no such determination</t>
        </is>
      </c>
    </row>
    <row r="652">
      <c r="A652" s="234" t="inlineStr">
        <is>
          <t>J31112501</t>
        </is>
      </c>
      <c r="B652" s="233" t="inlineStr">
        <is>
          <t>P060202</t>
        </is>
      </c>
      <c r="C652" s="233" t="inlineStr">
        <is>
          <t>051-5-LoD-26</t>
        </is>
      </c>
      <c r="D652" s="235" t="n">
        <v>46083</v>
      </c>
      <c r="E652" s="233" t="inlineStr">
        <is>
          <t>FHM-K</t>
        </is>
      </c>
      <c r="F652" s="233" t="inlineStr">
        <is>
          <t>#4</t>
        </is>
      </c>
      <c r="G652" s="236" t="inlineStr">
        <is>
          <t>#4 Assay — Total Δ⁹-THC*</t>
        </is>
      </c>
      <c r="H652" s="286" t="inlineStr">
        <is>
          <t>credit removed</t>
        </is>
      </c>
      <c r="I652" s="285" t="inlineStr">
        <is>
          <t>R1 Farmahem pair — loss-on-drying certificate; reports no such determination</t>
        </is>
      </c>
    </row>
    <row r="653">
      <c r="A653" s="234" t="inlineStr">
        <is>
          <t>J31112501</t>
        </is>
      </c>
      <c r="B653" s="233" t="inlineStr">
        <is>
          <t>P060202</t>
        </is>
      </c>
      <c r="C653" s="233" t="inlineStr">
        <is>
          <t>100-1-LoD-26</t>
        </is>
      </c>
      <c r="D653" s="235" t="n">
        <v>46121</v>
      </c>
      <c r="E653" s="233" t="inlineStr">
        <is>
          <t>FHM-K</t>
        </is>
      </c>
      <c r="F653" s="233" t="inlineStr">
        <is>
          <t>#4</t>
        </is>
      </c>
      <c r="G653" s="236" t="inlineStr">
        <is>
          <t>#4 Assay — Total Δ⁹-THC*</t>
        </is>
      </c>
      <c r="H653" s="286" t="inlineStr">
        <is>
          <t>credit removed</t>
        </is>
      </c>
      <c r="I653" s="285" t="inlineStr">
        <is>
          <t>R1 Farmahem pair — loss-on-drying certificate; reports no such determination</t>
        </is>
      </c>
    </row>
    <row r="654">
      <c r="A654" s="234" t="inlineStr">
        <is>
          <t>J31112501</t>
        </is>
      </c>
      <c r="B654" s="233" t="inlineStr">
        <is>
          <t>P060202</t>
        </is>
      </c>
      <c r="C654" s="233" t="inlineStr">
        <is>
          <t>100-2-LoD-26</t>
        </is>
      </c>
      <c r="D654" s="235" t="n">
        <v>46121</v>
      </c>
      <c r="E654" s="233" t="inlineStr">
        <is>
          <t>FHM-K</t>
        </is>
      </c>
      <c r="F654" s="233" t="inlineStr">
        <is>
          <t>#4</t>
        </is>
      </c>
      <c r="G654" s="236" t="inlineStr">
        <is>
          <t>#4 Assay — Total Δ⁹-THC*</t>
        </is>
      </c>
      <c r="H654" s="286" t="inlineStr">
        <is>
          <t>credit removed</t>
        </is>
      </c>
      <c r="I654" s="285" t="inlineStr">
        <is>
          <t>R1 Farmahem pair — loss-on-drying certificate; reports no such determination</t>
        </is>
      </c>
    </row>
    <row r="655">
      <c r="A655" s="234" t="inlineStr">
        <is>
          <t>J31112501</t>
        </is>
      </c>
      <c r="B655" s="233" t="inlineStr">
        <is>
          <t>P060202</t>
        </is>
      </c>
      <c r="C655" s="233" t="inlineStr">
        <is>
          <t>100-3-LoD-26</t>
        </is>
      </c>
      <c r="D655" s="235" t="n">
        <v>46121</v>
      </c>
      <c r="E655" s="233" t="inlineStr">
        <is>
          <t>FHM-K</t>
        </is>
      </c>
      <c r="F655" s="233" t="inlineStr">
        <is>
          <t>#4</t>
        </is>
      </c>
      <c r="G655" s="236" t="inlineStr">
        <is>
          <t>#4 Assay — Total Δ⁹-THC*</t>
        </is>
      </c>
      <c r="H655" s="286" t="inlineStr">
        <is>
          <t>credit removed</t>
        </is>
      </c>
      <c r="I655" s="285" t="inlineStr">
        <is>
          <t>R1 Farmahem pair — loss-on-drying certificate; reports no such determination</t>
        </is>
      </c>
    </row>
    <row r="656">
      <c r="A656" s="234" t="inlineStr">
        <is>
          <t>J31112501</t>
        </is>
      </c>
      <c r="B656" s="233" t="inlineStr">
        <is>
          <t>P060202</t>
        </is>
      </c>
      <c r="C656" s="233" t="inlineStr">
        <is>
          <t>051-5-LoD-26</t>
        </is>
      </c>
      <c r="D656" s="235" t="n">
        <v>46083</v>
      </c>
      <c r="E656" s="233" t="inlineStr">
        <is>
          <t>FHM-K</t>
        </is>
      </c>
      <c r="F656" s="233" t="inlineStr">
        <is>
          <t>#5</t>
        </is>
      </c>
      <c r="G656" s="236" t="inlineStr">
        <is>
          <t>#5 Assay — Total CBD</t>
        </is>
      </c>
      <c r="H656" s="286" t="inlineStr">
        <is>
          <t>credit removed</t>
        </is>
      </c>
      <c r="I656" s="285" t="inlineStr">
        <is>
          <t>R1 Farmahem pair — loss-on-drying certificate; reports no such determination</t>
        </is>
      </c>
    </row>
    <row r="657">
      <c r="A657" s="234" t="inlineStr">
        <is>
          <t>J31112501</t>
        </is>
      </c>
      <c r="B657" s="233" t="inlineStr">
        <is>
          <t>P060202</t>
        </is>
      </c>
      <c r="C657" s="233" t="inlineStr">
        <is>
          <t>100-1-LoD-26</t>
        </is>
      </c>
      <c r="D657" s="235" t="n">
        <v>46121</v>
      </c>
      <c r="E657" s="233" t="inlineStr">
        <is>
          <t>FHM-K</t>
        </is>
      </c>
      <c r="F657" s="233" t="inlineStr">
        <is>
          <t>#5</t>
        </is>
      </c>
      <c r="G657" s="236" t="inlineStr">
        <is>
          <t>#5 Assay — Total CBD</t>
        </is>
      </c>
      <c r="H657" s="286" t="inlineStr">
        <is>
          <t>credit removed</t>
        </is>
      </c>
      <c r="I657" s="285" t="inlineStr">
        <is>
          <t>R1 Farmahem pair — loss-on-drying certificate; reports no such determination</t>
        </is>
      </c>
    </row>
    <row r="658">
      <c r="A658" s="234" t="inlineStr">
        <is>
          <t>J31112501</t>
        </is>
      </c>
      <c r="B658" s="233" t="inlineStr">
        <is>
          <t>P060202</t>
        </is>
      </c>
      <c r="C658" s="233" t="inlineStr">
        <is>
          <t>100-2-LoD-26</t>
        </is>
      </c>
      <c r="D658" s="235" t="n">
        <v>46121</v>
      </c>
      <c r="E658" s="233" t="inlineStr">
        <is>
          <t>FHM-K</t>
        </is>
      </c>
      <c r="F658" s="233" t="inlineStr">
        <is>
          <t>#5</t>
        </is>
      </c>
      <c r="G658" s="236" t="inlineStr">
        <is>
          <t>#5 Assay — Total CBD</t>
        </is>
      </c>
      <c r="H658" s="286" t="inlineStr">
        <is>
          <t>credit removed</t>
        </is>
      </c>
      <c r="I658" s="285" t="inlineStr">
        <is>
          <t>R1 Farmahem pair — loss-on-drying certificate; reports no such determination</t>
        </is>
      </c>
    </row>
    <row r="659">
      <c r="A659" s="234" t="inlineStr">
        <is>
          <t>J31112501</t>
        </is>
      </c>
      <c r="B659" s="233" t="inlineStr">
        <is>
          <t>P060202</t>
        </is>
      </c>
      <c r="C659" s="233" t="inlineStr">
        <is>
          <t>100-3-LoD-26</t>
        </is>
      </c>
      <c r="D659" s="235" t="n">
        <v>46121</v>
      </c>
      <c r="E659" s="233" t="inlineStr">
        <is>
          <t>FHM-K</t>
        </is>
      </c>
      <c r="F659" s="233" t="inlineStr">
        <is>
          <t>#5</t>
        </is>
      </c>
      <c r="G659" s="236" t="inlineStr">
        <is>
          <t>#5 Assay — Total CBD</t>
        </is>
      </c>
      <c r="H659" s="286" t="inlineStr">
        <is>
          <t>credit removed</t>
        </is>
      </c>
      <c r="I659" s="285" t="inlineStr">
        <is>
          <t>R1 Farmahem pair — loss-on-drying certificate; reports no such determination</t>
        </is>
      </c>
    </row>
    <row r="660">
      <c r="A660" s="234" t="inlineStr">
        <is>
          <t>J31112501</t>
        </is>
      </c>
      <c r="B660" s="233" t="inlineStr">
        <is>
          <t>P060202</t>
        </is>
      </c>
      <c r="C660" s="233" t="inlineStr">
        <is>
          <t>051-5-LoD-26</t>
        </is>
      </c>
      <c r="D660" s="235" t="n">
        <v>46083</v>
      </c>
      <c r="E660" s="233" t="inlineStr">
        <is>
          <t>FHM-K</t>
        </is>
      </c>
      <c r="F660" s="233" t="inlineStr">
        <is>
          <t>#6</t>
        </is>
      </c>
      <c r="G660" s="236" t="inlineStr">
        <is>
          <t>#6 Total CBN</t>
        </is>
      </c>
      <c r="H660" s="286" t="inlineStr">
        <is>
          <t>credit removed</t>
        </is>
      </c>
      <c r="I660" s="285" t="inlineStr">
        <is>
          <t>R1 Farmahem pair — loss-on-drying certificate; reports no such determination</t>
        </is>
      </c>
    </row>
    <row r="661">
      <c r="A661" s="234" t="inlineStr">
        <is>
          <t>J31112501</t>
        </is>
      </c>
      <c r="B661" s="233" t="inlineStr">
        <is>
          <t>P060202</t>
        </is>
      </c>
      <c r="C661" s="233" t="inlineStr">
        <is>
          <t>100-1-LoD-26</t>
        </is>
      </c>
      <c r="D661" s="235" t="n">
        <v>46121</v>
      </c>
      <c r="E661" s="233" t="inlineStr">
        <is>
          <t>FHM-K</t>
        </is>
      </c>
      <c r="F661" s="233" t="inlineStr">
        <is>
          <t>#6</t>
        </is>
      </c>
      <c r="G661" s="236" t="inlineStr">
        <is>
          <t>#6 Total CBN</t>
        </is>
      </c>
      <c r="H661" s="286" t="inlineStr">
        <is>
          <t>credit removed</t>
        </is>
      </c>
      <c r="I661" s="285" t="inlineStr">
        <is>
          <t>R1 Farmahem pair — loss-on-drying certificate; reports no such determination</t>
        </is>
      </c>
    </row>
    <row r="662">
      <c r="A662" s="234" t="inlineStr">
        <is>
          <t>J31112501</t>
        </is>
      </c>
      <c r="B662" s="233" t="inlineStr">
        <is>
          <t>P060202</t>
        </is>
      </c>
      <c r="C662" s="233" t="inlineStr">
        <is>
          <t>100-2-LoD-26</t>
        </is>
      </c>
      <c r="D662" s="235" t="n">
        <v>46121</v>
      </c>
      <c r="E662" s="233" t="inlineStr">
        <is>
          <t>FHM-K</t>
        </is>
      </c>
      <c r="F662" s="233" t="inlineStr">
        <is>
          <t>#6</t>
        </is>
      </c>
      <c r="G662" s="236" t="inlineStr">
        <is>
          <t>#6 Total CBN</t>
        </is>
      </c>
      <c r="H662" s="286" t="inlineStr">
        <is>
          <t>credit removed</t>
        </is>
      </c>
      <c r="I662" s="285" t="inlineStr">
        <is>
          <t>R1 Farmahem pair — loss-on-drying certificate; reports no such determination</t>
        </is>
      </c>
    </row>
    <row r="663">
      <c r="A663" s="234" t="inlineStr">
        <is>
          <t>J31112501</t>
        </is>
      </c>
      <c r="B663" s="233" t="inlineStr">
        <is>
          <t>P060202</t>
        </is>
      </c>
      <c r="C663" s="233" t="inlineStr">
        <is>
          <t>100-3-LoD-26</t>
        </is>
      </c>
      <c r="D663" s="235" t="n">
        <v>46121</v>
      </c>
      <c r="E663" s="233" t="inlineStr">
        <is>
          <t>FHM-K</t>
        </is>
      </c>
      <c r="F663" s="233" t="inlineStr">
        <is>
          <t>#6</t>
        </is>
      </c>
      <c r="G663" s="236" t="inlineStr">
        <is>
          <t>#6 Total CBN</t>
        </is>
      </c>
      <c r="H663" s="286" t="inlineStr">
        <is>
          <t>credit removed</t>
        </is>
      </c>
      <c r="I663" s="285" t="inlineStr">
        <is>
          <t>R1 Farmahem pair — loss-on-drying certificate; reports no such determination</t>
        </is>
      </c>
    </row>
    <row r="664">
      <c r="A664" s="234" t="inlineStr">
        <is>
          <t>J31112501</t>
        </is>
      </c>
      <c r="B664" s="233" t="inlineStr">
        <is>
          <t>P060202</t>
        </is>
      </c>
      <c r="C664" s="233" t="inlineStr">
        <is>
          <t>051-5-K-26</t>
        </is>
      </c>
      <c r="D664" s="235" t="n">
        <v>46085</v>
      </c>
      <c r="E664" s="233" t="inlineStr">
        <is>
          <t>FHM-K</t>
        </is>
      </c>
      <c r="F664" s="233" t="inlineStr">
        <is>
          <t>#8</t>
        </is>
      </c>
      <c r="G664" s="236" t="inlineStr">
        <is>
          <t>#8 Loss on Drying</t>
        </is>
      </c>
      <c r="H664" s="286" t="inlineStr">
        <is>
          <t>credit removed</t>
        </is>
      </c>
      <c r="I664" s="285" t="inlineStr">
        <is>
          <t>R1 Farmahem pair — cannabinoid certificate; loss on drying is on the LoD certificate</t>
        </is>
      </c>
    </row>
    <row r="665">
      <c r="A665" s="234" t="inlineStr">
        <is>
          <t>J31112501</t>
        </is>
      </c>
      <c r="B665" s="233" t="inlineStr">
        <is>
          <t>P060202</t>
        </is>
      </c>
      <c r="C665" s="233" t="inlineStr">
        <is>
          <t>100-1-K-26</t>
        </is>
      </c>
      <c r="D665" s="235" t="n">
        <v>46121</v>
      </c>
      <c r="E665" s="233" t="inlineStr">
        <is>
          <t>FHM-K</t>
        </is>
      </c>
      <c r="F665" s="233" t="inlineStr">
        <is>
          <t>#8</t>
        </is>
      </c>
      <c r="G665" s="236" t="inlineStr">
        <is>
          <t>#8 Loss on Drying</t>
        </is>
      </c>
      <c r="H665" s="286" t="inlineStr">
        <is>
          <t>credit removed</t>
        </is>
      </c>
      <c r="I665" s="285" t="inlineStr">
        <is>
          <t>R1 Farmahem pair — cannabinoid certificate; loss on drying is on the LoD certificate</t>
        </is>
      </c>
    </row>
    <row r="666">
      <c r="A666" s="234" t="inlineStr">
        <is>
          <t>J31122501</t>
        </is>
      </c>
      <c r="B666" s="233" t="inlineStr">
        <is>
          <t>P060262</t>
        </is>
      </c>
      <c r="C666" s="233" t="inlineStr">
        <is>
          <t>100-2-K-26</t>
        </is>
      </c>
      <c r="D666" s="235" t="n">
        <v>46121</v>
      </c>
      <c r="E666" s="233" t="inlineStr">
        <is>
          <t>FHM-K</t>
        </is>
      </c>
      <c r="F666" s="233" t="inlineStr">
        <is>
          <t>#8</t>
        </is>
      </c>
      <c r="G666" s="236" t="inlineStr">
        <is>
          <t>#8 Loss on Drying</t>
        </is>
      </c>
      <c r="H666" s="286" t="inlineStr">
        <is>
          <t>credit removed</t>
        </is>
      </c>
      <c r="I666" s="285" t="inlineStr">
        <is>
          <t>R1 Farmahem pair — cannabinoid certificate; loss on drying is on the LoD certificate</t>
        </is>
      </c>
    </row>
    <row r="667">
      <c r="A667" s="234" t="inlineStr">
        <is>
          <t>J31122501</t>
        </is>
      </c>
      <c r="B667" s="233" t="inlineStr">
        <is>
          <t>P060262</t>
        </is>
      </c>
      <c r="C667" s="233" t="inlineStr">
        <is>
          <t>100-3-K-26</t>
        </is>
      </c>
      <c r="D667" s="235" t="n">
        <v>46121</v>
      </c>
      <c r="E667" s="233" t="inlineStr">
        <is>
          <t>FHM-K</t>
        </is>
      </c>
      <c r="F667" s="233" t="inlineStr">
        <is>
          <t>#8</t>
        </is>
      </c>
      <c r="G667" s="236" t="inlineStr">
        <is>
          <t>#8 Loss on Drying</t>
        </is>
      </c>
      <c r="H667" s="286" t="inlineStr">
        <is>
          <t>credit removed</t>
        </is>
      </c>
      <c r="I667" s="285" t="inlineStr">
        <is>
          <t>R1 Farmahem pair — cannabinoid certificate; loss on drying is on the LoD certificate</t>
        </is>
      </c>
    </row>
    <row r="668">
      <c r="A668" s="234" t="inlineStr">
        <is>
          <t>JD112501</t>
        </is>
      </c>
      <c r="B668" s="233" t="inlineStr">
        <is>
          <t>P060212</t>
        </is>
      </c>
      <c r="C668" s="233" t="inlineStr">
        <is>
          <t>197-15-K-26</t>
        </is>
      </c>
      <c r="D668" s="235" t="n">
        <v>46241</v>
      </c>
      <c r="E668" s="233" t="inlineStr">
        <is>
          <t>FHM-K</t>
        </is>
      </c>
      <c r="F668" s="233" t="inlineStr">
        <is>
          <t>#8</t>
        </is>
      </c>
      <c r="G668" s="236" t="inlineStr">
        <is>
          <t>#8 Loss on Drying</t>
        </is>
      </c>
      <c r="H668" s="286" t="inlineStr">
        <is>
          <t>credit removed</t>
        </is>
      </c>
      <c r="I668" s="285" t="inlineStr">
        <is>
          <t>R1 Farmahem pair — cannabinoid certificate; loss on drying is on the LoD certificate</t>
        </is>
      </c>
    </row>
    <row r="669">
      <c r="A669" s="234" t="inlineStr">
        <is>
          <t>KC102501</t>
        </is>
      </c>
      <c r="B669" s="233" t="inlineStr">
        <is>
          <t>P060172</t>
        </is>
      </c>
      <c r="C669" s="233" t="inlineStr">
        <is>
          <t>051-4-LoD-26</t>
        </is>
      </c>
      <c r="D669" s="235" t="n">
        <v>46083</v>
      </c>
      <c r="E669" s="233" t="inlineStr">
        <is>
          <t>FHM-K</t>
        </is>
      </c>
      <c r="F669" s="233" t="inlineStr">
        <is>
          <t>#3</t>
        </is>
      </c>
      <c r="G669" s="236" t="inlineStr">
        <is>
          <t>#3 Identification C</t>
        </is>
      </c>
      <c r="H669" s="286" t="inlineStr">
        <is>
          <t>credit removed</t>
        </is>
      </c>
      <c r="I669" s="285" t="inlineStr">
        <is>
          <t>R1 Farmahem pair — loss-on-drying certificate; reports no such determination</t>
        </is>
      </c>
    </row>
    <row r="670">
      <c r="A670" s="234" t="inlineStr">
        <is>
          <t>KC102501</t>
        </is>
      </c>
      <c r="B670" s="233" t="inlineStr">
        <is>
          <t>P060172</t>
        </is>
      </c>
      <c r="C670" s="233" t="inlineStr">
        <is>
          <t>051-4-LoD-26</t>
        </is>
      </c>
      <c r="D670" s="235" t="n">
        <v>46083</v>
      </c>
      <c r="E670" s="233" t="inlineStr">
        <is>
          <t>FHM-K</t>
        </is>
      </c>
      <c r="F670" s="233" t="inlineStr">
        <is>
          <t>#4</t>
        </is>
      </c>
      <c r="G670" s="236" t="inlineStr">
        <is>
          <t>#4 Assay — Total Δ⁹-THC*</t>
        </is>
      </c>
      <c r="H670" s="286" t="inlineStr">
        <is>
          <t>credit removed</t>
        </is>
      </c>
      <c r="I670" s="285" t="inlineStr">
        <is>
          <t>R1 Farmahem pair — loss-on-drying certificate; reports no such determination</t>
        </is>
      </c>
    </row>
    <row r="671">
      <c r="A671" s="234" t="inlineStr">
        <is>
          <t>KC102501</t>
        </is>
      </c>
      <c r="B671" s="233" t="inlineStr">
        <is>
          <t>P060172</t>
        </is>
      </c>
      <c r="C671" s="233" t="inlineStr">
        <is>
          <t>051-4-LoD-26</t>
        </is>
      </c>
      <c r="D671" s="235" t="n">
        <v>46083</v>
      </c>
      <c r="E671" s="233" t="inlineStr">
        <is>
          <t>FHM-K</t>
        </is>
      </c>
      <c r="F671" s="233" t="inlineStr">
        <is>
          <t>#5</t>
        </is>
      </c>
      <c r="G671" s="236" t="inlineStr">
        <is>
          <t>#5 Assay — Total CBD</t>
        </is>
      </c>
      <c r="H671" s="286" t="inlineStr">
        <is>
          <t>credit removed</t>
        </is>
      </c>
      <c r="I671" s="285" t="inlineStr">
        <is>
          <t>R1 Farmahem pair — loss-on-drying certificate; reports no such determination</t>
        </is>
      </c>
    </row>
    <row r="672">
      <c r="A672" s="234" t="inlineStr">
        <is>
          <t>KC102501</t>
        </is>
      </c>
      <c r="B672" s="233" t="inlineStr">
        <is>
          <t>P060172</t>
        </is>
      </c>
      <c r="C672" s="233" t="inlineStr">
        <is>
          <t>051-4-LoD-26</t>
        </is>
      </c>
      <c r="D672" s="235" t="n">
        <v>46083</v>
      </c>
      <c r="E672" s="233" t="inlineStr">
        <is>
          <t>FHM-K</t>
        </is>
      </c>
      <c r="F672" s="233" t="inlineStr">
        <is>
          <t>#6</t>
        </is>
      </c>
      <c r="G672" s="236" t="inlineStr">
        <is>
          <t>#6 Total CBN</t>
        </is>
      </c>
      <c r="H672" s="286" t="inlineStr">
        <is>
          <t>credit removed</t>
        </is>
      </c>
      <c r="I672" s="285" t="inlineStr">
        <is>
          <t>R1 Farmahem pair — loss-on-drying certificate; reports no such determination</t>
        </is>
      </c>
    </row>
    <row r="673">
      <c r="A673" s="234" t="inlineStr">
        <is>
          <t>KC102501</t>
        </is>
      </c>
      <c r="B673" s="233" t="inlineStr">
        <is>
          <t>P060172</t>
        </is>
      </c>
      <c r="C673" s="233" t="inlineStr">
        <is>
          <t>051-4-K-26</t>
        </is>
      </c>
      <c r="D673" s="235" t="n">
        <v>46085</v>
      </c>
      <c r="E673" s="233" t="inlineStr">
        <is>
          <t>FHM-K</t>
        </is>
      </c>
      <c r="F673" s="233" t="inlineStr">
        <is>
          <t>#8</t>
        </is>
      </c>
      <c r="G673" s="236" t="inlineStr">
        <is>
          <t>#8 Loss on Drying</t>
        </is>
      </c>
      <c r="H673" s="286" t="inlineStr">
        <is>
          <t>credit removed</t>
        </is>
      </c>
      <c r="I673" s="285" t="inlineStr">
        <is>
          <t>R1 Farmahem pair — cannabinoid certificate; loss on drying is on the LoD certificate</t>
        </is>
      </c>
    </row>
    <row r="674">
      <c r="A674" s="234" t="inlineStr">
        <is>
          <t>OPM1024</t>
        </is>
      </c>
      <c r="B674" s="233" t="inlineStr">
        <is>
          <t>N/A — no P batch assigned</t>
        </is>
      </c>
      <c r="C674" s="233" t="inlineStr">
        <is>
          <t>197-17-K-26</t>
        </is>
      </c>
      <c r="D674" s="235" t="n">
        <v>46241</v>
      </c>
      <c r="E674" s="233" t="inlineStr">
        <is>
          <t>FHM-K</t>
        </is>
      </c>
      <c r="F674" s="233" t="inlineStr">
        <is>
          <t>#8</t>
        </is>
      </c>
      <c r="G674" s="236" t="inlineStr">
        <is>
          <t>#8 Loss on Drying</t>
        </is>
      </c>
      <c r="H674" s="286" t="inlineStr">
        <is>
          <t>credit removed</t>
        </is>
      </c>
      <c r="I674" s="285" t="inlineStr">
        <is>
          <t>R1 Farmahem pair — cannabinoid certificate; loss on drying is on the LoD certificate</t>
        </is>
      </c>
    </row>
    <row r="675">
      <c r="A675" s="234" t="inlineStr">
        <is>
          <t>OPM1024_02</t>
        </is>
      </c>
      <c r="B675" s="233" t="inlineStr">
        <is>
          <t>P050062</t>
        </is>
      </c>
      <c r="C675" s="233" t="inlineStr">
        <is>
          <t>197-18-K-26</t>
        </is>
      </c>
      <c r="D675" s="235" t="n">
        <v>46241</v>
      </c>
      <c r="E675" s="233" t="inlineStr">
        <is>
          <t>FHM-K</t>
        </is>
      </c>
      <c r="F675" s="233" t="inlineStr">
        <is>
          <t>#8</t>
        </is>
      </c>
      <c r="G675" s="236" t="inlineStr">
        <is>
          <t>#8 Loss on Drying</t>
        </is>
      </c>
      <c r="H675" s="286" t="inlineStr">
        <is>
          <t>credit removed</t>
        </is>
      </c>
      <c r="I675" s="285" t="inlineStr">
        <is>
          <t>R1 Farmahem pair — cannabinoid certificate; loss on drying is on the LoD certificate</t>
        </is>
      </c>
    </row>
    <row r="676">
      <c r="A676" s="234" t="inlineStr">
        <is>
          <t>OPM122501</t>
        </is>
      </c>
      <c r="B676" s="233" t="inlineStr">
        <is>
          <t>P060242</t>
        </is>
      </c>
      <c r="C676" s="233" t="inlineStr">
        <is>
          <t>100-4-LoD-26</t>
        </is>
      </c>
      <c r="D676" s="235" t="n">
        <v>46121</v>
      </c>
      <c r="E676" s="233" t="inlineStr">
        <is>
          <t>FHM-K</t>
        </is>
      </c>
      <c r="F676" s="233" t="inlineStr">
        <is>
          <t>#3</t>
        </is>
      </c>
      <c r="G676" s="236" t="inlineStr">
        <is>
          <t>#3 Identification C</t>
        </is>
      </c>
      <c r="H676" s="286" t="inlineStr">
        <is>
          <t>credit removed</t>
        </is>
      </c>
      <c r="I676" s="285" t="inlineStr">
        <is>
          <t>R1 Farmahem pair — loss-on-drying certificate; reports no such determination</t>
        </is>
      </c>
    </row>
    <row r="677">
      <c r="A677" s="234" t="inlineStr">
        <is>
          <t>OPM122501</t>
        </is>
      </c>
      <c r="B677" s="233" t="inlineStr">
        <is>
          <t>P060242</t>
        </is>
      </c>
      <c r="C677" s="233" t="inlineStr">
        <is>
          <t>100-4-LoD-26</t>
        </is>
      </c>
      <c r="D677" s="235" t="n">
        <v>46121</v>
      </c>
      <c r="E677" s="233" t="inlineStr">
        <is>
          <t>FHM-K</t>
        </is>
      </c>
      <c r="F677" s="233" t="inlineStr">
        <is>
          <t>#4</t>
        </is>
      </c>
      <c r="G677" s="236" t="inlineStr">
        <is>
          <t>#4 Assay — Total Δ⁹-THC*</t>
        </is>
      </c>
      <c r="H677" s="286" t="inlineStr">
        <is>
          <t>credit removed</t>
        </is>
      </c>
      <c r="I677" s="285" t="inlineStr">
        <is>
          <t>R1 Farmahem pair — loss-on-drying certificate; reports no such determination</t>
        </is>
      </c>
    </row>
    <row r="678">
      <c r="A678" s="234" t="inlineStr">
        <is>
          <t>OPM122501</t>
        </is>
      </c>
      <c r="B678" s="233" t="inlineStr">
        <is>
          <t>P060242</t>
        </is>
      </c>
      <c r="C678" s="233" t="inlineStr">
        <is>
          <t>100-4-LoD-26</t>
        </is>
      </c>
      <c r="D678" s="235" t="n">
        <v>46121</v>
      </c>
      <c r="E678" s="233" t="inlineStr">
        <is>
          <t>FHM-K</t>
        </is>
      </c>
      <c r="F678" s="233" t="inlineStr">
        <is>
          <t>#5</t>
        </is>
      </c>
      <c r="G678" s="236" t="inlineStr">
        <is>
          <t>#5 Assay — Total CBD</t>
        </is>
      </c>
      <c r="H678" s="286" t="inlineStr">
        <is>
          <t>credit removed</t>
        </is>
      </c>
      <c r="I678" s="285" t="inlineStr">
        <is>
          <t>R1 Farmahem pair — loss-on-drying certificate; reports no such determination</t>
        </is>
      </c>
    </row>
    <row r="679">
      <c r="A679" s="234" t="inlineStr">
        <is>
          <t>OPM122501</t>
        </is>
      </c>
      <c r="B679" s="233" t="inlineStr">
        <is>
          <t>P060242</t>
        </is>
      </c>
      <c r="C679" s="233" t="inlineStr">
        <is>
          <t>100-4-LoD-26</t>
        </is>
      </c>
      <c r="D679" s="235" t="n">
        <v>46121</v>
      </c>
      <c r="E679" s="233" t="inlineStr">
        <is>
          <t>FHM-K</t>
        </is>
      </c>
      <c r="F679" s="233" t="inlineStr">
        <is>
          <t>#6</t>
        </is>
      </c>
      <c r="G679" s="236" t="inlineStr">
        <is>
          <t>#6 Total CBN</t>
        </is>
      </c>
      <c r="H679" s="286" t="inlineStr">
        <is>
          <t>credit removed</t>
        </is>
      </c>
      <c r="I679" s="285" t="inlineStr">
        <is>
          <t>R1 Farmahem pair — loss-on-drying certificate; reports no such determination</t>
        </is>
      </c>
    </row>
    <row r="680">
      <c r="A680" s="234" t="inlineStr">
        <is>
          <t>OPM122501</t>
        </is>
      </c>
      <c r="B680" s="233" t="inlineStr">
        <is>
          <t>P060242</t>
        </is>
      </c>
      <c r="C680" s="233" t="inlineStr">
        <is>
          <t>100-4-K-26</t>
        </is>
      </c>
      <c r="D680" s="235" t="n">
        <v>46121</v>
      </c>
      <c r="E680" s="233" t="inlineStr">
        <is>
          <t>FHM-K</t>
        </is>
      </c>
      <c r="F680" s="233" t="inlineStr">
        <is>
          <t>#8</t>
        </is>
      </c>
      <c r="G680" s="236" t="inlineStr">
        <is>
          <t>#8 Loss on Drying</t>
        </is>
      </c>
      <c r="H680" s="286" t="inlineStr">
        <is>
          <t>credit removed</t>
        </is>
      </c>
      <c r="I680" s="285" t="inlineStr">
        <is>
          <t>R1 Farmahem pair — cannabinoid certificate; loss on drying is on the LoD certificate</t>
        </is>
      </c>
    </row>
    <row r="681">
      <c r="A681" s="234" t="inlineStr">
        <is>
          <t>OPM122501</t>
        </is>
      </c>
      <c r="B681" s="233" t="inlineStr">
        <is>
          <t>P060242</t>
        </is>
      </c>
      <c r="C681" s="233" t="inlineStr">
        <is>
          <t>197-19-K-26</t>
        </is>
      </c>
      <c r="D681" s="235" t="n">
        <v>46241</v>
      </c>
      <c r="E681" s="233" t="inlineStr">
        <is>
          <t>FHM-K</t>
        </is>
      </c>
      <c r="F681" s="233" t="inlineStr">
        <is>
          <t>#8</t>
        </is>
      </c>
      <c r="G681" s="236" t="inlineStr">
        <is>
          <t>#8 Loss on Drying</t>
        </is>
      </c>
      <c r="H681" s="286" t="inlineStr">
        <is>
          <t>credit removed</t>
        </is>
      </c>
      <c r="I681" s="285" t="inlineStr">
        <is>
          <t>R1 Farmahem pair — cannabinoid certificate; loss on drying is on the LoD certificate</t>
        </is>
      </c>
    </row>
    <row r="682">
      <c r="A682" s="234" t="inlineStr">
        <is>
          <t>PM092501</t>
        </is>
      </c>
      <c r="B682" s="233" t="inlineStr">
        <is>
          <t>P060062</t>
        </is>
      </c>
      <c r="C682" s="233" t="inlineStr">
        <is>
          <t>197-20-K-26</t>
        </is>
      </c>
      <c r="D682" s="235" t="n">
        <v>46241</v>
      </c>
      <c r="E682" s="233" t="inlineStr">
        <is>
          <t>FHM-K</t>
        </is>
      </c>
      <c r="F682" s="233" t="inlineStr">
        <is>
          <t>#8</t>
        </is>
      </c>
      <c r="G682" s="236" t="inlineStr">
        <is>
          <t>#8 Loss on Drying</t>
        </is>
      </c>
      <c r="H682" s="286" t="inlineStr">
        <is>
          <t>credit removed</t>
        </is>
      </c>
      <c r="I682" s="285" t="inlineStr">
        <is>
          <t>R1 Farmahem pair — cannabinoid certificate; loss on drying is on the LoD certificate</t>
        </is>
      </c>
    </row>
    <row r="683">
      <c r="A683" s="234" t="inlineStr">
        <is>
          <t>SCR012603</t>
        </is>
      </c>
      <c r="B683" s="233" t="inlineStr">
        <is>
          <t>P060382</t>
        </is>
      </c>
      <c r="C683" s="233" t="inlineStr">
        <is>
          <t>197-21-K-26</t>
        </is>
      </c>
      <c r="D683" s="235" t="n">
        <v>46241</v>
      </c>
      <c r="E683" s="233" t="inlineStr">
        <is>
          <t>FHM-K</t>
        </is>
      </c>
      <c r="F683" s="233" t="inlineStr">
        <is>
          <t>#8</t>
        </is>
      </c>
      <c r="G683" s="236" t="inlineStr">
        <is>
          <t>#8 Loss on Drying</t>
        </is>
      </c>
      <c r="H683" s="286" t="inlineStr">
        <is>
          <t>credit removed</t>
        </is>
      </c>
      <c r="I683" s="285" t="inlineStr">
        <is>
          <t>R1 Farmahem pair — cannabinoid certificate; loss on drying is on the LoD certificate</t>
        </is>
      </c>
    </row>
    <row r="684">
      <c r="A684" s="234" t="inlineStr">
        <is>
          <t>SJ102501</t>
        </is>
      </c>
      <c r="B684" s="233" t="inlineStr">
        <is>
          <t>P060162</t>
        </is>
      </c>
      <c r="C684" s="233" t="inlineStr">
        <is>
          <t>051-3-LoD-26</t>
        </is>
      </c>
      <c r="D684" s="235" t="n">
        <v>46083</v>
      </c>
      <c r="E684" s="233" t="inlineStr">
        <is>
          <t>FHM-K</t>
        </is>
      </c>
      <c r="F684" s="233" t="inlineStr">
        <is>
          <t>#3</t>
        </is>
      </c>
      <c r="G684" s="236" t="inlineStr">
        <is>
          <t>#3 Identification C</t>
        </is>
      </c>
      <c r="H684" s="286" t="inlineStr">
        <is>
          <t>credit removed</t>
        </is>
      </c>
      <c r="I684" s="285" t="inlineStr">
        <is>
          <t>R1 Farmahem pair — loss-on-drying certificate; reports no such determination</t>
        </is>
      </c>
    </row>
    <row r="685">
      <c r="A685" s="234" t="inlineStr">
        <is>
          <t>SJ102501</t>
        </is>
      </c>
      <c r="B685" s="233" t="inlineStr">
        <is>
          <t>P060162</t>
        </is>
      </c>
      <c r="C685" s="233" t="inlineStr">
        <is>
          <t>051-3-LoD-26</t>
        </is>
      </c>
      <c r="D685" s="235" t="n">
        <v>46083</v>
      </c>
      <c r="E685" s="233" t="inlineStr">
        <is>
          <t>FHM-K</t>
        </is>
      </c>
      <c r="F685" s="233" t="inlineStr">
        <is>
          <t>#4</t>
        </is>
      </c>
      <c r="G685" s="236" t="inlineStr">
        <is>
          <t>#4 Assay — Total Δ⁹-THC*</t>
        </is>
      </c>
      <c r="H685" s="286" t="inlineStr">
        <is>
          <t>credit removed</t>
        </is>
      </c>
      <c r="I685" s="285" t="inlineStr">
        <is>
          <t>R1 Farmahem pair — loss-on-drying certificate; reports no such determination</t>
        </is>
      </c>
    </row>
    <row r="686">
      <c r="A686" s="234" t="inlineStr">
        <is>
          <t>SJ102501</t>
        </is>
      </c>
      <c r="B686" s="233" t="inlineStr">
        <is>
          <t>P060162</t>
        </is>
      </c>
      <c r="C686" s="233" t="inlineStr">
        <is>
          <t>051-3-LoD-26</t>
        </is>
      </c>
      <c r="D686" s="235" t="n">
        <v>46083</v>
      </c>
      <c r="E686" s="233" t="inlineStr">
        <is>
          <t>FHM-K</t>
        </is>
      </c>
      <c r="F686" s="233" t="inlineStr">
        <is>
          <t>#5</t>
        </is>
      </c>
      <c r="G686" s="236" t="inlineStr">
        <is>
          <t>#5 Assay — Total CBD</t>
        </is>
      </c>
      <c r="H686" s="286" t="inlineStr">
        <is>
          <t>credit removed</t>
        </is>
      </c>
      <c r="I686" s="285" t="inlineStr">
        <is>
          <t>R1 Farmahem pair — loss-on-drying certificate; reports no such determination</t>
        </is>
      </c>
    </row>
    <row r="687">
      <c r="A687" s="234" t="inlineStr">
        <is>
          <t>SJ102501</t>
        </is>
      </c>
      <c r="B687" s="233" t="inlineStr">
        <is>
          <t>P060162</t>
        </is>
      </c>
      <c r="C687" s="233" t="inlineStr">
        <is>
          <t>051-3-LoD-26</t>
        </is>
      </c>
      <c r="D687" s="235" t="n">
        <v>46083</v>
      </c>
      <c r="E687" s="233" t="inlineStr">
        <is>
          <t>FHM-K</t>
        </is>
      </c>
      <c r="F687" s="233" t="inlineStr">
        <is>
          <t>#6</t>
        </is>
      </c>
      <c r="G687" s="236" t="inlineStr">
        <is>
          <t>#6 Total CBN</t>
        </is>
      </c>
      <c r="H687" s="286" t="inlineStr">
        <is>
          <t>credit removed</t>
        </is>
      </c>
      <c r="I687" s="285" t="inlineStr">
        <is>
          <t>R1 Farmahem pair — loss-on-drying certificate; reports no such determination</t>
        </is>
      </c>
    </row>
    <row r="688">
      <c r="A688" s="234" t="inlineStr">
        <is>
          <t>SJ102501</t>
        </is>
      </c>
      <c r="B688" s="233" t="inlineStr">
        <is>
          <t>P060162</t>
        </is>
      </c>
      <c r="C688" s="233" t="inlineStr">
        <is>
          <t>051-3-K-26</t>
        </is>
      </c>
      <c r="D688" s="235" t="n">
        <v>46085</v>
      </c>
      <c r="E688" s="233" t="inlineStr">
        <is>
          <t>FHM-K</t>
        </is>
      </c>
      <c r="F688" s="233" t="inlineStr">
        <is>
          <t>#8</t>
        </is>
      </c>
      <c r="G688" s="236" t="inlineStr">
        <is>
          <t>#8 Loss on Drying</t>
        </is>
      </c>
      <c r="H688" s="286" t="inlineStr">
        <is>
          <t>credit removed</t>
        </is>
      </c>
      <c r="I688" s="285" t="inlineStr">
        <is>
          <t>R1 Farmahem pair — cannabinoid certificate; loss on drying is on the LoD certificate</t>
        </is>
      </c>
    </row>
    <row r="689">
      <c r="A689" s="234" t="inlineStr">
        <is>
          <t>SJ112501</t>
        </is>
      </c>
      <c r="B689" s="233" t="inlineStr">
        <is>
          <t>P060192</t>
        </is>
      </c>
      <c r="C689" s="233" t="inlineStr">
        <is>
          <t>051-2-LoD-26</t>
        </is>
      </c>
      <c r="D689" s="235" t="n">
        <v>46083</v>
      </c>
      <c r="E689" s="233" t="inlineStr">
        <is>
          <t>FHM-K</t>
        </is>
      </c>
      <c r="F689" s="233" t="inlineStr">
        <is>
          <t>#3</t>
        </is>
      </c>
      <c r="G689" s="236" t="inlineStr">
        <is>
          <t>#3 Identification C</t>
        </is>
      </c>
      <c r="H689" s="286" t="inlineStr">
        <is>
          <t>credit removed</t>
        </is>
      </c>
      <c r="I689" s="285" t="inlineStr">
        <is>
          <t>R1 Farmahem pair — loss-on-drying certificate; reports no such determination</t>
        </is>
      </c>
    </row>
    <row r="690">
      <c r="A690" s="234" t="inlineStr">
        <is>
          <t>SJ112501</t>
        </is>
      </c>
      <c r="B690" s="233" t="inlineStr">
        <is>
          <t>P060192</t>
        </is>
      </c>
      <c r="C690" s="233" t="inlineStr">
        <is>
          <t>051-2-LoD-26</t>
        </is>
      </c>
      <c r="D690" s="235" t="n">
        <v>46083</v>
      </c>
      <c r="E690" s="233" t="inlineStr">
        <is>
          <t>FHM-K</t>
        </is>
      </c>
      <c r="F690" s="233" t="inlineStr">
        <is>
          <t>#4</t>
        </is>
      </c>
      <c r="G690" s="236" t="inlineStr">
        <is>
          <t>#4 Assay — Total Δ⁹-THC*</t>
        </is>
      </c>
      <c r="H690" s="286" t="inlineStr">
        <is>
          <t>credit removed</t>
        </is>
      </c>
      <c r="I690" s="285" t="inlineStr">
        <is>
          <t>R1 Farmahem pair — loss-on-drying certificate; reports no such determination</t>
        </is>
      </c>
    </row>
    <row r="691">
      <c r="A691" s="234" t="inlineStr">
        <is>
          <t>SJ112501</t>
        </is>
      </c>
      <c r="B691" s="233" t="inlineStr">
        <is>
          <t>P060192</t>
        </is>
      </c>
      <c r="C691" s="233" t="inlineStr">
        <is>
          <t>051-2-LoD-26</t>
        </is>
      </c>
      <c r="D691" s="235" t="n">
        <v>46083</v>
      </c>
      <c r="E691" s="233" t="inlineStr">
        <is>
          <t>FHM-K</t>
        </is>
      </c>
      <c r="F691" s="233" t="inlineStr">
        <is>
          <t>#5</t>
        </is>
      </c>
      <c r="G691" s="236" t="inlineStr">
        <is>
          <t>#5 Assay — Total CBD</t>
        </is>
      </c>
      <c r="H691" s="286" t="inlineStr">
        <is>
          <t>credit removed</t>
        </is>
      </c>
      <c r="I691" s="285" t="inlineStr">
        <is>
          <t>R1 Farmahem pair — loss-on-drying certificate; reports no such determination</t>
        </is>
      </c>
    </row>
    <row r="692">
      <c r="A692" s="234" t="inlineStr">
        <is>
          <t>SJ112501</t>
        </is>
      </c>
      <c r="B692" s="233" t="inlineStr">
        <is>
          <t>P060192</t>
        </is>
      </c>
      <c r="C692" s="233" t="inlineStr">
        <is>
          <t>051-2-LoD-26</t>
        </is>
      </c>
      <c r="D692" s="235" t="n">
        <v>46083</v>
      </c>
      <c r="E692" s="233" t="inlineStr">
        <is>
          <t>FHM-K</t>
        </is>
      </c>
      <c r="F692" s="233" t="inlineStr">
        <is>
          <t>#6</t>
        </is>
      </c>
      <c r="G692" s="236" t="inlineStr">
        <is>
          <t>#6 Total CBN</t>
        </is>
      </c>
      <c r="H692" s="286" t="inlineStr">
        <is>
          <t>credit removed</t>
        </is>
      </c>
      <c r="I692" s="285" t="inlineStr">
        <is>
          <t>R1 Farmahem pair — loss-on-drying certificate; reports no such determination</t>
        </is>
      </c>
    </row>
    <row r="693">
      <c r="A693" s="234" t="inlineStr">
        <is>
          <t>SJ112501</t>
        </is>
      </c>
      <c r="B693" s="233" t="inlineStr">
        <is>
          <t>P060192</t>
        </is>
      </c>
      <c r="C693" s="233" t="inlineStr">
        <is>
          <t>051-2-K-26</t>
        </is>
      </c>
      <c r="D693" s="235" t="n">
        <v>46085</v>
      </c>
      <c r="E693" s="233" t="inlineStr">
        <is>
          <t>FHM-K</t>
        </is>
      </c>
      <c r="F693" s="233" t="inlineStr">
        <is>
          <t>#8</t>
        </is>
      </c>
      <c r="G693" s="236" t="inlineStr">
        <is>
          <t>#8 Loss on Drying</t>
        </is>
      </c>
      <c r="H693" s="286" t="inlineStr">
        <is>
          <t>credit removed</t>
        </is>
      </c>
      <c r="I693" s="285" t="inlineStr">
        <is>
          <t>R1 Farmahem pair — cannabinoid certificate; loss on drying is on the LoD certificate</t>
        </is>
      </c>
    </row>
    <row r="694">
      <c r="A694" s="234" t="inlineStr">
        <is>
          <t>AB092501</t>
        </is>
      </c>
      <c r="B694" s="233" t="inlineStr">
        <is>
          <t>P060052</t>
        </is>
      </c>
      <c r="C694" s="233" t="inlineStr">
        <is>
          <t>ППК26005</t>
        </is>
      </c>
      <c r="D694" s="235" t="n">
        <v>46043</v>
      </c>
      <c r="E694" s="233" t="inlineStr">
        <is>
          <t>CNP</t>
        </is>
      </c>
      <c r="F694" s="233" t="inlineStr">
        <is>
          <t>#2</t>
        </is>
      </c>
      <c r="G694" s="236" t="inlineStr">
        <is>
          <t>#2 Identification B</t>
        </is>
      </c>
      <c r="H694" s="286" t="inlineStr">
        <is>
          <t>credit removed</t>
        </is>
      </c>
      <c r="I694" s="285" t="inlineStr">
        <is>
          <t>R2 CNP identification B — no microscopy row on this certificate</t>
        </is>
      </c>
    </row>
    <row r="695">
      <c r="A695" s="234" t="inlineStr">
        <is>
          <t>BG1024</t>
        </is>
      </c>
      <c r="B695" s="233" t="inlineStr">
        <is>
          <t>N/A — no P batch assigned</t>
        </is>
      </c>
      <c r="C695" s="233" t="inlineStr">
        <is>
          <t>ППК25050</t>
        </is>
      </c>
      <c r="D695" s="235" t="n">
        <v>45714</v>
      </c>
      <c r="E695" s="233" t="inlineStr">
        <is>
          <t>CNP</t>
        </is>
      </c>
      <c r="F695" s="233" t="inlineStr">
        <is>
          <t>#2</t>
        </is>
      </c>
      <c r="G695" s="236" t="inlineStr">
        <is>
          <t>#2 Identification B</t>
        </is>
      </c>
      <c r="H695" s="286" t="inlineStr">
        <is>
          <t>credit removed</t>
        </is>
      </c>
      <c r="I695" s="285" t="inlineStr">
        <is>
          <t>R2 CNP identification B — no microscopy row on this certificate</t>
        </is>
      </c>
    </row>
    <row r="696">
      <c r="A696" s="234" t="inlineStr">
        <is>
          <t>BSS1024</t>
        </is>
      </c>
      <c r="B696" s="233" t="inlineStr">
        <is>
          <t>N/A — no P batch assigned</t>
        </is>
      </c>
      <c r="C696" s="233" t="inlineStr">
        <is>
          <t>ППК25051</t>
        </is>
      </c>
      <c r="D696" s="235" t="n">
        <v>45714</v>
      </c>
      <c r="E696" s="233" t="inlineStr">
        <is>
          <t>CNP</t>
        </is>
      </c>
      <c r="F696" s="233" t="inlineStr">
        <is>
          <t>#2</t>
        </is>
      </c>
      <c r="G696" s="236" t="inlineStr">
        <is>
          <t>#2 Identification B</t>
        </is>
      </c>
      <c r="H696" s="286" t="inlineStr">
        <is>
          <t>credit removed</t>
        </is>
      </c>
      <c r="I696" s="285" t="inlineStr">
        <is>
          <t>R2 CNP identification B — no microscopy row on this certificate</t>
        </is>
      </c>
    </row>
    <row r="697">
      <c r="A697" s="234" t="inlineStr">
        <is>
          <t>BSS1024_01/1</t>
        </is>
      </c>
      <c r="B697" s="233" t="inlineStr">
        <is>
          <t>P050122</t>
        </is>
      </c>
      <c r="C697" s="233" t="inlineStr">
        <is>
          <t>ППК25176</t>
        </is>
      </c>
      <c r="D697" s="235" t="n">
        <v>45848</v>
      </c>
      <c r="E697" s="233" t="inlineStr">
        <is>
          <t>CNP</t>
        </is>
      </c>
      <c r="F697" s="233" t="inlineStr">
        <is>
          <t>#2</t>
        </is>
      </c>
      <c r="G697" s="236" t="inlineStr">
        <is>
          <t>#2 Identification B</t>
        </is>
      </c>
      <c r="H697" s="286" t="inlineStr">
        <is>
          <t>credit removed</t>
        </is>
      </c>
      <c r="I697" s="285" t="inlineStr">
        <is>
          <t>R2 CNP identification B — no microscopy row on this certificate</t>
        </is>
      </c>
    </row>
    <row r="698">
      <c r="A698" s="234" t="inlineStr">
        <is>
          <t>CC112501</t>
        </is>
      </c>
      <c r="B698" s="233" t="inlineStr">
        <is>
          <t>P060272</t>
        </is>
      </c>
      <c r="C698" s="233" t="inlineStr">
        <is>
          <t>ППК26068</t>
        </is>
      </c>
      <c r="D698" s="235" t="n">
        <v>46153</v>
      </c>
      <c r="E698" s="233" t="inlineStr">
        <is>
          <t>CNP</t>
        </is>
      </c>
      <c r="F698" s="233" t="inlineStr">
        <is>
          <t>#2</t>
        </is>
      </c>
      <c r="G698" s="236" t="inlineStr">
        <is>
          <t>#2 Identification B</t>
        </is>
      </c>
      <c r="H698" s="286" t="inlineStr">
        <is>
          <t>credit removed</t>
        </is>
      </c>
      <c r="I698" s="285" t="inlineStr">
        <is>
          <t>R2 CNP identification B — no microscopy row on this certificate</t>
        </is>
      </c>
    </row>
    <row r="699">
      <c r="A699" s="234" t="inlineStr">
        <is>
          <t>CJ052501/01</t>
        </is>
      </c>
      <c r="B699" s="233" t="inlineStr">
        <is>
          <t>P050162</t>
        </is>
      </c>
      <c r="C699" s="233" t="inlineStr">
        <is>
          <t>ППК25280</t>
        </is>
      </c>
      <c r="D699" s="235" t="n">
        <v>45917</v>
      </c>
      <c r="E699" s="233" t="inlineStr">
        <is>
          <t>CNP</t>
        </is>
      </c>
      <c r="F699" s="233" t="inlineStr">
        <is>
          <t>#2</t>
        </is>
      </c>
      <c r="G699" s="236" t="inlineStr">
        <is>
          <t>#2 Identification B</t>
        </is>
      </c>
      <c r="H699" s="286" t="inlineStr">
        <is>
          <t>credit removed</t>
        </is>
      </c>
      <c r="I699" s="285" t="inlineStr">
        <is>
          <t>R2 CNP identification B — no microscopy row on this certificate</t>
        </is>
      </c>
    </row>
    <row r="700">
      <c r="A700" s="234" t="inlineStr">
        <is>
          <t>CJ052501/02</t>
        </is>
      </c>
      <c r="B700" s="233" t="inlineStr">
        <is>
          <t>P050172</t>
        </is>
      </c>
      <c r="C700" s="233" t="inlineStr">
        <is>
          <t>ППК25281</t>
        </is>
      </c>
      <c r="D700" s="235" t="n">
        <v>45917</v>
      </c>
      <c r="E700" s="233" t="inlineStr">
        <is>
          <t>CNP</t>
        </is>
      </c>
      <c r="F700" s="233" t="inlineStr">
        <is>
          <t>#2</t>
        </is>
      </c>
      <c r="G700" s="236" t="inlineStr">
        <is>
          <t>#2 Identification B</t>
        </is>
      </c>
      <c r="H700" s="286" t="inlineStr">
        <is>
          <t>credit removed</t>
        </is>
      </c>
      <c r="I700" s="285" t="inlineStr">
        <is>
          <t>R2 CNP identification B — no microscopy row on this certificate</t>
        </is>
      </c>
    </row>
    <row r="701">
      <c r="A701" s="234" t="inlineStr">
        <is>
          <t>CJ062501/1</t>
        </is>
      </c>
      <c r="B701" s="233" t="inlineStr">
        <is>
          <t>P050222</t>
        </is>
      </c>
      <c r="C701" s="233" t="inlineStr">
        <is>
          <t>ППК25321</t>
        </is>
      </c>
      <c r="D701" s="235" t="n">
        <v>45953</v>
      </c>
      <c r="E701" s="233" t="inlineStr">
        <is>
          <t>CNP</t>
        </is>
      </c>
      <c r="F701" s="233" t="inlineStr">
        <is>
          <t>#2</t>
        </is>
      </c>
      <c r="G701" s="236" t="inlineStr">
        <is>
          <t>#2 Identification B</t>
        </is>
      </c>
      <c r="H701" s="286" t="inlineStr">
        <is>
          <t>credit removed</t>
        </is>
      </c>
      <c r="I701" s="285" t="inlineStr">
        <is>
          <t>R2 CNP identification B — no microscopy row on this certificate</t>
        </is>
      </c>
    </row>
    <row r="702">
      <c r="A702" s="234" t="inlineStr">
        <is>
          <t>CJ062501/2</t>
        </is>
      </c>
      <c r="B702" s="233" t="inlineStr">
        <is>
          <t>P050212</t>
        </is>
      </c>
      <c r="C702" s="233" t="inlineStr">
        <is>
          <t>ППК25322</t>
        </is>
      </c>
      <c r="D702" s="235" t="n">
        <v>45953</v>
      </c>
      <c r="E702" s="233" t="inlineStr">
        <is>
          <t>CNP</t>
        </is>
      </c>
      <c r="F702" s="233" t="inlineStr">
        <is>
          <t>#2</t>
        </is>
      </c>
      <c r="G702" s="236" t="inlineStr">
        <is>
          <t>#2 Identification B</t>
        </is>
      </c>
      <c r="H702" s="286" t="inlineStr">
        <is>
          <t>credit removed</t>
        </is>
      </c>
      <c r="I702" s="285" t="inlineStr">
        <is>
          <t>R2 CNP identification B — no microscopy row on this certificate</t>
        </is>
      </c>
    </row>
    <row r="703">
      <c r="A703" s="234" t="inlineStr">
        <is>
          <t>CJ072501</t>
        </is>
      </c>
      <c r="B703" s="233" t="inlineStr">
        <is>
          <t>P050252</t>
        </is>
      </c>
      <c r="C703" s="233" t="inlineStr">
        <is>
          <t>ППК25367</t>
        </is>
      </c>
      <c r="D703" s="235" t="n">
        <v>45989</v>
      </c>
      <c r="E703" s="233" t="inlineStr">
        <is>
          <t>CNP</t>
        </is>
      </c>
      <c r="F703" s="233" t="inlineStr">
        <is>
          <t>#2</t>
        </is>
      </c>
      <c r="G703" s="236" t="inlineStr">
        <is>
          <t>#2 Identification B</t>
        </is>
      </c>
      <c r="H703" s="286" t="inlineStr">
        <is>
          <t>credit removed</t>
        </is>
      </c>
      <c r="I703" s="285" t="inlineStr">
        <is>
          <t>R2 CNP identification B — no microscopy row on this certificate</t>
        </is>
      </c>
    </row>
    <row r="704">
      <c r="A704" s="234" t="inlineStr">
        <is>
          <t>CJ082501/1</t>
        </is>
      </c>
      <c r="B704" s="233" t="inlineStr">
        <is>
          <t>P060022</t>
        </is>
      </c>
      <c r="C704" s="233" t="inlineStr">
        <is>
          <t>ППК26002</t>
        </is>
      </c>
      <c r="D704" s="235" t="n">
        <v>46043</v>
      </c>
      <c r="E704" s="233" t="inlineStr">
        <is>
          <t>CNP</t>
        </is>
      </c>
      <c r="F704" s="233" t="inlineStr">
        <is>
          <t>#2</t>
        </is>
      </c>
      <c r="G704" s="236" t="inlineStr">
        <is>
          <t>#2 Identification B</t>
        </is>
      </c>
      <c r="H704" s="286" t="inlineStr">
        <is>
          <t>credit removed</t>
        </is>
      </c>
      <c r="I704" s="285" t="inlineStr">
        <is>
          <t>R2 CNP identification B — no microscopy row on this certificate</t>
        </is>
      </c>
    </row>
    <row r="705">
      <c r="A705" s="234" t="inlineStr">
        <is>
          <t>CJ082501/2</t>
        </is>
      </c>
      <c r="B705" s="233" t="inlineStr">
        <is>
          <t>P060032</t>
        </is>
      </c>
      <c r="C705" s="233" t="inlineStr">
        <is>
          <t>ППК26003</t>
        </is>
      </c>
      <c r="D705" s="235" t="n">
        <v>46043</v>
      </c>
      <c r="E705" s="233" t="inlineStr">
        <is>
          <t>CNP</t>
        </is>
      </c>
      <c r="F705" s="233" t="inlineStr">
        <is>
          <t>#2</t>
        </is>
      </c>
      <c r="G705" s="236" t="inlineStr">
        <is>
          <t>#2 Identification B</t>
        </is>
      </c>
      <c r="H705" s="286" t="inlineStr">
        <is>
          <t>credit removed</t>
        </is>
      </c>
      <c r="I705" s="285" t="inlineStr">
        <is>
          <t>R2 CNP identification B — no microscopy row on this certificate</t>
        </is>
      </c>
    </row>
    <row r="706">
      <c r="A706" s="234" t="inlineStr">
        <is>
          <t>CJ092501</t>
        </is>
      </c>
      <c r="B706" s="233" t="inlineStr">
        <is>
          <t>P060072</t>
        </is>
      </c>
      <c r="C706" s="233" t="inlineStr">
        <is>
          <t>ППК26007</t>
        </is>
      </c>
      <c r="D706" s="235" t="n">
        <v>46043</v>
      </c>
      <c r="E706" s="233" t="inlineStr">
        <is>
          <t>CNP</t>
        </is>
      </c>
      <c r="F706" s="233" t="inlineStr">
        <is>
          <t>#2</t>
        </is>
      </c>
      <c r="G706" s="236" t="inlineStr">
        <is>
          <t>#2 Identification B</t>
        </is>
      </c>
      <c r="H706" s="286" t="inlineStr">
        <is>
          <t>credit removed</t>
        </is>
      </c>
      <c r="I706" s="285" t="inlineStr">
        <is>
          <t>R2 CNP identification B — no microscopy row on this certificate</t>
        </is>
      </c>
    </row>
    <row r="707">
      <c r="A707" s="234" t="inlineStr">
        <is>
          <t>CJ1024</t>
        </is>
      </c>
      <c r="B707" s="233" t="inlineStr">
        <is>
          <t>N/A — no P batch assigned</t>
        </is>
      </c>
      <c r="C707" s="233" t="inlineStr">
        <is>
          <t>ППК25052</t>
        </is>
      </c>
      <c r="D707" s="235" t="n">
        <v>45714</v>
      </c>
      <c r="E707" s="233" t="inlineStr">
        <is>
          <t>CNP</t>
        </is>
      </c>
      <c r="F707" s="233" t="inlineStr">
        <is>
          <t>#2</t>
        </is>
      </c>
      <c r="G707" s="236" t="inlineStr">
        <is>
          <t>#2 Identification B</t>
        </is>
      </c>
      <c r="H707" s="286" t="inlineStr">
        <is>
          <t>credit removed</t>
        </is>
      </c>
      <c r="I707" s="285" t="inlineStr">
        <is>
          <t>R2 CNP identification B — no microscopy row on this certificate</t>
        </is>
      </c>
    </row>
    <row r="708">
      <c r="A708" s="234" t="inlineStr">
        <is>
          <t>CLE072501</t>
        </is>
      </c>
      <c r="B708" s="233" t="inlineStr">
        <is>
          <t>P050282</t>
        </is>
      </c>
      <c r="C708" s="233" t="inlineStr">
        <is>
          <t>ППК25370</t>
        </is>
      </c>
      <c r="D708" s="235" t="n">
        <v>45989</v>
      </c>
      <c r="E708" s="233" t="inlineStr">
        <is>
          <t>CNP</t>
        </is>
      </c>
      <c r="F708" s="233" t="inlineStr">
        <is>
          <t>#2</t>
        </is>
      </c>
      <c r="G708" s="236" t="inlineStr">
        <is>
          <t>#2 Identification B</t>
        </is>
      </c>
      <c r="H708" s="286" t="inlineStr">
        <is>
          <t>credit removed</t>
        </is>
      </c>
      <c r="I708" s="285" t="inlineStr">
        <is>
          <t>R2 CNP identification B — no microscopy row on this certificate</t>
        </is>
      </c>
    </row>
    <row r="709">
      <c r="A709" s="234" t="inlineStr">
        <is>
          <t>FB012601_1</t>
        </is>
      </c>
      <c r="B709" s="233" t="inlineStr">
        <is>
          <t>P060322</t>
        </is>
      </c>
      <c r="C709" s="233" t="inlineStr">
        <is>
          <t>ППК26067</t>
        </is>
      </c>
      <c r="D709" s="235" t="n">
        <v>46153</v>
      </c>
      <c r="E709" s="233" t="inlineStr">
        <is>
          <t>CNP</t>
        </is>
      </c>
      <c r="F709" s="233" t="inlineStr">
        <is>
          <t>#2</t>
        </is>
      </c>
      <c r="G709" s="236" t="inlineStr">
        <is>
          <t>#2 Identification B</t>
        </is>
      </c>
      <c r="H709" s="286" t="inlineStr">
        <is>
          <t>credit removed</t>
        </is>
      </c>
      <c r="I709" s="285" t="inlineStr">
        <is>
          <t>R2 CNP identification B — no microscopy row on this certificate</t>
        </is>
      </c>
    </row>
    <row r="710">
      <c r="A710" s="234" t="inlineStr">
        <is>
          <t>FB112501</t>
        </is>
      </c>
      <c r="B710" s="233" t="inlineStr">
        <is>
          <t>P060292</t>
        </is>
      </c>
      <c r="C710" s="233" t="inlineStr">
        <is>
          <t>ППК26066</t>
        </is>
      </c>
      <c r="D710" s="235" t="n">
        <v>46153</v>
      </c>
      <c r="E710" s="233" t="inlineStr">
        <is>
          <t>CNP</t>
        </is>
      </c>
      <c r="F710" s="233" t="inlineStr">
        <is>
          <t>#2</t>
        </is>
      </c>
      <c r="G710" s="236" t="inlineStr">
        <is>
          <t>#2 Identification B</t>
        </is>
      </c>
      <c r="H710" s="286" t="inlineStr">
        <is>
          <t>credit removed</t>
        </is>
      </c>
      <c r="I710" s="285" t="inlineStr">
        <is>
          <t>R2 CNP identification B — no microscopy row on this certificate</t>
        </is>
      </c>
    </row>
    <row r="711">
      <c r="A711" s="234" t="inlineStr">
        <is>
          <t>GG012601＊</t>
        </is>
      </c>
      <c r="B711" s="233" t="inlineStr">
        <is>
          <t>P060302</t>
        </is>
      </c>
      <c r="C711" s="233" t="inlineStr">
        <is>
          <t>ППК26062</t>
        </is>
      </c>
      <c r="D711" s="235" t="n">
        <v>46153</v>
      </c>
      <c r="E711" s="233" t="inlineStr">
        <is>
          <t>CNP</t>
        </is>
      </c>
      <c r="F711" s="233" t="inlineStr">
        <is>
          <t>#2</t>
        </is>
      </c>
      <c r="G711" s="236" t="inlineStr">
        <is>
          <t>#2 Identification B</t>
        </is>
      </c>
      <c r="H711" s="286" t="inlineStr">
        <is>
          <t>credit removed</t>
        </is>
      </c>
      <c r="I711" s="285" t="inlineStr">
        <is>
          <t>R2 CNP identification B — no microscopy row on this certificate</t>
        </is>
      </c>
    </row>
    <row r="712">
      <c r="A712" s="234" t="inlineStr">
        <is>
          <t>GG1024_01</t>
        </is>
      </c>
      <c r="B712" s="233" t="inlineStr">
        <is>
          <t>P050092</t>
        </is>
      </c>
      <c r="C712" s="233" t="inlineStr">
        <is>
          <t>ППК25104</t>
        </is>
      </c>
      <c r="D712" s="235" t="n">
        <v>45764</v>
      </c>
      <c r="E712" s="233" t="inlineStr">
        <is>
          <t>CNP</t>
        </is>
      </c>
      <c r="F712" s="233" t="inlineStr">
        <is>
          <t>#2</t>
        </is>
      </c>
      <c r="G712" s="236" t="inlineStr">
        <is>
          <t>#2 Identification B</t>
        </is>
      </c>
      <c r="H712" s="286" t="inlineStr">
        <is>
          <t>credit removed</t>
        </is>
      </c>
      <c r="I712" s="285" t="inlineStr">
        <is>
          <t>R2 CNP identification B — no microscopy row on this certificate</t>
        </is>
      </c>
    </row>
    <row r="713">
      <c r="A713" s="234" t="inlineStr">
        <is>
          <t>GG1024_02</t>
        </is>
      </c>
      <c r="B713" s="233" t="inlineStr">
        <is>
          <t>P050012</t>
        </is>
      </c>
      <c r="C713" s="233" t="inlineStr">
        <is>
          <t>ППК25140</t>
        </is>
      </c>
      <c r="D713" s="235" t="n">
        <v>45799</v>
      </c>
      <c r="E713" s="233" t="inlineStr">
        <is>
          <t>CNP</t>
        </is>
      </c>
      <c r="F713" s="233" t="inlineStr">
        <is>
          <t>#2</t>
        </is>
      </c>
      <c r="G713" s="236" t="inlineStr">
        <is>
          <t>#2 Identification B</t>
        </is>
      </c>
      <c r="H713" s="286" t="inlineStr">
        <is>
          <t>credit removed</t>
        </is>
      </c>
      <c r="I713" s="285" t="inlineStr">
        <is>
          <t>R2 CNP identification B — no microscopy row on this certificate</t>
        </is>
      </c>
    </row>
    <row r="714">
      <c r="A714" s="234" t="inlineStr">
        <is>
          <t>GG112501</t>
        </is>
      </c>
      <c r="B714" s="233" t="inlineStr">
        <is>
          <t>P060252</t>
        </is>
      </c>
      <c r="C714" s="233" t="inlineStr">
        <is>
          <t>ППК26061</t>
        </is>
      </c>
      <c r="D714" s="235" t="n">
        <v>46153</v>
      </c>
      <c r="E714" s="233" t="inlineStr">
        <is>
          <t>CNP</t>
        </is>
      </c>
      <c r="F714" s="233" t="inlineStr">
        <is>
          <t>#2</t>
        </is>
      </c>
      <c r="G714" s="236" t="inlineStr">
        <is>
          <t>#2 Identification B</t>
        </is>
      </c>
      <c r="H714" s="286" t="inlineStr">
        <is>
          <t>credit removed</t>
        </is>
      </c>
      <c r="I714" s="285" t="inlineStr">
        <is>
          <t>R2 CNP identification B — no microscopy row on this certificate</t>
        </is>
      </c>
    </row>
    <row r="715">
      <c r="A715" s="234" t="inlineStr">
        <is>
          <t>GP052501</t>
        </is>
      </c>
      <c r="B715" s="233" t="inlineStr">
        <is>
          <t>P050152</t>
        </is>
      </c>
      <c r="C715" s="233" t="inlineStr">
        <is>
          <t>ППК25279</t>
        </is>
      </c>
      <c r="D715" s="235" t="n">
        <v>45919</v>
      </c>
      <c r="E715" s="233" t="inlineStr">
        <is>
          <t>CNP</t>
        </is>
      </c>
      <c r="F715" s="233" t="inlineStr">
        <is>
          <t>#2</t>
        </is>
      </c>
      <c r="G715" s="236" t="inlineStr">
        <is>
          <t>#2 Identification B</t>
        </is>
      </c>
      <c r="H715" s="286" t="inlineStr">
        <is>
          <t>credit removed</t>
        </is>
      </c>
      <c r="I715" s="285" t="inlineStr">
        <is>
          <t>R2 CNP identification B — no microscopy row on this certificate</t>
        </is>
      </c>
    </row>
    <row r="716">
      <c r="A716" s="234" t="inlineStr">
        <is>
          <t>GP062501</t>
        </is>
      </c>
      <c r="B716" s="233" t="inlineStr">
        <is>
          <t>P050202</t>
        </is>
      </c>
      <c r="C716" s="233" t="inlineStr">
        <is>
          <t>ППК26036</t>
        </is>
      </c>
      <c r="D716" s="235" t="n">
        <v>46086</v>
      </c>
      <c r="E716" s="233" t="inlineStr">
        <is>
          <t>CNP</t>
        </is>
      </c>
      <c r="F716" s="233" t="inlineStr">
        <is>
          <t>#2</t>
        </is>
      </c>
      <c r="G716" s="236" t="inlineStr">
        <is>
          <t>#2 Identification B</t>
        </is>
      </c>
      <c r="H716" s="286" t="inlineStr">
        <is>
          <t>credit removed</t>
        </is>
      </c>
      <c r="I716" s="285" t="inlineStr">
        <is>
          <t>R2 CNP identification B — no microscopy row on this certificate</t>
        </is>
      </c>
    </row>
    <row r="717">
      <c r="A717" s="234" t="inlineStr">
        <is>
          <t>GP062501</t>
        </is>
      </c>
      <c r="B717" s="233" t="inlineStr">
        <is>
          <t>P050202</t>
        </is>
      </c>
      <c r="C717" s="233" t="inlineStr">
        <is>
          <t>ППК26037</t>
        </is>
      </c>
      <c r="D717" s="235" t="n">
        <v>46086</v>
      </c>
      <c r="E717" s="233" t="inlineStr">
        <is>
          <t>CNP</t>
        </is>
      </c>
      <c r="F717" s="233" t="inlineStr">
        <is>
          <t>#2</t>
        </is>
      </c>
      <c r="G717" s="236" t="inlineStr">
        <is>
          <t>#2 Identification B</t>
        </is>
      </c>
      <c r="H717" s="286" t="inlineStr">
        <is>
          <t>credit removed</t>
        </is>
      </c>
      <c r="I717" s="285" t="inlineStr">
        <is>
          <t>R2 CNP identification B — no microscopy row on this certificate</t>
        </is>
      </c>
    </row>
    <row r="718">
      <c r="A718" s="234" t="inlineStr">
        <is>
          <t>GP062501</t>
        </is>
      </c>
      <c r="B718" s="233" t="inlineStr">
        <is>
          <t>P050202</t>
        </is>
      </c>
      <c r="C718" s="233" t="inlineStr">
        <is>
          <t>ППК26057</t>
        </is>
      </c>
      <c r="D718" s="235" t="n">
        <v>46153</v>
      </c>
      <c r="E718" s="233" t="inlineStr">
        <is>
          <t>CNP</t>
        </is>
      </c>
      <c r="F718" s="233" t="inlineStr">
        <is>
          <t>#2</t>
        </is>
      </c>
      <c r="G718" s="236" t="inlineStr">
        <is>
          <t>#2 Identification B</t>
        </is>
      </c>
      <c r="H718" s="286" t="inlineStr">
        <is>
          <t>credit removed</t>
        </is>
      </c>
      <c r="I718" s="285" t="inlineStr">
        <is>
          <t>R2 CNP identification B — no microscopy row on this certificate</t>
        </is>
      </c>
    </row>
    <row r="719">
      <c r="A719" s="234" t="inlineStr">
        <is>
          <t>GP062501</t>
        </is>
      </c>
      <c r="B719" s="233" t="inlineStr">
        <is>
          <t>P050202</t>
        </is>
      </c>
      <c r="C719" s="233" t="inlineStr">
        <is>
          <t>ППК26058</t>
        </is>
      </c>
      <c r="D719" s="235" t="n">
        <v>46153</v>
      </c>
      <c r="E719" s="233" t="inlineStr">
        <is>
          <t>CNP</t>
        </is>
      </c>
      <c r="F719" s="233" t="inlineStr">
        <is>
          <t>#2</t>
        </is>
      </c>
      <c r="G719" s="236" t="inlineStr">
        <is>
          <t>#2 Identification B</t>
        </is>
      </c>
      <c r="H719" s="286" t="inlineStr">
        <is>
          <t>credit removed</t>
        </is>
      </c>
      <c r="I719" s="285" t="inlineStr">
        <is>
          <t>R2 CNP identification B — no microscopy row on this certificate</t>
        </is>
      </c>
    </row>
    <row r="720">
      <c r="A720" s="234" t="inlineStr">
        <is>
          <t>GP072501/1</t>
        </is>
      </c>
      <c r="B720" s="233" t="inlineStr">
        <is>
          <t>P050292</t>
        </is>
      </c>
      <c r="C720" s="233" t="inlineStr">
        <is>
          <t>ППК25378</t>
        </is>
      </c>
      <c r="D720" s="235" t="n">
        <v>46003</v>
      </c>
      <c r="E720" s="233" t="inlineStr">
        <is>
          <t>CNP</t>
        </is>
      </c>
      <c r="F720" s="233" t="inlineStr">
        <is>
          <t>#2</t>
        </is>
      </c>
      <c r="G720" s="236" t="inlineStr">
        <is>
          <t>#2 Identification B</t>
        </is>
      </c>
      <c r="H720" s="286" t="inlineStr">
        <is>
          <t>credit removed</t>
        </is>
      </c>
      <c r="I720" s="285" t="inlineStr">
        <is>
          <t>R2 CNP identification B — no microscopy row on this certificate</t>
        </is>
      </c>
    </row>
    <row r="721">
      <c r="A721" s="234" t="inlineStr">
        <is>
          <t>GP072501/2</t>
        </is>
      </c>
      <c r="B721" s="233" t="inlineStr">
        <is>
          <t>P050302</t>
        </is>
      </c>
      <c r="C721" s="233" t="inlineStr">
        <is>
          <t>ППК25379</t>
        </is>
      </c>
      <c r="D721" s="235" t="n">
        <v>46003</v>
      </c>
      <c r="E721" s="233" t="inlineStr">
        <is>
          <t>CNP</t>
        </is>
      </c>
      <c r="F721" s="233" t="inlineStr">
        <is>
          <t>#2</t>
        </is>
      </c>
      <c r="G721" s="236" t="inlineStr">
        <is>
          <t>#2 Identification B</t>
        </is>
      </c>
      <c r="H721" s="286" t="inlineStr">
        <is>
          <t>credit removed</t>
        </is>
      </c>
      <c r="I721" s="285" t="inlineStr">
        <is>
          <t>R2 CNP identification B — no microscopy row on this certificate</t>
        </is>
      </c>
    </row>
    <row r="722">
      <c r="A722" s="234" t="inlineStr">
        <is>
          <t>GP0824_01</t>
        </is>
      </c>
      <c r="B722" s="233" t="inlineStr">
        <is>
          <t>P050102</t>
        </is>
      </c>
      <c r="C722" s="233" t="inlineStr">
        <is>
          <t>ППК25105</t>
        </is>
      </c>
      <c r="D722" s="235" t="n">
        <v>45764</v>
      </c>
      <c r="E722" s="233" t="inlineStr">
        <is>
          <t>CNP</t>
        </is>
      </c>
      <c r="F722" s="233" t="inlineStr">
        <is>
          <t>#2</t>
        </is>
      </c>
      <c r="G722" s="236" t="inlineStr">
        <is>
          <t>#2 Identification B</t>
        </is>
      </c>
      <c r="H722" s="286" t="inlineStr">
        <is>
          <t>credit removed</t>
        </is>
      </c>
      <c r="I722" s="285" t="inlineStr">
        <is>
          <t>R2 CNP identification B — no microscopy row on this certificate</t>
        </is>
      </c>
    </row>
    <row r="723">
      <c r="A723" s="234" t="inlineStr">
        <is>
          <t>GP0824_02</t>
        </is>
      </c>
      <c r="B723" s="233" t="inlineStr">
        <is>
          <t>P050022</t>
        </is>
      </c>
      <c r="C723" s="233" t="inlineStr">
        <is>
          <t>ППК25139</t>
        </is>
      </c>
      <c r="D723" s="235" t="n">
        <v>45799</v>
      </c>
      <c r="E723" s="233" t="inlineStr">
        <is>
          <t>CNP</t>
        </is>
      </c>
      <c r="F723" s="233" t="inlineStr">
        <is>
          <t>#2</t>
        </is>
      </c>
      <c r="G723" s="236" t="inlineStr">
        <is>
          <t>#2 Identification B</t>
        </is>
      </c>
      <c r="H723" s="286" t="inlineStr">
        <is>
          <t>credit removed</t>
        </is>
      </c>
      <c r="I723" s="285" t="inlineStr">
        <is>
          <t>R2 CNP identification B — no microscopy row on this certificate</t>
        </is>
      </c>
    </row>
    <row r="724">
      <c r="A724" s="234" t="inlineStr">
        <is>
          <t>GP0824_02</t>
        </is>
      </c>
      <c r="B724" s="233" t="inlineStr">
        <is>
          <t>P050022</t>
        </is>
      </c>
      <c r="C724" s="233" t="inlineStr">
        <is>
          <t>ППК25174</t>
        </is>
      </c>
      <c r="D724" s="235" t="n">
        <v>45848</v>
      </c>
      <c r="E724" s="233" t="inlineStr">
        <is>
          <t>CNP</t>
        </is>
      </c>
      <c r="F724" s="233" t="inlineStr">
        <is>
          <t>#2</t>
        </is>
      </c>
      <c r="G724" s="236" t="inlineStr">
        <is>
          <t>#2 Identification B</t>
        </is>
      </c>
      <c r="H724" s="286" t="inlineStr">
        <is>
          <t>credit removed</t>
        </is>
      </c>
      <c r="I724" s="285" t="inlineStr">
        <is>
          <t>R2 CNP identification B — no microscopy row on this certificate</t>
        </is>
      </c>
    </row>
    <row r="725">
      <c r="A725" s="234" t="inlineStr">
        <is>
          <t>GP0824_02</t>
        </is>
      </c>
      <c r="B725" s="233" t="inlineStr">
        <is>
          <t>P050022</t>
        </is>
      </c>
      <c r="C725" s="233" t="inlineStr">
        <is>
          <t>ППК26032</t>
        </is>
      </c>
      <c r="D725" s="235" t="n">
        <v>46086</v>
      </c>
      <c r="E725" s="233" t="inlineStr">
        <is>
          <t>CNP</t>
        </is>
      </c>
      <c r="F725" s="233" t="inlineStr">
        <is>
          <t>#2</t>
        </is>
      </c>
      <c r="G725" s="236" t="inlineStr">
        <is>
          <t>#2 Identification B</t>
        </is>
      </c>
      <c r="H725" s="286" t="inlineStr">
        <is>
          <t>credit removed</t>
        </is>
      </c>
      <c r="I725" s="285" t="inlineStr">
        <is>
          <t>R2 CNP identification B — no microscopy row on this certificate</t>
        </is>
      </c>
    </row>
    <row r="726">
      <c r="A726" s="234" t="inlineStr">
        <is>
          <t>GP0824_02</t>
        </is>
      </c>
      <c r="B726" s="233" t="inlineStr">
        <is>
          <t>P050022</t>
        </is>
      </c>
      <c r="C726" s="233" t="inlineStr">
        <is>
          <t>ППК26033</t>
        </is>
      </c>
      <c r="D726" s="235" t="n">
        <v>46086</v>
      </c>
      <c r="E726" s="233" t="inlineStr">
        <is>
          <t>CNP</t>
        </is>
      </c>
      <c r="F726" s="233" t="inlineStr">
        <is>
          <t>#2</t>
        </is>
      </c>
      <c r="G726" s="236" t="inlineStr">
        <is>
          <t>#2 Identification B</t>
        </is>
      </c>
      <c r="H726" s="286" t="inlineStr">
        <is>
          <t>credit removed</t>
        </is>
      </c>
      <c r="I726" s="285" t="inlineStr">
        <is>
          <t>R2 CNP identification B — no microscopy row on this certificate</t>
        </is>
      </c>
    </row>
    <row r="727">
      <c r="A727" s="234" t="inlineStr">
        <is>
          <t>GP0824_02</t>
        </is>
      </c>
      <c r="B727" s="233" t="inlineStr">
        <is>
          <t>P050022</t>
        </is>
      </c>
      <c r="C727" s="233" t="inlineStr">
        <is>
          <t>ППК26059</t>
        </is>
      </c>
      <c r="D727" s="235" t="n">
        <v>46153</v>
      </c>
      <c r="E727" s="233" t="inlineStr">
        <is>
          <t>CNP</t>
        </is>
      </c>
      <c r="F727" s="233" t="inlineStr">
        <is>
          <t>#2</t>
        </is>
      </c>
      <c r="G727" s="236" t="inlineStr">
        <is>
          <t>#2 Identification B</t>
        </is>
      </c>
      <c r="H727" s="286" t="inlineStr">
        <is>
          <t>credit removed</t>
        </is>
      </c>
      <c r="I727" s="285" t="inlineStr">
        <is>
          <t>R2 CNP identification B — no microscopy row on this certificate</t>
        </is>
      </c>
    </row>
    <row r="728">
      <c r="A728" s="234" t="inlineStr">
        <is>
          <t>GP0824_03</t>
        </is>
      </c>
      <c r="B728" s="233" t="inlineStr">
        <is>
          <t>P050072</t>
        </is>
      </c>
      <c r="C728" s="233" t="inlineStr">
        <is>
          <t>ППК25175</t>
        </is>
      </c>
      <c r="D728" s="235" t="n">
        <v>45848</v>
      </c>
      <c r="E728" s="233" t="inlineStr">
        <is>
          <t>CNP</t>
        </is>
      </c>
      <c r="F728" s="233" t="inlineStr">
        <is>
          <t>#2</t>
        </is>
      </c>
      <c r="G728" s="236" t="inlineStr">
        <is>
          <t>#2 Identification B</t>
        </is>
      </c>
      <c r="H728" s="286" t="inlineStr">
        <is>
          <t>credit removed</t>
        </is>
      </c>
      <c r="I728" s="285" t="inlineStr">
        <is>
          <t>R2 CNP identification B — no microscopy row on this certificate</t>
        </is>
      </c>
    </row>
    <row r="729">
      <c r="A729" s="234" t="inlineStr">
        <is>
          <t>GP0824_03</t>
        </is>
      </c>
      <c r="B729" s="233" t="inlineStr">
        <is>
          <t>P050072</t>
        </is>
      </c>
      <c r="C729" s="233" t="inlineStr">
        <is>
          <t>ППК26034</t>
        </is>
      </c>
      <c r="D729" s="235" t="n">
        <v>46086</v>
      </c>
      <c r="E729" s="233" t="inlineStr">
        <is>
          <t>CNP</t>
        </is>
      </c>
      <c r="F729" s="233" t="inlineStr">
        <is>
          <t>#2</t>
        </is>
      </c>
      <c r="G729" s="236" t="inlineStr">
        <is>
          <t>#2 Identification B</t>
        </is>
      </c>
      <c r="H729" s="286" t="inlineStr">
        <is>
          <t>credit removed</t>
        </is>
      </c>
      <c r="I729" s="285" t="inlineStr">
        <is>
          <t>R2 CNP identification B — no microscopy row on this certificate</t>
        </is>
      </c>
    </row>
    <row r="730">
      <c r="A730" s="234" t="inlineStr">
        <is>
          <t>GP0824_03</t>
        </is>
      </c>
      <c r="B730" s="233" t="inlineStr">
        <is>
          <t>P050072</t>
        </is>
      </c>
      <c r="C730" s="233" t="inlineStr">
        <is>
          <t>ППК26035</t>
        </is>
      </c>
      <c r="D730" s="235" t="n">
        <v>46086</v>
      </c>
      <c r="E730" s="233" t="inlineStr">
        <is>
          <t>CNP</t>
        </is>
      </c>
      <c r="F730" s="233" t="inlineStr">
        <is>
          <t>#2</t>
        </is>
      </c>
      <c r="G730" s="236" t="inlineStr">
        <is>
          <t>#2 Identification B</t>
        </is>
      </c>
      <c r="H730" s="286" t="inlineStr">
        <is>
          <t>credit removed</t>
        </is>
      </c>
      <c r="I730" s="285" t="inlineStr">
        <is>
          <t>R2 CNP identification B — no microscopy row on this certificate</t>
        </is>
      </c>
    </row>
    <row r="731">
      <c r="A731" s="234" t="inlineStr">
        <is>
          <t>GP0824_03</t>
        </is>
      </c>
      <c r="B731" s="233" t="inlineStr">
        <is>
          <t>P050072</t>
        </is>
      </c>
      <c r="C731" s="233" t="inlineStr">
        <is>
          <t>ППК26060</t>
        </is>
      </c>
      <c r="D731" s="235" t="n">
        <v>46153</v>
      </c>
      <c r="E731" s="233" t="inlineStr">
        <is>
          <t>CNP</t>
        </is>
      </c>
      <c r="F731" s="233" t="inlineStr">
        <is>
          <t>#2</t>
        </is>
      </c>
      <c r="G731" s="236" t="inlineStr">
        <is>
          <t>#2 Identification B</t>
        </is>
      </c>
      <c r="H731" s="286" t="inlineStr">
        <is>
          <t>credit removed</t>
        </is>
      </c>
      <c r="I731" s="285" t="inlineStr">
        <is>
          <t>R2 CNP identification B — no microscopy row on this certificate</t>
        </is>
      </c>
    </row>
    <row r="732">
      <c r="A732" s="234" t="inlineStr">
        <is>
          <t>GP082501/1</t>
        </is>
      </c>
      <c r="B732" s="233" t="inlineStr">
        <is>
          <t>P050312</t>
        </is>
      </c>
      <c r="C732" s="233" t="inlineStr">
        <is>
          <t>ППК25380</t>
        </is>
      </c>
      <c r="D732" s="235" t="n">
        <v>46003</v>
      </c>
      <c r="E732" s="233" t="inlineStr">
        <is>
          <t>CNP</t>
        </is>
      </c>
      <c r="F732" s="233" t="inlineStr">
        <is>
          <t>#2</t>
        </is>
      </c>
      <c r="G732" s="236" t="inlineStr">
        <is>
          <t>#2 Identification B</t>
        </is>
      </c>
      <c r="H732" s="286" t="inlineStr">
        <is>
          <t>credit removed</t>
        </is>
      </c>
      <c r="I732" s="285" t="inlineStr">
        <is>
          <t>R2 CNP identification B — no microscopy row on this certificate</t>
        </is>
      </c>
    </row>
    <row r="733">
      <c r="A733" s="234" t="inlineStr">
        <is>
          <t>GP082501/2</t>
        </is>
      </c>
      <c r="B733" s="233" t="inlineStr">
        <is>
          <t>P050322</t>
        </is>
      </c>
      <c r="C733" s="233" t="inlineStr">
        <is>
          <t>ППК25381</t>
        </is>
      </c>
      <c r="D733" s="235" t="n">
        <v>46003</v>
      </c>
      <c r="E733" s="233" t="inlineStr">
        <is>
          <t>CNP</t>
        </is>
      </c>
      <c r="F733" s="233" t="inlineStr">
        <is>
          <t>#2</t>
        </is>
      </c>
      <c r="G733" s="236" t="inlineStr">
        <is>
          <t>#2 Identification B</t>
        </is>
      </c>
      <c r="H733" s="286" t="inlineStr">
        <is>
          <t>credit removed</t>
        </is>
      </c>
      <c r="I733" s="285" t="inlineStr">
        <is>
          <t>R2 CNP identification B — no microscopy row on this certificate</t>
        </is>
      </c>
    </row>
    <row r="734">
      <c r="A734" s="234" t="inlineStr">
        <is>
          <t>GP092501</t>
        </is>
      </c>
      <c r="B734" s="233" t="inlineStr">
        <is>
          <t>P060092</t>
        </is>
      </c>
      <c r="C734" s="233" t="inlineStr">
        <is>
          <t>ППК26009</t>
        </is>
      </c>
      <c r="D734" s="235" t="n">
        <v>46043</v>
      </c>
      <c r="E734" s="233" t="inlineStr">
        <is>
          <t>CNP</t>
        </is>
      </c>
      <c r="F734" s="233" t="inlineStr">
        <is>
          <t>#2</t>
        </is>
      </c>
      <c r="G734" s="236" t="inlineStr">
        <is>
          <t>#2 Identification B</t>
        </is>
      </c>
      <c r="H734" s="286" t="inlineStr">
        <is>
          <t>credit removed</t>
        </is>
      </c>
      <c r="I734" s="285" t="inlineStr">
        <is>
          <t>R2 CNP identification B — no microscopy row on this certificate</t>
        </is>
      </c>
    </row>
    <row r="735">
      <c r="A735" s="234" t="inlineStr">
        <is>
          <t>HPA052501</t>
        </is>
      </c>
      <c r="B735" s="233" t="inlineStr">
        <is>
          <t>P050182</t>
        </is>
      </c>
      <c r="C735" s="233" t="inlineStr">
        <is>
          <t>ППК25278</t>
        </is>
      </c>
      <c r="D735" s="235" t="n">
        <v>45919</v>
      </c>
      <c r="E735" s="233" t="inlineStr">
        <is>
          <t>CNP</t>
        </is>
      </c>
      <c r="F735" s="233" t="inlineStr">
        <is>
          <t>#2</t>
        </is>
      </c>
      <c r="G735" s="236" t="inlineStr">
        <is>
          <t>#2 Identification B</t>
        </is>
      </c>
      <c r="H735" s="286" t="inlineStr">
        <is>
          <t>credit removed</t>
        </is>
      </c>
      <c r="I735" s="285" t="inlineStr">
        <is>
          <t>R2 CNP identification B — no microscopy row on this certificate</t>
        </is>
      </c>
    </row>
    <row r="736">
      <c r="A736" s="234" t="inlineStr">
        <is>
          <t>HPA1024_01</t>
        </is>
      </c>
      <c r="B736" s="233" t="inlineStr">
        <is>
          <t>P050052</t>
        </is>
      </c>
      <c r="C736" s="233" t="inlineStr">
        <is>
          <t>ППК25155</t>
        </is>
      </c>
      <c r="D736" s="235" t="n">
        <v>45832</v>
      </c>
      <c r="E736" s="233" t="inlineStr">
        <is>
          <t>CNP</t>
        </is>
      </c>
      <c r="F736" s="233" t="inlineStr">
        <is>
          <t>#2</t>
        </is>
      </c>
      <c r="G736" s="236" t="inlineStr">
        <is>
          <t>#2 Identification B</t>
        </is>
      </c>
      <c r="H736" s="286" t="inlineStr">
        <is>
          <t>credit removed</t>
        </is>
      </c>
      <c r="I736" s="285" t="inlineStr">
        <is>
          <t>R2 CNP identification B — no microscopy row on this certificate</t>
        </is>
      </c>
    </row>
    <row r="737">
      <c r="A737" s="234" t="inlineStr">
        <is>
          <t>JD012601＊</t>
        </is>
      </c>
      <c r="B737" s="233" t="inlineStr">
        <is>
          <t>P060312</t>
        </is>
      </c>
      <c r="C737" s="233" t="inlineStr">
        <is>
          <t>ППК26064</t>
        </is>
      </c>
      <c r="D737" s="235" t="n">
        <v>46153</v>
      </c>
      <c r="E737" s="233" t="inlineStr">
        <is>
          <t>CNP</t>
        </is>
      </c>
      <c r="F737" s="233" t="inlineStr">
        <is>
          <t>#2</t>
        </is>
      </c>
      <c r="G737" s="236" t="inlineStr">
        <is>
          <t>#2 Identification B</t>
        </is>
      </c>
      <c r="H737" s="286" t="inlineStr">
        <is>
          <t>credit removed</t>
        </is>
      </c>
      <c r="I737" s="285" t="inlineStr">
        <is>
          <t>R2 CNP identification B — no microscopy row on this certificate</t>
        </is>
      </c>
    </row>
    <row r="738">
      <c r="A738" s="234" t="inlineStr">
        <is>
          <t>JD112501</t>
        </is>
      </c>
      <c r="B738" s="233" t="inlineStr">
        <is>
          <t>P060212</t>
        </is>
      </c>
      <c r="C738" s="233" t="inlineStr">
        <is>
          <t>ППК26063</t>
        </is>
      </c>
      <c r="D738" s="235" t="n">
        <v>46153</v>
      </c>
      <c r="E738" s="233" t="inlineStr">
        <is>
          <t>CNP</t>
        </is>
      </c>
      <c r="F738" s="233" t="inlineStr">
        <is>
          <t>#2</t>
        </is>
      </c>
      <c r="G738" s="236" t="inlineStr">
        <is>
          <t>#2 Identification B</t>
        </is>
      </c>
      <c r="H738" s="286" t="inlineStr">
        <is>
          <t>credit removed</t>
        </is>
      </c>
      <c r="I738" s="285" t="inlineStr">
        <is>
          <t>R2 CNP identification B — no microscopy row on this certificate</t>
        </is>
      </c>
    </row>
    <row r="739">
      <c r="A739" s="234" t="inlineStr">
        <is>
          <t>JD112501＊</t>
        </is>
      </c>
      <c r="B739" s="233" t="inlineStr">
        <is>
          <t>N/A — no P batch assigned</t>
        </is>
      </c>
      <c r="C739" s="233" t="inlineStr">
        <is>
          <t>ППК26065</t>
        </is>
      </c>
      <c r="D739" s="235" t="n">
        <v>46153</v>
      </c>
      <c r="E739" s="233" t="inlineStr">
        <is>
          <t>CNP</t>
        </is>
      </c>
      <c r="F739" s="233" t="inlineStr">
        <is>
          <t>#2</t>
        </is>
      </c>
      <c r="G739" s="236" t="inlineStr">
        <is>
          <t>#2 Identification B</t>
        </is>
      </c>
      <c r="H739" s="286" t="inlineStr">
        <is>
          <t>credit removed</t>
        </is>
      </c>
      <c r="I739" s="285" t="inlineStr">
        <is>
          <t>R2 CNP identification B — no microscopy row on this certificate</t>
        </is>
      </c>
    </row>
    <row r="740">
      <c r="A740" s="234" t="inlineStr">
        <is>
          <t>MB0824_04</t>
        </is>
      </c>
      <c r="B740" s="233" t="inlineStr">
        <is>
          <t>P050032</t>
        </is>
      </c>
      <c r="C740" s="233" t="inlineStr">
        <is>
          <t>ППК25118</t>
        </is>
      </c>
      <c r="D740" s="235" t="n">
        <v>45783</v>
      </c>
      <c r="E740" s="233" t="inlineStr">
        <is>
          <t>CNP</t>
        </is>
      </c>
      <c r="F740" s="233" t="inlineStr">
        <is>
          <t>#2</t>
        </is>
      </c>
      <c r="G740" s="236" t="inlineStr">
        <is>
          <t>#2 Identification B</t>
        </is>
      </c>
      <c r="H740" s="286" t="inlineStr">
        <is>
          <t>credit removed</t>
        </is>
      </c>
      <c r="I740" s="285" t="inlineStr">
        <is>
          <t>R2 CNP identification B — no microscopy row on this certificate</t>
        </is>
      </c>
    </row>
    <row r="741">
      <c r="A741" s="234" t="inlineStr">
        <is>
          <t>MB0824_05</t>
        </is>
      </c>
      <c r="B741" s="233" t="inlineStr">
        <is>
          <t>P050112</t>
        </is>
      </c>
      <c r="C741" s="233" t="inlineStr">
        <is>
          <t>ППК25211</t>
        </is>
      </c>
      <c r="D741" s="235" t="n">
        <v>45866</v>
      </c>
      <c r="E741" s="233" t="inlineStr">
        <is>
          <t>CNP</t>
        </is>
      </c>
      <c r="F741" s="233" t="inlineStr">
        <is>
          <t>#2</t>
        </is>
      </c>
      <c r="G741" s="236" t="inlineStr">
        <is>
          <t>#2 Identification B</t>
        </is>
      </c>
      <c r="H741" s="286" t="inlineStr">
        <is>
          <t>credit removed</t>
        </is>
      </c>
      <c r="I741" s="285" t="inlineStr">
        <is>
          <t>R2 CNP identification B — no microscopy row on this certificate</t>
        </is>
      </c>
    </row>
    <row r="742">
      <c r="A742" s="234" t="inlineStr">
        <is>
          <t>OMP1024_01</t>
        </is>
      </c>
      <c r="B742" s="233" t="inlineStr">
        <is>
          <t>P050042</t>
        </is>
      </c>
      <c r="C742" s="233" t="inlineStr">
        <is>
          <t>ППК25117</t>
        </is>
      </c>
      <c r="D742" s="235" t="n">
        <v>45783</v>
      </c>
      <c r="E742" s="233" t="inlineStr">
        <is>
          <t>CNP</t>
        </is>
      </c>
      <c r="F742" s="233" t="inlineStr">
        <is>
          <t>#2</t>
        </is>
      </c>
      <c r="G742" s="236" t="inlineStr">
        <is>
          <t>#2 Identification B</t>
        </is>
      </c>
      <c r="H742" s="286" t="inlineStr">
        <is>
          <t>credit removed</t>
        </is>
      </c>
      <c r="I742" s="285" t="inlineStr">
        <is>
          <t>R2 CNP identification B — no microscopy row on this certificate</t>
        </is>
      </c>
    </row>
    <row r="743">
      <c r="A743" s="234" t="inlineStr">
        <is>
          <t>OPM052501</t>
        </is>
      </c>
      <c r="B743" s="233" t="inlineStr">
        <is>
          <t>P050132</t>
        </is>
      </c>
      <c r="C743" s="233" t="inlineStr">
        <is>
          <t>ППК25257</t>
        </is>
      </c>
      <c r="D743" s="235" t="n">
        <v>45905</v>
      </c>
      <c r="E743" s="233" t="inlineStr">
        <is>
          <t>CNP</t>
        </is>
      </c>
      <c r="F743" s="233" t="inlineStr">
        <is>
          <t>#2</t>
        </is>
      </c>
      <c r="G743" s="236" t="inlineStr">
        <is>
          <t>#2 Identification B</t>
        </is>
      </c>
      <c r="H743" s="286" t="inlineStr">
        <is>
          <t>credit removed</t>
        </is>
      </c>
      <c r="I743" s="285" t="inlineStr">
        <is>
          <t>R2 CNP identification B — no microscopy row on this certificate</t>
        </is>
      </c>
    </row>
    <row r="744">
      <c r="A744" s="234" t="inlineStr">
        <is>
          <t>OPM092501</t>
        </is>
      </c>
      <c r="B744" s="233" t="inlineStr">
        <is>
          <t>P060042</t>
        </is>
      </c>
      <c r="C744" s="233" t="inlineStr">
        <is>
          <t>ППК26008</t>
        </is>
      </c>
      <c r="D744" s="235" t="n">
        <v>46043</v>
      </c>
      <c r="E744" s="233" t="inlineStr">
        <is>
          <t>CNP</t>
        </is>
      </c>
      <c r="F744" s="233" t="inlineStr">
        <is>
          <t>#2</t>
        </is>
      </c>
      <c r="G744" s="236" t="inlineStr">
        <is>
          <t>#2 Identification B</t>
        </is>
      </c>
      <c r="H744" s="286" t="inlineStr">
        <is>
          <t>credit removed</t>
        </is>
      </c>
      <c r="I744" s="285" t="inlineStr">
        <is>
          <t>R2 CNP identification B — no microscopy row on this certificate</t>
        </is>
      </c>
    </row>
    <row r="745">
      <c r="A745" s="234" t="inlineStr">
        <is>
          <t>OPM1024_02</t>
        </is>
      </c>
      <c r="B745" s="233" t="inlineStr">
        <is>
          <t>P050062</t>
        </is>
      </c>
      <c r="C745" s="233" t="inlineStr">
        <is>
          <t>ППК25154</t>
        </is>
      </c>
      <c r="D745" s="235" t="n">
        <v>45832</v>
      </c>
      <c r="E745" s="233" t="inlineStr">
        <is>
          <t>CNP</t>
        </is>
      </c>
      <c r="F745" s="233" t="inlineStr">
        <is>
          <t>#2</t>
        </is>
      </c>
      <c r="G745" s="236" t="inlineStr">
        <is>
          <t>#2 Identification B</t>
        </is>
      </c>
      <c r="H745" s="286" t="inlineStr">
        <is>
          <t>credit removed</t>
        </is>
      </c>
      <c r="I745" s="285" t="inlineStr">
        <is>
          <t>R2 CNP identification B — no microscopy row on this certificate</t>
        </is>
      </c>
    </row>
    <row r="746">
      <c r="A746" s="234" t="inlineStr">
        <is>
          <t>OPM1024_03</t>
        </is>
      </c>
      <c r="B746" s="233" t="inlineStr">
        <is>
          <t>P050082</t>
        </is>
      </c>
      <c r="C746" s="233" t="inlineStr">
        <is>
          <t>ППК25210</t>
        </is>
      </c>
      <c r="D746" s="235" t="n">
        <v>45866</v>
      </c>
      <c r="E746" s="233" t="inlineStr">
        <is>
          <t>CNP</t>
        </is>
      </c>
      <c r="F746" s="233" t="inlineStr">
        <is>
          <t>#2</t>
        </is>
      </c>
      <c r="G746" s="236" t="inlineStr">
        <is>
          <t>#2 Identification B</t>
        </is>
      </c>
      <c r="H746" s="286" t="inlineStr">
        <is>
          <t>credit removed</t>
        </is>
      </c>
      <c r="I746" s="285" t="inlineStr">
        <is>
          <t>R2 CNP identification B — no microscopy row on this certificate</t>
        </is>
      </c>
    </row>
    <row r="747">
      <c r="A747" s="234" t="inlineStr">
        <is>
          <t>OPM112501</t>
        </is>
      </c>
      <c r="B747" s="233" t="inlineStr">
        <is>
          <t>P060222</t>
        </is>
      </c>
      <c r="C747" s="233" t="inlineStr">
        <is>
          <t>ППК26031</t>
        </is>
      </c>
      <c r="D747" s="235" t="n">
        <v>46086</v>
      </c>
      <c r="E747" s="233" t="inlineStr">
        <is>
          <t>CNP</t>
        </is>
      </c>
      <c r="F747" s="233" t="inlineStr">
        <is>
          <t>#2</t>
        </is>
      </c>
      <c r="G747" s="236" t="inlineStr">
        <is>
          <t>#2 Identification B</t>
        </is>
      </c>
      <c r="H747" s="286" t="inlineStr">
        <is>
          <t>credit removed</t>
        </is>
      </c>
      <c r="I747" s="285" t="inlineStr">
        <is>
          <t>R2 CNP identification B — no microscopy row on this certificate</t>
        </is>
      </c>
    </row>
    <row r="748">
      <c r="A748" s="234" t="inlineStr">
        <is>
          <t>PM072501</t>
        </is>
      </c>
      <c r="B748" s="233" t="inlineStr">
        <is>
          <t>P050272</t>
        </is>
      </c>
      <c r="C748" s="233" t="inlineStr">
        <is>
          <t>ППК25368</t>
        </is>
      </c>
      <c r="D748" s="235" t="n">
        <v>45989</v>
      </c>
      <c r="E748" s="233" t="inlineStr">
        <is>
          <t>CNP</t>
        </is>
      </c>
      <c r="F748" s="233" t="inlineStr">
        <is>
          <t>#2</t>
        </is>
      </c>
      <c r="G748" s="236" t="inlineStr">
        <is>
          <t>#2 Identification B</t>
        </is>
      </c>
      <c r="H748" s="286" t="inlineStr">
        <is>
          <t>credit removed</t>
        </is>
      </c>
      <c r="I748" s="285" t="inlineStr">
        <is>
          <t>R2 CNP identification B — no microscopy row on this certificate</t>
        </is>
      </c>
    </row>
    <row r="749">
      <c r="A749" s="234" t="inlineStr">
        <is>
          <t>PM092501</t>
        </is>
      </c>
      <c r="B749" s="233" t="inlineStr">
        <is>
          <t>P060062</t>
        </is>
      </c>
      <c r="C749" s="233" t="inlineStr">
        <is>
          <t>ППК26004</t>
        </is>
      </c>
      <c r="D749" s="235" t="n">
        <v>46043</v>
      </c>
      <c r="E749" s="233" t="inlineStr">
        <is>
          <t>CNP</t>
        </is>
      </c>
      <c r="F749" s="233" t="inlineStr">
        <is>
          <t>#2</t>
        </is>
      </c>
      <c r="G749" s="236" t="inlineStr">
        <is>
          <t>#2 Identification B</t>
        </is>
      </c>
      <c r="H749" s="286" t="inlineStr">
        <is>
          <t>credit removed</t>
        </is>
      </c>
      <c r="I749" s="285" t="inlineStr">
        <is>
          <t>R2 CNP identification B — no microscopy row on this certificate</t>
        </is>
      </c>
    </row>
    <row r="750">
      <c r="A750" s="234" t="inlineStr">
        <is>
          <t>PM112501</t>
        </is>
      </c>
      <c r="B750" s="233" t="inlineStr">
        <is>
          <t>P060232</t>
        </is>
      </c>
      <c r="C750" s="233" t="inlineStr">
        <is>
          <t>ППК26030</t>
        </is>
      </c>
      <c r="D750" s="235" t="n">
        <v>46086</v>
      </c>
      <c r="E750" s="233" t="inlineStr">
        <is>
          <t>CNP</t>
        </is>
      </c>
      <c r="F750" s="233" t="inlineStr">
        <is>
          <t>#2</t>
        </is>
      </c>
      <c r="G750" s="236" t="inlineStr">
        <is>
          <t>#2 Identification B</t>
        </is>
      </c>
      <c r="H750" s="286" t="inlineStr">
        <is>
          <t>credit removed</t>
        </is>
      </c>
      <c r="I750" s="285" t="inlineStr">
        <is>
          <t>R2 CNP identification B — no microscopy row on this certificate</t>
        </is>
      </c>
    </row>
    <row r="751">
      <c r="A751" s="234" t="inlineStr">
        <is>
          <t>SCR112501</t>
        </is>
      </c>
      <c r="B751" s="233" t="inlineStr">
        <is>
          <t>P060282</t>
        </is>
      </c>
      <c r="C751" s="233" t="inlineStr">
        <is>
          <t>ППК26069</t>
        </is>
      </c>
      <c r="D751" s="235" t="n">
        <v>46153</v>
      </c>
      <c r="E751" s="233" t="inlineStr">
        <is>
          <t>CNP</t>
        </is>
      </c>
      <c r="F751" s="233" t="inlineStr">
        <is>
          <t>#2</t>
        </is>
      </c>
      <c r="G751" s="236" t="inlineStr">
        <is>
          <t>#2 Identification B</t>
        </is>
      </c>
      <c r="H751" s="286" t="inlineStr">
        <is>
          <t>credit removed</t>
        </is>
      </c>
      <c r="I751" s="285" t="inlineStr">
        <is>
          <t>R2 CNP identification B — no microscopy row on this certificate</t>
        </is>
      </c>
    </row>
    <row r="752">
      <c r="A752" s="234" t="inlineStr">
        <is>
          <t>SJ0925021</t>
        </is>
      </c>
      <c r="B752" s="233" t="inlineStr">
        <is>
          <t>P060082</t>
        </is>
      </c>
      <c r="C752" s="233" t="inlineStr">
        <is>
          <t>ППК26006</t>
        </is>
      </c>
      <c r="D752" s="235" t="n">
        <v>46043</v>
      </c>
      <c r="E752" s="233" t="inlineStr">
        <is>
          <t>CNP</t>
        </is>
      </c>
      <c r="F752" s="233" t="inlineStr">
        <is>
          <t>#2</t>
        </is>
      </c>
      <c r="G752" s="236" t="inlineStr">
        <is>
          <t>#2 Identification B</t>
        </is>
      </c>
      <c r="H752" s="286" t="inlineStr">
        <is>
          <t>credit removed</t>
        </is>
      </c>
      <c r="I752" s="285" t="inlineStr">
        <is>
          <t>R2 CNP identification B — no microscopy row on this certificate</t>
        </is>
      </c>
    </row>
    <row r="753">
      <c r="A753" s="234" t="inlineStr">
        <is>
          <t>WC072501</t>
        </is>
      </c>
      <c r="B753" s="233" t="inlineStr">
        <is>
          <t>P050262</t>
        </is>
      </c>
      <c r="C753" s="233" t="inlineStr">
        <is>
          <t>ППК25369</t>
        </is>
      </c>
      <c r="D753" s="235" t="n">
        <v>45989</v>
      </c>
      <c r="E753" s="233" t="inlineStr">
        <is>
          <t>CNP</t>
        </is>
      </c>
      <c r="F753" s="233" t="inlineStr">
        <is>
          <t>#2</t>
        </is>
      </c>
      <c r="G753" s="236" t="inlineStr">
        <is>
          <t>#2 Identification B</t>
        </is>
      </c>
      <c r="H753" s="286" t="inlineStr">
        <is>
          <t>credit removed</t>
        </is>
      </c>
      <c r="I753" s="285" t="inlineStr">
        <is>
          <t>R2 CNP identification B — no microscopy row on this certificate</t>
        </is>
      </c>
    </row>
    <row r="754">
      <c r="A754" s="234" t="inlineStr">
        <is>
          <t>WC082501</t>
        </is>
      </c>
      <c r="B754" s="233" t="inlineStr">
        <is>
          <t>P060012</t>
        </is>
      </c>
      <c r="C754" s="233" t="inlineStr">
        <is>
          <t>ППК26001</t>
        </is>
      </c>
      <c r="D754" s="235" t="n">
        <v>46043</v>
      </c>
      <c r="E754" s="233" t="inlineStr">
        <is>
          <t>CNP</t>
        </is>
      </c>
      <c r="F754" s="233" t="inlineStr">
        <is>
          <t>#2</t>
        </is>
      </c>
      <c r="G754" s="236" t="inlineStr">
        <is>
          <t>#2 Identification B</t>
        </is>
      </c>
      <c r="H754" s="286" t="inlineStr">
        <is>
          <t>credit removed</t>
        </is>
      </c>
      <c r="I754" s="285" t="inlineStr">
        <is>
          <t>R2 CNP identification B — no microscopy row on this certificate</t>
        </is>
      </c>
    </row>
    <row r="756" ht="58" customHeight="1" s="70">
      <c r="A756"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56" s="120" t="n"/>
      <c r="C756" s="120" t="n"/>
      <c r="D756" s="120" t="n"/>
      <c r="E756" s="120" t="n"/>
      <c r="F756" s="120" t="n"/>
      <c r="G756" s="120" t="n"/>
      <c r="H756" s="120" t="n"/>
      <c r="I756" s="121" t="n"/>
    </row>
    <row r="759" ht="20" customHeight="1" s="70">
      <c r="A759" s="242" t="inlineStr">
        <is>
          <t>WORK ORDER</t>
        </is>
      </c>
    </row>
    <row r="760" ht="22" customHeight="1" s="70">
      <c r="A760" s="119" t="inlineStr">
        <is>
          <t>Task</t>
        </is>
      </c>
      <c r="B760" s="119" t="inlineStr">
        <is>
          <t>CU Batch</t>
        </is>
      </c>
      <c r="C760" s="119" t="inlineStr">
        <is>
          <t>P Batch</t>
        </is>
      </c>
      <c r="D760" s="119" t="inlineStr">
        <is>
          <t>Certificate</t>
        </is>
      </c>
      <c r="E760" s="119" t="inlineStr">
        <is>
          <t>Date</t>
        </is>
      </c>
      <c r="F760" s="119" t="inlineStr">
        <is>
          <t>Lab</t>
        </is>
      </c>
      <c r="G760" s="119" t="inlineStr">
        <is>
          <t>Parameters affected</t>
        </is>
      </c>
      <c r="H760" s="119" t="inlineStr">
        <is>
          <t>What is needed</t>
        </is>
      </c>
    </row>
    <row r="761">
      <c r="A761" s="286" t="inlineStr">
        <is>
          <t>held for review</t>
        </is>
      </c>
      <c r="B761" s="234" t="inlineStr">
        <is>
          <t>BSS052501</t>
        </is>
      </c>
      <c r="C761" s="233" t="inlineStr">
        <is>
          <t>P050192</t>
        </is>
      </c>
      <c r="D761" s="233" t="inlineStr">
        <is>
          <t>NGP-QCG-SOP-024 F3</t>
        </is>
      </c>
      <c r="E761" s="235" t="n">
        <v>45989</v>
      </c>
      <c r="F761" s="233" t="inlineStr">
        <is>
          <t>NGP</t>
        </is>
      </c>
      <c r="G761" s="233" t="inlineStr">
        <is>
          <t>#6</t>
        </is>
      </c>
      <c r="H761" s="285" t="inlineStr">
        <is>
          <t>The two independent reads disagreed. A person must read the figure from the page and confirm it.</t>
        </is>
      </c>
    </row>
    <row r="762">
      <c r="A762" s="286" t="inlineStr">
        <is>
          <t>held for review</t>
        </is>
      </c>
      <c r="B762" s="234" t="inlineStr">
        <is>
          <t>GP062501</t>
        </is>
      </c>
      <c r="C762" s="233" t="inlineStr">
        <is>
          <t>P050202</t>
        </is>
      </c>
      <c r="D762" s="233" t="inlineStr">
        <is>
          <t>NGP-QCG-SOP-024 F3</t>
        </is>
      </c>
      <c r="E762" s="235" t="n">
        <v>45989</v>
      </c>
      <c r="F762" s="233" t="inlineStr">
        <is>
          <t>NGP</t>
        </is>
      </c>
      <c r="G762" s="233" t="inlineStr">
        <is>
          <t>#6</t>
        </is>
      </c>
      <c r="H762" s="285" t="inlineStr">
        <is>
          <t>The two independent reads disagreed. A person must read the figure from the page and confirm it.</t>
        </is>
      </c>
    </row>
    <row r="763">
      <c r="A763" s="286" t="inlineStr">
        <is>
          <t>held for review</t>
        </is>
      </c>
      <c r="B763" s="234" t="inlineStr">
        <is>
          <t>J31112501</t>
        </is>
      </c>
      <c r="C763" s="233" t="inlineStr">
        <is>
          <t>P060202</t>
        </is>
      </c>
      <c r="D763" s="233" t="inlineStr">
        <is>
          <t>100-1-K-26</t>
        </is>
      </c>
      <c r="E763" s="235" t="n">
        <v>46121</v>
      </c>
      <c r="F763" s="233" t="inlineStr">
        <is>
          <t>FHM-K</t>
        </is>
      </c>
      <c r="G763" s="233" t="inlineStr">
        <is>
          <t>#3</t>
        </is>
      </c>
      <c r="H763" s="285" t="inlineStr">
        <is>
          <t>The two independent reads disagreed. A person must read the figure from the page and confirm it.</t>
        </is>
      </c>
    </row>
    <row r="764">
      <c r="A764" s="286" t="inlineStr">
        <is>
          <t>lot not on tracker</t>
        </is>
      </c>
      <c r="B764" s="234" t="inlineStr">
        <is>
          <t>N/A — no P batch assigned</t>
        </is>
      </c>
      <c r="C764" s="233" t="inlineStr">
        <is>
          <t>N/A — no P batch assigned</t>
        </is>
      </c>
      <c r="D764" s="233" t="inlineStr">
        <is>
          <t>iCoA — at issue (FB042601)</t>
        </is>
      </c>
      <c r="E764" s="235" t="inlineStr">
        <is>
          <t>packaging date — to record</t>
        </is>
      </c>
      <c r="F764" s="233" t="inlineStr">
        <is>
          <t>PP</t>
        </is>
      </c>
      <c r="G764" s="233" t="inlineStr">
        <is>
          <t>#1, #2, #7</t>
        </is>
      </c>
      <c r="H764" s="285" t="inlineStr">
        <is>
          <t>The certificate names a P batch the owner's tracker does not carry. Record the lot (cultivation batch code, strain) on the tracker so the certificate is credited under its batch.</t>
        </is>
      </c>
    </row>
    <row r="765">
      <c r="A765" s="286" t="inlineStr">
        <is>
          <t>lot not on tracker</t>
        </is>
      </c>
      <c r="B765" s="234" t="inlineStr">
        <is>
          <t>N/A — no P batch assigned</t>
        </is>
      </c>
      <c r="C765" s="233" t="inlineStr">
        <is>
          <t>N/A — no P batch assigned</t>
        </is>
      </c>
      <c r="D765" s="233" t="inlineStr">
        <is>
          <t>220-31-M-26</t>
        </is>
      </c>
      <c r="E765" s="235" t="n">
        <v>46276</v>
      </c>
      <c r="F765" s="233" t="inlineStr">
        <is>
          <t>FHM-M</t>
        </is>
      </c>
      <c r="G765" s="233" t="inlineStr">
        <is>
          <t>#10</t>
        </is>
      </c>
      <c r="H765" s="285" t="inlineStr">
        <is>
          <t>The certificate names a P batch the owner's tracker does not carry. Record the lot (cultivation batch code, strain) on the tracker so the certificate is credited under its batch.</t>
        </is>
      </c>
    </row>
    <row r="766">
      <c r="A766" s="286" t="inlineStr">
        <is>
          <t>lot not on tracker</t>
        </is>
      </c>
      <c r="B766" s="234" t="inlineStr">
        <is>
          <t>N/A — no P batch assigned</t>
        </is>
      </c>
      <c r="C766" s="233" t="inlineStr">
        <is>
          <t>N/A — no P batch assigned</t>
        </is>
      </c>
      <c r="D766" s="233" t="inlineStr">
        <is>
          <t>iCoA — at issue (CC042601)</t>
        </is>
      </c>
      <c r="E766" s="235" t="inlineStr">
        <is>
          <t>packaging date — to record</t>
        </is>
      </c>
      <c r="F766" s="233" t="inlineStr">
        <is>
          <t>PP</t>
        </is>
      </c>
      <c r="G766" s="233" t="inlineStr">
        <is>
          <t>#1, #2, #7</t>
        </is>
      </c>
      <c r="H766" s="285" t="inlineStr">
        <is>
          <t>The certificate names a P batch the owner's tracker does not carry. Record the lot (cultivation batch code, strain) on the tracker so the certificate is credited under its batch.</t>
        </is>
      </c>
    </row>
    <row r="767">
      <c r="A767" s="286" t="inlineStr">
        <is>
          <t>lot not on tracker</t>
        </is>
      </c>
      <c r="B767" s="234" t="inlineStr">
        <is>
          <t>N/A — no P batch assigned</t>
        </is>
      </c>
      <c r="C767" s="233" t="inlineStr">
        <is>
          <t>N/A — no P batch assigned</t>
        </is>
      </c>
      <c r="D767" s="233" t="inlineStr">
        <is>
          <t>220-32-M-26</t>
        </is>
      </c>
      <c r="E767" s="235" t="n">
        <v>46276</v>
      </c>
      <c r="F767" s="233" t="inlineStr">
        <is>
          <t>FHM-M</t>
        </is>
      </c>
      <c r="G767" s="233" t="inlineStr">
        <is>
          <t>#10</t>
        </is>
      </c>
      <c r="H767" s="285" t="inlineStr">
        <is>
          <t>The certificate names a P batch the owner's tracker does not carry. Record the lot (cultivation batch code, strain) on the tracker so the certificate is credited under its batch.</t>
        </is>
      </c>
    </row>
    <row r="768">
      <c r="A768" s="286" t="inlineStr">
        <is>
          <t>lot not on tracker</t>
        </is>
      </c>
      <c r="B768" s="234" t="inlineStr">
        <is>
          <t>P050142</t>
        </is>
      </c>
      <c r="C768" s="233" t="inlineStr">
        <is>
          <t>P050142</t>
        </is>
      </c>
      <c r="D768" s="233" t="inlineStr">
        <is>
          <t>iCoA-PP_26-019</t>
        </is>
      </c>
      <c r="E768" s="235" t="n">
        <v>45930</v>
      </c>
      <c r="F768" s="233" t="inlineStr">
        <is>
          <t>PP</t>
        </is>
      </c>
      <c r="G768" s="233" t="inlineStr">
        <is>
          <t>#1, #2, #7</t>
        </is>
      </c>
      <c r="H768" s="285" t="inlineStr">
        <is>
          <t>The certificate names a P batch the owner's tracker does not carry. Record the lot (cultivation batch code, strain) on the tracker so the certificate is credited under its batch.</t>
        </is>
      </c>
    </row>
    <row r="769">
      <c r="A769" s="286" t="inlineStr">
        <is>
          <t>lot not on tracker</t>
        </is>
      </c>
      <c r="B769" s="234" t="inlineStr">
        <is>
          <t>P050142</t>
        </is>
      </c>
      <c r="C769" s="233" t="inlineStr">
        <is>
          <t>P050142</t>
        </is>
      </c>
      <c r="D769" s="233" t="inlineStr">
        <is>
          <t>227-1-K-26</t>
        </is>
      </c>
      <c r="E769" s="235" t="n">
        <v>46276</v>
      </c>
      <c r="F769" s="233" t="inlineStr">
        <is>
          <t>FHM-K</t>
        </is>
      </c>
      <c r="G769" s="233" t="inlineStr">
        <is>
          <t>#3, #4, #5, #6</t>
        </is>
      </c>
      <c r="H769" s="285" t="inlineStr">
        <is>
          <t>The certificate names a P batch the owner's tracker does not carry. Record the lot (cultivation batch code, strain) on the tracker so the certificate is credited under its batch.</t>
        </is>
      </c>
    </row>
    <row r="770">
      <c r="A770" s="286" t="inlineStr">
        <is>
          <t>lot not on tracker</t>
        </is>
      </c>
      <c r="B770" s="234" t="inlineStr">
        <is>
          <t>P050142</t>
        </is>
      </c>
      <c r="C770" s="233" t="inlineStr">
        <is>
          <t>P050142</t>
        </is>
      </c>
      <c r="D770" s="233" t="inlineStr">
        <is>
          <t>559-1090-26</t>
        </is>
      </c>
      <c r="E770" s="235" t="n">
        <v>46266</v>
      </c>
      <c r="F770" s="233" t="inlineStr">
        <is>
          <t>IJZ-MB</t>
        </is>
      </c>
      <c r="G770" s="233" t="inlineStr">
        <is>
          <t>#9</t>
        </is>
      </c>
      <c r="H770" s="285" t="inlineStr">
        <is>
          <t>The certificate names a P batch the owner's tracker does not carry. Record the lot (cultivation batch code, strain) on the tracker so the certificate is credited under its batch.</t>
        </is>
      </c>
    </row>
    <row r="771">
      <c r="A771" s="286" t="inlineStr">
        <is>
          <t>lot not on tracker</t>
        </is>
      </c>
      <c r="B771" s="234" t="inlineStr">
        <is>
          <t>P060102</t>
        </is>
      </c>
      <c r="C771" s="233" t="inlineStr">
        <is>
          <t>P060102</t>
        </is>
      </c>
      <c r="D771" s="233" t="inlineStr">
        <is>
          <t>iCoA-PP_26-044</t>
        </is>
      </c>
      <c r="E771" s="235" t="n">
        <v>46069</v>
      </c>
      <c r="F771" s="233" t="inlineStr">
        <is>
          <t>PP</t>
        </is>
      </c>
      <c r="G771" s="233" t="inlineStr">
        <is>
          <t>#1, #2, #7</t>
        </is>
      </c>
      <c r="H771" s="285" t="inlineStr">
        <is>
          <t>The certificate names a P batch the owner's tracker does not carry. Record the lot (cultivation batch code, strain) on the tracker so the certificate is credited under its batch.</t>
        </is>
      </c>
    </row>
    <row r="772">
      <c r="A772" s="286" t="inlineStr">
        <is>
          <t>lot not on tracker</t>
        </is>
      </c>
      <c r="B772" s="234" t="inlineStr">
        <is>
          <t>P060102</t>
        </is>
      </c>
      <c r="C772" s="233" t="inlineStr">
        <is>
          <t>P060102</t>
        </is>
      </c>
      <c r="D772" s="233" t="inlineStr">
        <is>
          <t>227-4-K-26</t>
        </is>
      </c>
      <c r="E772" s="235" t="n">
        <v>46276</v>
      </c>
      <c r="F772" s="233" t="inlineStr">
        <is>
          <t>FHM-K</t>
        </is>
      </c>
      <c r="G772" s="233" t="inlineStr">
        <is>
          <t>#3, #4, #5, #6</t>
        </is>
      </c>
      <c r="H772" s="285" t="inlineStr">
        <is>
          <t>The certificate names a P batch the owner's tracker does not carry. Record the lot (cultivation batch code, strain) on the tracker so the certificate is credited under its batch.</t>
        </is>
      </c>
    </row>
    <row r="773">
      <c r="A773" s="286" t="inlineStr">
        <is>
          <t>lot not on tracker</t>
        </is>
      </c>
      <c r="B773" s="234" t="inlineStr">
        <is>
          <t>P060102</t>
        </is>
      </c>
      <c r="C773" s="233" t="inlineStr">
        <is>
          <t>P060102</t>
        </is>
      </c>
      <c r="D773" s="233" t="inlineStr">
        <is>
          <t>551-1082-26</t>
        </is>
      </c>
      <c r="E773" s="235" t="n">
        <v>46266</v>
      </c>
      <c r="F773" s="233" t="inlineStr">
        <is>
          <t>IJZ-MB</t>
        </is>
      </c>
      <c r="G773" s="233" t="inlineStr">
        <is>
          <t>#9</t>
        </is>
      </c>
      <c r="H773" s="285" t="inlineStr">
        <is>
          <t>The certificate names a P batch the owner's tracker does not carry. Record the lot (cultivation batch code, strain) on the tracker so the certificate is credited under its batch.</t>
        </is>
      </c>
    </row>
    <row r="774">
      <c r="A774" s="286" t="inlineStr">
        <is>
          <t>lot not on tracker</t>
        </is>
      </c>
      <c r="B774" s="234" t="inlineStr">
        <is>
          <t>P060112</t>
        </is>
      </c>
      <c r="C774" s="233" t="inlineStr">
        <is>
          <t>P060112</t>
        </is>
      </c>
      <c r="D774" s="233" t="inlineStr">
        <is>
          <t>iCoA-PP_26-045</t>
        </is>
      </c>
      <c r="E774" s="235" t="n">
        <v>46070</v>
      </c>
      <c r="F774" s="233" t="inlineStr">
        <is>
          <t>PP</t>
        </is>
      </c>
      <c r="G774" s="233" t="inlineStr">
        <is>
          <t>#1, #2, #7</t>
        </is>
      </c>
      <c r="H774" s="285" t="inlineStr">
        <is>
          <t>The certificate names a P batch the owner's tracker does not carry. Record the lot (cultivation batch code, strain) on the tracker so the certificate is credited under its batch.</t>
        </is>
      </c>
    </row>
    <row r="775">
      <c r="A775" s="286" t="inlineStr">
        <is>
          <t>lot not on tracker</t>
        </is>
      </c>
      <c r="B775" s="234" t="inlineStr">
        <is>
          <t>P060112</t>
        </is>
      </c>
      <c r="C775" s="233" t="inlineStr">
        <is>
          <t>P060112</t>
        </is>
      </c>
      <c r="D775" s="233" t="inlineStr">
        <is>
          <t>220-25-M-26</t>
        </is>
      </c>
      <c r="E775" s="235" t="n">
        <v>46276</v>
      </c>
      <c r="F775" s="233" t="inlineStr">
        <is>
          <t>FHM-M</t>
        </is>
      </c>
      <c r="G775" s="233" t="inlineStr">
        <is>
          <t>#10</t>
        </is>
      </c>
      <c r="H775" s="285" t="inlineStr">
        <is>
          <t>The certificate names a P batch the owner's tracker does not carry. Record the lot (cultivation batch code, strain) on the tracker so the certificate is credited under its batch.</t>
        </is>
      </c>
    </row>
    <row r="776">
      <c r="A776" s="286" t="inlineStr">
        <is>
          <t>lot not on tracker</t>
        </is>
      </c>
      <c r="B776" s="234" t="inlineStr">
        <is>
          <t>P060122</t>
        </is>
      </c>
      <c r="C776" s="233" t="inlineStr">
        <is>
          <t>P060122</t>
        </is>
      </c>
      <c r="D776" s="233" t="inlineStr">
        <is>
          <t>iCoA-PP_26-046</t>
        </is>
      </c>
      <c r="E776" s="235" t="n">
        <v>46071</v>
      </c>
      <c r="F776" s="233" t="inlineStr">
        <is>
          <t>PP</t>
        </is>
      </c>
      <c r="G776" s="233" t="inlineStr">
        <is>
          <t>#1, #2, #7</t>
        </is>
      </c>
      <c r="H776" s="285" t="inlineStr">
        <is>
          <t>The certificate names a P batch the owner's tracker does not carry. Record the lot (cultivation batch code, strain) on the tracker so the certificate is credited under its batch.</t>
        </is>
      </c>
    </row>
    <row r="777">
      <c r="A777" s="286" t="inlineStr">
        <is>
          <t>lot not on tracker</t>
        </is>
      </c>
      <c r="B777" s="234" t="inlineStr">
        <is>
          <t>P060122</t>
        </is>
      </c>
      <c r="C777" s="233" t="inlineStr">
        <is>
          <t>P060122</t>
        </is>
      </c>
      <c r="D777" s="233" t="inlineStr">
        <is>
          <t>220-1-M-26</t>
        </is>
      </c>
      <c r="E777" s="235" t="n">
        <v>46276</v>
      </c>
      <c r="F777" s="233" t="inlineStr">
        <is>
          <t>FHM-M</t>
        </is>
      </c>
      <c r="G777" s="233" t="inlineStr">
        <is>
          <t>#10</t>
        </is>
      </c>
      <c r="H777" s="285" t="inlineStr">
        <is>
          <t>The certificate names a P batch the owner's tracker does not carry. Record the lot (cultivation batch code, strain) on the tracker so the certificate is credited under its batch.</t>
        </is>
      </c>
    </row>
    <row r="778">
      <c r="A778" s="286" t="inlineStr">
        <is>
          <t>lot not on tracker</t>
        </is>
      </c>
      <c r="B778" s="234" t="inlineStr">
        <is>
          <t>P060132</t>
        </is>
      </c>
      <c r="C778" s="233" t="inlineStr">
        <is>
          <t>P060132</t>
        </is>
      </c>
      <c r="D778" s="233" t="inlineStr">
        <is>
          <t>iCoA-PP_26-047</t>
        </is>
      </c>
      <c r="E778" s="235" t="n">
        <v>46072</v>
      </c>
      <c r="F778" s="233" t="inlineStr">
        <is>
          <t>PP</t>
        </is>
      </c>
      <c r="G778" s="233" t="inlineStr">
        <is>
          <t>#1, #2, #7</t>
        </is>
      </c>
      <c r="H778" s="285" t="inlineStr">
        <is>
          <t>The certificate names a P batch the owner's tracker does not carry. Record the lot (cultivation batch code, strain) on the tracker so the certificate is credited under its batch.</t>
        </is>
      </c>
    </row>
    <row r="779">
      <c r="A779" s="286" t="inlineStr">
        <is>
          <t>lot not on tracker</t>
        </is>
      </c>
      <c r="B779" s="234" t="inlineStr">
        <is>
          <t>P060132</t>
        </is>
      </c>
      <c r="C779" s="233" t="inlineStr">
        <is>
          <t>P060132</t>
        </is>
      </c>
      <c r="D779" s="233" t="inlineStr">
        <is>
          <t>220-6-M-26</t>
        </is>
      </c>
      <c r="E779" s="235" t="n">
        <v>46276</v>
      </c>
      <c r="F779" s="233" t="inlineStr">
        <is>
          <t>FHM-M</t>
        </is>
      </c>
      <c r="G779" s="233" t="inlineStr">
        <is>
          <t>#10</t>
        </is>
      </c>
      <c r="H779" s="285" t="inlineStr">
        <is>
          <t>The certificate names a P batch the owner's tracker does not carry. Record the lot (cultivation batch code, strain) on the tracker so the certificate is credited under its batch.</t>
        </is>
      </c>
    </row>
    <row r="780">
      <c r="A780" s="286" t="inlineStr">
        <is>
          <t>lot not on tracker</t>
        </is>
      </c>
      <c r="B780" s="234" t="inlineStr">
        <is>
          <t>P060342</t>
        </is>
      </c>
      <c r="C780" s="233" t="inlineStr">
        <is>
          <t>P060342</t>
        </is>
      </c>
      <c r="D780" s="233" t="inlineStr">
        <is>
          <t>iCoA-PP_26-092</t>
        </is>
      </c>
      <c r="E780" s="235" t="n">
        <v>46167</v>
      </c>
      <c r="F780" s="233" t="inlineStr">
        <is>
          <t>PP</t>
        </is>
      </c>
      <c r="G780" s="233" t="inlineStr">
        <is>
          <t>#1, #2, #7</t>
        </is>
      </c>
      <c r="H780" s="285" t="inlineStr">
        <is>
          <t>The certificate names a P batch the owner's tracker does not carry. Record the lot (cultivation batch code, strain) on the tracker so the certificate is credited under its batch.</t>
        </is>
      </c>
    </row>
    <row r="781">
      <c r="A781" s="286" t="inlineStr">
        <is>
          <t>lot not on tracker</t>
        </is>
      </c>
      <c r="B781" s="234" t="inlineStr">
        <is>
          <t>P060342</t>
        </is>
      </c>
      <c r="C781" s="233" t="inlineStr">
        <is>
          <t>P060342</t>
        </is>
      </c>
      <c r="D781" s="233" t="inlineStr">
        <is>
          <t>227-8-K-26</t>
        </is>
      </c>
      <c r="E781" s="235" t="n">
        <v>46276</v>
      </c>
      <c r="F781" s="233" t="inlineStr">
        <is>
          <t>FHM-K</t>
        </is>
      </c>
      <c r="G781" s="233" t="inlineStr">
        <is>
          <t>#3, #4, #5, #6</t>
        </is>
      </c>
      <c r="H781" s="285" t="inlineStr">
        <is>
          <t>The certificate names a P batch the owner's tracker does not carry. Record the lot (cultivation batch code, strain) on the tracker so the certificate is credited under its batch.</t>
        </is>
      </c>
    </row>
    <row r="782">
      <c r="A782" s="286" t="inlineStr">
        <is>
          <t>lot not on tracker</t>
        </is>
      </c>
      <c r="B782" s="234" t="inlineStr">
        <is>
          <t>P060342</t>
        </is>
      </c>
      <c r="C782" s="233" t="inlineStr">
        <is>
          <t>P060342</t>
        </is>
      </c>
      <c r="D782" s="233" t="inlineStr">
        <is>
          <t>539-1070-26</t>
        </is>
      </c>
      <c r="E782" s="235" t="n">
        <v>46265</v>
      </c>
      <c r="F782" s="233" t="inlineStr">
        <is>
          <t>IJZ-MB</t>
        </is>
      </c>
      <c r="G782" s="233" t="inlineStr">
        <is>
          <t>#9</t>
        </is>
      </c>
      <c r="H782" s="285" t="inlineStr">
        <is>
          <t>The certificate names a P batch the owner's tracker does not carry. Record the lot (cultivation batch code, strain) on the tracker so the certificate is credited under its batch.</t>
        </is>
      </c>
    </row>
    <row r="783">
      <c r="A783" s="286" t="inlineStr">
        <is>
          <t>lot not on tracker</t>
        </is>
      </c>
      <c r="B783" s="234" t="inlineStr">
        <is>
          <t>P060372</t>
        </is>
      </c>
      <c r="C783" s="233" t="inlineStr">
        <is>
          <t>P060372</t>
        </is>
      </c>
      <c r="D783" s="233" t="inlineStr">
        <is>
          <t>iCoA-PP_26-082</t>
        </is>
      </c>
      <c r="E783" s="235" t="n">
        <v>46166</v>
      </c>
      <c r="F783" s="233" t="inlineStr">
        <is>
          <t>PP</t>
        </is>
      </c>
      <c r="G783" s="233" t="inlineStr">
        <is>
          <t>#1, #2, #7</t>
        </is>
      </c>
      <c r="H783" s="285" t="inlineStr">
        <is>
          <t>The certificate names a P batch the owner's tracker does not carry. Record the lot (cultivation batch code, strain) on the tracker so the certificate is credited under its batch.</t>
        </is>
      </c>
    </row>
    <row r="784">
      <c r="A784" s="286" t="inlineStr">
        <is>
          <t>lot not on tracker</t>
        </is>
      </c>
      <c r="B784" s="234" t="inlineStr">
        <is>
          <t>P060372</t>
        </is>
      </c>
      <c r="C784" s="233" t="inlineStr">
        <is>
          <t>P060372</t>
        </is>
      </c>
      <c r="D784" s="233" t="inlineStr">
        <is>
          <t>220-29-M-26</t>
        </is>
      </c>
      <c r="E784" s="235" t="n">
        <v>46276</v>
      </c>
      <c r="F784" s="233" t="inlineStr">
        <is>
          <t>FHM-M</t>
        </is>
      </c>
      <c r="G784" s="233" t="inlineStr">
        <is>
          <t>#10</t>
        </is>
      </c>
      <c r="H784" s="285" t="inlineStr">
        <is>
          <t>The certificate names a P batch the owner's tracker does not carry. Record the lot (cultivation batch code, strain) on the tracker so the certificate is credited under its batch.</t>
        </is>
      </c>
    </row>
    <row r="785">
      <c r="A785" s="286" t="inlineStr">
        <is>
          <t>lot not on tracker</t>
        </is>
      </c>
      <c r="B785" s="234" t="inlineStr">
        <is>
          <t>P060492</t>
        </is>
      </c>
      <c r="C785" s="233" t="inlineStr">
        <is>
          <t>P060492</t>
        </is>
      </c>
      <c r="D785" s="233" t="inlineStr">
        <is>
          <t>iCoA-PP_26-122</t>
        </is>
      </c>
      <c r="E785" s="235" t="n">
        <v>46247</v>
      </c>
      <c r="F785" s="233" t="inlineStr">
        <is>
          <t>PP</t>
        </is>
      </c>
      <c r="G785" s="233" t="inlineStr">
        <is>
          <t>#1, #2, #7</t>
        </is>
      </c>
      <c r="H785" s="285" t="inlineStr">
        <is>
          <t>The certificate names a P batch the owner's tracker does not carry. Record the lot (cultivation batch code, strain) on the tracker so the certificate is credited under its batch.</t>
        </is>
      </c>
    </row>
    <row r="786">
      <c r="A786" s="286" t="inlineStr">
        <is>
          <t>lot not on tracker</t>
        </is>
      </c>
      <c r="B786" s="234" t="inlineStr">
        <is>
          <t>P060492</t>
        </is>
      </c>
      <c r="C786" s="233" t="inlineStr">
        <is>
          <t>P060492</t>
        </is>
      </c>
      <c r="D786" s="233" t="inlineStr">
        <is>
          <t>220-30-M-26</t>
        </is>
      </c>
      <c r="E786" s="235" t="n">
        <v>46276</v>
      </c>
      <c r="F786" s="233" t="inlineStr">
        <is>
          <t>FHM-M</t>
        </is>
      </c>
      <c r="G786" s="233" t="inlineStr">
        <is>
          <t>#10</t>
        </is>
      </c>
      <c r="H786" s="285" t="inlineStr">
        <is>
          <t>The certificate names a P batch the owner's tracker does not carry. Record the lot (cultivation batch code, strain) on the tracker so the certificate is credited under its batch.</t>
        </is>
      </c>
    </row>
    <row r="787">
      <c r="A787" s="286" t="inlineStr">
        <is>
          <t>non-conformance reported</t>
        </is>
      </c>
      <c r="B787" s="234" t="inlineStr">
        <is>
          <t>FB032601</t>
        </is>
      </c>
      <c r="C787" s="233" t="inlineStr">
        <is>
          <t>P060452</t>
        </is>
      </c>
      <c r="D787" s="233" t="inlineStr">
        <is>
          <t>ППК26127</t>
        </is>
      </c>
      <c r="E787" s="235" t="n">
        <v>46224</v>
      </c>
      <c r="F787" s="233" t="inlineStr">
        <is>
          <t>CNP</t>
        </is>
      </c>
      <c r="G787" s="233" t="inlineStr">
        <is>
          <t>#7</t>
        </is>
      </c>
      <c r="H787" s="285" t="inlineStr">
        <is>
          <t>The laboratory reports the result as not conforming (Не одговара). A deviation / OOS record is needed before this lot's CoQ can issue.</t>
        </is>
      </c>
    </row>
    <row r="788">
      <c r="A788" s="284" t="inlineStr">
        <is>
          <t>not ingested</t>
        </is>
      </c>
      <c r="B788" s="234" t="inlineStr">
        <is>
          <t>J31122501</t>
        </is>
      </c>
      <c r="C788" s="233" t="inlineStr">
        <is>
          <t>P060262</t>
        </is>
      </c>
      <c r="D788" s="233" t="inlineStr">
        <is>
          <t>1625-2026</t>
        </is>
      </c>
      <c r="E788" s="235" t="n">
        <v>46135</v>
      </c>
      <c r="F788" s="233" t="inlineStr">
        <is>
          <t>IJZ</t>
        </is>
      </c>
      <c r="G788" s="233" t="inlineStr">
        <is>
          <t>#11</t>
        </is>
      </c>
      <c r="H788" s="285" t="inlineStr">
        <is>
          <t>Re-extract the document into the eCoA database (two independent reads, 300 DPI). Until then the lot cannot reach a CoQ on these parameters.</t>
        </is>
      </c>
    </row>
    <row r="789">
      <c r="A789" s="284" t="inlineStr">
        <is>
          <t>not ingested</t>
        </is>
      </c>
      <c r="B789" s="234" t="inlineStr">
        <is>
          <t>J31122501</t>
        </is>
      </c>
      <c r="C789" s="233" t="inlineStr">
        <is>
          <t>P060262</t>
        </is>
      </c>
      <c r="D789" s="233" t="inlineStr">
        <is>
          <t>100-3-K-26</t>
        </is>
      </c>
      <c r="E789" s="235" t="n">
        <v>46121</v>
      </c>
      <c r="F789" s="233" t="inlineStr">
        <is>
          <t>FHM-K</t>
        </is>
      </c>
      <c r="G789" s="233" t="inlineStr">
        <is>
          <t>#3</t>
        </is>
      </c>
      <c r="H789" s="285" t="inlineStr">
        <is>
          <t>Re-extract the document into the eCoA database (two independent reads, 300 DPI). Until then the lot cannot reach a CoQ on these parameters.</t>
        </is>
      </c>
    </row>
    <row r="790">
      <c r="A790" s="284" t="inlineStr">
        <is>
          <t>not ingested</t>
        </is>
      </c>
      <c r="B790" s="234" t="inlineStr">
        <is>
          <t>MB0824_04</t>
        </is>
      </c>
      <c r="C790" s="233" t="inlineStr">
        <is>
          <t>P050032</t>
        </is>
      </c>
      <c r="D790" s="233" t="inlineStr">
        <is>
          <t>ППК25118</t>
        </is>
      </c>
      <c r="E790" s="235" t="n">
        <v>45783</v>
      </c>
      <c r="F790" s="233" t="inlineStr">
        <is>
          <t>CNP</t>
        </is>
      </c>
      <c r="G790" s="233" t="inlineStr">
        <is>
          <t>#6</t>
        </is>
      </c>
      <c r="H790" s="285" t="inlineStr">
        <is>
          <t>Re-extract the document into the eCoA database (two independent reads, 300 DPI). Until then the lot cannot reach a CoQ on these parameters.</t>
        </is>
      </c>
    </row>
    <row r="791">
      <c r="A791" s="284" t="inlineStr">
        <is>
          <t>not ingested</t>
        </is>
      </c>
      <c r="B791" s="234" t="inlineStr">
        <is>
          <t>OPM052501</t>
        </is>
      </c>
      <c r="C791" s="233" t="inlineStr">
        <is>
          <t>P050132</t>
        </is>
      </c>
      <c r="D791" s="233" t="inlineStr">
        <is>
          <t>ППК25257</t>
        </is>
      </c>
      <c r="E791" s="235" t="n">
        <v>45905</v>
      </c>
      <c r="F791" s="233" t="inlineStr">
        <is>
          <t>CNP</t>
        </is>
      </c>
      <c r="G791" s="233" t="inlineStr">
        <is>
          <t>#6</t>
        </is>
      </c>
      <c r="H791" s="285" t="inlineStr">
        <is>
          <t>Re-extract the document into the eCoA database (two independent reads, 300 DPI). Until then the lot cannot reach a CoQ on these parameters.</t>
        </is>
      </c>
    </row>
    <row r="792">
      <c r="A792" s="284" t="inlineStr">
        <is>
          <t>not ingested</t>
        </is>
      </c>
      <c r="B792" s="234" t="inlineStr">
        <is>
          <t>OPM112501</t>
        </is>
      </c>
      <c r="C792" s="233" t="inlineStr">
        <is>
          <t>P060222</t>
        </is>
      </c>
      <c r="D792" s="233" t="inlineStr">
        <is>
          <t>ППК26031</t>
        </is>
      </c>
      <c r="E792" s="235" t="n">
        <v>46086</v>
      </c>
      <c r="F792" s="233" t="inlineStr">
        <is>
          <t>CNP</t>
        </is>
      </c>
      <c r="G792" s="233" t="inlineStr">
        <is>
          <t>#6</t>
        </is>
      </c>
      <c r="H792" s="285" t="inlineStr">
        <is>
          <t>Re-extract the document into the eCoA database (two independent reads, 300 DPI). Until then the lot cannot reach a CoQ on these parameters.</t>
        </is>
      </c>
    </row>
    <row r="793">
      <c r="A793" s="284" t="inlineStr">
        <is>
          <t>not ingested</t>
        </is>
      </c>
      <c r="B793" s="234" t="inlineStr">
        <is>
          <t>PM072501</t>
        </is>
      </c>
      <c r="C793" s="233" t="inlineStr">
        <is>
          <t>P050272</t>
        </is>
      </c>
      <c r="D793" s="233" t="inlineStr">
        <is>
          <t>ППК25368</t>
        </is>
      </c>
      <c r="E793" s="235" t="n">
        <v>45989</v>
      </c>
      <c r="F793" s="233" t="inlineStr">
        <is>
          <t>CNP</t>
        </is>
      </c>
      <c r="G793" s="233" t="inlineStr">
        <is>
          <t>#6</t>
        </is>
      </c>
      <c r="H793" s="285" t="inlineStr">
        <is>
          <t>Re-extract the document into the eCoA database (two independent reads, 300 DPI). Until then the lot cannot reach a CoQ on these parameters.</t>
        </is>
      </c>
    </row>
    <row r="794">
      <c r="A794" s="286" t="inlineStr">
        <is>
          <t>strain name unruled</t>
        </is>
      </c>
      <c r="B794" s="234" t="inlineStr">
        <is>
          <t>Appels &amp; Bananas</t>
        </is>
      </c>
      <c r="C794" s="233" t="inlineStr">
        <is>
          <t>—</t>
        </is>
      </c>
      <c r="D794" s="233" t="inlineStr">
        <is>
          <t>—</t>
        </is>
      </c>
      <c r="E794" s="235" t="inlineStr">
        <is>
          <t>—</t>
        </is>
      </c>
      <c r="F794" s="233" t="inlineStr">
        <is>
          <t>—</t>
        </is>
      </c>
      <c r="G794" s="233" t="inlineStr">
        <is>
          <t>strain, printed on every CoQ</t>
        </is>
      </c>
      <c r="H794" s="285"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795">
      <c r="A795" s="286" t="inlineStr">
        <is>
          <t>strain name unruled</t>
        </is>
      </c>
      <c r="B795" s="234" t="inlineStr">
        <is>
          <t>Clemosa a Bud</t>
        </is>
      </c>
      <c r="C795" s="233" t="inlineStr">
        <is>
          <t>—</t>
        </is>
      </c>
      <c r="D795" s="233" t="inlineStr">
        <is>
          <t>—</t>
        </is>
      </c>
      <c r="E795" s="235" t="inlineStr">
        <is>
          <t>—</t>
        </is>
      </c>
      <c r="F795" s="233" t="inlineStr">
        <is>
          <t>—</t>
        </is>
      </c>
      <c r="G795" s="233" t="inlineStr">
        <is>
          <t>strain, printed on every CoQ</t>
        </is>
      </c>
      <c r="H795" s="285"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796">
      <c r="A796" s="286" t="inlineStr">
        <is>
          <t>strain name unruled</t>
        </is>
      </c>
      <c r="B796" s="234" t="inlineStr">
        <is>
          <t>Jelly Donuts</t>
        </is>
      </c>
      <c r="C796" s="233" t="inlineStr">
        <is>
          <t>—</t>
        </is>
      </c>
      <c r="D796" s="233" t="inlineStr">
        <is>
          <t>—</t>
        </is>
      </c>
      <c r="E796" s="235" t="inlineStr">
        <is>
          <t>—</t>
        </is>
      </c>
      <c r="F796" s="233" t="inlineStr">
        <is>
          <t>—</t>
        </is>
      </c>
      <c r="G796" s="233" t="inlineStr">
        <is>
          <t>strain, printed on every CoQ</t>
        </is>
      </c>
      <c r="H796" s="285"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797">
      <c r="A797" s="286" t="inlineStr">
        <is>
          <t>strain name unruled</t>
        </is>
      </c>
      <c r="B797" s="234" t="inlineStr">
        <is>
          <t>Permanent Marker</t>
        </is>
      </c>
      <c r="C797" s="233" t="inlineStr">
        <is>
          <t>—</t>
        </is>
      </c>
      <c r="D797" s="233" t="inlineStr">
        <is>
          <t>—</t>
        </is>
      </c>
      <c r="E797" s="235" t="inlineStr">
        <is>
          <t>—</t>
        </is>
      </c>
      <c r="F797" s="233" t="inlineStr">
        <is>
          <t>—</t>
        </is>
      </c>
      <c r="G797" s="233" t="inlineStr">
        <is>
          <t>strain, printed on every CoQ</t>
        </is>
      </c>
      <c r="H797" s="285"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798">
      <c r="A798" s="286" t="inlineStr">
        <is>
          <t>strain name unruled</t>
        </is>
      </c>
      <c r="B798" s="234" t="inlineStr">
        <is>
          <t>Sleepy Joe</t>
        </is>
      </c>
      <c r="C798" s="233" t="inlineStr">
        <is>
          <t>—</t>
        </is>
      </c>
      <c r="D798" s="233" t="inlineStr">
        <is>
          <t>—</t>
        </is>
      </c>
      <c r="E798" s="235" t="inlineStr">
        <is>
          <t>—</t>
        </is>
      </c>
      <c r="F798" s="233" t="inlineStr">
        <is>
          <t>—</t>
        </is>
      </c>
      <c r="G798" s="233" t="inlineStr">
        <is>
          <t>strain, printed on every CoQ</t>
        </is>
      </c>
      <c r="H798" s="285"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799">
      <c r="A799" s="286" t="inlineStr">
        <is>
          <t>strain name unruled</t>
        </is>
      </c>
      <c r="B799" s="234" t="inlineStr">
        <is>
          <t>Wedding Crasher</t>
        </is>
      </c>
      <c r="C799" s="233" t="inlineStr">
        <is>
          <t>—</t>
        </is>
      </c>
      <c r="D799" s="233" t="inlineStr">
        <is>
          <t>—</t>
        </is>
      </c>
      <c r="E799" s="235" t="inlineStr">
        <is>
          <t>—</t>
        </is>
      </c>
      <c r="F799" s="233" t="inlineStr">
        <is>
          <t>—</t>
        </is>
      </c>
      <c r="G799" s="233" t="inlineStr">
        <is>
          <t>strain, printed on every CoQ</t>
        </is>
      </c>
      <c r="H799" s="285"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02" ht="20" customHeight="1" s="70">
      <c r="A802" s="242" t="inlineStr">
        <is>
          <t>OPEN ITEMS</t>
        </is>
      </c>
    </row>
    <row r="803">
      <c r="A803" s="287" t="inlineStr">
        <is>
          <t>Ref</t>
        </is>
      </c>
      <c r="B803" s="287" t="inlineStr">
        <is>
          <t>Area</t>
        </is>
      </c>
      <c r="C803" s="287" t="inlineStr">
        <is>
          <t>State</t>
        </is>
      </c>
      <c r="D803" s="287" t="inlineStr">
        <is>
          <t>Item</t>
        </is>
      </c>
      <c r="E803" s="287" t="inlineStr">
        <is>
          <t>What was found</t>
        </is>
      </c>
      <c r="F803" s="287" t="inlineStr">
        <is>
          <t>What the desk did</t>
        </is>
      </c>
      <c r="G803" s="287" t="inlineStr">
        <is>
          <t>What is needed</t>
        </is>
      </c>
      <c r="H803" s="287" t="inlineStr">
        <is>
          <t>Evidence</t>
        </is>
      </c>
    </row>
    <row r="804" ht="66" customHeight="1" s="70">
      <c r="A804" s="288" t="inlineStr">
        <is>
          <t>OI-01</t>
        </is>
      </c>
      <c r="B804" s="288" t="inlineStr">
        <is>
          <t>Specification</t>
        </is>
      </c>
      <c r="C804" s="289" t="inlineStr">
        <is>
          <t>marked</t>
        </is>
      </c>
      <c r="D804" s="290" t="inlineStr">
        <is>
          <t>A lot graded IV or V whose strain has no specification at that grade</t>
        </is>
      </c>
      <c r="E804" s="290"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04" s="290" t="inlineStr">
        <is>
          <t>The phenotype, chemotype, processing and packaging pills are left unticked and the band is marked, on 3 lots.</t>
        </is>
      </c>
      <c r="G804" s="290"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04" s="290" t="inlineStr">
        <is>
          <t>spec_attributes_2026-09-10.csv; CJ082501/2, GP082501/2, OPM122501</t>
        </is>
      </c>
    </row>
    <row r="805" ht="66" customHeight="1" s="70">
      <c r="A805" s="288" t="inlineStr">
        <is>
          <t>OI-02</t>
        </is>
      </c>
      <c r="B805" s="288" t="inlineStr">
        <is>
          <t>Specification</t>
        </is>
      </c>
      <c r="C805" s="289" t="inlineStr">
        <is>
          <t>marked</t>
        </is>
      </c>
      <c r="D805" s="290" t="inlineStr">
        <is>
          <t>Two certificates name a specification by potency band instead of grade</t>
        </is>
      </c>
      <c r="E805" s="290" t="inlineStr">
        <is>
          <t>GP052501 names QCSP_001_GP-THC18_v.01 and GRC102501/2 names QCSP_001_GRC-THC12_v.01. Neither exists in the issued set under any name — but QCSP_001_GP-IV_v.01 does, and IV is the grade GP052501 carries.</t>
        </is>
      </c>
      <c r="F805" s="290" t="inlineStr">
        <is>
          <t>Both pills are marked. No substitution was made without a ruling.</t>
        </is>
      </c>
      <c r="G805" s="290" t="inlineStr">
        <is>
          <t>Is the potency-band name an older convention for the same document? If so the desk joins on the grade and both resolve immediately.</t>
        </is>
      </c>
      <c r="H805" s="290" t="inlineStr">
        <is>
          <t>export_coq_artifact_data.py specification join; 2 lots</t>
        </is>
      </c>
    </row>
    <row r="806" ht="66" customHeight="1" s="70">
      <c r="A806" s="288" t="inlineStr">
        <is>
          <t>OI-03</t>
        </is>
      </c>
      <c r="B806" s="288" t="inlineStr">
        <is>
          <t>Specification</t>
        </is>
      </c>
      <c r="C806" s="291" t="inlineStr">
        <is>
          <t>open</t>
        </is>
      </c>
      <c r="D806" s="290" t="inlineStr">
        <is>
          <t>Thirty-two lots have no grade, so no specification can be named at all</t>
        </is>
      </c>
      <c r="E806" s="290" t="inlineStr">
        <is>
          <t>The grade comes from product_specifications_QCSP001.json, built from the specification copies handed out with the tranches, which covers 48 of the 80 lots. For the other 32 the desk cannot compose a specification code, and the certificate names none.</t>
        </is>
      </c>
      <c r="F806" s="290" t="inlineStr">
        <is>
          <t>Nothing is printed and nothing is guessed.</t>
        </is>
      </c>
      <c r="G806" s="290" t="inlineStr">
        <is>
          <t>Where is the grade for the remaining 32 lots recorded? Once the desk has it, the specification code follows from the strain and the pills fill themselves.</t>
        </is>
      </c>
      <c r="H806" s="290" t="inlineStr">
        <is>
          <t>48 of 80 lots indexed; 68 of 164 certificate records carry no grade</t>
        </is>
      </c>
    </row>
    <row r="807" ht="66" customHeight="1" s="70">
      <c r="A807" s="288" t="inlineStr">
        <is>
          <t>OI-04</t>
        </is>
      </c>
      <c r="B807" s="288" t="inlineStr">
        <is>
          <t>Result reading</t>
        </is>
      </c>
      <c r="C807" s="289" t="inlineStr">
        <is>
          <t>marked</t>
        </is>
      </c>
      <c r="D807" s="290" t="inlineStr">
        <is>
          <t>Four lots where which analyte the figure belongs to decides pass or fail</t>
        </is>
      </c>
      <c r="E807" s="290"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07" s="290" t="inlineStr">
        <is>
          <t>The figure is printed as the desk reads it and the lot is named here. None of the four may be signed until a person has read the page.</t>
        </is>
      </c>
      <c r="G807" s="290" t="inlineStr">
        <is>
          <t>Read the four certificates and confirm which analyte the figure belongs to.</t>
        </is>
      </c>
      <c r="H807" s="290" t="inlineStr">
        <is>
          <t>COQ_DRAFTING_2026-09-10.md; 4 lots</t>
        </is>
      </c>
    </row>
    <row r="808" ht="66" customHeight="1" s="70">
      <c r="A808" s="288" t="inlineStr">
        <is>
          <t>OI-05</t>
        </is>
      </c>
      <c r="B808" s="288" t="inlineStr">
        <is>
          <t>Result reading</t>
        </is>
      </c>
      <c r="C808" s="291" t="inlineStr">
        <is>
          <t>open</t>
        </is>
      </c>
      <c r="D808" s="290" t="inlineStr">
        <is>
          <t>Nineteen lots print a Total Δ⁹-THC outside the range printed beside it</t>
        </is>
      </c>
      <c r="E808" s="290" t="inlineStr">
        <is>
          <t>The acceptance test was one-sided — it asked only whether a value exceeded its limit — so an assay BELOW its band was never flagged anywhere. Corpus-wide, 19 lots carry a potency outside the range on their own certificate, every one recorded as covered.</t>
        </is>
      </c>
      <c r="F808" s="290" t="inlineStr">
        <is>
          <t>The comparison now happens in the gap report, never on the certificate, and the report declines any criterion it cannot read as two numbers.</t>
        </is>
      </c>
      <c r="G808" s="290" t="inlineStr">
        <is>
          <t>Each of the 19 needs a disposition: re-read, re-test, or a regrade.</t>
        </is>
      </c>
      <c r="H808" s="290" t="inlineStr">
        <is>
          <t>status_of / the two-sided criterion; 19 lots</t>
        </is>
      </c>
    </row>
    <row r="809" ht="66" customHeight="1" s="70">
      <c r="A809" s="288" t="inlineStr">
        <is>
          <t>OI-06</t>
        </is>
      </c>
      <c r="B809" s="288" t="inlineStr">
        <is>
          <t>Reconciliation</t>
        </is>
      </c>
      <c r="C809" s="291" t="inlineStr">
        <is>
          <t>open</t>
        </is>
      </c>
      <c r="D809" s="290" t="inlineStr">
        <is>
          <t>Forty-six disagreements between the desk and the owner's 09.09 pass</t>
        </is>
      </c>
      <c r="E809" s="290" t="inlineStr">
        <is>
          <t>Put side by side on the Reconciliation 09.09 sheet: 218 determinations agree, 46 do not. One is a loss on drying of 76.07 % read on GG1024 against a 12.0 % limit.</t>
        </is>
      </c>
      <c r="F809" s="290" t="inlineStr">
        <is>
          <t>None is resolved by the desk. Both readings are shown with their sources.</t>
        </is>
      </c>
      <c r="G809" s="290" t="inlineStr">
        <is>
          <t>A person reads the page for each of the 46 and says which reading stands.</t>
        </is>
      </c>
      <c r="H809" s="290" t="inlineStr">
        <is>
          <t>Reconciliation 09.09 sheet; 46 rows</t>
        </is>
      </c>
    </row>
    <row r="810" ht="66" customHeight="1" s="70">
      <c r="A810" s="288" t="inlineStr">
        <is>
          <t>OI-07</t>
        </is>
      </c>
      <c r="B810" s="288" t="inlineStr">
        <is>
          <t>Issuance</t>
        </is>
      </c>
      <c r="C810" s="291" t="inlineStr">
        <is>
          <t>open</t>
        </is>
      </c>
      <c r="D810" s="290" t="inlineStr">
        <is>
          <t>Fifty-seven certificates of quality are dated on a Saturday</t>
        </is>
      </c>
      <c r="E810" s="290" t="inlineStr">
        <is>
          <t>06.06.2026, the blanket date for everything that would otherwise issue before the specification SOP, is a Saturday. The builder's own convention is that a controlled document issues on a working day.</t>
        </is>
      </c>
      <c r="F810" s="290" t="inlineStr">
        <is>
          <t>The owner's date outranks the desk's convention, so it is kept as given and the workbook carries a flag saying it was chosen deliberately.</t>
        </is>
      </c>
      <c r="G810" s="290" t="inlineStr">
        <is>
          <t>Confirm 06.06.2026, or name the working day it moves to (08.06.2026 is the Monday).</t>
        </is>
      </c>
      <c r="H810" s="290" t="inlineStr">
        <is>
          <t>issuance_schedule.COQ_BLANKET; 57 certificates</t>
        </is>
      </c>
    </row>
    <row r="811" ht="66" customHeight="1" s="70">
      <c r="A811" s="288" t="inlineStr">
        <is>
          <t>OI-08</t>
        </is>
      </c>
      <c r="B811" s="288" t="inlineStr">
        <is>
          <t>Reference</t>
        </is>
      </c>
      <c r="C811" s="291" t="inlineStr">
        <is>
          <t>open</t>
        </is>
      </c>
      <c r="D811" s="290" t="inlineStr">
        <is>
          <t>Five result cells cite an SOP form number instead of a certificate</t>
        </is>
      </c>
      <c r="E811" s="290"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11" s="290" t="inlineStr">
        <is>
          <t>The reference is printed as it stands and the lots are named here.</t>
        </is>
      </c>
      <c r="G811" s="290" t="inlineStr">
        <is>
          <t>Does the NGP laboratory issue a numbered report for this work? If not, these results need a different basis.</t>
        </is>
      </c>
      <c r="H811" s="290" t="inlineStr">
        <is>
          <t>2 lots, 10 result cells</t>
        </is>
      </c>
    </row>
    <row r="812" ht="66" customHeight="1" s="70">
      <c r="A812" s="288" t="inlineStr">
        <is>
          <t>OI-09</t>
        </is>
      </c>
      <c r="B812" s="288" t="inlineStr">
        <is>
          <t>Reference</t>
        </is>
      </c>
      <c r="C812" s="291" t="inlineStr">
        <is>
          <t>open</t>
        </is>
      </c>
      <c r="D812" s="290" t="inlineStr">
        <is>
          <t>One laboratory report is on file twice, once per language</t>
        </is>
      </c>
      <c r="E812" s="290" t="inlineStr">
        <is>
          <t>10802_2845-2 EN and 10802_2845-2 MK are the same DFL report for BSS052501, cited as two documents, which is why that lot's certificate count reads one higher than the sheet's.</t>
        </is>
      </c>
      <c r="F812" s="290" t="inlineStr">
        <is>
          <t>Both are cited as the desk found them.</t>
        </is>
      </c>
      <c r="G812" s="290" t="inlineStr">
        <is>
          <t>Confirm the two files are one report, and which language version is the controlled copy.</t>
        </is>
      </c>
      <c r="H812" s="290" t="inlineStr">
        <is>
          <t>BSS052501; Batch Coverage Certificates (n)</t>
        </is>
      </c>
    </row>
    <row r="813" ht="66" customHeight="1" s="70">
      <c r="A813" s="288" t="inlineStr">
        <is>
          <t>OI-10</t>
        </is>
      </c>
      <c r="B813" s="288" t="inlineStr">
        <is>
          <t>Batch identity</t>
        </is>
      </c>
      <c r="C813" s="291" t="inlineStr">
        <is>
          <t>open</t>
        </is>
      </c>
      <c r="D813" s="290" t="inlineStr">
        <is>
          <t>Three delivered lots have no cultivation batch recorded anywhere</t>
        </is>
      </c>
      <c r="E813" s="290" t="inlineStr">
        <is>
          <t>P160012, P160022 and P160032 carry full CNP results (ППК26117/18/19, 06.07.2026) and a P number in a series of their own, but no cultivation batch, and no row at all in the Head of QC's Batch Dates list — so no manufacturing date and no internal CoA basis.</t>
        </is>
      </c>
      <c r="F813" s="290" t="inlineStr">
        <is>
          <t>Each row now names its P number inside the label so the three are distinguishable and no join collapses them; the cultivation batch is left unrecorded rather than invented.</t>
        </is>
      </c>
      <c r="G813" s="290" t="inlineStr">
        <is>
          <t>What are the cultivation batches, manufacturing and packaging dates for the P1600xx series?</t>
        </is>
      </c>
      <c r="H813" s="290" t="inlineStr">
        <is>
          <t>3 lots; also absent from Batch Dates: JD112501＊</t>
        </is>
      </c>
    </row>
    <row r="814" ht="66" customHeight="1" s="70">
      <c r="A814" s="288" t="inlineStr">
        <is>
          <t>OI-11</t>
        </is>
      </c>
      <c r="B814" s="288" t="inlineStr">
        <is>
          <t>Batch identity</t>
        </is>
      </c>
      <c r="C814" s="291" t="inlineStr">
        <is>
          <t>open</t>
        </is>
      </c>
      <c r="D814" s="290" t="inlineStr">
        <is>
          <t>One lot carries two P batches in a single cell</t>
        </is>
      </c>
      <c r="E814" s="290" t="inlineStr">
        <is>
          <t>GRC102501 is recorded against P060142 / P060182 in one cell, so its coverage row aggregates what are arguably two lots and its certificate count cannot reconcile.</t>
        </is>
      </c>
      <c r="F814" s="290" t="inlineStr">
        <is>
          <t>Left as the owner's tracker records it.</t>
        </is>
      </c>
      <c r="G814" s="290" t="inlineStr">
        <is>
          <t>Are these one lot packed into two P batches, or two lots sharing a cultivation batch? If two, they need two rows.</t>
        </is>
      </c>
      <c r="H814" s="290" t="inlineStr">
        <is>
          <t>GRC102501</t>
        </is>
      </c>
    </row>
    <row r="815" ht="66" customHeight="1" s="70">
      <c r="A815" s="288" t="inlineStr">
        <is>
          <t>OI-12</t>
        </is>
      </c>
      <c r="B815" s="288" t="inlineStr">
        <is>
          <t>Batch identity</t>
        </is>
      </c>
      <c r="C815" s="291" t="inlineStr">
        <is>
          <t>open</t>
        </is>
      </c>
      <c r="D815" s="290" t="inlineStr">
        <is>
          <t>A lot and its ＊ sub-lot are credited from the same three documents</t>
        </is>
      </c>
      <c r="E815" s="290"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15" s="290" t="inlineStr">
        <is>
          <t>Both rows are left as recorded and the pair is named here.</t>
        </is>
      </c>
      <c r="G815" s="290" t="inlineStr">
        <is>
          <t>Is JD112501＊ a distinct lot? If so, which round's microbiology belongs to it?</t>
        </is>
      </c>
      <c r="H815" s="290" t="inlineStr">
        <is>
          <t>JD112501 / JD112501＊</t>
        </is>
      </c>
    </row>
    <row r="816" ht="66" customHeight="1" s="70">
      <c r="A816" s="288" t="inlineStr">
        <is>
          <t>OI-29</t>
        </is>
      </c>
      <c r="B816" s="288" t="inlineStr">
        <is>
          <t>Document identity</t>
        </is>
      </c>
      <c r="C816" s="291" t="inlineStr">
        <is>
          <t>open</t>
        </is>
      </c>
      <c r="D816" s="290" t="inlineStr">
        <is>
          <t>The two series count different things, so they cannot be the same length</t>
        </is>
      </c>
      <c r="E816" s="290"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16" s="290"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16" s="290"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16" s="290" t="inlineStr">
        <is>
          <t>icoa_register.py 102 rounds / 76 lots vs coq_artifact_data.json 164 records / 82 lots; 3 lots with 4, 5 and 6 rounds</t>
        </is>
      </c>
    </row>
    <row r="817" ht="66" customHeight="1" s="70">
      <c r="A817" s="288" t="inlineStr">
        <is>
          <t>OI-28</t>
        </is>
      </c>
      <c r="B817" s="288" t="inlineStr">
        <is>
          <t>Batch identity</t>
        </is>
      </c>
      <c r="C817" s="291" t="inlineStr">
        <is>
          <t>open</t>
        </is>
      </c>
      <c r="D817" s="290" t="inlineStr">
        <is>
          <t>Seven starred lots have no internal certificate of analysis at all</t>
        </is>
      </c>
      <c r="E817" s="290"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17" s="290" t="inlineStr">
        <is>
          <t>Nothing invented. batch_key is untouched, the seven rows sit on the register unnumbered, and each says the series does not carry it. They are the whole of the difference between the sheet's 83 release rows and the series' 76.</t>
        </is>
      </c>
      <c r="G817" s="290" t="inlineStr">
        <is>
          <t>For each pair, is the starred lot the same batch as the unstarred one? A ruling goes in ingestion/ecoa_runner/identity_decisions.tsv, which is where batch_key says such a ruling belongs, and the seven certificates then issue by themselves.</t>
        </is>
      </c>
      <c r="H817" s="290" t="inlineStr">
        <is>
          <t>ingestion/common/batch_id.py; 7 lots on the iCoA Register with no series row</t>
        </is>
      </c>
    </row>
    <row r="818" ht="66" customHeight="1" s="70">
      <c r="A818" s="288" t="inlineStr">
        <is>
          <t>OI-30</t>
        </is>
      </c>
      <c r="B818" s="288" t="inlineStr">
        <is>
          <t>Method status</t>
        </is>
      </c>
      <c r="C818" s="291" t="inlineStr">
        <is>
          <t>open</t>
        </is>
      </c>
      <c r="D818" s="290" t="inlineStr">
        <is>
          <t>The Loss on Drying method text is not verified per lot against the era it was tested in</t>
        </is>
      </c>
      <c r="E818" s="290"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18" s="290" t="inlineStr">
        <is>
          <t>Nothing changed on the printed method text — it was already uniform before this check and stays uniform, because there is no per-certificate method record to read it from. Nothing is guessed.</t>
        </is>
      </c>
      <c r="G818" s="290"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18" s="290" t="inlineStr">
        <is>
          <t>ISSUANCE_RULES_2026-09-10.md §4; extract_product_specifications.py #8; 70 numeric results, 1 in the disputed band (already resolved)</t>
        </is>
      </c>
    </row>
    <row r="819" ht="66" customHeight="1" s="70">
      <c r="A819" s="288" t="inlineStr">
        <is>
          <t>OI-31</t>
        </is>
      </c>
      <c r="B819" s="288" t="inlineStr">
        <is>
          <t>Batch identity</t>
        </is>
      </c>
      <c r="C819" s="291" t="inlineStr">
        <is>
          <t>open</t>
        </is>
      </c>
      <c r="D819" s="290" t="inlineStr">
        <is>
          <t>Six batches are silently filed under one strain name where a source document keeps two</t>
        </is>
      </c>
      <c r="E819" s="290"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19" s="290"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19" s="290" t="inlineStr">
        <is>
          <t>Is GG4 the same strain as Gorilla Glue, or a separate strain that happens to be filed under it? If separate, the six lots need their own strain field and, in time, their own specification.</t>
        </is>
      </c>
      <c r="H819" s="290" t="inlineStr">
        <is>
          <t>tracker/DELIVERY_RECONCILIATION_2026-09-07.md §5; tracker/strains.py; iCoA Register Strain column, 6 lots</t>
        </is>
      </c>
    </row>
    <row r="820" ht="66" customHeight="1" s="70">
      <c r="A820" s="288" t="inlineStr">
        <is>
          <t>OI-32</t>
        </is>
      </c>
      <c r="B820" s="288" t="inlineStr">
        <is>
          <t>Batch identity</t>
        </is>
      </c>
      <c r="C820" s="291" t="inlineStr">
        <is>
          <t>open</t>
        </is>
      </c>
      <c r="D820" s="290" t="inlineStr">
        <is>
          <t>Thirty Tranche 3 potency retests are on file and none is in the record</t>
        </is>
      </c>
      <c r="E820" s="290" t="inlineStr">
        <is>
          <t>Farmahem's 227-K/26 series — thirty cannabinoid certificates for the Tranche 3 sampling, dated 10–11.09.2026 — was found in the ProcessedECOAs folder on 12.09.2026, and the owner's instruction is that every one of them is a retest. Not one appears in coq_artifact_data.json, so no register row, no tracker cell and no certificate of quality knows they exist. Twenty-five map cleanly onto a batch the register already carries. Five do not: BSS1024_01/1 (P050122) arrives with a sub-lot index the register's existing BSS1024_01 release entry lacks, on the same P lot; and WED102501 (P060102), SCR012601 (P060342), GRC102501/1 (P060142) and BSS1024_01/2 (P050142) have no earlier cannabinoid result on file at all — so the 227-K certificate would be their FIRST potency determination, which testing_series.py must place as the initial release round, while the owner says it is a retest.</t>
        </is>
      </c>
      <c r="F820" s="290" t="inlineStr">
        <is>
          <t>The twenty-five transcriptions are prepared row for row in the register's own format (THC, spec, CBD, CBN, code, date, Farmahem) and NOT written: the register PP_Batch_Release_QC_Register_SUBLOT_2026-09-01.xlsx is the owner's file and the desk does not write to it without permission. A checkpoint of the same twenty-five went into master_coa_table.tsv (commit 7393bc4), which is a fallback source the schedule never reads for a batch the register carries, so it changes nothing downstream. The five are held: batch_key does not decide whether a starred or sub-lotted name is the same batch as its plain namesake — that is a fact about the floor, recorded in identity_decisions.tsv when a person rules.</t>
        </is>
      </c>
      <c r="G820" s="290" t="inlineStr">
        <is>
          <t>Two rulings. (1) Is BSS1024_01/1 the same batch as BSS1024_01? If so its 227-K result is that batch's retest; if not it is a new sub-lot with no release testing on file. (2) For WED102501, SCR012601, GRC102501/1 and BSS1024_01/2: was there an earlier cannabinoid test whose certificate is not on file (then the 227-K is a retest and the initial certificate goes on the Work Order), or is the 227-K their first — in which case it is the release result, whatever the campaign called it? And: may the desk write the twenty-five rows into the register, or will the owner?</t>
        </is>
      </c>
      <c r="H820" s="290" t="inlineStr">
        <is>
          <t>Drive ProcessedECOAs, 227-K/26 series (30 documents); PP_Batch_Release_QC_Register_SUBLOT_2026-09-01.xlsx; ingestion/common/batch_id.py batch_key docstring; ingestion/ecoa_runner/identity_decisions.tsv; commit 7393bc4</t>
        </is>
      </c>
    </row>
    <row r="821" ht="66" customHeight="1" s="70">
      <c r="A821" s="288" t="inlineStr">
        <is>
          <t>OI-33</t>
        </is>
      </c>
      <c r="B821" s="288" t="inlineStr">
        <is>
          <t>Batch identity</t>
        </is>
      </c>
      <c r="C821" s="291" t="inlineStr">
        <is>
          <t>open</t>
        </is>
      </c>
      <c r="D821" s="290" t="inlineStr">
        <is>
          <t>Two batches on the Tranche 2 mycotoxin certificates are on no list the desk holds</t>
        </is>
      </c>
      <c r="E821" s="290"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21" s="290"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21" s="290"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21" s="290" t="inlineStr">
        <is>
          <t>intake_220M_2026-09-14/ (reads_claude.json n=30, 31, 32; placement.json); tracker/batch_dates.csv; PP_Batch_Release_QC_Register_SUBLOT_2026-09-01.xlsx after apply_220M.py</t>
        </is>
      </c>
    </row>
    <row r="822" ht="66" customHeight="1" s="70">
      <c r="A822" s="288" t="inlineStr">
        <is>
          <t>OI-13</t>
        </is>
      </c>
      <c r="B822" s="288" t="inlineStr">
        <is>
          <t>Panel scope</t>
        </is>
      </c>
      <c r="C822" s="291" t="inlineStr">
        <is>
          <t>open</t>
        </is>
      </c>
      <c r="D822" s="290" t="inlineStr">
        <is>
          <t>Two optional test panels have never been exercised</t>
        </is>
      </c>
      <c r="E822" s="290" t="inlineStr">
        <is>
          <t>The pesticide panel offers a Ph. Eur. 2.8.13 option and a CUMCS-equivalency option, and none of the lots was tested to equivalency. The expanded microbiology option (P. aeruginosa, S. aureus) has never been run.</t>
        </is>
      </c>
      <c r="F822" s="290" t="inlineStr">
        <is>
          <t>Neither is claimed on any certificate.</t>
        </is>
      </c>
      <c r="G822" s="290" t="inlineStr">
        <is>
          <t>Should the certificates record that the option exists and was not exercised, or stay silent on it?</t>
        </is>
      </c>
      <c r="H822" s="290" t="inlineStr">
        <is>
          <t>Ph. Eur. 2.8.13; Ph. Eur. 2.6.13 expanded panel</t>
        </is>
      </c>
    </row>
    <row r="823" ht="66" customHeight="1" s="70">
      <c r="A823" s="288" t="inlineStr">
        <is>
          <t>OI-14</t>
        </is>
      </c>
      <c r="B823" s="288" t="inlineStr">
        <is>
          <t>Document content</t>
        </is>
      </c>
      <c r="C823" s="291" t="inlineStr">
        <is>
          <t>open</t>
        </is>
      </c>
      <c r="D823" s="290" t="inlineStr">
        <is>
          <t>Two fields still print a specimen or a placeholder</t>
        </is>
      </c>
      <c r="E823" s="290" t="inlineStr">
        <is>
          <t>The two approvers' names are the master template's specimen. The potency acceptance range is a bracketed placeholder in both places it prints.</t>
        </is>
      </c>
      <c r="F823" s="290"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23" s="290" t="inlineStr">
        <is>
          <t>The approvers' names and titles; the potency range per grade.</t>
        </is>
      </c>
      <c r="H823" s="290" t="inlineStr">
        <is>
          <t>_CoQ_MASTER_Template.html; 22 drafts</t>
        </is>
      </c>
    </row>
    <row r="824" ht="66" customHeight="1" s="70">
      <c r="A824" s="288" t="inlineStr">
        <is>
          <t>OI-15</t>
        </is>
      </c>
      <c r="B824" s="288" t="inlineStr">
        <is>
          <t>Method status</t>
        </is>
      </c>
      <c r="C824" s="291" t="inlineStr">
        <is>
          <t>open</t>
        </is>
      </c>
      <c r="D824" s="290" t="inlineStr">
        <is>
          <t>The pesticide acceptance criterion is stated as ≤ LOQ, which is not the Ph. Eur. test</t>
        </is>
      </c>
      <c r="E824" s="290"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24" s="290" t="inlineStr">
        <is>
          <t>The result is printed as the laboratory reports it.</t>
        </is>
      </c>
      <c r="G824" s="290" t="inlineStr">
        <is>
          <t>Restate the criterion as the Ph. Eur. maximum table, and say how a conforming detection should print beside 28 not-detected residues.</t>
        </is>
      </c>
      <c r="H824" s="290" t="inlineStr">
        <is>
          <t>IJZ 2994/2025, 19.06.2025, OPM 1024_02 (P050062); verdict on the page: ОДГОВАРА</t>
        </is>
      </c>
    </row>
    <row r="825" ht="66" customHeight="1" s="70">
      <c r="A825" s="288" t="inlineStr">
        <is>
          <t>OI-16</t>
        </is>
      </c>
      <c r="B825" s="288" t="inlineStr">
        <is>
          <t>Result</t>
        </is>
      </c>
      <c r="C825" s="291" t="inlineStr">
        <is>
          <t>open</t>
        </is>
      </c>
      <c r="D825" s="290" t="inlineStr">
        <is>
          <t>One lot's foreign matter is reported by the laboratory as not conforming</t>
        </is>
      </c>
      <c r="E825" s="290"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25" s="290" t="inlineStr">
        <is>
          <t>Flagged OOS. An out-of-specification result needs an investigation record.</t>
        </is>
      </c>
      <c r="G825" s="290" t="inlineStr">
        <is>
          <t>Confirm the non-conformity with CNP and open the deviation, or obtain a corrected certificate.</t>
        </is>
      </c>
      <c r="H825" s="290" t="inlineStr">
        <is>
          <t>FB032601; ППК26127, 21.07.2026 [CNP]</t>
        </is>
      </c>
    </row>
    <row r="826" ht="66" customHeight="1" s="70">
      <c r="A826" s="288" t="inlineStr">
        <is>
          <t>OI-17</t>
        </is>
      </c>
      <c r="B826" s="288" t="inlineStr">
        <is>
          <t>Result</t>
        </is>
      </c>
      <c r="C826" s="291" t="inlineStr">
        <is>
          <t>open</t>
        </is>
      </c>
      <c r="D826" s="290" t="inlineStr">
        <is>
          <t>Five microbiological counts exceed the Ph. Eur. 5.1.4 band and four sit inside it</t>
        </is>
      </c>
      <c r="E826" s="290" t="inlineStr">
        <is>
          <t>Judged as the desk judges a counted limit — ≤ 10ⁿ against 2 × 10ⁿ — GG1024_01, OPM052501, GP052501, HPA052501 and CJ062501/2 are out of specification on TYMC; GG1024_02, HPA1024_01, GP0824_03 and CJ052501/01 are in the undetermined band.</t>
        </is>
      </c>
      <c r="F826" s="290" t="inlineStr">
        <is>
          <t>Printed red bold and amber bold respectively, and named in each lot's STATUS.</t>
        </is>
      </c>
      <c r="G826" s="290" t="inlineStr">
        <is>
          <t>Each out-of-specification count needs an investigation record; the four undetermined need a disposition.</t>
        </is>
      </c>
      <c r="H826" s="290" t="inlineStr">
        <is>
          <t>Ph. Eur. 5.1.4; 9 lots</t>
        </is>
      </c>
    </row>
    <row r="827" ht="66" customHeight="1" s="70">
      <c r="A827" s="288" t="inlineStr">
        <is>
          <t>OI-18</t>
        </is>
      </c>
      <c r="B827" s="288" t="inlineStr">
        <is>
          <t>Document content</t>
        </is>
      </c>
      <c r="C827" s="292" t="inlineStr">
        <is>
          <t>ruled</t>
        </is>
      </c>
      <c r="D827" s="290" t="inlineStr">
        <is>
          <t>The same assertion printed bilingually on some certificates and in English on others</t>
        </is>
      </c>
      <c r="E827" s="290" t="inlineStr">
        <is>
          <t>Identification A and foreign matter print Conforms on 51 determinations and Conforms | Соодветствува on 12 — the certificate's own English | Macedonian pattern, applied to some cells and not others.</t>
        </is>
      </c>
      <c r="F827" s="290"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27" s="290" t="inlineStr">
        <is>
          <t>Nothing further.</t>
        </is>
      </c>
      <c r="H827" s="290" t="inlineStr">
        <is>
          <t>375 determinations; .r-conform .mk in _CoQ_MASTER_Template.html</t>
        </is>
      </c>
    </row>
    <row r="828" ht="66" customHeight="1" s="70">
      <c r="A828" s="288" t="inlineStr">
        <is>
          <t>OI-19</t>
        </is>
      </c>
      <c r="B828" s="288" t="inlineStr">
        <is>
          <t>Result</t>
        </is>
      </c>
      <c r="C828" s="291" t="inlineStr">
        <is>
          <t>open</t>
        </is>
      </c>
      <c r="D828" s="290" t="inlineStr">
        <is>
          <t>One ochratoxin result prints as a working note rather than a value</t>
        </is>
      </c>
      <c r="E828" s="290" t="inlineStr">
        <is>
          <t>2.06 — DETECTED, &gt;LOQ on Ochratoxin A. The limit is 20 µg/kg so it conforms, but the cell carries the reader's note instead of the figure and its qualifier.</t>
        </is>
      </c>
      <c r="F828" s="290" t="inlineStr">
        <is>
          <t>Printed as the desk holds it.</t>
        </is>
      </c>
      <c r="G828" s="290" t="inlineStr">
        <is>
          <t>How should a conforming detection print — the figure alone, or the figure with a detected qualifier? The same question as OI-15 for pesticides.</t>
        </is>
      </c>
      <c r="H828" s="290" t="inlineStr">
        <is>
          <t>#10.3 Ochratoxin A, 1 determination</t>
        </is>
      </c>
    </row>
    <row r="829" ht="66" customHeight="1" s="70">
      <c r="A829" s="288" t="inlineStr">
        <is>
          <t>OI-24</t>
        </is>
      </c>
      <c r="B829" s="288" t="inlineStr">
        <is>
          <t>Document content</t>
        </is>
      </c>
      <c r="C829" s="291" t="inlineStr">
        <is>
          <t>open</t>
        </is>
      </c>
      <c r="D829" s="290" t="inlineStr">
        <is>
          <t>The Identification C result no longer states the method on the face of the document</t>
        </is>
      </c>
      <c r="E829" s="290"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29" s="290" t="inlineStr">
        <is>
          <t>Shortened to "Conforms | Одговара" like every other identity row. The basis for Identification C stays in the Section 03 citation, where a basis belongs.</t>
        </is>
      </c>
      <c r="G829" s="290" t="inlineStr">
        <is>
          <t>Do you want the method restated in the result cell? It would need a wider results column, which is a change to the master.</t>
        </is>
      </c>
      <c r="H829" s="290" t="inlineStr">
        <is>
          <t>#3 Identification C; 35 determinations</t>
        </is>
      </c>
    </row>
    <row r="830" ht="66" customHeight="1" s="70">
      <c r="A830" s="288" t="inlineStr">
        <is>
          <t>OI-27</t>
        </is>
      </c>
      <c r="B830" s="288" t="inlineStr">
        <is>
          <t>Document identity</t>
        </is>
      </c>
      <c r="C830" s="292" t="inlineStr">
        <is>
          <t>ruled</t>
        </is>
      </c>
      <c r="D830" s="290" t="inlineStr">
        <is>
          <t>The register sheet carried 60 of the series' 95 internal certificates</t>
        </is>
      </c>
      <c r="E830" s="290"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30" s="290"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30" s="290"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30" s="290" t="inlineStr">
        <is>
          <t>95 of 95 series codes on the sheet (was 60); 166 rows; verify_workbook.py 0 findings</t>
        </is>
      </c>
    </row>
    <row r="831" ht="66" customHeight="1" s="70">
      <c r="A831" s="288" t="inlineStr">
        <is>
          <t>OI-26</t>
        </is>
      </c>
      <c r="B831" s="288" t="inlineStr">
        <is>
          <t>Document identity</t>
        </is>
      </c>
      <c r="C831" s="292" t="inlineStr">
        <is>
          <t>ruled</t>
        </is>
      </c>
      <c r="D831" s="290" t="inlineStr">
        <is>
          <t>The internal-CoA number was defined twice and the two disagreed on every comparable row</t>
        </is>
      </c>
      <c r="E831" s="290"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31" s="290"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31" s="290" t="inlineStr">
        <is>
          <t>Nothing. Recorded because the numbers moved: de-duplicating shifted every code from 045 onward, so any code quoted before 11.09.2026 is stale.</t>
        </is>
      </c>
      <c r="H831" s="290" t="inlineStr">
        <is>
          <t>icoa_register.py and the iCoA Register sheet; 49 of 49 differed, now 0</t>
        </is>
      </c>
    </row>
    <row r="832" ht="66" customHeight="1" s="70">
      <c r="A832" s="288" t="inlineStr">
        <is>
          <t>OI-25</t>
        </is>
      </c>
      <c r="B832" s="288" t="inlineStr">
        <is>
          <t>Document rendering</t>
        </is>
      </c>
      <c r="C832" s="292" t="inlineStr">
        <is>
          <t>ruled</t>
        </is>
      </c>
      <c r="D832" s="290" t="inlineStr">
        <is>
          <t>The A4 page was never measured with the fonts it prints in</t>
        </is>
      </c>
      <c r="E832" s="290"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32" s="290"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32" s="290" t="inlineStr">
        <is>
          <t>Nothing. Recorded because the claim had been made and was not true, and because the page has very little slack: the next thing that adds a line will need this check.</t>
        </is>
      </c>
      <c r="H832" s="290" t="inlineStr">
        <is>
          <t>build_coq_drafts.py page-height report; measured 5 of 22 -&gt; 0 of 22 losing content</t>
        </is>
      </c>
    </row>
    <row r="833" ht="66" customHeight="1" s="70">
      <c r="A833" s="288" t="inlineStr">
        <is>
          <t>OI-23</t>
        </is>
      </c>
      <c r="B833" s="288" t="inlineStr">
        <is>
          <t>Document content</t>
        </is>
      </c>
      <c r="C833" s="291" t="inlineStr">
        <is>
          <t>open</t>
        </is>
      </c>
      <c r="D833" s="290" t="inlineStr">
        <is>
          <t>The Macedonian for an absent organism was chosen from the laboratories' own usage</t>
        </is>
      </c>
      <c r="E833" s="290"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33" s="290" t="inlineStr">
        <is>
          <t>The certificate prints "Absent | Отсутна" on 92 determinations: CNP's own most-used form ("отсутна/25 g"), capitalised, rather than a term translated afresh for a controlled document.</t>
        </is>
      </c>
      <c r="G833" s="290" t="inlineStr">
        <is>
          <t>Confirm Отсутна, or give the term the two absence rows should carry.</t>
        </is>
      </c>
      <c r="H833" s="290" t="inlineStr">
        <is>
          <t>#9.4 Salmonella, #9.5 E. coli; 92 determinations</t>
        </is>
      </c>
    </row>
    <row r="834" ht="66" customHeight="1" s="70">
      <c r="A834" s="288" t="inlineStr">
        <is>
          <t>OI-22</t>
        </is>
      </c>
      <c r="B834" s="288" t="inlineStr">
        <is>
          <t>Result reading</t>
        </is>
      </c>
      <c r="C834" s="292" t="inlineStr">
        <is>
          <t>ruled</t>
        </is>
      </c>
      <c r="D834" s="290" t="inlineStr">
        <is>
          <t>An analyte the laboratory never tested was printing a line on the certificate</t>
        </is>
      </c>
      <c r="E834" s="290"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34" s="290"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34" s="290" t="inlineStr">
        <is>
          <t>Nothing. Recorded because it is the boundary of the ND ruling: n.r. printed by a laboratory as a result means ND, and an analyte absent from the panel is not a result at all.</t>
        </is>
      </c>
      <c r="H834" s="290" t="inlineStr">
        <is>
          <t>BG1024 release vs 12-month retest, verified through fillCoq in headless Chromium</t>
        </is>
      </c>
    </row>
    <row r="835" ht="66" customHeight="1" s="70">
      <c r="A835" s="288" t="inlineStr">
        <is>
          <t>OI-21</t>
        </is>
      </c>
      <c r="B835" s="288" t="inlineStr">
        <is>
          <t>Document rendering</t>
        </is>
      </c>
      <c r="C835" s="292" t="inlineStr">
        <is>
          <t>ruled</t>
        </is>
      </c>
      <c r="D835" s="290" t="inlineStr">
        <is>
          <t>Sixty-six faces in the tranche PDFs embedded as Type 3 rather than outlines</t>
        </is>
      </c>
      <c r="E835" s="290"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35" s="290" t="inlineStr">
        <is>
          <t>Fixed: italic 600 and 700 added to the font request in both print_coq_pdfs.py and house_fonts.py, and the rule written down beside them — when a stylesheet sets an italic weight, that weight belongs in FAMILIES.</t>
        </is>
      </c>
      <c r="G835" s="290" t="inlineStr">
        <is>
          <t>Nothing. Recorded because the first Type 3 fix (pinning the variable axes) looked complete and was not: it fixes the faces the page asks for by name, never one the page never asked for.</t>
        </is>
      </c>
      <c r="H835" s="290" t="inlineStr">
        <is>
          <t>print_coq_pdfs.py FAMILIES; pdffonts on both tranche PDFs</t>
        </is>
      </c>
    </row>
    <row r="836" ht="66" customHeight="1" s="70">
      <c r="A836" s="288" t="inlineStr">
        <is>
          <t>OI-20</t>
        </is>
      </c>
      <c r="B836" s="288" t="inlineStr">
        <is>
          <t>Desk status</t>
        </is>
      </c>
      <c r="C836" s="291" t="inlineStr">
        <is>
          <t>open</t>
        </is>
      </c>
      <c r="D836" s="290" t="inlineStr">
        <is>
          <t>Nine result cells hold a desk status instead of a value</t>
        </is>
      </c>
      <c r="E836" s="290" t="inlineStr">
        <is>
          <t>not ingested (the document exists but has not been extracted into the eCoA database) on 5 cells, held for review (the two independent reads disagreed) on 3, and one Identification C awaiting a decision.</t>
        </is>
      </c>
      <c r="F836" s="290" t="inlineStr">
        <is>
          <t>Each is carried on the Work Order sheet with what it needs; none reaches a certificate.</t>
        </is>
      </c>
      <c r="G836" s="290" t="inlineStr">
        <is>
          <t>Nothing — these are desk work, listed so the count is visible.</t>
        </is>
      </c>
      <c r="H836" s="290" t="inlineStr">
        <is>
          <t>Work Order sheet</t>
        </is>
      </c>
    </row>
    <row r="839" ht="20" customHeight="1" s="70">
      <c r="A839" s="242" t="inlineStr">
        <is>
          <t>SUMMARY DASHBOARD</t>
        </is>
      </c>
    </row>
    <row r="840" ht="36" customHeight="1" s="70">
      <c r="A840" s="83" t="inlineStr">
        <is>
          <t>eCOA DATABASE — CoQ PARAMETER COVERAGE DASHBOARD</t>
        </is>
      </c>
    </row>
    <row r="841" ht="24" customHeight="1" s="70">
      <c r="A841" s="84" t="inlineStr">
        <is>
          <t>OVERVIEW</t>
        </is>
      </c>
      <c r="B841" s="76" t="n"/>
      <c r="C841" s="76" t="n"/>
      <c r="D841" s="77" t="n"/>
    </row>
    <row r="842" ht="21.75" customHeight="1" s="70">
      <c r="A842" s="28" t="inlineStr">
        <is>
          <t>Total Batches</t>
        </is>
      </c>
      <c r="B842" s="30" t="n">
        <v>87</v>
      </c>
      <c r="C842" s="32" t="n"/>
    </row>
    <row r="843" ht="21.75" customHeight="1" s="70">
      <c r="A843" s="28" t="inlineStr">
        <is>
          <t>Total eCOA Documents</t>
        </is>
      </c>
      <c r="B843" s="30" t="n">
        <v>345</v>
      </c>
      <c r="C843" s="32" t="inlineStr">
        <is>
          <t>(QCCoA 001 files excluded)</t>
        </is>
      </c>
    </row>
    <row r="844" ht="21.75" customHeight="1" s="70">
      <c r="A844" s="34" t="inlineStr">
        <is>
          <t>✅  COMPLETE  (all 12 params)</t>
        </is>
      </c>
      <c r="B844" s="35" t="n">
        <v>70</v>
      </c>
      <c r="C844" s="38" t="inlineStr">
        <is>
          <t>80% of batches</t>
        </is>
      </c>
    </row>
    <row r="845" ht="21.75" customHeight="1" s="70">
      <c r="A845" s="39" t="inlineStr">
        <is>
          <t>⚠   PARTIAL  (1–3 missing)</t>
        </is>
      </c>
      <c r="B845" s="42" t="n">
        <v>9</v>
      </c>
      <c r="C845" s="44" t="inlineStr">
        <is>
          <t>10% of batches</t>
        </is>
      </c>
    </row>
    <row r="846" ht="21.75" customHeight="1" s="70">
      <c r="A846" s="46" t="inlineStr">
        <is>
          <t>❌  INCOMPLETE (4+ missing)</t>
        </is>
      </c>
      <c r="B846" s="47" t="n">
        <v>8</v>
      </c>
      <c r="C846" s="50" t="inlineStr">
        <is>
          <t>9% of batches</t>
        </is>
      </c>
    </row>
    <row r="847" ht="7.5" customHeight="1" s="70"/>
    <row r="848" ht="24" customHeight="1" s="70">
      <c r="A848" s="84" t="inlineStr">
        <is>
          <t>MISSING PARAMETER FREQUENCY</t>
        </is>
      </c>
      <c r="B848" s="76" t="n"/>
      <c r="C848" s="76" t="n"/>
      <c r="D848" s="77" t="n"/>
    </row>
    <row r="849" ht="21.75" customHeight="1" s="70">
      <c r="A849" s="46" t="inlineStr">
        <is>
          <t>#1  Identification A</t>
        </is>
      </c>
      <c r="B849" s="47" t="n">
        <v>0</v>
      </c>
      <c r="C849" s="50" t="inlineStr">
        <is>
          <t>(0% of batches missing this)</t>
        </is>
      </c>
    </row>
    <row r="850" ht="21.75" customHeight="1" s="70">
      <c r="A850" s="39" t="inlineStr">
        <is>
          <t>#2  Identification B</t>
        </is>
      </c>
      <c r="B850" s="42" t="n">
        <v>0</v>
      </c>
      <c r="C850" s="44" t="inlineStr">
        <is>
          <t>(0% of batches missing this)</t>
        </is>
      </c>
    </row>
    <row r="851" ht="21.75" customHeight="1" s="70">
      <c r="A851" s="34" t="inlineStr">
        <is>
          <t>#3  Identification C</t>
        </is>
      </c>
      <c r="B851" s="35" t="n">
        <v>4</v>
      </c>
      <c r="C851" s="38" t="inlineStr">
        <is>
          <t>(5% of batches missing this)</t>
        </is>
      </c>
    </row>
    <row r="852" ht="21.75" customHeight="1" s="70">
      <c r="A852" s="34" t="inlineStr">
        <is>
          <t>#4  Assay — Total Δ⁹-THC</t>
        </is>
      </c>
      <c r="B852" s="35" t="n">
        <v>4</v>
      </c>
      <c r="C852" s="38" t="inlineStr">
        <is>
          <t>(5% of batches missing this)</t>
        </is>
      </c>
    </row>
    <row r="853" ht="21.75" customHeight="1" s="70">
      <c r="A853" s="34" t="inlineStr">
        <is>
          <t>#5  Assay — Total CBD</t>
        </is>
      </c>
      <c r="B853" s="35" t="n">
        <v>4</v>
      </c>
      <c r="C853" s="38" t="inlineStr">
        <is>
          <t>(5% of batches missing this)</t>
        </is>
      </c>
    </row>
    <row r="854" ht="21.75" customHeight="1" s="70">
      <c r="A854" s="34" t="inlineStr">
        <is>
          <t>#6  Total CBN</t>
        </is>
      </c>
      <c r="B854" s="35" t="n">
        <v>6</v>
      </c>
      <c r="C854" s="38" t="inlineStr">
        <is>
          <t>(7% of batches missing this)</t>
        </is>
      </c>
    </row>
    <row r="855" ht="21.75" customHeight="1" s="70">
      <c r="A855" s="46" t="inlineStr">
        <is>
          <t>#7  Foreign Matter</t>
        </is>
      </c>
      <c r="B855" s="47" t="n">
        <v>0</v>
      </c>
      <c r="C855" s="50" t="inlineStr">
        <is>
          <t>(0% of batches missing this)</t>
        </is>
      </c>
    </row>
    <row r="856" ht="21.75" customHeight="1" s="70">
      <c r="A856" s="34" t="inlineStr">
        <is>
          <t>#8  Loss on Drying</t>
        </is>
      </c>
      <c r="B856" s="35" t="n">
        <v>13</v>
      </c>
      <c r="C856" s="38" t="inlineStr">
        <is>
          <t>(15% of batches missing this)</t>
        </is>
      </c>
    </row>
    <row r="857" ht="21.75" customHeight="1" s="70">
      <c r="A857" s="39" t="inlineStr">
        <is>
          <t>#9  Microbiological Purity</t>
        </is>
      </c>
      <c r="B857" s="42" t="n">
        <v>6</v>
      </c>
      <c r="C857" s="44" t="inlineStr">
        <is>
          <t>(7% of batches missing this)</t>
        </is>
      </c>
    </row>
    <row r="858" ht="21.75" customHeight="1" s="70">
      <c r="A858" s="39" t="inlineStr">
        <is>
          <t>#10  Mycotoxins</t>
        </is>
      </c>
      <c r="B858" s="42" t="n">
        <v>4</v>
      </c>
      <c r="C858" s="44" t="inlineStr">
        <is>
          <t>(5% of batches missing this)</t>
        </is>
      </c>
    </row>
    <row r="859" ht="21.75" customHeight="1" s="70">
      <c r="A859" s="39" t="inlineStr">
        <is>
          <t>#11  Heavy Metals</t>
        </is>
      </c>
      <c r="B859" s="42" t="n">
        <v>13</v>
      </c>
      <c r="C859" s="44" t="inlineStr">
        <is>
          <t>(15% of batches missing this)</t>
        </is>
      </c>
    </row>
    <row r="860" ht="21.75" customHeight="1" s="70">
      <c r="A860" s="39" t="inlineStr">
        <is>
          <t>#12  Pesticide Residues</t>
        </is>
      </c>
      <c r="B860" s="42" t="n">
        <v>11</v>
      </c>
      <c r="C860" s="44" t="inlineStr">
        <is>
          <t>(13% of batches missing this)</t>
        </is>
      </c>
    </row>
  </sheetData>
  <mergeCells count="674">
    <mergeCell ref="E235:E236"/>
    <mergeCell ref="G297:G298"/>
    <mergeCell ref="C263:C268"/>
    <mergeCell ref="P238:R238"/>
    <mergeCell ref="T258:W258"/>
    <mergeCell ref="Z221:Z222"/>
    <mergeCell ref="G299:G300"/>
    <mergeCell ref="D229:D230"/>
    <mergeCell ref="A848:D848"/>
    <mergeCell ref="Z223:Z224"/>
    <mergeCell ref="O227:O228"/>
    <mergeCell ref="D283:D284"/>
    <mergeCell ref="A233:A236"/>
    <mergeCell ref="G221:G222"/>
    <mergeCell ref="J300:N300"/>
    <mergeCell ref="D285:D286"/>
    <mergeCell ref="H249:H250"/>
    <mergeCell ref="D205:E205"/>
    <mergeCell ref="S263:S264"/>
    <mergeCell ref="D235:D236"/>
    <mergeCell ref="S309:S310"/>
    <mergeCell ref="F313:F314"/>
    <mergeCell ref="H313:H314"/>
    <mergeCell ref="S265:S266"/>
    <mergeCell ref="S311:S312"/>
    <mergeCell ref="Y273:Y274"/>
    <mergeCell ref="B257:B262"/>
    <mergeCell ref="H315:H316"/>
    <mergeCell ref="Y269:Y270"/>
    <mergeCell ref="I335:I336"/>
    <mergeCell ref="J282:N282"/>
    <mergeCell ref="P330:R330"/>
    <mergeCell ref="B277:B280"/>
    <mergeCell ref="G247:G248"/>
    <mergeCell ref="J290:N290"/>
    <mergeCell ref="J224:N224"/>
    <mergeCell ref="D311:D312"/>
    <mergeCell ref="Y205:Z205"/>
    <mergeCell ref="D217:D218"/>
    <mergeCell ref="F217:F218"/>
    <mergeCell ref="G249:G250"/>
    <mergeCell ref="F277:F278"/>
    <mergeCell ref="Y257:Y258"/>
    <mergeCell ref="I305:I306"/>
    <mergeCell ref="AA257:AA258"/>
    <mergeCell ref="I243:I244"/>
    <mergeCell ref="AA313:AA314"/>
    <mergeCell ref="G243:G244"/>
    <mergeCell ref="X317:X318"/>
    <mergeCell ref="O215:O216"/>
    <mergeCell ref="Z317:Z318"/>
    <mergeCell ref="I215:I216"/>
    <mergeCell ref="A271:A276"/>
    <mergeCell ref="C271:C276"/>
    <mergeCell ref="AA315:AA316"/>
    <mergeCell ref="X325:X326"/>
    <mergeCell ref="X319:X320"/>
    <mergeCell ref="T322:W322"/>
    <mergeCell ref="T260:W260"/>
    <mergeCell ref="X269:X270"/>
    <mergeCell ref="O233:O234"/>
    <mergeCell ref="P212:R212"/>
    <mergeCell ref="C329:C334"/>
    <mergeCell ref="I219:I220"/>
    <mergeCell ref="E325:E326"/>
    <mergeCell ref="G325:G326"/>
    <mergeCell ref="J212:N212"/>
    <mergeCell ref="O297:O298"/>
    <mergeCell ref="O291:O292"/>
    <mergeCell ref="Y217:Y218"/>
    <mergeCell ref="H263:H264"/>
    <mergeCell ref="AA217:AA218"/>
    <mergeCell ref="P318:R318"/>
    <mergeCell ref="O299:O300"/>
    <mergeCell ref="F257:F258"/>
    <mergeCell ref="T290:W290"/>
    <mergeCell ref="P222:R222"/>
    <mergeCell ref="P320:R320"/>
    <mergeCell ref="J278:N278"/>
    <mergeCell ref="P314:R314"/>
    <mergeCell ref="S221:S222"/>
    <mergeCell ref="I251:I252"/>
    <mergeCell ref="S273:S274"/>
    <mergeCell ref="G237:G238"/>
    <mergeCell ref="F265:F266"/>
    <mergeCell ref="A325:A328"/>
    <mergeCell ref="I237:I238"/>
    <mergeCell ref="C325:C328"/>
    <mergeCell ref="S215:S216"/>
    <mergeCell ref="T208:W208"/>
    <mergeCell ref="H329:H330"/>
    <mergeCell ref="AA309:AA310"/>
    <mergeCell ref="X217:X218"/>
    <mergeCell ref="E295:E296"/>
    <mergeCell ref="Z269:Z270"/>
    <mergeCell ref="T272:W272"/>
    <mergeCell ref="H331:H332"/>
    <mergeCell ref="I221:I222"/>
    <mergeCell ref="D225:D226"/>
    <mergeCell ref="E257:E258"/>
    <mergeCell ref="G313:G314"/>
    <mergeCell ref="I313:I314"/>
    <mergeCell ref="AA321:AA322"/>
    <mergeCell ref="T274:W274"/>
    <mergeCell ref="D227:D228"/>
    <mergeCell ref="E315:E316"/>
    <mergeCell ref="B319:B320"/>
    <mergeCell ref="G315:G316"/>
    <mergeCell ref="AA263:AA264"/>
    <mergeCell ref="D319:D320"/>
    <mergeCell ref="I315:I316"/>
    <mergeCell ref="B269:B270"/>
    <mergeCell ref="A243:A256"/>
    <mergeCell ref="AA273:AA274"/>
    <mergeCell ref="X277:X278"/>
    <mergeCell ref="O243:O244"/>
    <mergeCell ref="D207:D208"/>
    <mergeCell ref="F207:F208"/>
    <mergeCell ref="E217:E218"/>
    <mergeCell ref="X257:X258"/>
    <mergeCell ref="F271:F272"/>
    <mergeCell ref="J322:N322"/>
    <mergeCell ref="Z257:Z258"/>
    <mergeCell ref="H271:H272"/>
    <mergeCell ref="H265:H266"/>
    <mergeCell ref="J238:N238"/>
    <mergeCell ref="E269:E270"/>
    <mergeCell ref="D204:F204"/>
    <mergeCell ref="A289:A294"/>
    <mergeCell ref="H215:H216"/>
    <mergeCell ref="C289:C294"/>
    <mergeCell ref="E285:E286"/>
    <mergeCell ref="B233:B236"/>
    <mergeCell ref="T336:W336"/>
    <mergeCell ref="T204:X204"/>
    <mergeCell ref="Z321:Z322"/>
    <mergeCell ref="B271:B276"/>
    <mergeCell ref="Z315:Z316"/>
    <mergeCell ref="P282:R282"/>
    <mergeCell ref="Y227:Y228"/>
    <mergeCell ref="Y319:Y320"/>
    <mergeCell ref="H279:H280"/>
    <mergeCell ref="Y291:Y292"/>
    <mergeCell ref="T264:W264"/>
    <mergeCell ref="AA207:AA208"/>
    <mergeCell ref="A203:C203"/>
    <mergeCell ref="G245:G246"/>
    <mergeCell ref="G263:G264"/>
    <mergeCell ref="I263:I264"/>
    <mergeCell ref="AA271:AA272"/>
    <mergeCell ref="A277:A280"/>
    <mergeCell ref="I211:I212"/>
    <mergeCell ref="T216:W216"/>
    <mergeCell ref="I229:I230"/>
    <mergeCell ref="A199:I199"/>
    <mergeCell ref="S289:S290"/>
    <mergeCell ref="G265:G266"/>
    <mergeCell ref="AA311:AA312"/>
    <mergeCell ref="Y204:AA204"/>
    <mergeCell ref="I265:I266"/>
    <mergeCell ref="X227:X228"/>
    <mergeCell ref="B217:B220"/>
    <mergeCell ref="E321:E322"/>
    <mergeCell ref="J208:N208"/>
    <mergeCell ref="G321:G322"/>
    <mergeCell ref="T282:W282"/>
    <mergeCell ref="C237:C242"/>
    <mergeCell ref="B325:B328"/>
    <mergeCell ref="H259:H260"/>
    <mergeCell ref="P203:AA203"/>
    <mergeCell ref="Y221:Y222"/>
    <mergeCell ref="P276:R276"/>
    <mergeCell ref="P270:R270"/>
    <mergeCell ref="J228:N228"/>
    <mergeCell ref="O313:O314"/>
    <mergeCell ref="D295:D296"/>
    <mergeCell ref="G331:G332"/>
    <mergeCell ref="F221:F222"/>
    <mergeCell ref="P278:R278"/>
    <mergeCell ref="D257:D258"/>
    <mergeCell ref="O315:O316"/>
    <mergeCell ref="A598:E601"/>
    <mergeCell ref="C321:C324"/>
    <mergeCell ref="Y281:Y282"/>
    <mergeCell ref="F223:F224"/>
    <mergeCell ref="A217:A220"/>
    <mergeCell ref="P336:R336"/>
    <mergeCell ref="H223:H224"/>
    <mergeCell ref="AA281:AA282"/>
    <mergeCell ref="D321:D322"/>
    <mergeCell ref="F321:F322"/>
    <mergeCell ref="F315:F316"/>
    <mergeCell ref="X263:X264"/>
    <mergeCell ref="Z263:Z264"/>
    <mergeCell ref="S283:S284"/>
    <mergeCell ref="A150:O150"/>
    <mergeCell ref="T310:W310"/>
    <mergeCell ref="Z273:Z274"/>
    <mergeCell ref="I253:I254"/>
    <mergeCell ref="H281:H282"/>
    <mergeCell ref="O217:O218"/>
    <mergeCell ref="E207:E208"/>
    <mergeCell ref="G207:G208"/>
    <mergeCell ref="A840:D840"/>
    <mergeCell ref="S285:S286"/>
    <mergeCell ref="X215:X216"/>
    <mergeCell ref="J204:O204"/>
    <mergeCell ref="E271:E272"/>
    <mergeCell ref="A309:A310"/>
    <mergeCell ref="G271:G272"/>
    <mergeCell ref="Z329:Z330"/>
    <mergeCell ref="O237:O238"/>
    <mergeCell ref="G215:G216"/>
    <mergeCell ref="AA223:AA224"/>
    <mergeCell ref="S237:S238"/>
    <mergeCell ref="Y321:Y322"/>
    <mergeCell ref="G273:G274"/>
    <mergeCell ref="I329:I330"/>
    <mergeCell ref="I279:I280"/>
    <mergeCell ref="D243:D244"/>
    <mergeCell ref="S295:S296"/>
    <mergeCell ref="Z291:Z292"/>
    <mergeCell ref="I331:I332"/>
    <mergeCell ref="H221:H222"/>
    <mergeCell ref="J272:N272"/>
    <mergeCell ref="P266:R266"/>
    <mergeCell ref="A207:A210"/>
    <mergeCell ref="A319:A320"/>
    <mergeCell ref="I281:I282"/>
    <mergeCell ref="AA289:AA290"/>
    <mergeCell ref="T296:W296"/>
    <mergeCell ref="Z271:Z272"/>
    <mergeCell ref="J274:N274"/>
    <mergeCell ref="H211:H212"/>
    <mergeCell ref="F309:F310"/>
    <mergeCell ref="O321:O322"/>
    <mergeCell ref="F311:F312"/>
    <mergeCell ref="D269:D270"/>
    <mergeCell ref="Y243:Y244"/>
    <mergeCell ref="H277:H278"/>
    <mergeCell ref="B295:B308"/>
    <mergeCell ref="G259:G260"/>
    <mergeCell ref="I259:I260"/>
    <mergeCell ref="A285:A288"/>
    <mergeCell ref="A263:A268"/>
    <mergeCell ref="B289:B294"/>
    <mergeCell ref="X221:X222"/>
    <mergeCell ref="B335:B340"/>
    <mergeCell ref="Z215:Z216"/>
    <mergeCell ref="H289:H290"/>
    <mergeCell ref="C317:C318"/>
    <mergeCell ref="E317:E318"/>
    <mergeCell ref="X223:X224"/>
    <mergeCell ref="T238:W238"/>
    <mergeCell ref="I319:I320"/>
    <mergeCell ref="J264:N264"/>
    <mergeCell ref="C319:C320"/>
    <mergeCell ref="B321:B324"/>
    <mergeCell ref="X281:X282"/>
    <mergeCell ref="E223:E224"/>
    <mergeCell ref="Z281:Z282"/>
    <mergeCell ref="C221:C222"/>
    <mergeCell ref="G223:G224"/>
    <mergeCell ref="J262:N262"/>
    <mergeCell ref="X243:X244"/>
    <mergeCell ref="O207:O208"/>
    <mergeCell ref="O263:O264"/>
    <mergeCell ref="G337:G338"/>
    <mergeCell ref="I337:I338"/>
    <mergeCell ref="P228:R228"/>
    <mergeCell ref="O271:O272"/>
    <mergeCell ref="G279:G280"/>
    <mergeCell ref="Y237:Y238"/>
    <mergeCell ref="G289:G290"/>
    <mergeCell ref="P292:R292"/>
    <mergeCell ref="I289:I290"/>
    <mergeCell ref="AA237:AA238"/>
    <mergeCell ref="Y329:Y330"/>
    <mergeCell ref="S329:S330"/>
    <mergeCell ref="P294:R294"/>
    <mergeCell ref="AA295:AA296"/>
    <mergeCell ref="H237:H238"/>
    <mergeCell ref="A223:A226"/>
    <mergeCell ref="A321:A324"/>
    <mergeCell ref="S235:S236"/>
    <mergeCell ref="H301:H302"/>
    <mergeCell ref="A586:E592"/>
    <mergeCell ref="H239:H240"/>
    <mergeCell ref="E243:E244"/>
    <mergeCell ref="G305:G306"/>
    <mergeCell ref="H337:H338"/>
    <mergeCell ref="H285:H286"/>
    <mergeCell ref="B207:B210"/>
    <mergeCell ref="H303:H304"/>
    <mergeCell ref="Y293:Y294"/>
    <mergeCell ref="T228:W228"/>
    <mergeCell ref="B237:B242"/>
    <mergeCell ref="Z335:Z336"/>
    <mergeCell ref="I325:I326"/>
    <mergeCell ref="A329:A334"/>
    <mergeCell ref="O259:O260"/>
    <mergeCell ref="C269:C270"/>
    <mergeCell ref="Z243:Z244"/>
    <mergeCell ref="I277:I278"/>
    <mergeCell ref="P218:R218"/>
    <mergeCell ref="AA285:AA286"/>
    <mergeCell ref="X313:X314"/>
    <mergeCell ref="S317:S318"/>
    <mergeCell ref="P312:R312"/>
    <mergeCell ref="H219:H220"/>
    <mergeCell ref="J270:N270"/>
    <mergeCell ref="B263:B268"/>
    <mergeCell ref="C223:C226"/>
    <mergeCell ref="O221:O222"/>
    <mergeCell ref="C204:C206"/>
    <mergeCell ref="A335:A340"/>
    <mergeCell ref="C335:C340"/>
    <mergeCell ref="B317:B318"/>
    <mergeCell ref="O273:O274"/>
    <mergeCell ref="D317:D318"/>
    <mergeCell ref="E237:E238"/>
    <mergeCell ref="O223:O224"/>
    <mergeCell ref="J336:N336"/>
    <mergeCell ref="Y263:Y264"/>
    <mergeCell ref="P244:R244"/>
    <mergeCell ref="T330:W330"/>
    <mergeCell ref="B221:B222"/>
    <mergeCell ref="G295:G296"/>
    <mergeCell ref="I295:I296"/>
    <mergeCell ref="G211:G212"/>
    <mergeCell ref="H245:H246"/>
    <mergeCell ref="S281:S282"/>
    <mergeCell ref="G219:G220"/>
    <mergeCell ref="C313:C314"/>
    <mergeCell ref="I275:I276"/>
    <mergeCell ref="H309:H310"/>
    <mergeCell ref="E313:E314"/>
    <mergeCell ref="X237:X238"/>
    <mergeCell ref="F289:F290"/>
    <mergeCell ref="A315:A316"/>
    <mergeCell ref="Z237:Z238"/>
    <mergeCell ref="C315:C316"/>
    <mergeCell ref="H311:H312"/>
    <mergeCell ref="D263:D264"/>
    <mergeCell ref="S259:S260"/>
    <mergeCell ref="C211:C214"/>
    <mergeCell ref="F263:F264"/>
    <mergeCell ref="T244:W244"/>
    <mergeCell ref="P326:R326"/>
    <mergeCell ref="G239:G240"/>
    <mergeCell ref="J222:N222"/>
    <mergeCell ref="I301:I302"/>
    <mergeCell ref="I239:I240"/>
    <mergeCell ref="O261:O262"/>
    <mergeCell ref="A841:D841"/>
    <mergeCell ref="A269:A270"/>
    <mergeCell ref="Z313:Z314"/>
    <mergeCell ref="G285:G286"/>
    <mergeCell ref="D215:D216"/>
    <mergeCell ref="B313:B314"/>
    <mergeCell ref="S267:S268"/>
    <mergeCell ref="F215:F216"/>
    <mergeCell ref="I303:I304"/>
    <mergeCell ref="X321:X322"/>
    <mergeCell ref="S325:S326"/>
    <mergeCell ref="S319:S320"/>
    <mergeCell ref="X315:X316"/>
    <mergeCell ref="T318:W318"/>
    <mergeCell ref="J296:N296"/>
    <mergeCell ref="P290:R290"/>
    <mergeCell ref="S335:S336"/>
    <mergeCell ref="H233:H234"/>
    <mergeCell ref="S269:S270"/>
    <mergeCell ref="T320:W320"/>
    <mergeCell ref="B329:B334"/>
    <mergeCell ref="C295:C308"/>
    <mergeCell ref="I207:I208"/>
    <mergeCell ref="J298:N298"/>
    <mergeCell ref="X329:X330"/>
    <mergeCell ref="E263:E264"/>
    <mergeCell ref="Y271:Y272"/>
    <mergeCell ref="H299:H300"/>
    <mergeCell ref="S257:S258"/>
    <mergeCell ref="F335:F336"/>
    <mergeCell ref="H335:H336"/>
    <mergeCell ref="Y215:Y216"/>
    <mergeCell ref="O289:O290"/>
    <mergeCell ref="E265:E266"/>
    <mergeCell ref="Y313:Y314"/>
    <mergeCell ref="AA215:AA216"/>
    <mergeCell ref="P316:R316"/>
    <mergeCell ref="AA329:AA330"/>
    <mergeCell ref="B223:B226"/>
    <mergeCell ref="Y315:Y316"/>
    <mergeCell ref="G233:G234"/>
    <mergeCell ref="I233:I234"/>
    <mergeCell ref="AA319:AA320"/>
    <mergeCell ref="I227:I228"/>
    <mergeCell ref="A341:AA341"/>
    <mergeCell ref="H253:H254"/>
    <mergeCell ref="S211:S212"/>
    <mergeCell ref="I285:I286"/>
    <mergeCell ref="X309:X310"/>
    <mergeCell ref="P234:R234"/>
    <mergeCell ref="F317:F318"/>
    <mergeCell ref="Z309:Z310"/>
    <mergeCell ref="H317:H318"/>
    <mergeCell ref="AA335:AA336"/>
    <mergeCell ref="T212:W212"/>
    <mergeCell ref="J234:N234"/>
    <mergeCell ref="C257:C262"/>
    <mergeCell ref="P236:R236"/>
    <mergeCell ref="D221:D222"/>
    <mergeCell ref="G309:G310"/>
    <mergeCell ref="H319:H320"/>
    <mergeCell ref="J292:N292"/>
    <mergeCell ref="D313:D314"/>
    <mergeCell ref="I309:I310"/>
    <mergeCell ref="J286:N286"/>
    <mergeCell ref="T270:W270"/>
    <mergeCell ref="D203:I203"/>
    <mergeCell ref="D223:D224"/>
    <mergeCell ref="G251:G252"/>
    <mergeCell ref="Y259:Y260"/>
    <mergeCell ref="G311:G312"/>
    <mergeCell ref="B315:B316"/>
    <mergeCell ref="AA259:AA260"/>
    <mergeCell ref="D315:D316"/>
    <mergeCell ref="I311:I312"/>
    <mergeCell ref="G217:G218"/>
    <mergeCell ref="I217:I218"/>
    <mergeCell ref="S277:S278"/>
    <mergeCell ref="F281:F282"/>
    <mergeCell ref="AA317:AA318"/>
    <mergeCell ref="T224:W224"/>
    <mergeCell ref="J318:N318"/>
    <mergeCell ref="J312:N312"/>
    <mergeCell ref="A221:A222"/>
    <mergeCell ref="F285:F286"/>
    <mergeCell ref="AA269:AA270"/>
    <mergeCell ref="C215:C216"/>
    <mergeCell ref="E215:E216"/>
    <mergeCell ref="J320:N320"/>
    <mergeCell ref="Y223:Y224"/>
    <mergeCell ref="H325:H326"/>
    <mergeCell ref="J314:N314"/>
    <mergeCell ref="I223:I224"/>
    <mergeCell ref="E329:E330"/>
    <mergeCell ref="G329:G330"/>
    <mergeCell ref="A237:A242"/>
    <mergeCell ref="G205:H205"/>
    <mergeCell ref="E281:E282"/>
    <mergeCell ref="I297:I298"/>
    <mergeCell ref="S275:S276"/>
    <mergeCell ref="X271:X272"/>
    <mergeCell ref="D211:D212"/>
    <mergeCell ref="I299:I300"/>
    <mergeCell ref="F229:F230"/>
    <mergeCell ref="H229:H230"/>
    <mergeCell ref="D265:D266"/>
    <mergeCell ref="X273:X274"/>
    <mergeCell ref="H269:H270"/>
    <mergeCell ref="S227:S228"/>
    <mergeCell ref="D329:D330"/>
    <mergeCell ref="C233:C236"/>
    <mergeCell ref="T278:W278"/>
    <mergeCell ref="J244:N244"/>
    <mergeCell ref="T222:W222"/>
    <mergeCell ref="G253:G254"/>
    <mergeCell ref="O285:O286"/>
    <mergeCell ref="H257:H258"/>
    <mergeCell ref="Y211:Y212"/>
    <mergeCell ref="O309:O310"/>
    <mergeCell ref="Y309:Y310"/>
    <mergeCell ref="G317:G318"/>
    <mergeCell ref="I317:I318"/>
    <mergeCell ref="AA325:AA326"/>
    <mergeCell ref="A317:A318"/>
    <mergeCell ref="P268:R268"/>
    <mergeCell ref="E319:E320"/>
    <mergeCell ref="O311:O312"/>
    <mergeCell ref="Y311:Y312"/>
    <mergeCell ref="G319:G320"/>
    <mergeCell ref="G269:G270"/>
    <mergeCell ref="Y277:Y278"/>
    <mergeCell ref="A227:A232"/>
    <mergeCell ref="AA277:AA278"/>
    <mergeCell ref="S207:S208"/>
    <mergeCell ref="X259:X260"/>
    <mergeCell ref="F211:F212"/>
    <mergeCell ref="Z259:Z260"/>
    <mergeCell ref="B285:B288"/>
    <mergeCell ref="H217:H218"/>
    <mergeCell ref="I249:I250"/>
    <mergeCell ref="S271:S272"/>
    <mergeCell ref="J326:N326"/>
    <mergeCell ref="G281:G282"/>
    <mergeCell ref="H275:H276"/>
    <mergeCell ref="P284:R284"/>
    <mergeCell ref="X211:X212"/>
    <mergeCell ref="E289:E290"/>
    <mergeCell ref="Z325:Z326"/>
    <mergeCell ref="Z319:Z320"/>
    <mergeCell ref="P286:R286"/>
    <mergeCell ref="D271:D272"/>
    <mergeCell ref="O329:O330"/>
    <mergeCell ref="P258:R258"/>
    <mergeCell ref="D237:D238"/>
    <mergeCell ref="S233:S234"/>
    <mergeCell ref="Y295:Y296"/>
    <mergeCell ref="F237:F238"/>
    <mergeCell ref="AA211:AA212"/>
    <mergeCell ref="F329:F330"/>
    <mergeCell ref="S291:S292"/>
    <mergeCell ref="F295:F296"/>
    <mergeCell ref="H295:H296"/>
    <mergeCell ref="A281:A284"/>
    <mergeCell ref="E221:E222"/>
    <mergeCell ref="D281:D282"/>
    <mergeCell ref="S293:S294"/>
    <mergeCell ref="X289:X290"/>
    <mergeCell ref="Z289:Z290"/>
    <mergeCell ref="B204:B206"/>
    <mergeCell ref="C227:C232"/>
    <mergeCell ref="J316:N316"/>
    <mergeCell ref="H321:H322"/>
    <mergeCell ref="J310:N310"/>
    <mergeCell ref="E229:E230"/>
    <mergeCell ref="T234:W234"/>
    <mergeCell ref="G229:G230"/>
    <mergeCell ref="A311:A312"/>
    <mergeCell ref="T286:W286"/>
    <mergeCell ref="E335:E336"/>
    <mergeCell ref="Z211:Z212"/>
    <mergeCell ref="H273:H274"/>
    <mergeCell ref="E277:E278"/>
    <mergeCell ref="P274:R274"/>
    <mergeCell ref="O317:O318"/>
    <mergeCell ref="A756:I756"/>
    <mergeCell ref="G257:G258"/>
    <mergeCell ref="F225:F226"/>
    <mergeCell ref="I257:I258"/>
    <mergeCell ref="F283:F284"/>
    <mergeCell ref="T312:W312"/>
    <mergeCell ref="S223:S224"/>
    <mergeCell ref="Y207:Y208"/>
    <mergeCell ref="D325:D326"/>
    <mergeCell ref="I321:I322"/>
    <mergeCell ref="F227:F228"/>
    <mergeCell ref="F325:F326"/>
    <mergeCell ref="H227:H228"/>
    <mergeCell ref="C281:C284"/>
    <mergeCell ref="F319:F320"/>
    <mergeCell ref="T314:W314"/>
    <mergeCell ref="C243:C256"/>
    <mergeCell ref="Z277:Z278"/>
    <mergeCell ref="H291:H292"/>
    <mergeCell ref="J258:N258"/>
    <mergeCell ref="H207:H208"/>
    <mergeCell ref="X335:X336"/>
    <mergeCell ref="O281:O282"/>
    <mergeCell ref="T316:W316"/>
    <mergeCell ref="S243:S244"/>
    <mergeCell ref="E211:E212"/>
    <mergeCell ref="J260:N260"/>
    <mergeCell ref="O335:O336"/>
    <mergeCell ref="G275:G276"/>
    <mergeCell ref="A313:A314"/>
    <mergeCell ref="G335:G336"/>
    <mergeCell ref="E225:E226"/>
    <mergeCell ref="I269:I270"/>
    <mergeCell ref="P264:R264"/>
    <mergeCell ref="Y233:Y234"/>
    <mergeCell ref="D289:D290"/>
    <mergeCell ref="AA233:AA234"/>
    <mergeCell ref="I241:I242"/>
    <mergeCell ref="Y325:Y326"/>
    <mergeCell ref="AA227:AA228"/>
    <mergeCell ref="G277:G278"/>
    <mergeCell ref="J203:O203"/>
    <mergeCell ref="AA291:AA292"/>
    <mergeCell ref="X295:X296"/>
    <mergeCell ref="Z295:Z296"/>
    <mergeCell ref="A211:A214"/>
    <mergeCell ref="I245:I246"/>
    <mergeCell ref="AA293:AA294"/>
    <mergeCell ref="C217:C220"/>
    <mergeCell ref="G301:G302"/>
    <mergeCell ref="B215:B216"/>
    <mergeCell ref="P208:R208"/>
    <mergeCell ref="O325:O326"/>
    <mergeCell ref="Y289:Y290"/>
    <mergeCell ref="A204:A206"/>
    <mergeCell ref="O319:O320"/>
    <mergeCell ref="G303:G304"/>
    <mergeCell ref="B227:B232"/>
    <mergeCell ref="T218:W218"/>
    <mergeCell ref="O269:O270"/>
    <mergeCell ref="Z227:Z228"/>
    <mergeCell ref="D233:D234"/>
    <mergeCell ref="F233:F234"/>
    <mergeCell ref="P272:R272"/>
    <mergeCell ref="H251:H252"/>
    <mergeCell ref="F235:F236"/>
    <mergeCell ref="H297:H298"/>
    <mergeCell ref="D277:D278"/>
    <mergeCell ref="AA221:AA222"/>
    <mergeCell ref="X285:X286"/>
    <mergeCell ref="Z285:Z286"/>
    <mergeCell ref="D335:D336"/>
    <mergeCell ref="S313:S314"/>
    <mergeCell ref="J330:N330"/>
    <mergeCell ref="P310:R310"/>
    <mergeCell ref="S315:S316"/>
    <mergeCell ref="E283:E284"/>
    <mergeCell ref="I247:I248"/>
    <mergeCell ref="E233:E234"/>
    <mergeCell ref="E227:E228"/>
    <mergeCell ref="X207:X208"/>
    <mergeCell ref="G227:G228"/>
    <mergeCell ref="Z207:Z208"/>
    <mergeCell ref="B281:B284"/>
    <mergeCell ref="O211:O212"/>
    <mergeCell ref="P204:S204"/>
    <mergeCell ref="B243:B256"/>
    <mergeCell ref="G291:G292"/>
    <mergeCell ref="I291:I292"/>
    <mergeCell ref="Y335:Y336"/>
    <mergeCell ref="Y285:Y286"/>
    <mergeCell ref="A257:A262"/>
    <mergeCell ref="P296:R296"/>
    <mergeCell ref="C309:C310"/>
    <mergeCell ref="I271:I272"/>
    <mergeCell ref="E309:E310"/>
    <mergeCell ref="C285:C288"/>
    <mergeCell ref="G204:I204"/>
    <mergeCell ref="T326:W326"/>
    <mergeCell ref="C277:C280"/>
    <mergeCell ref="X233:X234"/>
    <mergeCell ref="H247:H248"/>
    <mergeCell ref="Z233:Z234"/>
    <mergeCell ref="C311:C312"/>
    <mergeCell ref="H241:H242"/>
    <mergeCell ref="I273:I274"/>
    <mergeCell ref="E311:E312"/>
    <mergeCell ref="P216:R216"/>
    <mergeCell ref="O277:O278"/>
    <mergeCell ref="F243:F244"/>
    <mergeCell ref="H305:H306"/>
    <mergeCell ref="A295:A308"/>
    <mergeCell ref="H243:H244"/>
    <mergeCell ref="J216:N216"/>
    <mergeCell ref="O295:O296"/>
    <mergeCell ref="Y317:Y318"/>
    <mergeCell ref="C207:C210"/>
    <mergeCell ref="B211:B214"/>
    <mergeCell ref="P224:R224"/>
    <mergeCell ref="P322:R322"/>
    <mergeCell ref="O257:O258"/>
    <mergeCell ref="P260:R260"/>
    <mergeCell ref="J218:N218"/>
    <mergeCell ref="Z293:Z294"/>
    <mergeCell ref="B309:B310"/>
    <mergeCell ref="A215:A216"/>
    <mergeCell ref="D309:D310"/>
    <mergeCell ref="S321:S322"/>
    <mergeCell ref="X311:X312"/>
    <mergeCell ref="Z311:Z312"/>
    <mergeCell ref="S217:S218"/>
    <mergeCell ref="B311:B312"/>
    <mergeCell ref="G241:G242"/>
    <mergeCell ref="F269:F270"/>
    <mergeCell ref="Z217:Z218"/>
    <mergeCell ref="AA243:AA2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2026-09-15T10:39:47Z</dcterms:modified>
</cp:coreProperties>
</file>