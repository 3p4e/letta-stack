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1.xml" ContentType="application/vnd.openxmlformats-officedocument.spreadsheetml.table+xml"/>
  <Override PartName="/xl/worksheets/sheet14.xml" ContentType="application/vnd.openxmlformats-officedocument.spreadsheetml.worksheet+xml"/>
  <Override PartName="/xl/tables/table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atch Coverage" sheetId="2" state="visible" r:id="rId2"/>
    <sheet name="Delivery T1–T3" sheetId="3" state="visible" r:id="rId3"/>
    <sheet name="ImB Register" sheetId="4" state="visible" r:id="rId4"/>
    <sheet name="Reconciliation 09.09" sheetId="5" state="visible" r:id="rId5"/>
    <sheet name="CoQ Parameter Tracker v25" sheetId="6" state="visible" r:id="rId6"/>
    <sheet name="Credit Audit" sheetId="7" state="visible" r:id="rId7"/>
    <sheet name="Credit Corrections" sheetId="8" state="visible" r:id="rId8"/>
    <sheet name="Work Order" sheetId="9" state="visible" r:id="rId9"/>
    <sheet name="Open Items" sheetId="10" state="visible" r:id="rId10"/>
    <sheet name="iCoA Issuance" sheetId="11" state="visible" r:id="rId11"/>
    <sheet name="Batch Dates" sheetId="12" state="visible" r:id="rId12"/>
    <sheet name="iCoA Register" sheetId="13" state="visible" r:id="rId13"/>
    <sheet name="CoQ Register" sheetId="14" state="visible" r:id="rId14"/>
    <sheet name="Parameters" sheetId="15" state="visible" r:id="rId15"/>
    <sheet name="Summary Dashboard" sheetId="16" state="visible" r:id="rId16"/>
  </sheets>
  <definedNames>
    <definedName name="_xlnm.Print_Titles" localSheetId="0">'Read Me'!$1:$1</definedName>
    <definedName name="_xlnm._FilterDatabase" localSheetId="1" hidden="1">'Batch Coverage'!$A$1:$V$81</definedName>
    <definedName name="_xlnm.Print_Titles" localSheetId="1">'Batch Coverage'!$1:$1</definedName>
    <definedName name="_xlnm._FilterDatabase" localSheetId="2" hidden="1">'Delivery T1–T3'!$A$1:$O$79</definedName>
    <definedName name="_xlnm.Print_Titles" localSheetId="2">'Delivery T1–T3'!$1:$1</definedName>
    <definedName name="_xlnm._FilterDatabase" localSheetId="3" hidden="1">'ImB Register'!$A$1:$I$44</definedName>
    <definedName name="_xlnm.Print_Titles" localSheetId="3">'ImB Register'!$1:$1</definedName>
    <definedName name="_xlnm.Print_Titles" localSheetId="4">'Reconciliation 09.09'!$1:$1</definedName>
    <definedName name="_xlnm.Print_Titles" localSheetId="5">'CoQ Parameter Tracker v25'!$1:$4</definedName>
    <definedName name="_xlnm._FilterDatabase" localSheetId="6" hidden="1">'Credit Audit'!$A$1:$I$14</definedName>
    <definedName name="_xlnm.Print_Titles" localSheetId="6">'Credit Audit'!$1:$1</definedName>
    <definedName name="_xlnm._FilterDatabase" localSheetId="7" hidden="1">'Credit Corrections'!$A$1:$I$133</definedName>
    <definedName name="_xlnm.Print_Titles" localSheetId="7">'Credit Corrections'!$1:$1</definedName>
    <definedName name="_xlnm._FilterDatabase" localSheetId="8" hidden="1">'Work Order'!$A$1:$H$14</definedName>
    <definedName name="_xlnm.Print_Titles" localSheetId="8">'Work Order'!$1:$1</definedName>
    <definedName name="_xlnm._FilterDatabase" localSheetId="9" hidden="1">'Open Items'!$A$1:$H$32</definedName>
    <definedName name="_xlnm.Print_Titles" localSheetId="9">'Open Items'!$1:$1</definedName>
    <definedName name="_xlnm._FilterDatabase" localSheetId="10" hidden="1">'iCoA Issuance'!$A$1:$Y$158</definedName>
    <definedName name="_xlnm.Print_Titles" localSheetId="10">'iCoA Issuance'!$1:$1</definedName>
    <definedName name="_xlnm._FilterDatabase" localSheetId="11" hidden="1">'Batch Dates'!$A$1:$J$88</definedName>
    <definedName name="_xlnm.Print_Titles" localSheetId="11">'Batch Dates'!$1:$1</definedName>
    <definedName name="_xlnm.Print_Titles" localSheetId="12">'iCoA Register'!$1:$1</definedName>
    <definedName name="_xlnm.Print_Titles" localSheetId="13">'CoQ Register'!$1:$1</definedName>
    <definedName name="_xlnm._FilterDatabase" localSheetId="14" hidden="1">'Parameters'!$A$1:$G$22</definedName>
    <definedName name="_xlnm.Print_Titles" localSheetId="14">'Parameters'!$1:$1</definedName>
    <definedName name="_xlnm.Print_Titles" localSheetId="15">'Summary Dashboard'!$1:$1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5">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name val="Calibri"/>
      <b val="1"/>
      <sz val="8"/>
    </font>
    <font>
      <name val="Calibri"/>
      <sz val="8"/>
    </font>
    <font>
      <name val="Calibri"/>
      <b val="1"/>
      <color rgb="001F3864"/>
      <sz val="12"/>
    </font>
  </fonts>
  <fills count="49">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CE4D6"/>
      </patternFill>
    </fill>
    <fill>
      <patternFill patternType="solid">
        <fgColor rgb="00E2EFDA"/>
      </patternFill>
    </fill>
  </fills>
  <borders count="68">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286">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4"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32" fillId="35" borderId="17" applyAlignment="1" pivotButton="0" quotePrefix="0" xfId="0">
      <alignment horizontal="left" vertical="top" wrapText="1"/>
    </xf>
    <xf numFmtId="0" fontId="40" fillId="32" borderId="17" applyAlignment="1" pivotButton="0" quotePrefix="0" xfId="0">
      <alignment horizontal="center" vertical="center" wrapText="1"/>
    </xf>
    <xf numFmtId="0" fontId="40" fillId="44" borderId="17" applyAlignment="1" pivotButton="0" quotePrefix="0" xfId="0">
      <alignment horizontal="center" vertical="center" wrapText="1"/>
    </xf>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64" pivotButton="0" quotePrefix="0" xfId="0"/>
    <xf numFmtId="0" fontId="0" fillId="0" borderId="65" pivotButton="0" quotePrefix="0" xfId="0"/>
    <xf numFmtId="0" fontId="0" fillId="0" borderId="66" pivotButton="0" quotePrefix="0" xfId="0"/>
    <xf numFmtId="0" fontId="0" fillId="0" borderId="67" pivotButton="0" quotePrefix="0" xfId="0"/>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1" fillId="42" borderId="53"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5" fillId="38" borderId="51" applyAlignment="1" pivotButton="0" quotePrefix="0" xfId="0">
      <alignment horizontal="center" vertical="center" wrapText="1"/>
    </xf>
    <xf numFmtId="0" fontId="36" fillId="38" borderId="51"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5" fillId="46" borderId="51" applyAlignment="1" pivotButton="0" quotePrefix="0" xfId="0">
      <alignment horizontal="center" vertical="center" wrapText="1"/>
    </xf>
    <xf numFmtId="0" fontId="34" fillId="46" borderId="52" applyAlignment="1" pivotButton="0" quotePrefix="0" xfId="0">
      <alignment horizontal="center" vertical="top" wrapText="1"/>
    </xf>
    <xf numFmtId="0" fontId="31" fillId="43" borderId="54" applyAlignment="1" pivotButton="0" quotePrefix="0" xfId="0">
      <alignment horizontal="center" vertical="center" wrapText="1"/>
    </xf>
    <xf numFmtId="0" fontId="36" fillId="46" borderId="51" applyAlignment="1" pivotButton="0" quotePrefix="0" xfId="0">
      <alignment horizontal="center" vertical="center" wrapText="1"/>
    </xf>
    <xf numFmtId="0" fontId="33" fillId="46" borderId="51"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164" fontId="40" fillId="0" borderId="17" applyAlignment="1" pivotButton="0" quotePrefix="0" xfId="0">
      <alignment horizontal="center" vertical="center" wrapText="1"/>
    </xf>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2" fillId="0" borderId="0" applyAlignment="1" pivotButton="0" quotePrefix="0" xfId="0">
      <alignment vertical="top" wrapText="1"/>
    </xf>
    <xf numFmtId="0" fontId="42" fillId="47" borderId="0" applyAlignment="1" pivotButton="0" quotePrefix="0" xfId="0">
      <alignment vertical="top" wrapText="1"/>
    </xf>
    <xf numFmtId="0" fontId="43" fillId="0" borderId="0" applyAlignment="1" pivotButton="0" quotePrefix="0" xfId="0">
      <alignment vertical="top" wrapText="1"/>
    </xf>
    <xf numFmtId="0" fontId="42" fillId="36" borderId="0" applyAlignment="1" pivotButton="0" quotePrefix="0" xfId="0">
      <alignment vertical="top" wrapText="1"/>
    </xf>
    <xf numFmtId="0" fontId="42" fillId="48" borderId="0" applyAlignment="1" pivotButton="0" quotePrefix="0" xfId="0">
      <alignment vertical="top" wrapText="1"/>
    </xf>
    <xf numFmtId="0" fontId="40" fillId="38" borderId="17" applyAlignment="1" pivotButton="0" quotePrefix="0" xfId="0">
      <alignment horizontal="center" vertical="center" wrapText="1"/>
    </xf>
    <xf numFmtId="164" fontId="40" fillId="44" borderId="17"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ables/table1.xml><?xml version="1.0" encoding="utf-8"?>
<table xmlns="http://schemas.openxmlformats.org/spreadsheetml/2006/main" id="1" name="iCoA_Register" displayName="iCoA_Register" ref="A1:Q167" headerRowCount="1">
  <autoFilter ref="A1:Q167"/>
  <tableColumns count="17">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Key"/>
    <tableColumn id="17"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T158" headerRowCount="1">
  <autoFilter ref="A1:T158"/>
  <tableColumns count="20">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3.xml.rels><Relationships xmlns="http://schemas.openxmlformats.org/package/2006/relationships"><Relationship Type="http://schemas.openxmlformats.org/officeDocument/2006/relationships/table" Target="/xl/tables/table1.xml" Id="rId1" /></Relationships>
</file>

<file path=xl/worksheets/_rels/sheet1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B69"/>
  <sheetViews>
    <sheetView showGridLines="0" workbookViewId="0">
      <selection activeCell="A1" sqref="A1"/>
    </sheetView>
  </sheetViews>
  <sheetFormatPr baseColWidth="8" defaultRowHeight="15"/>
  <cols>
    <col width="22" customWidth="1" style="70" min="1" max="1"/>
    <col width="118" customWidth="1" style="70" min="2" max="2"/>
  </cols>
  <sheetData>
    <row r="1" s="70">
      <c r="A1" s="118" t="inlineStr">
        <is>
          <t>CoQ Analysis Master — v25</t>
        </is>
      </c>
    </row>
    <row r="2" ht="39" customHeight="1" s="70">
      <c r="A2" s="119" t="inlineStr">
        <is>
          <t>What it is</t>
        </is>
      </c>
      <c r="B2" s="120" t="inlineStr">
        <is>
          <t>Built 11.09.2026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3" s="70"/>
    <row r="4" s="70">
      <c r="A4" s="121" t="inlineStr">
        <is>
          <t>SHEETS</t>
        </is>
      </c>
    </row>
    <row r="5" ht="13" customHeight="1" s="70">
      <c r="A5" s="119" t="inlineStr">
        <is>
          <t>Read Me</t>
        </is>
      </c>
      <c r="B5" s="120" t="inlineStr">
        <is>
          <t>This sheet.</t>
        </is>
      </c>
    </row>
    <row r="6" ht="52" customHeight="1" s="70">
      <c r="A6" s="119" t="inlineStr">
        <is>
          <t>Batch Coverage</t>
        </is>
      </c>
      <c r="B6" s="120"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26" customHeight="1" s="70">
      <c r="A7" s="119" t="inlineStr">
        <is>
          <t>Delivery T1–T3</t>
        </is>
      </c>
      <c r="B7" s="120" t="inlineStr">
        <is>
          <t>The 78 cultivation batches delivered in the three tranches of 31.07, 14.08 and 28.08.2026, each against its row on Batch Coverage: the P lot, the CoQ status, what is missing, and the potency the batch was delivered under beside the potency its own certificate reports.</t>
        </is>
      </c>
    </row>
    <row r="8" ht="26" customHeight="1" s="70">
      <c r="A8" s="119" t="inlineStr">
        <is>
          <t>ImB Register</t>
        </is>
      </c>
      <c r="B8" s="120" t="inlineStr">
        <is>
          <t>The customer's certificate register, scanned 04.09.2026: 43 certificates for the earliest production, each against its desk lot — the strain as printed and as ruled, the manufacturing and retest dates, and the four lots the register skips inside the span it covers.</t>
        </is>
      </c>
    </row>
    <row r="9" ht="39" customHeight="1" s="70">
      <c r="A9" s="119" t="inlineStr">
        <is>
          <t>Reconciliation 09.09</t>
        </is>
      </c>
      <c r="B9" s="120" t="inlineStr">
        <is>
          <t>The owner's 09.09.2026 pass over the 387 certificates in eCoA_DATABASE against the desk, cell by cell: the parameters it closed on Batch Coverage, the cells the two records disagree about, and why the identity determinations stay blank on almost every lot — the iCoA that carries them has not been issued, and the in-house documents that do exist print no microscopy and no foreign-matter percentage.</t>
        </is>
      </c>
    </row>
    <row r="10" ht="39" customHeight="1" s="70">
      <c r="A10" s="119" t="inlineStr">
        <is>
          <t>CoQ Parameter Tracker v25</t>
        </is>
      </c>
      <c r="B10" s="120"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11" ht="13" customHeight="1" s="70">
      <c r="A11" s="119" t="inlineStr">
        <is>
          <t>Credit Audit</t>
        </is>
      </c>
      <c r="B11" s="120" t="inlineStr">
        <is>
          <t>Certificates credited on the owner's tracker that the desk holds no value from, with the reason.</t>
        </is>
      </c>
    </row>
    <row r="12" ht="26" customHeight="1" s="70">
      <c r="A12" s="119" t="inlineStr">
        <is>
          <t>Credit Corrections</t>
        </is>
      </c>
      <c r="B12" s="120" t="inlineStr">
        <is>
          <t>The two corrections applied to the owner's credits (the Farmahem pair, CNP identification B), one row each; nothing written back to the owner's workbook.</t>
        </is>
      </c>
    </row>
    <row r="13" ht="13" customHeight="1" s="70">
      <c r="A13" s="122" t="inlineStr">
        <is>
          <t>Work Order</t>
        </is>
      </c>
      <c r="B13" s="120" t="inlineStr">
        <is>
          <t>What a person must do next: certificates to ingest, values to read on the page, lots to record.</t>
        </is>
      </c>
    </row>
    <row r="14" ht="39" customHeight="1" s="70">
      <c r="A14" s="123" t="inlineStr">
        <is>
          <t>Open Items</t>
        </is>
      </c>
      <c r="B14" s="120" t="inlineStr">
        <is>
          <t>The standing register of what the desk cannot decide: every finding raised and left to the owner, with what was found, what the desk did with it, the decision being asked for, and the evidence behind it. STATE is open (waiting, nothing printed), marked (the certificate prints the field bracketed in red and unticked) or ruled (kept for the record with the ruling). Built from open_items.py, which also writes OPEN_ITEMS.md.</t>
        </is>
      </c>
    </row>
    <row r="15" ht="26" customHeight="1" s="70">
      <c r="A15" s="124" t="inlineStr">
        <is>
          <t>iCoA Issuance</t>
        </is>
      </c>
      <c r="B15" s="120" t="inlineStr">
        <is>
          <t>One row per P lot and series (initial release, retest): what its iCoA carries, the CNP references, the cannabinoid-assay eCoA that covers identification C, the codes and planned dates looked up on the registers.</t>
        </is>
      </c>
    </row>
    <row r="16" ht="13" customHeight="1" s="70">
      <c r="A16" s="125" t="inlineStr">
        <is>
          <t>Batch Dates</t>
        </is>
      </c>
      <c r="B16" s="120" t="inlineStr">
        <is>
          <t>The Head of QC's harvest and packaging dates per batch (04.09.2026), as dates; the registers look their packaging dates up here.</t>
        </is>
      </c>
    </row>
    <row r="17" ht="39" customHeight="1" s="70">
      <c r="A17" s="126" t="inlineStr">
        <is>
          <t>iCoA Register</t>
        </is>
      </c>
      <c r="B17" s="120"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8" ht="26" customHeight="1" s="70">
      <c r="A18" s="119" t="inlineStr">
        <is>
          <t>CoQ Register</t>
        </is>
      </c>
      <c r="B18" s="120" t="inlineStr">
        <is>
          <t>The preliminary CoQ issuance register: CoQ-PP_26-nnn in the order of issue, the latest eCoA each CoQ cites, its iCoA, the adherence flags under the table.</t>
        </is>
      </c>
    </row>
    <row r="19" ht="13" customHeight="1" s="70">
      <c r="A19" s="119" t="inlineStr">
        <is>
          <t>Parameters</t>
        </is>
      </c>
      <c r="B19" s="120" t="inlineStr">
        <is>
          <t>The 21 determinations with method, global acceptance criterion, source and tracker columns.</t>
        </is>
      </c>
    </row>
    <row r="20" ht="13" customHeight="1" s="70">
      <c r="A20" s="119" t="inlineStr">
        <is>
          <t>Summary Dashboard</t>
        </is>
      </c>
      <c r="B20" s="120" t="inlineStr">
        <is>
          <t>Counts recomputed from Batch Coverage: lots, documents, complete / partial / incomplete, missing-parameter frequency.</t>
        </is>
      </c>
    </row>
    <row r="21" s="70">
      <c r="A21" s="88" t="n"/>
      <c r="B21" s="89" t="n"/>
    </row>
    <row r="22" s="70">
      <c r="A22" s="121" t="inlineStr">
        <is>
          <t>LEGEND (tracker and coverage)</t>
        </is>
      </c>
      <c r="B22" s="89" t="n"/>
    </row>
    <row r="23" ht="13" customHeight="1" s="70">
      <c r="A23" s="119" t="inlineStr">
        <is>
          <t>✓ green</t>
        </is>
      </c>
      <c r="B23" s="120" t="inlineStr">
        <is>
          <t>A certificate is on file and its value is on the desk: an outsourced certificate (eCoA) or the in-house iCoA.</t>
        </is>
      </c>
    </row>
    <row r="24" ht="26" customHeight="1" s="70">
      <c r="A24" s="119" t="inlineStr">
        <is>
          <t>✓ grey</t>
        </is>
      </c>
      <c r="B24" s="120" t="inlineStr">
        <is>
          <t>Covered by the in-house iCoA only (identification A, identification B, foreign matter, tested at Purely Plant at packaging): coverage for the release CoQ (Head of QC, 04.09.2026).</t>
        </is>
      </c>
    </row>
    <row r="25" ht="13" customHeight="1" s="70">
      <c r="A25" s="119" t="inlineStr">
        <is>
          <t>✓ orange</t>
        </is>
      </c>
      <c r="B25" s="120" t="inlineStr">
        <is>
          <t>Stability-timepoint certificate — its value is not a release result.</t>
        </is>
      </c>
    </row>
    <row r="26" ht="26" customHeight="1" s="70">
      <c r="A26" s="119" t="inlineStr">
        <is>
          <t>✗ amber</t>
        </is>
      </c>
      <c r="B26" s="120" t="inlineStr">
        <is>
          <t>Certificate credited on the tracker, but the desk holds no value for this determination from it — the determination is not on that certificate, or the certificate never entered the record.</t>
        </is>
      </c>
    </row>
    <row r="27" ht="13" customHeight="1" s="70">
      <c r="A27" s="119" t="inlineStr">
        <is>
          <t>✗ red</t>
        </is>
      </c>
      <c r="B27" s="120" t="inlineStr">
        <is>
          <t>No certificate credited for the parameter.</t>
        </is>
      </c>
    </row>
    <row r="28" ht="26" customHeight="1" s="70">
      <c r="A28" s="119" t="inlineStr">
        <is>
          <t>•</t>
        </is>
      </c>
      <c r="B28" s="120" t="inlineStr">
        <is>
          <t>A document on file that is not credited for the parameter (an old in-house Report of Analysis, an NGP form, the QCCoA 001 certificate): shown, not coverage.</t>
        </is>
      </c>
    </row>
    <row r="29" ht="26" customHeight="1" s="70">
      <c r="A29" s="119" t="inlineStr">
        <is>
          <t>Conforms (ImB spec.)</t>
        </is>
      </c>
      <c r="B29" s="120" t="inlineStr">
        <is>
          <t>Identification C: conforms to the ImB specification on the certificate that carries the cannabinoid assay; the CoQ cites that eCoA (Head of QC, 04.09.2026).</t>
        </is>
      </c>
    </row>
    <row r="30" ht="13" customHeight="1" s="70">
      <c r="A30" s="119" t="inlineStr">
        <is>
          <t>Red result</t>
        </is>
      </c>
      <c r="B30" s="120" t="inlineStr">
        <is>
          <t>Out of specification against the global acceptance criterion (row 3). Orange: undetermined (a Ph. Eur. band the result sits in).</t>
        </is>
      </c>
    </row>
    <row r="32">
      <c r="A32" s="121" t="inlineStr">
        <is>
          <t>CONVENTIONS</t>
        </is>
      </c>
    </row>
    <row r="33" ht="26" customHeight="1" s="70">
      <c r="A33" s="119" t="inlineStr">
        <is>
          <t>Batch names</t>
        </is>
      </c>
      <c r="B33" s="120" t="inlineStr">
        <is>
          <t>CU batch as the owner names it; a sub-lot digit belongs to the batch (FB012601_1), never to the certificate code; an asterisk (JD112501＊) marks a lot of its own. The laboratory prints the zero of a P-number as a letter O (PO60052); it is folded to P060052.</t>
        </is>
      </c>
    </row>
    <row r="34" ht="26" customHeight="1" s="70">
      <c r="A34" s="119" t="inlineStr">
        <is>
          <t>Certificate codes</t>
        </is>
      </c>
      <c r="B34" s="120" t="inlineStr">
        <is>
          <t>As printed on the certificate (Cyrillic ППК codes kept). [Lab]: CNP (Faculty of Pharmacy, Center for Natural Products), IJZ-MB / IPH (Institute of Public Health), FHM-K / FHM-M (Farmahem), PP (Purely Plant, in-house).</t>
        </is>
      </c>
    </row>
    <row r="35" ht="13" customHeight="1" s="70">
      <c r="A35" s="119" t="inlineStr">
        <is>
          <t>Dates</t>
        </is>
      </c>
      <c r="B35" s="120" t="inlineStr">
        <is>
          <t>DD.MM.YYYY. The Batch Dates and register sheets hold real dates; the tracker prints them as text inside the reference.</t>
        </is>
      </c>
    </row>
    <row r="36" ht="26" customHeight="1" s="70">
      <c r="A36" s="119" t="inlineStr">
        <is>
          <t>Results</t>
        </is>
      </c>
      <c r="B36" s="120" t="inlineStr">
        <is>
          <t>Numeric results with the certificate's printed precision; qualitative results as text (Conforms, absent, &lt;LOQ, ND). A microbiological range (&lt; 10³ и &gt; 10²) is judged by its upper bound.</t>
        </is>
      </c>
    </row>
    <row r="37" ht="13" customHeight="1" s="70">
      <c r="A37" s="119" t="inlineStr">
        <is>
          <t>OOS check</t>
        </is>
      </c>
      <c r="B37" s="120" t="inlineStr">
        <is>
          <t>A result is flagged only when it provably exceeds its criterion; ND, &lt;LOQ, &lt;10 and absent pass; a value that cannot be parsed is never flagged.</t>
        </is>
      </c>
    </row>
    <row r="38" ht="26" customHeight="1" s="70">
      <c r="A38" s="119" t="inlineStr">
        <is>
          <t>Formulas</t>
        </is>
      </c>
      <c r="B38" s="120" t="inlineStr">
        <is>
          <t>On the two registers the number, the code and the dates are formulas, and the iCoA Issuance sheet and the tracker's in-house cells look the registers up by key: insert a row and every code beneath moves by one.</t>
        </is>
      </c>
    </row>
    <row r="39" ht="13" customHeight="1" s="70">
      <c r="A39" s="119" t="inlineStr">
        <is>
          <t>Print</t>
        </is>
      </c>
      <c r="B39" s="120" t="inlineStr">
        <is>
          <t>Every sheet: landscape, A3, one page wide, the header rows repeated; panes frozen under the header.</t>
        </is>
      </c>
    </row>
    <row r="40" ht="26" customHeight="1" s="70">
      <c r="A40" s="119" t="inlineStr">
        <is>
          <t>Do not</t>
        </is>
      </c>
      <c r="B40" s="120" t="inlineStr">
        <is>
          <t>read counts from the eCOA_DB text layer. On five of six certificates checked it read the exponent or a digit too low, every time in the direction of a conforming result.</t>
        </is>
      </c>
    </row>
    <row r="42">
      <c r="A42" s="121" t="inlineStr">
        <is>
          <t>RULINGS IN FORCE (Head of QC)</t>
        </is>
      </c>
    </row>
    <row r="43" ht="39" customHeight="1" s="70">
      <c r="A43" s="119" t="inlineStr">
        <is>
          <t>04.09.2026 · iCoA</t>
        </is>
      </c>
      <c r="B43" s="120"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4" ht="13" customHeight="1" s="70">
      <c r="A44" s="119" t="inlineStr">
        <is>
          <t>04.09.2026 · Ident C</t>
        </is>
      </c>
      <c r="B44" s="120" t="inlineStr">
        <is>
          <t>Identification C is 'Conforms', referenced to the eCoA that covers Total THC (the cannabinoid assay); for a Farmahem lot the K certificate.</t>
        </is>
      </c>
    </row>
    <row r="45" ht="13" customHeight="1" s="70">
      <c r="A45" s="119" t="inlineStr">
        <is>
          <t>04.09.2026 · decisions</t>
        </is>
      </c>
      <c r="B45" s="120" t="inlineStr">
        <is>
          <t>The two bile-tolerant gram-negative rows the reads disagreed on: P060262 &lt; 10³ и &gt; 10² CFU/g, P060432 &lt; 10² и &gt; 10 CFU/g (decisions_2026-09-04.tsv).</t>
        </is>
      </c>
    </row>
    <row r="46" ht="52" customHeight="1" s="70">
      <c r="A46" s="119" t="inlineStr">
        <is>
          <t>05.09.2026 · issuance</t>
        </is>
      </c>
      <c r="B46" s="120"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7" ht="52" customHeight="1" s="70">
      <c r="A47" s="119" t="inlineStr">
        <is>
          <t>05.09.2026 · retest</t>
        </is>
      </c>
      <c r="B47" s="120"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8" ht="26" customHeight="1" s="70">
      <c r="A48" s="119" t="inlineStr">
        <is>
          <t>05.09.2026 · missing</t>
        </is>
      </c>
      <c r="B48" s="120" t="inlineStr">
        <is>
          <t>A production lot whose initial certificate for a determination is not on file keeps its planned CoQ and number: the initial testing exists at CNP (microbiology: IJZ) and the certificate is to be located (Work Order).</t>
        </is>
      </c>
    </row>
    <row r="49" ht="39" customHeight="1" s="70">
      <c r="A49" s="119" t="inlineStr">
        <is>
          <t>09.09.2026 · reconciliation</t>
        </is>
      </c>
      <c r="B49" s="120"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50" ht="39" customHeight="1" s="70">
      <c r="A50" s="119" t="inlineStr">
        <is>
          <t>10.09.2026 · release vs retest</t>
        </is>
      </c>
      <c r="B50" s="120"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1" ht="52" customHeight="1" s="70">
      <c r="A51" s="119" t="inlineStr">
        <is>
          <t>10.09.2026 · issuance dates</t>
        </is>
      </c>
      <c r="B51" s="120"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2" ht="52" customHeight="1" s="70">
      <c r="A52" s="119" t="inlineStr">
        <is>
          <t>10.09.2026 · internal CoA scope</t>
        </is>
      </c>
      <c r="B52" s="120"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3" ht="39" customHeight="1" s="70">
      <c r="A53" s="119" t="inlineStr">
        <is>
          <t>10.09.2026 · untested analytes</t>
        </is>
      </c>
      <c r="B53" s="120"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4" ht="26" customHeight="1" s="70">
      <c r="A54" s="119" t="inlineStr">
        <is>
          <t>10.09.2026 · conformity wording</t>
        </is>
      </c>
      <c r="B54" s="120"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5" ht="26" customHeight="1" s="70">
      <c r="A55" s="119" t="inlineStr">
        <is>
          <t>11.09.2026 · packaging date</t>
        </is>
      </c>
      <c r="B55" s="120" t="inlineStr">
        <is>
          <t>A batch packaged over more than one day is tested — and its internal certificate dated — on the FIRST day of that window, not the day packaging completed.</t>
        </is>
      </c>
    </row>
    <row r="57">
      <c r="A57" s="121" t="inlineStr">
        <is>
          <t>VERSION HISTORY</t>
        </is>
      </c>
    </row>
    <row r="58" ht="26" customHeight="1" s="70">
      <c r="A58" s="119" t="inlineStr">
        <is>
          <t>v7</t>
        </is>
      </c>
      <c r="B58" s="120" t="inlineStr">
        <is>
          <t>The two-row block tracker: one lot per block, certificates stacked in date order, sub-determinations in their own columns, acceptance criteria in row 3 and enforced, out-of-specification results in red and named in STATUS.</t>
        </is>
      </c>
    </row>
    <row r="59" ht="26" customHeight="1" s="70">
      <c r="A59" s="119" t="inlineStr">
        <is>
          <t>v9</t>
        </is>
      </c>
      <c r="B59" s="120" t="inlineStr">
        <is>
          <t>Verified and slimmed to live in Drive: every decision-bearing value checked against the filed page (review/V8_TRUTH_CHECK_2026-09-02.md); three sheets of v8 (a flat results register, a flat tracker, a document index) were retired to the repository.</t>
        </is>
      </c>
    </row>
    <row r="60" ht="26" customHeight="1" s="70">
      <c r="A60" s="119" t="inlineStr">
        <is>
          <t>v10</t>
        </is>
      </c>
      <c r="B60" s="120" t="inlineStr">
        <is>
          <t>The 30 IJZ-MB certificates of 31.08 and 01.09.2026 as testing instances credited to #9; the iCoA rule; the Head of QC's harvest and packaging dates (Batch Dates); one iCoA per P lot; the iCoA Issuance sheet.</t>
        </is>
      </c>
    </row>
    <row r="61" ht="26" customHeight="1" s="70">
      <c r="A61" s="119" t="inlineStr">
        <is>
          <t>v11</t>
        </is>
      </c>
      <c r="B61" s="120"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2" ht="26" customHeight="1" s="70">
      <c r="A62" s="119" t="inlineStr">
        <is>
          <t>v12</t>
        </is>
      </c>
      <c r="B62" s="120" t="inlineStr">
        <is>
          <t>The Delivery T1–T3 sheet: the 78 cultivation batches delivered in the three tranches of 31.07, 14.08 and 28.08.2026, each against its row on Batch Coverage.</t>
        </is>
      </c>
    </row>
    <row r="63" ht="26" customHeight="1" s="70">
      <c r="A63" s="119" t="inlineStr">
        <is>
          <t>v13</t>
        </is>
      </c>
      <c r="B63" s="120" t="inlineStr">
        <is>
          <t>The strain ruling (Cap Junky, Head of QC 07.09.2026) and the ImB Register: the customer's own certificate register, scanned 04.09.2026, 43 entries against their desk lots.</t>
        </is>
      </c>
    </row>
    <row r="64" ht="13" customHeight="1" s="70">
      <c r="A64" s="119" t="inlineStr">
        <is>
          <t>v20</t>
        </is>
      </c>
      <c r="B64" s="120" t="inlineStr">
        <is>
          <t>The owner's own workbook, built outside this pipeline and vendored in as the base for everything after it — not a version this desk produced.</t>
        </is>
      </c>
    </row>
    <row r="65" ht="26" customHeight="1" s="70">
      <c r="A65" s="119" t="inlineStr">
        <is>
          <t>v21</t>
        </is>
      </c>
      <c r="B65" s="120" t="inlineStr">
        <is>
          <t>The owner's v20 pass reconciled in: 387 certificates, all 600 determinations of Tranches 1 and 2 resolved through cell_resolution.py; 69 cells filled, 0 non-blank cells overwritten.</t>
        </is>
      </c>
    </row>
    <row r="66" ht="26" customHeight="1" s="70">
      <c r="A66" s="119" t="inlineStr">
        <is>
          <t>v22</t>
        </is>
      </c>
      <c r="B66" s="120" t="inlineStr">
        <is>
          <t>The rulings of 10.09.2026 written into the workbook's own live Excel formulas: release-versus-retest by position, the issuance dates, the internal-CoA register.</t>
        </is>
      </c>
    </row>
    <row r="67" ht="39" customHeight="1" s="70">
      <c r="A67" s="119" t="inlineStr">
        <is>
          <t>v23</t>
        </is>
      </c>
      <c r="B67" s="120"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8" ht="39" customHeight="1" s="70">
      <c r="A68" s="119" t="inlineStr">
        <is>
          <t>v24</t>
        </is>
      </c>
      <c r="B68" s="120"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9" ht="52" customHeight="1" s="70">
      <c r="A69" s="119" t="inlineStr">
        <is>
          <t>v25</t>
        </is>
      </c>
      <c r="B69" s="120"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V81"/>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5</v>
      </c>
      <c r="T4" s="102" t="inlineStr">
        <is>
          <t>[CNP]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5</v>
      </c>
      <c r="T5" s="102" t="inlineStr">
        <is>
          <t>[CNP]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4</v>
      </c>
      <c r="T6" s="102" t="inlineStr">
        <is>
          <t>[CNP]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27" t="inlineStr">
        <is>
          <t>○</t>
        </is>
      </c>
      <c r="O7" s="127" t="inlineStr">
        <is>
          <t>○</t>
        </is>
      </c>
      <c r="P7" s="127" t="inlineStr">
        <is>
          <t>○</t>
        </is>
      </c>
      <c r="Q7" s="101" t="n">
        <v>3</v>
      </c>
      <c r="R7" s="104" t="inlineStr">
        <is>
          <t>#10 Mycotoxins (on file 09.09, not recorded); #11 Heavy metals (on file 09.09, not recorded); #12 Pesticides (on file 09.09, not recorded)</t>
        </is>
      </c>
      <c r="S7" s="103" t="n">
        <v>2</v>
      </c>
      <c r="T7" s="102" t="inlineStr">
        <is>
          <t>[CNP]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27" t="inlineStr">
        <is>
          <t>○</t>
        </is>
      </c>
      <c r="O8" s="127" t="inlineStr">
        <is>
          <t>○</t>
        </is>
      </c>
      <c r="P8" s="127" t="inlineStr">
        <is>
          <t>○</t>
        </is>
      </c>
      <c r="Q8" s="101" t="n">
        <v>3</v>
      </c>
      <c r="R8" s="104" t="inlineStr">
        <is>
          <t>#10 Mycotoxins (on file 09.09, not recorded); #11 Heavy metals (on file 09.09, not recorded); #12 Pesticides (on file 09.09, not recorded)</t>
        </is>
      </c>
      <c r="S8" s="103" t="n">
        <v>2</v>
      </c>
      <c r="T8" s="102" t="inlineStr">
        <is>
          <t>[CNP]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27" t="inlineStr">
        <is>
          <t>○</t>
        </is>
      </c>
      <c r="N9" s="127" t="inlineStr">
        <is>
          <t>○</t>
        </is>
      </c>
      <c r="O9" s="127" t="inlineStr">
        <is>
          <t>○</t>
        </is>
      </c>
      <c r="P9" s="127"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5</v>
      </c>
      <c r="T10" s="102" t="inlineStr">
        <is>
          <t>[CNP]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5</v>
      </c>
      <c r="T11" s="102" t="inlineStr">
        <is>
          <t>[CNP]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27" t="inlineStr">
        <is>
          <t>○</t>
        </is>
      </c>
      <c r="N12" s="98" t="inlineStr">
        <is>
          <t>✓</t>
        </is>
      </c>
      <c r="O12" s="127" t="inlineStr">
        <is>
          <t>○</t>
        </is>
      </c>
      <c r="P12" s="127"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27" t="inlineStr">
        <is>
          <t>○</t>
        </is>
      </c>
      <c r="O13" s="99" t="inlineStr">
        <is>
          <t>✗</t>
        </is>
      </c>
      <c r="P13" s="127"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9 MISSING</t>
        </is>
      </c>
      <c r="E14" s="105" t="inlineStr">
        <is>
          <t>✓</t>
        </is>
      </c>
      <c r="F14" s="105" t="inlineStr">
        <is>
          <t>✓</t>
        </is>
      </c>
      <c r="G14" s="127" t="inlineStr">
        <is>
          <t>○</t>
        </is>
      </c>
      <c r="H14" s="127" t="inlineStr">
        <is>
          <t>○</t>
        </is>
      </c>
      <c r="I14" s="127" t="inlineStr">
        <is>
          <t>○</t>
        </is>
      </c>
      <c r="J14" s="99" t="inlineStr">
        <is>
          <t>✗</t>
        </is>
      </c>
      <c r="K14" s="105" t="inlineStr">
        <is>
          <t>✓</t>
        </is>
      </c>
      <c r="L14" s="127" t="inlineStr">
        <is>
          <t>○</t>
        </is>
      </c>
      <c r="M14" s="127" t="inlineStr">
        <is>
          <t>○</t>
        </is>
      </c>
      <c r="N14" s="127" t="inlineStr">
        <is>
          <t>○</t>
        </is>
      </c>
      <c r="O14" s="127" t="inlineStr">
        <is>
          <t>○</t>
        </is>
      </c>
      <c r="P14" s="127" t="inlineStr">
        <is>
          <t>○</t>
        </is>
      </c>
      <c r="Q14" s="101" t="n">
        <v>9</v>
      </c>
      <c r="R14" s="104" t="inlineStr">
        <is>
          <t>#3 Ident. C (on file 09.09, not recorded); #4 Δ⁹-THC (on file 09.09, not recorded); #5 CBD (on file 09.09, not recorded); #6 CBN; #8 LoD (on file 09.09, not recorded); #9 Microbiology (on file 09.09, not recorded); #10 Mycotoxins (on file 09.09, not recorded); #11 Heavy metals (on file 09.09, not recorded); #12 Pesticides (on file 09.09, not recorded)</t>
        </is>
      </c>
      <c r="S14" s="103" t="n">
        <v>2</v>
      </c>
      <c r="T14" s="102" t="inlineStr">
        <is>
          <t>[PP]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5</v>
      </c>
      <c r="T15" s="102" t="inlineStr">
        <is>
          <t>[CNP] 1; [IJZ] 1; [IJZ-MB] 2; [PP] 1</t>
        </is>
      </c>
      <c r="U15" s="103" t="n">
        <v>0</v>
      </c>
      <c r="V15" s="102" t="inlineStr">
        <is>
          <t>—</t>
        </is>
      </c>
    </row>
    <row r="16" ht="26" customHeight="1" s="70">
      <c r="A16" s="96" t="inlineStr">
        <is>
          <t>GRC102501</t>
        </is>
      </c>
      <c r="B16" s="97" t="inlineStr">
        <is>
          <t>P060142 / P060182</t>
        </is>
      </c>
      <c r="C16" s="97" t="inlineStr"/>
      <c r="D16" s="98" t="inlineStr">
        <is>
          <t>⚠ 3 MISSING</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9" t="inlineStr">
        <is>
          <t>✗</t>
        </is>
      </c>
      <c r="O16" s="127" t="inlineStr">
        <is>
          <t>○</t>
        </is>
      </c>
      <c r="P16" s="127" t="inlineStr">
        <is>
          <t>○</t>
        </is>
      </c>
      <c r="Q16" s="101" t="n">
        <v>3</v>
      </c>
      <c r="R16" s="104" t="inlineStr">
        <is>
          <t>#10 Mycotoxins; #11 Heavy metals (on file 09.09, not recorded); #12 Pesticides (on file 09.09, not recorded)</t>
        </is>
      </c>
      <c r="S16" s="103" t="n">
        <v>5</v>
      </c>
      <c r="T16" s="102" t="inlineStr">
        <is>
          <t>[FHM-K] 2;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27" t="inlineStr">
        <is>
          <t>○</t>
        </is>
      </c>
      <c r="N18" s="105" t="inlineStr">
        <is>
          <t>✓</t>
        </is>
      </c>
      <c r="O18" s="127" t="inlineStr">
        <is>
          <t>○</t>
        </is>
      </c>
      <c r="P18" s="127"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27" t="inlineStr">
        <is>
          <t>○</t>
        </is>
      </c>
      <c r="O19" s="127" t="inlineStr">
        <is>
          <t>○</t>
        </is>
      </c>
      <c r="P19" s="127" t="inlineStr">
        <is>
          <t>○</t>
        </is>
      </c>
      <c r="Q19" s="101" t="n">
        <v>3</v>
      </c>
      <c r="R19" s="104" t="inlineStr">
        <is>
          <t>#10 Mycotoxins (on file 09.09, not recorded); #11 Heavy metals (on file 09.09, not recorded); #12 Pesticides (on file 09.09, not recorded)</t>
        </is>
      </c>
      <c r="S19" s="103" t="n">
        <v>8</v>
      </c>
      <c r="T19" s="102" t="inlineStr">
        <is>
          <t>[FHM-K] 6;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8</v>
      </c>
      <c r="T20" s="102" t="inlineStr">
        <is>
          <t>[FHM-K] 2;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5</v>
      </c>
      <c r="T21" s="102" t="inlineStr">
        <is>
          <t>[CNP] 1; [IJZ] 1; [IJZ-MB] 2; [PP] 1</t>
        </is>
      </c>
      <c r="U21" s="103" t="n">
        <v>0</v>
      </c>
      <c r="V21" s="102" t="inlineStr">
        <is>
          <t>—</t>
        </is>
      </c>
    </row>
    <row r="22" ht="26" customHeight="1" s="70">
      <c r="A22" s="96" t="inlineStr">
        <is>
          <t>JD012603</t>
        </is>
      </c>
      <c r="B22" s="97" t="inlineStr">
        <is>
          <t>P060362 / P060412 / P060422</t>
        </is>
      </c>
      <c r="C22" s="97" t="inlineStr"/>
      <c r="D22" s="98" t="inlineStr">
        <is>
          <t>○ 4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27" t="inlineStr">
        <is>
          <t>○</t>
        </is>
      </c>
      <c r="N22" s="127" t="inlineStr">
        <is>
          <t>○</t>
        </is>
      </c>
      <c r="O22" s="127" t="inlineStr">
        <is>
          <t>○</t>
        </is>
      </c>
      <c r="P22" s="127" t="inlineStr">
        <is>
          <t>○</t>
        </is>
      </c>
      <c r="Q22" s="101" t="n">
        <v>4</v>
      </c>
      <c r="R22" s="104" t="inlineStr">
        <is>
          <t>#9 Microbiology (on file 09.09, not recorded); #10 Mycotoxins (on file 09.09, not recorded); #11 Heavy metals (on file 09.09, not recorded); #12 Pesticides (on file 09.09, not recorded)</t>
        </is>
      </c>
      <c r="S22" s="103" t="n">
        <v>2</v>
      </c>
      <c r="T22" s="102" t="inlineStr">
        <is>
          <t>[CNP] 2</t>
        </is>
      </c>
      <c r="U22" s="103" t="n">
        <v>5</v>
      </c>
      <c r="V22" s="102" t="inlineStr">
        <is>
          <t>[IJZ] 2; [IJZ-MB] 3</t>
        </is>
      </c>
    </row>
    <row r="23" ht="26" customHeight="1" s="70">
      <c r="A23" s="96" t="inlineStr">
        <is>
          <t>JD022601</t>
        </is>
      </c>
      <c r="B23" s="97" t="inlineStr">
        <is>
          <t>P060482</t>
        </is>
      </c>
      <c r="C23" s="97" t="inlineStr">
        <is>
          <t>JellyDonutz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27" t="inlineStr">
        <is>
          <t>○</t>
        </is>
      </c>
      <c r="N23" s="127" t="inlineStr">
        <is>
          <t>○</t>
        </is>
      </c>
      <c r="O23" s="127" t="inlineStr">
        <is>
          <t>○</t>
        </is>
      </c>
      <c r="P23" s="127"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4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27" t="inlineStr">
        <is>
          <t>○</t>
        </is>
      </c>
      <c r="N26" s="127" t="inlineStr">
        <is>
          <t>○</t>
        </is>
      </c>
      <c r="O26" s="127" t="inlineStr">
        <is>
          <t>○</t>
        </is>
      </c>
      <c r="P26" s="127" t="inlineStr">
        <is>
          <t>○</t>
        </is>
      </c>
      <c r="Q26" s="101" t="n">
        <v>4</v>
      </c>
      <c r="R26" s="104" t="inlineStr">
        <is>
          <t>#9 Microbiology (on file 09.09, not recorded); #10 Mycotoxins (on file 09.09, not recorded); #11 Heavy metals (on file 09.09, not recorded); #12 Pesticides (on file 09.09, not recorded)</t>
        </is>
      </c>
      <c r="S26" s="103" t="n">
        <v>3</v>
      </c>
      <c r="T26" s="102" t="inlineStr">
        <is>
          <t>[FHM-K] 2;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4 MISSING</t>
        </is>
      </c>
      <c r="E28" s="105" t="inlineStr">
        <is>
          <t>✓</t>
        </is>
      </c>
      <c r="F28" s="105" t="inlineStr">
        <is>
          <t>✓</t>
        </is>
      </c>
      <c r="G28" s="100" t="inlineStr">
        <is>
          <t>✓</t>
        </is>
      </c>
      <c r="H28" s="100" t="inlineStr">
        <is>
          <t>✓</t>
        </is>
      </c>
      <c r="I28" s="100" t="inlineStr">
        <is>
          <t>✓</t>
        </is>
      </c>
      <c r="J28" s="99" t="inlineStr">
        <is>
          <t>✗</t>
        </is>
      </c>
      <c r="K28" s="105" t="inlineStr">
        <is>
          <t>✓</t>
        </is>
      </c>
      <c r="L28" s="100" t="inlineStr">
        <is>
          <t>✓</t>
        </is>
      </c>
      <c r="M28" s="98" t="inlineStr">
        <is>
          <t>✓</t>
        </is>
      </c>
      <c r="N28" s="99" t="inlineStr">
        <is>
          <t>✗</t>
        </is>
      </c>
      <c r="O28" s="127" t="inlineStr">
        <is>
          <t>○</t>
        </is>
      </c>
      <c r="P28" s="127" t="inlineStr">
        <is>
          <t>○</t>
        </is>
      </c>
      <c r="Q28" s="101" t="n">
        <v>4</v>
      </c>
      <c r="R28" s="104" t="inlineStr">
        <is>
          <t>#6 CBN; #10 Mycotoxins; #11 Heavy metals (on file 09.09, not recorded); #12 Pesticides (on file 09.09, not recorded)</t>
        </is>
      </c>
      <c r="S28" s="103" t="n">
        <v>3</v>
      </c>
      <c r="T28" s="102" t="inlineStr">
        <is>
          <t>[CNP]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5</v>
      </c>
      <c r="T30" s="102" t="inlineStr">
        <is>
          <t>[CNP]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1 MISSING</t>
        </is>
      </c>
      <c r="E32" s="105" t="inlineStr">
        <is>
          <t>✓</t>
        </is>
      </c>
      <c r="F32" s="105" t="inlineStr">
        <is>
          <t>✓</t>
        </is>
      </c>
      <c r="G32" s="100" t="inlineStr">
        <is>
          <t>✓</t>
        </is>
      </c>
      <c r="H32" s="100" t="inlineStr">
        <is>
          <t>✓</t>
        </is>
      </c>
      <c r="I32" s="100" t="inlineStr">
        <is>
          <t>✓</t>
        </is>
      </c>
      <c r="J32" s="99" t="inlineStr">
        <is>
          <t>✗</t>
        </is>
      </c>
      <c r="K32" s="105" t="inlineStr">
        <is>
          <t>✓</t>
        </is>
      </c>
      <c r="L32" s="100" t="inlineStr">
        <is>
          <t>✓</t>
        </is>
      </c>
      <c r="M32" s="100" t="inlineStr">
        <is>
          <t>✓</t>
        </is>
      </c>
      <c r="N32" s="100" t="inlineStr">
        <is>
          <t>✓</t>
        </is>
      </c>
      <c r="O32" s="100" t="inlineStr">
        <is>
          <t>✓</t>
        </is>
      </c>
      <c r="P32" s="100" t="inlineStr">
        <is>
          <t>✓</t>
        </is>
      </c>
      <c r="Q32" s="101" t="n">
        <v>1</v>
      </c>
      <c r="R32" s="102" t="inlineStr">
        <is>
          <t>#6 CBN</t>
        </is>
      </c>
      <c r="S32" s="103" t="n">
        <v>5</v>
      </c>
      <c r="T32" s="102" t="inlineStr">
        <is>
          <t>[CNP]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4</v>
      </c>
      <c r="T33" s="102" t="inlineStr">
        <is>
          <t>[CNP]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7</v>
      </c>
      <c r="T36" s="102" t="inlineStr">
        <is>
          <t>[CNP] 4;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4</v>
      </c>
      <c r="T37" s="102" t="inlineStr">
        <is>
          <t>[CNP]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4</v>
      </c>
      <c r="T40" s="102" t="inlineStr">
        <is>
          <t>[CNP]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5</v>
      </c>
      <c r="T41" s="102" t="inlineStr">
        <is>
          <t>[CNP] 1; [IJZ] 1; [IJZ-MB] 2; [PP] 1</t>
        </is>
      </c>
      <c r="U41" s="103" t="n">
        <v>0</v>
      </c>
      <c r="V41" s="102" t="inlineStr">
        <is>
          <t>—</t>
        </is>
      </c>
    </row>
    <row r="42">
      <c r="A42" s="96" t="inlineStr">
        <is>
          <t>OPM052501</t>
        </is>
      </c>
      <c r="B42" s="97" t="inlineStr">
        <is>
          <t>P050132</t>
        </is>
      </c>
      <c r="C42" s="97" t="inlineStr">
        <is>
          <t>Orange Punch Mimosa</t>
        </is>
      </c>
      <c r="D42" s="98" t="inlineStr">
        <is>
          <t>⚠ 1 MISSING</t>
        </is>
      </c>
      <c r="E42" s="105" t="inlineStr">
        <is>
          <t>✓</t>
        </is>
      </c>
      <c r="F42" s="105" t="inlineStr">
        <is>
          <t>✓</t>
        </is>
      </c>
      <c r="G42" s="100" t="inlineStr">
        <is>
          <t>✓</t>
        </is>
      </c>
      <c r="H42" s="100" t="inlineStr">
        <is>
          <t>✓</t>
        </is>
      </c>
      <c r="I42" s="100" t="inlineStr">
        <is>
          <t>✓</t>
        </is>
      </c>
      <c r="J42" s="99" t="inlineStr">
        <is>
          <t>✗</t>
        </is>
      </c>
      <c r="K42" s="105" t="inlineStr">
        <is>
          <t>✓</t>
        </is>
      </c>
      <c r="L42" s="100" t="inlineStr">
        <is>
          <t>✓</t>
        </is>
      </c>
      <c r="M42" s="100" t="inlineStr">
        <is>
          <t>✓</t>
        </is>
      </c>
      <c r="N42" s="100" t="inlineStr">
        <is>
          <t>✓</t>
        </is>
      </c>
      <c r="O42" s="100" t="inlineStr">
        <is>
          <t>✓</t>
        </is>
      </c>
      <c r="P42" s="100" t="inlineStr">
        <is>
          <t>✓</t>
        </is>
      </c>
      <c r="Q42" s="101" t="n">
        <v>1</v>
      </c>
      <c r="R42" s="102" t="inlineStr">
        <is>
          <t>#6 CBN</t>
        </is>
      </c>
      <c r="S42" s="103" t="n">
        <v>5</v>
      </c>
      <c r="T42" s="102" t="inlineStr">
        <is>
          <t>[CNP]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5</v>
      </c>
      <c r="T45" s="102" t="inlineStr">
        <is>
          <t>[CNP]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4</v>
      </c>
      <c r="T46" s="102" t="inlineStr">
        <is>
          <t>[CNP] 1; [IJZ] 1; [IJZ-MB] 1; [PP] 1</t>
        </is>
      </c>
      <c r="U46" s="103" t="n">
        <v>0</v>
      </c>
      <c r="V46" s="102" t="inlineStr">
        <is>
          <t>—</t>
        </is>
      </c>
    </row>
    <row r="47">
      <c r="A47" s="96" t="inlineStr">
        <is>
          <t>BSS052501</t>
        </is>
      </c>
      <c r="B47" s="97" t="inlineStr">
        <is>
          <t>P050192</t>
        </is>
      </c>
      <c r="C47" s="97" t="inlineStr">
        <is>
          <t>Blue Sunset Sherbet</t>
        </is>
      </c>
      <c r="D47" s="98" t="inlineStr">
        <is>
          <t>⚠ 2 MISSING</t>
        </is>
      </c>
      <c r="E47" s="105" t="inlineStr">
        <is>
          <t>✓</t>
        </is>
      </c>
      <c r="F47" s="105" t="inlineStr">
        <is>
          <t>✓</t>
        </is>
      </c>
      <c r="G47" s="105" t="inlineStr">
        <is>
          <t>✓</t>
        </is>
      </c>
      <c r="H47" s="105" t="inlineStr">
        <is>
          <t>✓</t>
        </is>
      </c>
      <c r="I47" s="105" t="inlineStr">
        <is>
          <t>✓</t>
        </is>
      </c>
      <c r="J47" s="99" t="inlineStr">
        <is>
          <t>✗</t>
        </is>
      </c>
      <c r="K47" s="105" t="inlineStr">
        <is>
          <t>✓</t>
        </is>
      </c>
      <c r="L47" s="99" t="inlineStr">
        <is>
          <t>✗</t>
        </is>
      </c>
      <c r="M47" s="100" t="inlineStr">
        <is>
          <t>✓</t>
        </is>
      </c>
      <c r="N47" s="100" t="inlineStr">
        <is>
          <t>✓</t>
        </is>
      </c>
      <c r="O47" s="100" t="inlineStr">
        <is>
          <t>✓</t>
        </is>
      </c>
      <c r="P47" s="100" t="inlineStr">
        <is>
          <t>✓</t>
        </is>
      </c>
      <c r="Q47" s="101" t="n">
        <v>2</v>
      </c>
      <c r="R47" s="102" t="inlineStr">
        <is>
          <t>#6 CBN; #8 LoD</t>
        </is>
      </c>
      <c r="S47" s="103" t="n">
        <v>7</v>
      </c>
      <c r="T47" s="102" t="inlineStr">
        <is>
          <t>[DFL] 1; [FHM-M] 1; [IJZ] 1; [IJZ-MB] 2; [NGP] 1; [PP] 1</t>
        </is>
      </c>
      <c r="U47" s="103" t="n">
        <v>0</v>
      </c>
      <c r="V47" s="102" t="inlineStr">
        <is>
          <t>—</t>
        </is>
      </c>
    </row>
    <row r="48">
      <c r="A48" s="96" t="inlineStr">
        <is>
          <t>GP062501</t>
        </is>
      </c>
      <c r="B48" s="97" t="inlineStr">
        <is>
          <t>P050202</t>
        </is>
      </c>
      <c r="C48" s="97" t="inlineStr">
        <is>
          <t>Grape Pie</t>
        </is>
      </c>
      <c r="D48" s="98" t="inlineStr">
        <is>
          <t>⚠ 1 MISSING</t>
        </is>
      </c>
      <c r="E48" s="105" t="inlineStr">
        <is>
          <t>✓</t>
        </is>
      </c>
      <c r="F48" s="105" t="inlineStr">
        <is>
          <t>✓</t>
        </is>
      </c>
      <c r="G48" s="106" t="inlineStr">
        <is>
          <t>✓</t>
        </is>
      </c>
      <c r="H48" s="106" t="inlineStr">
        <is>
          <t>✓</t>
        </is>
      </c>
      <c r="I48" s="106" t="inlineStr">
        <is>
          <t>✓</t>
        </is>
      </c>
      <c r="J48" s="99" t="inlineStr">
        <is>
          <t>✗</t>
        </is>
      </c>
      <c r="K48" s="105" t="inlineStr">
        <is>
          <t>✓</t>
        </is>
      </c>
      <c r="L48" s="106" t="inlineStr">
        <is>
          <t>✓</t>
        </is>
      </c>
      <c r="M48" s="100" t="inlineStr">
        <is>
          <t>✓</t>
        </is>
      </c>
      <c r="N48" s="100" t="inlineStr">
        <is>
          <t>✓</t>
        </is>
      </c>
      <c r="O48" s="100" t="inlineStr">
        <is>
          <t>✓</t>
        </is>
      </c>
      <c r="P48" s="100" t="inlineStr">
        <is>
          <t>✓</t>
        </is>
      </c>
      <c r="Q48" s="101" t="n">
        <v>1</v>
      </c>
      <c r="R48" s="102" t="inlineStr">
        <is>
          <t>#6 CBN</t>
        </is>
      </c>
      <c r="S48" s="103" t="n">
        <v>10</v>
      </c>
      <c r="T48" s="102" t="inlineStr">
        <is>
          <t>[CNP] 4;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4</v>
      </c>
      <c r="T50" s="102" t="inlineStr">
        <is>
          <t>[CNP]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5</v>
      </c>
      <c r="T51" s="102" t="inlineStr">
        <is>
          <t>[CNP]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5</v>
      </c>
      <c r="T52" s="102" t="inlineStr">
        <is>
          <t>[CNP] 1; [IJZ] 1; [IJZ-MB] 2; [PP] 1</t>
        </is>
      </c>
      <c r="U52" s="103" t="n">
        <v>0</v>
      </c>
      <c r="V52" s="102" t="inlineStr">
        <is>
          <t>—</t>
        </is>
      </c>
    </row>
    <row r="53">
      <c r="A53" s="96" t="inlineStr">
        <is>
          <t>PM072501</t>
        </is>
      </c>
      <c r="B53" s="97" t="inlineStr">
        <is>
          <t>P050272</t>
        </is>
      </c>
      <c r="C53" s="97" t="inlineStr">
        <is>
          <t>Permanent Market</t>
        </is>
      </c>
      <c r="D53" s="98" t="inlineStr">
        <is>
          <t>⚠ 1 MISSING</t>
        </is>
      </c>
      <c r="E53" s="105" t="inlineStr">
        <is>
          <t>✓</t>
        </is>
      </c>
      <c r="F53" s="105" t="inlineStr">
        <is>
          <t>✓</t>
        </is>
      </c>
      <c r="G53" s="100" t="inlineStr">
        <is>
          <t>✓</t>
        </is>
      </c>
      <c r="H53" s="100" t="inlineStr">
        <is>
          <t>✓</t>
        </is>
      </c>
      <c r="I53" s="100" t="inlineStr">
        <is>
          <t>✓</t>
        </is>
      </c>
      <c r="J53" s="99" t="inlineStr">
        <is>
          <t>✗</t>
        </is>
      </c>
      <c r="K53" s="105" t="inlineStr">
        <is>
          <t>✓</t>
        </is>
      </c>
      <c r="L53" s="100" t="inlineStr">
        <is>
          <t>✓</t>
        </is>
      </c>
      <c r="M53" s="100" t="inlineStr">
        <is>
          <t>✓</t>
        </is>
      </c>
      <c r="N53" s="100" t="inlineStr">
        <is>
          <t>✓</t>
        </is>
      </c>
      <c r="O53" s="100" t="inlineStr">
        <is>
          <t>✓</t>
        </is>
      </c>
      <c r="P53" s="100" t="inlineStr">
        <is>
          <t>✓</t>
        </is>
      </c>
      <c r="Q53" s="101" t="n">
        <v>1</v>
      </c>
      <c r="R53" s="102" t="inlineStr">
        <is>
          <t>#6 CBN</t>
        </is>
      </c>
      <c r="S53" s="103" t="n">
        <v>5</v>
      </c>
      <c r="T53" s="102" t="inlineStr">
        <is>
          <t>[CNP]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4</v>
      </c>
      <c r="T54" s="102" t="inlineStr">
        <is>
          <t>[CNP]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5</v>
      </c>
      <c r="T55" s="102" t="inlineStr">
        <is>
          <t>[CNP]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4</v>
      </c>
      <c r="T56" s="102" t="inlineStr">
        <is>
          <t>[CNP]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4</v>
      </c>
      <c r="T57" s="102" t="inlineStr">
        <is>
          <t>[CNP]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4</v>
      </c>
      <c r="T59" s="102" t="inlineStr">
        <is>
          <t>[CNP]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4</v>
      </c>
      <c r="T60" s="102" t="inlineStr">
        <is>
          <t>[CNP]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4</v>
      </c>
      <c r="T62" s="102" t="inlineStr">
        <is>
          <t>[CNP]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5</v>
      </c>
      <c r="T63" s="102" t="inlineStr">
        <is>
          <t>[CNP]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4</v>
      </c>
      <c r="T65" s="102" t="inlineStr">
        <is>
          <t>[CNP]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4</v>
      </c>
      <c r="T66" s="102" t="inlineStr">
        <is>
          <t>[CNP]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4</v>
      </c>
      <c r="T67" s="102" t="inlineStr">
        <is>
          <t>[CNP]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27"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27"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27"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27" t="inlineStr">
        <is>
          <t>○</t>
        </is>
      </c>
      <c r="N71" s="127" t="inlineStr">
        <is>
          <t>○</t>
        </is>
      </c>
      <c r="O71" s="127" t="inlineStr">
        <is>
          <t>○</t>
        </is>
      </c>
      <c r="P71" s="127"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27" t="inlineStr">
        <is>
          <t>○</t>
        </is>
      </c>
      <c r="N72" s="127" t="inlineStr">
        <is>
          <t>○</t>
        </is>
      </c>
      <c r="O72" s="127" t="inlineStr">
        <is>
          <t>○</t>
        </is>
      </c>
      <c r="P72" s="127"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27" t="inlineStr">
        <is>
          <t>○</t>
        </is>
      </c>
      <c r="N73" s="127" t="inlineStr">
        <is>
          <t>○</t>
        </is>
      </c>
      <c r="O73" s="127" t="inlineStr">
        <is>
          <t>○</t>
        </is>
      </c>
      <c r="P73" s="127"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4 MISSING</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27" t="inlineStr">
        <is>
          <t>○</t>
        </is>
      </c>
      <c r="N74" s="99" t="inlineStr">
        <is>
          <t>✗</t>
        </is>
      </c>
      <c r="O74" s="127" t="inlineStr">
        <is>
          <t>○</t>
        </is>
      </c>
      <c r="P74" s="127" t="inlineStr">
        <is>
          <t>○</t>
        </is>
      </c>
      <c r="Q74" s="101" t="n">
        <v>4</v>
      </c>
      <c r="R74" s="104" t="inlineStr">
        <is>
          <t>#9 Microbiology (on file 09.09, not recorded); #10 Mycotoxins; #11 Heavy metals (on file 09.09, not recorded); #12 Pesticides (on file 09.09, not recorded)</t>
        </is>
      </c>
      <c r="S74" s="103" t="n">
        <v>2</v>
      </c>
      <c r="T74" s="102" t="inlineStr">
        <is>
          <t>[CNP]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27" t="inlineStr">
        <is>
          <t>○</t>
        </is>
      </c>
      <c r="O75" s="127" t="inlineStr">
        <is>
          <t>○</t>
        </is>
      </c>
      <c r="P75" s="127" t="inlineStr">
        <is>
          <t>○</t>
        </is>
      </c>
      <c r="Q75" s="101" t="n">
        <v>3</v>
      </c>
      <c r="R75" s="104" t="inlineStr">
        <is>
          <t>#10 Mycotoxins (on file 09.09, not recorded); #11 Heavy metals (on file 09.09, not recorded); #12 Pesticides (on file 09.09, not recorded)</t>
        </is>
      </c>
      <c r="S75" s="103" t="n">
        <v>2</v>
      </c>
      <c r="T75" s="102" t="inlineStr">
        <is>
          <t>[CNP]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4</v>
      </c>
      <c r="T76" s="102" t="inlineStr">
        <is>
          <t>[CNP]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27" t="inlineStr">
        <is>
          <t>○</t>
        </is>
      </c>
      <c r="Q77" s="101" t="n">
        <v>3</v>
      </c>
      <c r="R77" s="104" t="inlineStr">
        <is>
          <t>#10 Mycotoxins; #11 Heavy metals; #12 Pesticides (on file 09.09, not recorded)</t>
        </is>
      </c>
      <c r="S77" s="103" t="n">
        <v>4</v>
      </c>
      <c r="T77" s="102" t="inlineStr">
        <is>
          <t>[FHM-K] 2;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27" t="inlineStr">
        <is>
          <t>○</t>
        </is>
      </c>
      <c r="N78" s="127" t="inlineStr">
        <is>
          <t>○</t>
        </is>
      </c>
      <c r="O78" s="127" t="inlineStr">
        <is>
          <t>○</t>
        </is>
      </c>
      <c r="P78" s="127" t="inlineStr">
        <is>
          <t>○</t>
        </is>
      </c>
      <c r="Q78" s="101" t="n">
        <v>4</v>
      </c>
      <c r="R78" s="104" t="inlineStr">
        <is>
          <t>#9 Microbiology (on file 09.09, not recorded); #10 Mycotoxins (on file 09.09, not recorded); #11 Heavy metals (on file 09.09, not recorded); #12 Pesticides (on file 09.09, not recorded)</t>
        </is>
      </c>
      <c r="S78" s="103" t="n">
        <v>3</v>
      </c>
      <c r="T78" s="102" t="inlineStr">
        <is>
          <t>[FHM-K] 2; [PP] 1</t>
        </is>
      </c>
      <c r="U78" s="103" t="n">
        <v>2</v>
      </c>
      <c r="V78" s="102" t="inlineStr">
        <is>
          <t>[IJZ] 1; [IJZ-MB] 1</t>
        </is>
      </c>
    </row>
    <row r="79" ht="26" customHeight="1" s="70">
      <c r="A79" s="96" t="inlineStr">
        <is>
          <t>BSS1024_01/2</t>
        </is>
      </c>
      <c r="B79" s="97" t="inlineStr">
        <is>
          <t>P050142</t>
        </is>
      </c>
      <c r="C79" s="97" t="inlineStr">
        <is>
          <t>Blue Sunset Sherbet</t>
        </is>
      </c>
      <c r="D79" s="99" t="inlineStr">
        <is>
          <t>❌ 8 MISSING</t>
        </is>
      </c>
      <c r="E79" s="105" t="inlineStr">
        <is>
          <t>✓</t>
        </is>
      </c>
      <c r="F79" s="105" t="inlineStr">
        <is>
          <t>✓</t>
        </is>
      </c>
      <c r="G79" s="99" t="inlineStr">
        <is>
          <t>✗</t>
        </is>
      </c>
      <c r="H79" s="99" t="inlineStr">
        <is>
          <t>✗</t>
        </is>
      </c>
      <c r="I79" s="99" t="inlineStr">
        <is>
          <t>✗</t>
        </is>
      </c>
      <c r="J79" s="99" t="inlineStr">
        <is>
          <t>✗</t>
        </is>
      </c>
      <c r="K79" s="105" t="inlineStr">
        <is>
          <t>✓</t>
        </is>
      </c>
      <c r="L79" s="99" t="inlineStr">
        <is>
          <t>✗</t>
        </is>
      </c>
      <c r="M79" s="98" t="inlineStr">
        <is>
          <t>✓</t>
        </is>
      </c>
      <c r="N79" s="99" t="inlineStr">
        <is>
          <t>✗</t>
        </is>
      </c>
      <c r="O79" s="99" t="inlineStr">
        <is>
          <t>✗</t>
        </is>
      </c>
      <c r="P79" s="99" t="inlineStr">
        <is>
          <t>✗</t>
        </is>
      </c>
      <c r="Q79" s="101" t="n">
        <v>8</v>
      </c>
      <c r="R79" s="104" t="inlineStr">
        <is>
          <t>#3 Ident. C; #4 Δ⁹-THC; #5 CBD; #6 CBN; #8 LoD; #10 Mycotoxins; #11 Heavy metals; #12 Pesticides</t>
        </is>
      </c>
      <c r="S79" s="103" t="n">
        <v>2</v>
      </c>
      <c r="T79" s="102" t="inlineStr">
        <is>
          <t>[IJZ-MB] 1; [PP] 1</t>
        </is>
      </c>
      <c r="U79" s="103" t="n">
        <v>0</v>
      </c>
      <c r="V79" s="102" t="inlineStr">
        <is>
          <t>—</t>
        </is>
      </c>
    </row>
    <row r="80">
      <c r="A80" s="96" t="inlineStr">
        <is>
          <t>WED102501</t>
        </is>
      </c>
      <c r="B80" s="97" t="inlineStr">
        <is>
          <t>P060102</t>
        </is>
      </c>
      <c r="C80" s="97" t="inlineStr">
        <is>
          <t>Wedding Cake</t>
        </is>
      </c>
      <c r="D80" s="99" t="inlineStr">
        <is>
          <t>○ 8 ON FILE, NOT RECORDED</t>
        </is>
      </c>
      <c r="E80" s="105" t="inlineStr">
        <is>
          <t>✓</t>
        </is>
      </c>
      <c r="F80" s="105" t="inlineStr">
        <is>
          <t>✓</t>
        </is>
      </c>
      <c r="G80" s="127" t="inlineStr">
        <is>
          <t>○</t>
        </is>
      </c>
      <c r="H80" s="127" t="inlineStr">
        <is>
          <t>○</t>
        </is>
      </c>
      <c r="I80" s="127" t="inlineStr">
        <is>
          <t>○</t>
        </is>
      </c>
      <c r="J80" s="127" t="inlineStr">
        <is>
          <t>○</t>
        </is>
      </c>
      <c r="K80" s="105" t="inlineStr">
        <is>
          <t>✓</t>
        </is>
      </c>
      <c r="L80" s="127" t="inlineStr">
        <is>
          <t>○</t>
        </is>
      </c>
      <c r="M80" s="98" t="inlineStr">
        <is>
          <t>✓</t>
        </is>
      </c>
      <c r="N80" s="127" t="inlineStr">
        <is>
          <t>○</t>
        </is>
      </c>
      <c r="O80" s="127" t="inlineStr">
        <is>
          <t>○</t>
        </is>
      </c>
      <c r="P80" s="127" t="inlineStr">
        <is>
          <t>○</t>
        </is>
      </c>
      <c r="Q80" s="101" t="n">
        <v>8</v>
      </c>
      <c r="R80" s="104"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S80" s="103" t="n">
        <v>2</v>
      </c>
      <c r="T80" s="102" t="inlineStr">
        <is>
          <t>[IJZ-MB] 1; [PP] 1</t>
        </is>
      </c>
      <c r="U80" s="103" t="n">
        <v>3</v>
      </c>
      <c r="V80" s="102" t="inlineStr">
        <is>
          <t>[FHM] 2; [IJZ] 1</t>
        </is>
      </c>
    </row>
    <row r="81" ht="26" customHeight="1" s="70">
      <c r="A81" s="96" t="inlineStr">
        <is>
          <t>SCR012601*</t>
        </is>
      </c>
      <c r="B81" s="97" t="inlineStr">
        <is>
          <t>P060342</t>
        </is>
      </c>
      <c r="C81" s="97" t="inlineStr">
        <is>
          <t>Scrambler</t>
        </is>
      </c>
      <c r="D81" s="99" t="inlineStr">
        <is>
          <t>❌ 8 MISSING</t>
        </is>
      </c>
      <c r="E81" s="105" t="inlineStr">
        <is>
          <t>✓</t>
        </is>
      </c>
      <c r="F81" s="105" t="inlineStr">
        <is>
          <t>✓</t>
        </is>
      </c>
      <c r="G81" s="99" t="inlineStr">
        <is>
          <t>✗</t>
        </is>
      </c>
      <c r="H81" s="99" t="inlineStr">
        <is>
          <t>✗</t>
        </is>
      </c>
      <c r="I81" s="99" t="inlineStr">
        <is>
          <t>✗</t>
        </is>
      </c>
      <c r="J81" s="99" t="inlineStr">
        <is>
          <t>✗</t>
        </is>
      </c>
      <c r="K81" s="105" t="inlineStr">
        <is>
          <t>✓</t>
        </is>
      </c>
      <c r="L81" s="99" t="inlineStr">
        <is>
          <t>✗</t>
        </is>
      </c>
      <c r="M81" s="98" t="inlineStr">
        <is>
          <t>✓</t>
        </is>
      </c>
      <c r="N81" s="99" t="inlineStr">
        <is>
          <t>✗</t>
        </is>
      </c>
      <c r="O81" s="99" t="inlineStr">
        <is>
          <t>✗</t>
        </is>
      </c>
      <c r="P81" s="99" t="inlineStr">
        <is>
          <t>✗</t>
        </is>
      </c>
      <c r="Q81" s="101" t="n">
        <v>8</v>
      </c>
      <c r="R81" s="104" t="inlineStr">
        <is>
          <t>#3 Ident. C; #4 Δ⁹-THC; #5 CBD; #6 CBN; #8 LoD; #10 Mycotoxins; #11 Heavy metals; #12 Pesticides</t>
        </is>
      </c>
      <c r="S81" s="103" t="n">
        <v>2</v>
      </c>
      <c r="T81" s="102" t="inlineStr">
        <is>
          <t>[IJZ-MB] 1; [PP] 1</t>
        </is>
      </c>
      <c r="U81" s="103" t="n">
        <v>0</v>
      </c>
      <c r="V81" s="102" t="inlineStr">
        <is>
          <t>—</t>
        </is>
      </c>
    </row>
    <row r="82" ht="26" customHeight="1" s="70"/>
  </sheetData>
  <autoFilter ref="A1:V81"/>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O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style="70" min="1" max="1"/>
    <col width="11" customWidth="1" style="70" min="2" max="2"/>
    <col width="18" customWidth="1" style="70" min="3" max="3"/>
    <col width="20" customWidth="1" style="70" min="4" max="4"/>
    <col width="9" customWidth="1" style="70" min="5" max="5"/>
    <col width="9" customWidth="1" style="70" min="6" max="6"/>
    <col width="9" customWidth="1" style="70" min="7" max="7"/>
    <col width="10" customWidth="1" style="70" min="8" max="8"/>
    <col width="18" customWidth="1" style="70" min="9" max="9"/>
    <col width="14" customWidth="1" style="70" min="10" max="10"/>
    <col width="40" customWidth="1" style="70" min="11" max="11"/>
    <col width="11" customWidth="1" style="70" min="12" max="12"/>
    <col width="16" customWidth="1" style="70" min="13" max="13"/>
    <col width="7" customWidth="1" style="70" min="14" max="14"/>
    <col width="46" customWidth="1" style="70" min="15" max="15"/>
  </cols>
  <sheetData>
    <row r="1" ht="24" customHeight="1" s="70">
      <c r="A1" s="128" t="inlineStr">
        <is>
          <t>Tranche</t>
        </is>
      </c>
      <c r="B1" s="128" t="inlineStr">
        <is>
          <t>Delivered</t>
        </is>
      </c>
      <c r="C1" s="128" t="inlineStr">
        <is>
          <t>Batch (as delivered)</t>
        </is>
      </c>
      <c r="D1" s="128" t="inlineStr">
        <is>
          <t>Strain</t>
        </is>
      </c>
      <c r="E1" s="128" t="inlineStr">
        <is>
          <t>kg</t>
        </is>
      </c>
      <c r="F1" s="128" t="inlineStr">
        <is>
          <t>Bracket</t>
        </is>
      </c>
      <c r="G1" s="128" t="inlineStr">
        <is>
          <t>Declared</t>
        </is>
      </c>
      <c r="H1" s="128" t="inlineStr">
        <is>
          <t>P lot</t>
        </is>
      </c>
      <c r="I1" s="128" t="inlineStr">
        <is>
          <t>Desk lot</t>
        </is>
      </c>
      <c r="J1" s="128" t="inlineStr">
        <is>
          <t>CoQ status</t>
        </is>
      </c>
      <c r="K1" s="128" t="inlineStr">
        <is>
          <t>Missing</t>
        </is>
      </c>
      <c r="L1" s="128" t="inlineStr">
        <is>
          <t>Total THC on the eCoA</t>
        </is>
      </c>
      <c r="M1" s="128" t="inlineStr">
        <is>
          <t>Certificate</t>
        </is>
      </c>
      <c r="N1" s="128" t="inlineStr">
        <is>
          <t>Δ</t>
        </is>
      </c>
      <c r="O1" s="128" t="inlineStr">
        <is>
          <t>Ready to issue</t>
        </is>
      </c>
    </row>
    <row r="2">
      <c r="A2" s="129" t="n">
        <v>1</v>
      </c>
      <c r="B2" s="129" t="inlineStr">
        <is>
          <t>31.07.2026</t>
        </is>
      </c>
      <c r="C2" s="130" t="inlineStr">
        <is>
          <t>BG1024</t>
        </is>
      </c>
      <c r="D2" s="129" t="inlineStr">
        <is>
          <t>Blue Gelato</t>
        </is>
      </c>
      <c r="E2" s="131" t="n">
        <v>43.87</v>
      </c>
      <c r="F2" s="129" t="inlineStr">
        <is>
          <t>19–22%</t>
        </is>
      </c>
      <c r="G2" s="132" t="n">
        <v>0.218</v>
      </c>
      <c r="H2" s="129" t="inlineStr">
        <is>
          <t>—</t>
        </is>
      </c>
      <c r="I2" s="129" t="inlineStr">
        <is>
          <t>BG1024</t>
        </is>
      </c>
      <c r="J2" s="129" t="inlineStr">
        <is>
          <t>✓ COMPLETE</t>
        </is>
      </c>
      <c r="K2" s="133" t="inlineStr">
        <is>
          <t>—</t>
        </is>
      </c>
      <c r="L2" s="132" t="n">
        <v>0.218</v>
      </c>
      <c r="M2" s="129" t="inlineStr">
        <is>
          <t>ППК25050</t>
        </is>
      </c>
      <c r="N2" s="132" t="n">
        <v>0</v>
      </c>
      <c r="O2" s="134" t="inlineStr">
        <is>
          <t>yes — all 12 determinations covered</t>
        </is>
      </c>
    </row>
    <row r="3">
      <c r="A3" s="129" t="n">
        <v>1</v>
      </c>
      <c r="B3" s="129" t="inlineStr">
        <is>
          <t>31.07.2026</t>
        </is>
      </c>
      <c r="C3" s="130" t="inlineStr">
        <is>
          <t>BSS1024</t>
        </is>
      </c>
      <c r="D3" s="129" t="inlineStr">
        <is>
          <t>Blue Sunset Sherbet</t>
        </is>
      </c>
      <c r="E3" s="131" t="n">
        <v>50.2</v>
      </c>
      <c r="F3" s="129" t="inlineStr">
        <is>
          <t>19–22%</t>
        </is>
      </c>
      <c r="G3" s="132" t="n">
        <v>0.21</v>
      </c>
      <c r="H3" s="129" t="inlineStr">
        <is>
          <t>—</t>
        </is>
      </c>
      <c r="I3" s="129" t="inlineStr">
        <is>
          <t>BSS1024</t>
        </is>
      </c>
      <c r="J3" s="129" t="inlineStr">
        <is>
          <t>✓ COMPLETE</t>
        </is>
      </c>
      <c r="K3" s="133" t="inlineStr">
        <is>
          <t>—</t>
        </is>
      </c>
      <c r="L3" s="132" t="n">
        <v>0.2103</v>
      </c>
      <c r="M3" s="129" t="inlineStr">
        <is>
          <t>ППК25051</t>
        </is>
      </c>
      <c r="N3" s="132" t="n">
        <v>0.0003000000000000114</v>
      </c>
      <c r="O3" s="134" t="inlineStr">
        <is>
          <t>yes — all 12 determinations covered</t>
        </is>
      </c>
    </row>
    <row r="4">
      <c r="A4" s="129" t="n">
        <v>1</v>
      </c>
      <c r="B4" s="129" t="inlineStr">
        <is>
          <t>31.07.2026</t>
        </is>
      </c>
      <c r="C4" s="130" t="inlineStr">
        <is>
          <t>CC012601/1</t>
        </is>
      </c>
      <c r="D4" s="129" t="inlineStr">
        <is>
          <t>CashCow</t>
        </is>
      </c>
      <c r="E4" s="131" t="n">
        <v>9.15</v>
      </c>
      <c r="F4" s="129" t="inlineStr">
        <is>
          <t>13–16%</t>
        </is>
      </c>
      <c r="G4" s="132" t="n">
        <v>0.1563</v>
      </c>
      <c r="H4" s="129" t="inlineStr">
        <is>
          <t>P060332</t>
        </is>
      </c>
      <c r="I4" s="129" t="inlineStr">
        <is>
          <t>CC012601/1</t>
        </is>
      </c>
      <c r="J4" s="129" t="inlineStr">
        <is>
          <t>❌ 4 MISSING</t>
        </is>
      </c>
      <c r="K4" s="133" t="inlineStr">
        <is>
          <t>#8 LoD; #9 Microbiology (on file 09.09, not recorded); #11 Heavy metals; #12 Pesticides</t>
        </is>
      </c>
      <c r="L4" s="132" t="inlineStr">
        <is>
          <t>— none on the desk —</t>
        </is>
      </c>
      <c r="M4" s="129" t="inlineStr">
        <is>
          <t>—</t>
        </is>
      </c>
      <c r="N4" s="132" t="inlineStr">
        <is>
          <t>—</t>
        </is>
      </c>
      <c r="O4" s="135" t="inlineStr">
        <is>
          <t>no — 4 missing</t>
        </is>
      </c>
    </row>
    <row r="5">
      <c r="A5" s="129" t="n">
        <v>1</v>
      </c>
      <c r="B5" s="129" t="inlineStr">
        <is>
          <t>31.07.2026</t>
        </is>
      </c>
      <c r="C5" s="130" t="inlineStr">
        <is>
          <t>CJ052501/01</t>
        </is>
      </c>
      <c r="D5" s="129" t="inlineStr">
        <is>
          <t>Cap Junky</t>
        </is>
      </c>
      <c r="E5" s="131" t="n">
        <v>64.53</v>
      </c>
      <c r="F5" s="129" t="inlineStr">
        <is>
          <t>19–22%</t>
        </is>
      </c>
      <c r="G5" s="132" t="n">
        <v>0.2029</v>
      </c>
      <c r="H5" s="129" t="inlineStr">
        <is>
          <t>P050162</t>
        </is>
      </c>
      <c r="I5" s="129" t="inlineStr">
        <is>
          <t>CJ052501/01</t>
        </is>
      </c>
      <c r="J5" s="129" t="inlineStr">
        <is>
          <t>✓ COMPLETE</t>
        </is>
      </c>
      <c r="K5" s="133" t="inlineStr">
        <is>
          <t>—</t>
        </is>
      </c>
      <c r="L5" s="132" t="n">
        <v>0.2029</v>
      </c>
      <c r="M5" s="129" t="inlineStr">
        <is>
          <t>None</t>
        </is>
      </c>
      <c r="N5" s="132" t="n">
        <v>0</v>
      </c>
      <c r="O5" s="134" t="inlineStr">
        <is>
          <t>yes — all 12 determinations covered</t>
        </is>
      </c>
    </row>
    <row r="6">
      <c r="A6" s="129" t="n">
        <v>1</v>
      </c>
      <c r="B6" s="129" t="inlineStr">
        <is>
          <t>31.07.2026</t>
        </is>
      </c>
      <c r="C6" s="130" t="inlineStr">
        <is>
          <t>CJ062501/2</t>
        </is>
      </c>
      <c r="D6" s="129" t="inlineStr">
        <is>
          <t>Cap Junky</t>
        </is>
      </c>
      <c r="E6" s="131" t="n">
        <v>146.52</v>
      </c>
      <c r="F6" s="129" t="inlineStr">
        <is>
          <t>16–19%</t>
        </is>
      </c>
      <c r="G6" s="132" t="n">
        <v>0.1656</v>
      </c>
      <c r="H6" s="129" t="inlineStr">
        <is>
          <t>P050212</t>
        </is>
      </c>
      <c r="I6" s="129" t="inlineStr">
        <is>
          <t>CJ062501/2</t>
        </is>
      </c>
      <c r="J6" s="129" t="inlineStr">
        <is>
          <t>✓ COMPLETE</t>
        </is>
      </c>
      <c r="K6" s="133" t="inlineStr">
        <is>
          <t>—</t>
        </is>
      </c>
      <c r="L6" s="132" t="n">
        <v>0.1656</v>
      </c>
      <c r="M6" s="129" t="inlineStr">
        <is>
          <t>ППК25322</t>
        </is>
      </c>
      <c r="N6" s="132" t="n">
        <v>0</v>
      </c>
      <c r="O6" s="134" t="inlineStr">
        <is>
          <t>yes — all 12 determinations covered</t>
        </is>
      </c>
    </row>
    <row r="7">
      <c r="A7" s="129" t="n">
        <v>1</v>
      </c>
      <c r="B7" s="129" t="inlineStr">
        <is>
          <t>31.07.2026</t>
        </is>
      </c>
      <c r="C7" s="130" t="inlineStr">
        <is>
          <t>CJ082501/2</t>
        </is>
      </c>
      <c r="D7" s="129" t="inlineStr">
        <is>
          <t>Cap Junky</t>
        </is>
      </c>
      <c r="E7" s="131" t="n">
        <v>14.75</v>
      </c>
      <c r="F7" s="129" t="inlineStr">
        <is>
          <t>19–22%</t>
        </is>
      </c>
      <c r="G7" s="132" t="n">
        <v>0.2084</v>
      </c>
      <c r="H7" s="129" t="inlineStr">
        <is>
          <t>P060032</t>
        </is>
      </c>
      <c r="I7" s="129" t="inlineStr">
        <is>
          <t>CJ082501/2</t>
        </is>
      </c>
      <c r="J7" s="129" t="inlineStr">
        <is>
          <t>✓ COMPLETE</t>
        </is>
      </c>
      <c r="K7" s="133" t="inlineStr">
        <is>
          <t>—</t>
        </is>
      </c>
      <c r="L7" s="132" t="n">
        <v>0.2084</v>
      </c>
      <c r="M7" s="129" t="inlineStr">
        <is>
          <t>ППК26003</t>
        </is>
      </c>
      <c r="N7" s="132" t="n">
        <v>0</v>
      </c>
      <c r="O7" s="134" t="inlineStr">
        <is>
          <t>yes — all 12 determinations covered</t>
        </is>
      </c>
    </row>
    <row r="8">
      <c r="A8" s="129" t="n">
        <v>1</v>
      </c>
      <c r="B8" s="129" t="inlineStr">
        <is>
          <t>31.07.2026</t>
        </is>
      </c>
      <c r="C8" s="130" t="inlineStr">
        <is>
          <t>FB012602</t>
        </is>
      </c>
      <c r="D8" s="129" t="inlineStr">
        <is>
          <t>Fat Bastard</t>
        </is>
      </c>
      <c r="E8" s="131" t="n">
        <v>75.92</v>
      </c>
      <c r="F8" s="129" t="inlineStr">
        <is>
          <t>19–22%</t>
        </is>
      </c>
      <c r="G8" s="132" t="n">
        <v>0.1977</v>
      </c>
      <c r="H8" s="129" t="inlineStr">
        <is>
          <t>P060352</t>
        </is>
      </c>
      <c r="I8" s="129" t="inlineStr">
        <is>
          <t>FB012602* (the desk writes it FB012602*)</t>
        </is>
      </c>
      <c r="J8" s="129" t="inlineStr">
        <is>
          <t>❌ 4 MISSING</t>
        </is>
      </c>
      <c r="K8" s="133" t="inlineStr">
        <is>
          <t>#8 LoD; #9 Microbiology (on file 09.09, not recorded); #11 Heavy metals; #12 Pesticides</t>
        </is>
      </c>
      <c r="L8" s="132" t="inlineStr">
        <is>
          <t>— none on the desk —</t>
        </is>
      </c>
      <c r="M8" s="129" t="inlineStr">
        <is>
          <t>—</t>
        </is>
      </c>
      <c r="N8" s="132" t="inlineStr">
        <is>
          <t>—</t>
        </is>
      </c>
      <c r="O8" s="135" t="inlineStr">
        <is>
          <t>no — 4 missing</t>
        </is>
      </c>
    </row>
    <row r="9">
      <c r="A9" s="129" t="n">
        <v>1</v>
      </c>
      <c r="B9" s="129" t="inlineStr">
        <is>
          <t>31.07.2026</t>
        </is>
      </c>
      <c r="C9" s="130" t="inlineStr">
        <is>
          <t>GG012603</t>
        </is>
      </c>
      <c r="D9" s="129" t="inlineStr">
        <is>
          <t>GG4</t>
        </is>
      </c>
      <c r="E9" s="131" t="n">
        <v>40</v>
      </c>
      <c r="F9" s="129" t="inlineStr">
        <is>
          <t>13–16%</t>
        </is>
      </c>
      <c r="G9" s="132" t="n">
        <v>0.1559</v>
      </c>
      <c r="H9" s="129" t="inlineStr">
        <is>
          <t>P060402</t>
        </is>
      </c>
      <c r="I9" s="129" t="inlineStr">
        <is>
          <t>GG012603</t>
        </is>
      </c>
      <c r="J9" s="129" t="inlineStr">
        <is>
          <t>○ 3 ON FILE, NOT RECORDED</t>
        </is>
      </c>
      <c r="K9" s="133" t="inlineStr">
        <is>
          <t>#9 Microbiology (on file 09.09, not recorded); #11 Heavy metals (on file 09.09, not recorded); #12 Pesticides (on file 09.09, not recorded)</t>
        </is>
      </c>
      <c r="L9" s="136" t="n">
        <v>0.1759</v>
      </c>
      <c r="M9" s="137" t="inlineStr">
        <is>
          <t>ППК26114</t>
        </is>
      </c>
      <c r="N9" s="136" t="n">
        <v>0.02</v>
      </c>
      <c r="O9" s="138" t="inlineStr">
        <is>
          <t>no — 3 on file, not recorded  |  POTENCY: the certificate reads 17.59 %, outside the 13–16% it was delivered under</t>
        </is>
      </c>
    </row>
    <row r="10">
      <c r="A10" s="129" t="n">
        <v>1</v>
      </c>
      <c r="B10" s="129" t="inlineStr">
        <is>
          <t>31.07.2026</t>
        </is>
      </c>
      <c r="C10" s="130" t="inlineStr">
        <is>
          <t>GG1024_01</t>
        </is>
      </c>
      <c r="D10" s="129" t="inlineStr">
        <is>
          <t>Gorilla Glue</t>
        </is>
      </c>
      <c r="E10" s="131" t="n">
        <v>0.87</v>
      </c>
      <c r="F10" s="129" t="inlineStr">
        <is>
          <t>16–19%</t>
        </is>
      </c>
      <c r="G10" s="132" t="n">
        <v>0.17</v>
      </c>
      <c r="H10" s="129" t="inlineStr">
        <is>
          <t>P050092</t>
        </is>
      </c>
      <c r="I10" s="129" t="inlineStr">
        <is>
          <t>GG1024_01</t>
        </is>
      </c>
      <c r="J10" s="129" t="inlineStr">
        <is>
          <t>✓ COMPLETE</t>
        </is>
      </c>
      <c r="K10" s="133" t="inlineStr">
        <is>
          <t>—</t>
        </is>
      </c>
      <c r="L10" s="132" t="n">
        <v>0.1722</v>
      </c>
      <c r="M10" s="129" t="inlineStr">
        <is>
          <t>ППК25104</t>
        </is>
      </c>
      <c r="N10" s="132" t="n">
        <v>0.002199999999999988</v>
      </c>
      <c r="O10" s="134" t="inlineStr">
        <is>
          <t>yes — all 12 determinations covered</t>
        </is>
      </c>
    </row>
    <row r="11">
      <c r="A11" s="129" t="n">
        <v>1</v>
      </c>
      <c r="B11" s="129" t="inlineStr">
        <is>
          <t>31.07.2026</t>
        </is>
      </c>
      <c r="C11" s="130" t="inlineStr">
        <is>
          <t>GP052501</t>
        </is>
      </c>
      <c r="D11" s="129" t="inlineStr">
        <is>
          <t>Grape Pie</t>
        </is>
      </c>
      <c r="E11" s="131" t="n">
        <v>151.14</v>
      </c>
      <c r="F11" s="129" t="inlineStr">
        <is>
          <t>16–19%</t>
        </is>
      </c>
      <c r="G11" s="132" t="n">
        <v>0.1898</v>
      </c>
      <c r="H11" s="129" t="inlineStr">
        <is>
          <t>P050152</t>
        </is>
      </c>
      <c r="I11" s="129" t="inlineStr">
        <is>
          <t>GP052501</t>
        </is>
      </c>
      <c r="J11" s="129" t="inlineStr">
        <is>
          <t>✓ COMPLETE</t>
        </is>
      </c>
      <c r="K11" s="133" t="inlineStr">
        <is>
          <t>—</t>
        </is>
      </c>
      <c r="L11" s="132" t="n">
        <v>0.1898</v>
      </c>
      <c r="M11" s="129" t="inlineStr">
        <is>
          <t>ППК25279</t>
        </is>
      </c>
      <c r="N11" s="132" t="n">
        <v>0</v>
      </c>
      <c r="O11" s="134" t="inlineStr">
        <is>
          <t>yes — all 12 determinations covered</t>
        </is>
      </c>
    </row>
    <row r="12">
      <c r="A12" s="129" t="n">
        <v>1</v>
      </c>
      <c r="B12" s="129" t="inlineStr">
        <is>
          <t>31.07.2026</t>
        </is>
      </c>
      <c r="C12" s="130" t="inlineStr">
        <is>
          <t>GP0824_02</t>
        </is>
      </c>
      <c r="D12" s="129" t="inlineStr">
        <is>
          <t>Grape Pie</t>
        </is>
      </c>
      <c r="E12" s="131" t="n">
        <v>208.46</v>
      </c>
      <c r="F12" s="129" t="inlineStr">
        <is>
          <t>22–25%</t>
        </is>
      </c>
      <c r="G12" s="132" t="n">
        <v>0.2379</v>
      </c>
      <c r="H12" s="129" t="inlineStr">
        <is>
          <t>P050022</t>
        </is>
      </c>
      <c r="I12" s="129" t="inlineStr">
        <is>
          <t>GP0824_02</t>
        </is>
      </c>
      <c r="J12" s="129" t="inlineStr">
        <is>
          <t>✓ COMPLETE</t>
        </is>
      </c>
      <c r="K12" s="133" t="inlineStr">
        <is>
          <t>—</t>
        </is>
      </c>
      <c r="L12" s="132" t="n">
        <v>0.2379</v>
      </c>
      <c r="M12" s="129" t="inlineStr">
        <is>
          <t>ППК25139</t>
        </is>
      </c>
      <c r="N12" s="132" t="n">
        <v>0</v>
      </c>
      <c r="O12" s="134" t="inlineStr">
        <is>
          <t>yes — all 12 determinations covered</t>
        </is>
      </c>
    </row>
    <row r="13">
      <c r="A13" s="129" t="n">
        <v>1</v>
      </c>
      <c r="B13" s="129" t="inlineStr">
        <is>
          <t>31.07.2026</t>
        </is>
      </c>
      <c r="C13" s="130" t="inlineStr">
        <is>
          <t>GP082501/2</t>
        </is>
      </c>
      <c r="D13" s="129" t="inlineStr">
        <is>
          <t>Grape Pie</t>
        </is>
      </c>
      <c r="E13" s="131" t="n">
        <v>22.84</v>
      </c>
      <c r="F13" s="129" t="inlineStr">
        <is>
          <t>13–16%</t>
        </is>
      </c>
      <c r="G13" s="132" t="n">
        <v>0.1483</v>
      </c>
      <c r="H13" s="129" t="inlineStr">
        <is>
          <t>P050322</t>
        </is>
      </c>
      <c r="I13" s="129" t="inlineStr">
        <is>
          <t>GP082501/2</t>
        </is>
      </c>
      <c r="J13" s="129" t="inlineStr">
        <is>
          <t>✓ COMPLETE</t>
        </is>
      </c>
      <c r="K13" s="133" t="inlineStr">
        <is>
          <t>—</t>
        </is>
      </c>
      <c r="L13" s="132" t="n">
        <v>0.1483</v>
      </c>
      <c r="M13" s="129" t="inlineStr">
        <is>
          <t>ППК25381</t>
        </is>
      </c>
      <c r="N13" s="132" t="n">
        <v>0</v>
      </c>
      <c r="O13" s="134" t="inlineStr">
        <is>
          <t>yes — all 12 determinations covered</t>
        </is>
      </c>
    </row>
    <row r="14">
      <c r="A14" s="129" t="n">
        <v>1</v>
      </c>
      <c r="B14" s="129" t="inlineStr">
        <is>
          <t>31.07.2026</t>
        </is>
      </c>
      <c r="C14" s="130" t="inlineStr">
        <is>
          <t>HPA1024</t>
        </is>
      </c>
      <c r="D14" s="129" t="inlineStr">
        <is>
          <t>High Pro Amnesia</t>
        </is>
      </c>
      <c r="E14" s="131" t="n">
        <v>40.83</v>
      </c>
      <c r="F14" s="129" t="inlineStr">
        <is>
          <t>13–16%</t>
        </is>
      </c>
      <c r="G14" s="132" t="n">
        <v>0.1497</v>
      </c>
      <c r="H14" s="129" t="inlineStr">
        <is>
          <t>—</t>
        </is>
      </c>
      <c r="I14" s="129" t="inlineStr">
        <is>
          <t>HPA1024</t>
        </is>
      </c>
      <c r="J14" s="129" t="inlineStr">
        <is>
          <t>❌ 4 MISSING</t>
        </is>
      </c>
      <c r="K14" s="133" t="inlineStr">
        <is>
          <t>#8 LoD; #9 Microbiology; #11 Heavy metals; #12 Pesticides</t>
        </is>
      </c>
      <c r="L14" s="132" t="n">
        <v>0.1497</v>
      </c>
      <c r="M14" s="129" t="inlineStr">
        <is>
          <t>None</t>
        </is>
      </c>
      <c r="N14" s="132" t="n">
        <v>0</v>
      </c>
      <c r="O14" s="135" t="inlineStr">
        <is>
          <t>no — 4 missing</t>
        </is>
      </c>
    </row>
    <row r="15">
      <c r="A15" s="129" t="n">
        <v>1</v>
      </c>
      <c r="B15" s="129" t="inlineStr">
        <is>
          <t>31.07.2026</t>
        </is>
      </c>
      <c r="C15" s="130" t="inlineStr">
        <is>
          <t>HPA1024_01</t>
        </is>
      </c>
      <c r="D15" s="129" t="inlineStr">
        <is>
          <t>High Pro Amnesia</t>
        </is>
      </c>
      <c r="E15" s="131" t="n">
        <v>140.5</v>
      </c>
      <c r="F15" s="129" t="inlineStr">
        <is>
          <t>22–25%</t>
        </is>
      </c>
      <c r="G15" s="132" t="n">
        <v>0.2243</v>
      </c>
      <c r="H15" s="129" t="inlineStr">
        <is>
          <t>P050052</t>
        </is>
      </c>
      <c r="I15" s="129" t="inlineStr">
        <is>
          <t>HPA1024_01</t>
        </is>
      </c>
      <c r="J15" s="129" t="inlineStr">
        <is>
          <t>✓ COMPLETE</t>
        </is>
      </c>
      <c r="K15" s="133" t="inlineStr">
        <is>
          <t>—</t>
        </is>
      </c>
      <c r="L15" s="132" t="n">
        <v>0.2243</v>
      </c>
      <c r="M15" s="129" t="inlineStr">
        <is>
          <t>None</t>
        </is>
      </c>
      <c r="N15" s="132" t="n">
        <v>0</v>
      </c>
      <c r="O15" s="134" t="inlineStr">
        <is>
          <t>yes — all 12 determinations covered</t>
        </is>
      </c>
    </row>
    <row r="16">
      <c r="A16" s="129" t="n">
        <v>1</v>
      </c>
      <c r="B16" s="129" t="inlineStr">
        <is>
          <t>31.07.2026</t>
        </is>
      </c>
      <c r="C16" s="130" t="inlineStr">
        <is>
          <t>J31102501</t>
        </is>
      </c>
      <c r="D16" s="129" t="inlineStr">
        <is>
          <t>Jokerz 31</t>
        </is>
      </c>
      <c r="E16" s="131" t="n">
        <v>23.64</v>
      </c>
      <c r="F16" s="129" t="inlineStr">
        <is>
          <t>19–22%</t>
        </is>
      </c>
      <c r="G16" s="132" t="n">
        <v>0.1914</v>
      </c>
      <c r="H16" s="129" t="inlineStr">
        <is>
          <t>P060152</t>
        </is>
      </c>
      <c r="I16" s="129" t="inlineStr">
        <is>
          <t>J31102501</t>
        </is>
      </c>
      <c r="J16" s="129" t="inlineStr">
        <is>
          <t>○ 3 ON FILE, NOT RECORDED</t>
        </is>
      </c>
      <c r="K16" s="133" t="inlineStr">
        <is>
          <t>#9 Microbiology (on file 09.09, not recorded); #11 Heavy metals (on file 09.09, not recorded); #12 Pesticides (on file 09.09, not recorded)</t>
        </is>
      </c>
      <c r="L16" s="132" t="n">
        <v>0.1914</v>
      </c>
      <c r="M16" s="129" t="inlineStr">
        <is>
          <t>051-1-К/26</t>
        </is>
      </c>
      <c r="N16" s="132" t="n">
        <v>0</v>
      </c>
      <c r="O16" s="135" t="inlineStr">
        <is>
          <t>no — 3 on file, not recorded</t>
        </is>
      </c>
    </row>
    <row r="17">
      <c r="A17" s="129" t="n">
        <v>1</v>
      </c>
      <c r="B17" s="129" t="inlineStr">
        <is>
          <t>31.07.2026</t>
        </is>
      </c>
      <c r="C17" s="130" t="inlineStr">
        <is>
          <t>JD112501</t>
        </is>
      </c>
      <c r="D17" s="129" t="inlineStr">
        <is>
          <t>Jelly Donuts</t>
        </is>
      </c>
      <c r="E17" s="131" t="n">
        <v>41.54</v>
      </c>
      <c r="F17" s="129" t="inlineStr">
        <is>
          <t>19–22%</t>
        </is>
      </c>
      <c r="G17" s="132" t="n">
        <v>0.1964</v>
      </c>
      <c r="H17" s="129" t="inlineStr">
        <is>
          <t>P060212</t>
        </is>
      </c>
      <c r="I17" s="129" t="inlineStr">
        <is>
          <t>JD112501</t>
        </is>
      </c>
      <c r="J17" s="129" t="inlineStr">
        <is>
          <t>✓ COMPLETE</t>
        </is>
      </c>
      <c r="K17" s="133" t="inlineStr">
        <is>
          <t>—</t>
        </is>
      </c>
      <c r="L17" s="132" t="n">
        <v>0.1964</v>
      </c>
      <c r="M17" s="129" t="inlineStr">
        <is>
          <t>ППК26063</t>
        </is>
      </c>
      <c r="N17" s="132" t="n">
        <v>0</v>
      </c>
      <c r="O17" s="134" t="inlineStr">
        <is>
          <t>yes — all 12 determinations covered</t>
        </is>
      </c>
    </row>
    <row r="18">
      <c r="A18" s="129" t="n">
        <v>1</v>
      </c>
      <c r="B18" s="129" t="inlineStr">
        <is>
          <t>31.07.2026</t>
        </is>
      </c>
      <c r="C18" s="130" t="inlineStr">
        <is>
          <t>OPM1024</t>
        </is>
      </c>
      <c r="D18" s="129" t="inlineStr">
        <is>
          <t>Orange Punch Mimosa</t>
        </is>
      </c>
      <c r="E18" s="131" t="n">
        <v>45.46</v>
      </c>
      <c r="F18" s="129" t="inlineStr">
        <is>
          <t>19–22%</t>
        </is>
      </c>
      <c r="G18" s="132" t="n">
        <v>0.1996</v>
      </c>
      <c r="H18" s="129" t="inlineStr">
        <is>
          <t>—</t>
        </is>
      </c>
      <c r="I18" s="129" t="inlineStr">
        <is>
          <t>OPM1024</t>
        </is>
      </c>
      <c r="J18" s="129" t="inlineStr">
        <is>
          <t>❌ 4 MISSING</t>
        </is>
      </c>
      <c r="K18" s="133" t="inlineStr">
        <is>
          <t>#8 LoD; #9 Microbiology; #11 Heavy metals; #12 Pesticides</t>
        </is>
      </c>
      <c r="L18" s="132" t="n">
        <v>0.1996</v>
      </c>
      <c r="M18" s="129" t="inlineStr">
        <is>
          <t>None</t>
        </is>
      </c>
      <c r="N18" s="132" t="n">
        <v>0</v>
      </c>
      <c r="O18" s="135" t="inlineStr">
        <is>
          <t>no — 4 missing</t>
        </is>
      </c>
    </row>
    <row r="19">
      <c r="A19" s="129" t="n">
        <v>1</v>
      </c>
      <c r="B19" s="129" t="inlineStr">
        <is>
          <t>31.07.2026</t>
        </is>
      </c>
      <c r="C19" s="130" t="inlineStr">
        <is>
          <t>OPM1024_02</t>
        </is>
      </c>
      <c r="D19" s="129" t="inlineStr">
        <is>
          <t>Orange Punch Mimosa</t>
        </is>
      </c>
      <c r="E19" s="131" t="n">
        <v>156.14</v>
      </c>
      <c r="F19" s="129" t="inlineStr">
        <is>
          <t>16–19%</t>
        </is>
      </c>
      <c r="G19" s="132" t="n">
        <v>0.1827</v>
      </c>
      <c r="H19" s="129" t="inlineStr">
        <is>
          <t>P050062</t>
        </is>
      </c>
      <c r="I19" s="129" t="inlineStr">
        <is>
          <t>OPM1024_02</t>
        </is>
      </c>
      <c r="J19" s="129" t="inlineStr">
        <is>
          <t>✓ COMPLETE</t>
        </is>
      </c>
      <c r="K19" s="133" t="inlineStr">
        <is>
          <t>—</t>
        </is>
      </c>
      <c r="L19" s="132" t="n">
        <v>0.1827</v>
      </c>
      <c r="M19" s="129" t="inlineStr">
        <is>
          <t>ППК25154</t>
        </is>
      </c>
      <c r="N19" s="132" t="n">
        <v>0</v>
      </c>
      <c r="O19" s="134" t="inlineStr">
        <is>
          <t>yes — all 12 determinations covered</t>
        </is>
      </c>
    </row>
    <row r="20">
      <c r="A20" s="129" t="n">
        <v>1</v>
      </c>
      <c r="B20" s="129" t="inlineStr">
        <is>
          <t>31.07.2026</t>
        </is>
      </c>
      <c r="C20" s="130" t="inlineStr">
        <is>
          <t>OPM122501</t>
        </is>
      </c>
      <c r="D20" s="129" t="inlineStr">
        <is>
          <t>Orange Punch Mimosa</t>
        </is>
      </c>
      <c r="E20" s="131" t="n">
        <v>104.26</v>
      </c>
      <c r="F20" s="129" t="inlineStr">
        <is>
          <t>10–13%</t>
        </is>
      </c>
      <c r="G20" s="132" t="n">
        <v>0.11</v>
      </c>
      <c r="H20" s="129" t="inlineStr">
        <is>
          <t>P060242</t>
        </is>
      </c>
      <c r="I20" s="129" t="inlineStr">
        <is>
          <t>OPM122501</t>
        </is>
      </c>
      <c r="J20" s="129" t="inlineStr">
        <is>
          <t>✓ COMPLETE</t>
        </is>
      </c>
      <c r="K20" s="133" t="inlineStr">
        <is>
          <t>—</t>
        </is>
      </c>
      <c r="L20" s="136" t="n">
        <v>0.0809</v>
      </c>
      <c r="M20" s="137" t="inlineStr">
        <is>
          <t>100-4-К/26</t>
        </is>
      </c>
      <c r="N20" s="136" t="n">
        <v>-0.0291</v>
      </c>
      <c r="O20" s="138" t="inlineStr">
        <is>
          <t>yes — all 12 determinations covered  |  POTENCY: the certificate reads 8.09 %, outside the 10–13% it was delivered under</t>
        </is>
      </c>
    </row>
    <row r="21">
      <c r="A21" s="129" t="n">
        <v>1</v>
      </c>
      <c r="B21" s="129" t="inlineStr">
        <is>
          <t>31.07.2026</t>
        </is>
      </c>
      <c r="C21" s="130" t="inlineStr">
        <is>
          <t>PM092501</t>
        </is>
      </c>
      <c r="D21" s="129" t="inlineStr">
        <is>
          <t>Permanent Marker</t>
        </is>
      </c>
      <c r="E21" s="131" t="n">
        <v>20.23</v>
      </c>
      <c r="F21" s="129" t="inlineStr">
        <is>
          <t>13–16%</t>
        </is>
      </c>
      <c r="G21" s="132" t="n">
        <v>0.1406</v>
      </c>
      <c r="H21" s="129" t="inlineStr">
        <is>
          <t>P060062</t>
        </is>
      </c>
      <c r="I21" s="129" t="inlineStr">
        <is>
          <t>PM092501</t>
        </is>
      </c>
      <c r="J21" s="129" t="inlineStr">
        <is>
          <t>✓ COMPLETE</t>
        </is>
      </c>
      <c r="K21" s="133" t="inlineStr">
        <is>
          <t>—</t>
        </is>
      </c>
      <c r="L21" s="132" t="inlineStr">
        <is>
          <t>— none on the desk —</t>
        </is>
      </c>
      <c r="M21" s="129" t="inlineStr">
        <is>
          <t>—</t>
        </is>
      </c>
      <c r="N21" s="132" t="inlineStr">
        <is>
          <t>—</t>
        </is>
      </c>
      <c r="O21" s="134" t="inlineStr">
        <is>
          <t>yes — all 12 determinations covered</t>
        </is>
      </c>
    </row>
    <row r="22">
      <c r="A22" s="129" t="n">
        <v>1</v>
      </c>
      <c r="B22" s="129" t="inlineStr">
        <is>
          <t>31.07.2026</t>
        </is>
      </c>
      <c r="C22" s="130" t="inlineStr">
        <is>
          <t>SCR012603</t>
        </is>
      </c>
      <c r="D22" s="129" t="inlineStr">
        <is>
          <t>Scrambler</t>
        </is>
      </c>
      <c r="E22" s="131" t="n">
        <v>79.81</v>
      </c>
      <c r="F22" s="129" t="inlineStr">
        <is>
          <t>16–19%</t>
        </is>
      </c>
      <c r="G22" s="132" t="n">
        <v>0.17</v>
      </c>
      <c r="H22" s="129" t="inlineStr">
        <is>
          <t>P060382</t>
        </is>
      </c>
      <c r="I22" s="129" t="inlineStr">
        <is>
          <t>SCR012603</t>
        </is>
      </c>
      <c r="J22" s="129" t="inlineStr">
        <is>
          <t>❌ 4 MISSING</t>
        </is>
      </c>
      <c r="K22" s="133" t="inlineStr">
        <is>
          <t>#8 LoD; #9 Microbiology (on file 09.09, not recorded); #11 Heavy metals; #12 Pesticides</t>
        </is>
      </c>
      <c r="L22" s="132" t="inlineStr">
        <is>
          <t>— none on the desk —</t>
        </is>
      </c>
      <c r="M22" s="129" t="inlineStr">
        <is>
          <t>—</t>
        </is>
      </c>
      <c r="N22" s="132" t="inlineStr">
        <is>
          <t>—</t>
        </is>
      </c>
      <c r="O22" s="135" t="inlineStr">
        <is>
          <t>no — 4 missing</t>
        </is>
      </c>
    </row>
    <row r="23">
      <c r="A23" s="129" t="n">
        <v>2</v>
      </c>
      <c r="B23" s="129" t="inlineStr">
        <is>
          <t>14.08.2026</t>
        </is>
      </c>
      <c r="C23" s="130" t="inlineStr">
        <is>
          <t>ACC102501</t>
        </is>
      </c>
      <c r="D23" s="129" t="inlineStr">
        <is>
          <t>Amnesia Core Cut</t>
        </is>
      </c>
      <c r="E23" s="131" t="n">
        <v>38.88</v>
      </c>
      <c r="F23" s="129" t="inlineStr">
        <is>
          <t>10–13%</t>
        </is>
      </c>
      <c r="G23" s="132" t="n">
        <v>0.1291</v>
      </c>
      <c r="H23" s="129" t="inlineStr">
        <is>
          <t>P060122</t>
        </is>
      </c>
      <c r="I23" s="129" t="inlineStr">
        <is>
          <t>—</t>
        </is>
      </c>
      <c r="J23" s="129" t="inlineStr">
        <is>
          <t>— CERTIFICATES ON FILE, NO TRACKER ROW —</t>
        </is>
      </c>
      <c r="K23"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23" s="132" t="inlineStr">
        <is>
          <t>— none on the desk —</t>
        </is>
      </c>
      <c r="M23" s="129" t="inlineStr">
        <is>
          <t>—</t>
        </is>
      </c>
      <c r="N23" s="132" t="inlineStr">
        <is>
          <t>—</t>
        </is>
      </c>
      <c r="O23" s="135" t="inlineStr">
        <is>
          <t>NO — certificates are on file but the batch is on no tracker lot; add the lot, then re-run</t>
        </is>
      </c>
    </row>
    <row r="24">
      <c r="A24" s="129" t="n">
        <v>2</v>
      </c>
      <c r="B24" s="129" t="inlineStr">
        <is>
          <t>14.08.2026</t>
        </is>
      </c>
      <c r="C24" s="130" t="inlineStr">
        <is>
          <t>BSS052501</t>
        </is>
      </c>
      <c r="D24" s="129" t="inlineStr">
        <is>
          <t>Blue Sunset Sherbet</t>
        </is>
      </c>
      <c r="E24" s="131" t="n">
        <v>345.71</v>
      </c>
      <c r="F24" s="129" t="inlineStr">
        <is>
          <t>19–22%</t>
        </is>
      </c>
      <c r="G24" s="132" t="n">
        <v>0.2047</v>
      </c>
      <c r="H24" s="129" t="inlineStr">
        <is>
          <t>P050192</t>
        </is>
      </c>
      <c r="I24" s="129" t="inlineStr">
        <is>
          <t>BSS052501</t>
        </is>
      </c>
      <c r="J24" s="129" t="inlineStr">
        <is>
          <t>⚠ 2 MISSING</t>
        </is>
      </c>
      <c r="K24" s="133" t="inlineStr">
        <is>
          <t>#6 CBN; #8 LoD</t>
        </is>
      </c>
      <c r="L24" s="132" t="n">
        <v>0.2039</v>
      </c>
      <c r="M24" s="129" t="inlineStr">
        <is>
          <t>2025/</t>
        </is>
      </c>
      <c r="N24" s="132" t="n">
        <v>-0.0007999999999999829</v>
      </c>
      <c r="O24" s="135" t="inlineStr">
        <is>
          <t>no — 2 missing</t>
        </is>
      </c>
    </row>
    <row r="25">
      <c r="A25" s="129" t="n">
        <v>2</v>
      </c>
      <c r="B25" s="129" t="inlineStr">
        <is>
          <t>14.08.2026</t>
        </is>
      </c>
      <c r="C25" s="130" t="inlineStr">
        <is>
          <t>CC012603</t>
        </is>
      </c>
      <c r="D25" s="129" t="inlineStr">
        <is>
          <t>CashCow</t>
        </is>
      </c>
      <c r="E25" s="131" t="n">
        <v>56.18</v>
      </c>
      <c r="F25" s="129" t="inlineStr">
        <is>
          <t>10–13%</t>
        </is>
      </c>
      <c r="G25" s="132" t="n">
        <v>0.1232</v>
      </c>
      <c r="H25" s="129" t="inlineStr">
        <is>
          <t>P060372</t>
        </is>
      </c>
      <c r="I25" s="129" t="inlineStr">
        <is>
          <t>—</t>
        </is>
      </c>
      <c r="J25" s="129" t="inlineStr">
        <is>
          <t>— CERTIFICATES ON FILE, NO TRACKER ROW —</t>
        </is>
      </c>
      <c r="K25" s="133" t="inlineStr">
        <is>
          <t>no lot on the tracker for this batch; certificates found on 09.09.2026 cover #9 Microbiological purity — see Reconciliation 09.09</t>
        </is>
      </c>
      <c r="L25" s="132" t="inlineStr">
        <is>
          <t>— none on the desk —</t>
        </is>
      </c>
      <c r="M25" s="129" t="inlineStr">
        <is>
          <t>—</t>
        </is>
      </c>
      <c r="N25" s="132" t="inlineStr">
        <is>
          <t>—</t>
        </is>
      </c>
      <c r="O25" s="135" t="inlineStr">
        <is>
          <t>NO — certificates are on file but the batch is on no tracker lot; add the lot, then re-run</t>
        </is>
      </c>
    </row>
    <row r="26">
      <c r="A26" s="129" t="n">
        <v>2</v>
      </c>
      <c r="B26" s="129" t="inlineStr">
        <is>
          <t>14.08.2026</t>
        </is>
      </c>
      <c r="C26" s="130" t="inlineStr">
        <is>
          <t>CF102501</t>
        </is>
      </c>
      <c r="D26" s="129" t="inlineStr">
        <is>
          <t>Chem Flyer</t>
        </is>
      </c>
      <c r="E26" s="131" t="n">
        <v>48.35</v>
      </c>
      <c r="F26" s="129" t="inlineStr">
        <is>
          <t>7–10%</t>
        </is>
      </c>
      <c r="G26" s="132" t="n">
        <v>0.0983</v>
      </c>
      <c r="H26" s="129" t="inlineStr">
        <is>
          <t>P060132</t>
        </is>
      </c>
      <c r="I26" s="129" t="inlineStr">
        <is>
          <t>—</t>
        </is>
      </c>
      <c r="J26" s="129" t="inlineStr">
        <is>
          <t>— CERTIFICATES ON FILE, NO TRACKER ROW —</t>
        </is>
      </c>
      <c r="K26"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26" s="132" t="inlineStr">
        <is>
          <t>— none on the desk —</t>
        </is>
      </c>
      <c r="M26" s="129" t="inlineStr">
        <is>
          <t>—</t>
        </is>
      </c>
      <c r="N26" s="132" t="inlineStr">
        <is>
          <t>—</t>
        </is>
      </c>
      <c r="O26" s="135" t="inlineStr">
        <is>
          <t>NO — certificates are on file but the batch is on no tracker lot; add the lot, then re-run</t>
        </is>
      </c>
    </row>
    <row r="27">
      <c r="A27" s="129" t="n">
        <v>2</v>
      </c>
      <c r="B27" s="129" t="inlineStr">
        <is>
          <t>14.08.2026</t>
        </is>
      </c>
      <c r="C27" s="130" t="inlineStr">
        <is>
          <t>CJ062501/1</t>
        </is>
      </c>
      <c r="D27" s="129" t="inlineStr">
        <is>
          <t>Cap Junky</t>
        </is>
      </c>
      <c r="E27" s="131" t="n">
        <v>77.72</v>
      </c>
      <c r="F27" s="129" t="inlineStr">
        <is>
          <t>19–22%</t>
        </is>
      </c>
      <c r="G27" s="132" t="n">
        <v>0.2151</v>
      </c>
      <c r="H27" s="129" t="inlineStr">
        <is>
          <t>P050222</t>
        </is>
      </c>
      <c r="I27" s="129" t="inlineStr">
        <is>
          <t>CJ062501/1</t>
        </is>
      </c>
      <c r="J27" s="129" t="inlineStr">
        <is>
          <t>✓ COMPLETE</t>
        </is>
      </c>
      <c r="K27" s="133" t="inlineStr">
        <is>
          <t>—</t>
        </is>
      </c>
      <c r="L27" s="132" t="n">
        <v>0.2151</v>
      </c>
      <c r="M27" s="129" t="inlineStr">
        <is>
          <t>ППК25321</t>
        </is>
      </c>
      <c r="N27" s="132" t="n">
        <v>0</v>
      </c>
      <c r="O27" s="134" t="inlineStr">
        <is>
          <t>yes — all 12 determinations covered</t>
        </is>
      </c>
    </row>
    <row r="28">
      <c r="A28" s="129" t="n">
        <v>2</v>
      </c>
      <c r="B28" s="129" t="inlineStr">
        <is>
          <t>14.08.2026</t>
        </is>
      </c>
      <c r="C28" s="130" t="inlineStr">
        <is>
          <t>CJ082501/1</t>
        </is>
      </c>
      <c r="D28" s="129" t="inlineStr">
        <is>
          <t>Cap Junky</t>
        </is>
      </c>
      <c r="E28" s="131" t="n">
        <v>115.6</v>
      </c>
      <c r="F28" s="129" t="inlineStr">
        <is>
          <t>22–25%</t>
        </is>
      </c>
      <c r="G28" s="132" t="n">
        <v>0.2496</v>
      </c>
      <c r="H28" s="129" t="inlineStr">
        <is>
          <t>P060022</t>
        </is>
      </c>
      <c r="I28" s="129" t="inlineStr">
        <is>
          <t>CJ082501/1</t>
        </is>
      </c>
      <c r="J28" s="129" t="inlineStr">
        <is>
          <t>✓ COMPLETE</t>
        </is>
      </c>
      <c r="K28" s="133" t="inlineStr">
        <is>
          <t>—</t>
        </is>
      </c>
      <c r="L28" s="132" t="n">
        <v>0.2496</v>
      </c>
      <c r="M28" s="129" t="inlineStr">
        <is>
          <t>ППК26002</t>
        </is>
      </c>
      <c r="N28" s="132" t="n">
        <v>0</v>
      </c>
      <c r="O28" s="134" t="inlineStr">
        <is>
          <t>yes — all 12 determinations covered</t>
        </is>
      </c>
    </row>
    <row r="29">
      <c r="A29" s="129" t="n">
        <v>2</v>
      </c>
      <c r="B29" s="129" t="inlineStr">
        <is>
          <t>14.08.2026</t>
        </is>
      </c>
      <c r="C29" s="130" t="inlineStr">
        <is>
          <t>CJ092501</t>
        </is>
      </c>
      <c r="D29" s="129" t="inlineStr">
        <is>
          <t>Cap Junky</t>
        </is>
      </c>
      <c r="E29" s="131" t="n">
        <v>28.38</v>
      </c>
      <c r="F29" s="129" t="inlineStr">
        <is>
          <t>22–25%</t>
        </is>
      </c>
      <c r="G29" s="132" t="n">
        <v>0.223</v>
      </c>
      <c r="H29" s="129" t="inlineStr">
        <is>
          <t>P060072</t>
        </is>
      </c>
      <c r="I29" s="129" t="inlineStr">
        <is>
          <t>CJ092501</t>
        </is>
      </c>
      <c r="J29" s="129" t="inlineStr">
        <is>
          <t>✓ COMPLETE</t>
        </is>
      </c>
      <c r="K29" s="133" t="inlineStr">
        <is>
          <t>—</t>
        </is>
      </c>
      <c r="L29" s="132" t="n">
        <v>0.223</v>
      </c>
      <c r="M29" s="129" t="inlineStr">
        <is>
          <t>ППК26007</t>
        </is>
      </c>
      <c r="N29" s="132" t="n">
        <v>0</v>
      </c>
      <c r="O29" s="134" t="inlineStr">
        <is>
          <t>yes — all 12 determinations covered</t>
        </is>
      </c>
    </row>
    <row r="30">
      <c r="A30" s="129" t="n">
        <v>2</v>
      </c>
      <c r="B30" s="129" t="inlineStr">
        <is>
          <t>14.08.2026</t>
        </is>
      </c>
      <c r="C30" s="130" t="inlineStr">
        <is>
          <t>CLE072501</t>
        </is>
      </c>
      <c r="D30" s="129" t="inlineStr">
        <is>
          <t>Clemosa</t>
        </is>
      </c>
      <c r="E30" s="131" t="n">
        <v>27.07</v>
      </c>
      <c r="F30" s="129" t="inlineStr">
        <is>
          <t>7–10%</t>
        </is>
      </c>
      <c r="G30" s="132" t="n">
        <v>0.08019999999999999</v>
      </c>
      <c r="H30" s="129" t="inlineStr">
        <is>
          <t>P050282</t>
        </is>
      </c>
      <c r="I30" s="129" t="inlineStr">
        <is>
          <t>CLE072501</t>
        </is>
      </c>
      <c r="J30" s="129" t="inlineStr">
        <is>
          <t>✓ COMPLETE</t>
        </is>
      </c>
      <c r="K30" s="133" t="inlineStr">
        <is>
          <t>—</t>
        </is>
      </c>
      <c r="L30" s="132" t="n">
        <v>0.08019999999999999</v>
      </c>
      <c r="M30" s="129" t="inlineStr">
        <is>
          <t>ППК25370</t>
        </is>
      </c>
      <c r="N30" s="132" t="n">
        <v>0</v>
      </c>
      <c r="O30" s="134" t="inlineStr">
        <is>
          <t>yes — all 12 determinations covered</t>
        </is>
      </c>
    </row>
    <row r="31">
      <c r="A31" s="129" t="n">
        <v>2</v>
      </c>
      <c r="B31" s="129" t="inlineStr">
        <is>
          <t>14.08.2026</t>
        </is>
      </c>
      <c r="C31" s="130" t="inlineStr">
        <is>
          <t>FB012601/1</t>
        </is>
      </c>
      <c r="D31" s="129" t="inlineStr">
        <is>
          <t>Fat Bastard</t>
        </is>
      </c>
      <c r="E31" s="131" t="n">
        <v>8.85</v>
      </c>
      <c r="F31" s="129" t="inlineStr">
        <is>
          <t>13–16%</t>
        </is>
      </c>
      <c r="G31" s="132" t="n">
        <v>0.1468</v>
      </c>
      <c r="H31" s="129" t="inlineStr">
        <is>
          <t>P060322</t>
        </is>
      </c>
      <c r="I31" s="129" t="inlineStr">
        <is>
          <t>FB012601_1</t>
        </is>
      </c>
      <c r="J31" s="129" t="inlineStr">
        <is>
          <t>✓ COMPLETE</t>
        </is>
      </c>
      <c r="K31" s="133" t="inlineStr">
        <is>
          <t>—</t>
        </is>
      </c>
      <c r="L31" s="132" t="n">
        <v>0.1468</v>
      </c>
      <c r="M31" s="129" t="inlineStr">
        <is>
          <t>ППК26067</t>
        </is>
      </c>
      <c r="N31" s="132" t="n">
        <v>0</v>
      </c>
      <c r="O31" s="134" t="inlineStr">
        <is>
          <t>yes — all 12 determinations covered</t>
        </is>
      </c>
    </row>
    <row r="32">
      <c r="A32" s="129" t="n">
        <v>2</v>
      </c>
      <c r="B32" s="129" t="inlineStr">
        <is>
          <t>14.08.2026</t>
        </is>
      </c>
      <c r="C32" s="130" t="inlineStr">
        <is>
          <t>GG1024</t>
        </is>
      </c>
      <c r="D32" s="129" t="inlineStr">
        <is>
          <t>Gorilla Glue</t>
        </is>
      </c>
      <c r="E32" s="131" t="n">
        <v>44.84</v>
      </c>
      <c r="F32" s="129" t="inlineStr">
        <is>
          <t>13–16%</t>
        </is>
      </c>
      <c r="G32" s="132" t="n">
        <v>0.1334</v>
      </c>
      <c r="H32" s="129" t="inlineStr">
        <is>
          <t>—</t>
        </is>
      </c>
      <c r="I32" s="129" t="inlineStr">
        <is>
          <t>GG1024</t>
        </is>
      </c>
      <c r="J32" s="129" t="inlineStr">
        <is>
          <t>❌ 9 MISSING</t>
        </is>
      </c>
      <c r="K32" s="133" t="inlineStr">
        <is>
          <t>#3 Ident. C (on file 09.09, not recorded); #4 Δ⁹-THC (on file 09.09, not recorded); #5 CBD (on file 09.09, not recorded); #6 CBN; #8 LoD (on file 09.09, not recorded); #9 Microbiology (on file 09.09, not recorded); #10 Mycotoxins (on file 09.09, not recorded); #11 Heavy metals (on file 09.09, not recorded); #12 Pesticides (on file 09.09, not recorded)</t>
        </is>
      </c>
      <c r="L32" s="132" t="n">
        <v>0.1334</v>
      </c>
      <c r="M32" s="129" t="inlineStr">
        <is>
          <t>None</t>
        </is>
      </c>
      <c r="N32" s="132" t="n">
        <v>0</v>
      </c>
      <c r="O32" s="135" t="inlineStr">
        <is>
          <t>no — 9 missing</t>
        </is>
      </c>
    </row>
    <row r="33">
      <c r="A33" s="129" t="n">
        <v>2</v>
      </c>
      <c r="B33" s="129" t="inlineStr">
        <is>
          <t>14.08.2026</t>
        </is>
      </c>
      <c r="C33" s="130" t="inlineStr">
        <is>
          <t>GP072501/2</t>
        </is>
      </c>
      <c r="D33" s="129" t="inlineStr">
        <is>
          <t>Grape Pie</t>
        </is>
      </c>
      <c r="E33" s="131" t="n">
        <v>13.63</v>
      </c>
      <c r="F33" s="129" t="inlineStr">
        <is>
          <t>19–22%</t>
        </is>
      </c>
      <c r="G33" s="132" t="n">
        <v>0.1981</v>
      </c>
      <c r="H33" s="129" t="inlineStr">
        <is>
          <t>P050302</t>
        </is>
      </c>
      <c r="I33" s="129" t="inlineStr">
        <is>
          <t>GP072501/2</t>
        </is>
      </c>
      <c r="J33" s="129" t="inlineStr">
        <is>
          <t>✓ COMPLETE</t>
        </is>
      </c>
      <c r="K33" s="133" t="inlineStr">
        <is>
          <t>—</t>
        </is>
      </c>
      <c r="L33" s="132" t="n">
        <v>0.1981</v>
      </c>
      <c r="M33" s="129" t="inlineStr">
        <is>
          <t>ППК25379</t>
        </is>
      </c>
      <c r="N33" s="132" t="n">
        <v>0</v>
      </c>
      <c r="O33" s="134" t="inlineStr">
        <is>
          <t>yes — all 12 determinations covered</t>
        </is>
      </c>
    </row>
    <row r="34">
      <c r="A34" s="129" t="n">
        <v>2</v>
      </c>
      <c r="B34" s="129" t="inlineStr">
        <is>
          <t>14.08.2026</t>
        </is>
      </c>
      <c r="C34" s="130" t="inlineStr">
        <is>
          <t>GP0824_03</t>
        </is>
      </c>
      <c r="D34" s="129" t="inlineStr">
        <is>
          <t>Grape Pie</t>
        </is>
      </c>
      <c r="E34" s="131" t="n">
        <v>237.67</v>
      </c>
      <c r="F34" s="129" t="inlineStr">
        <is>
          <t>≥ 25%</t>
        </is>
      </c>
      <c r="G34" s="132" t="n">
        <v>0.2545</v>
      </c>
      <c r="H34" s="129" t="inlineStr">
        <is>
          <t>P050072</t>
        </is>
      </c>
      <c r="I34" s="129" t="inlineStr">
        <is>
          <t>GP0824_03</t>
        </is>
      </c>
      <c r="J34" s="129" t="inlineStr">
        <is>
          <t>✓ COMPLETE</t>
        </is>
      </c>
      <c r="K34" s="133" t="inlineStr">
        <is>
          <t>—</t>
        </is>
      </c>
      <c r="L34" s="132" t="n">
        <v>0.2545</v>
      </c>
      <c r="M34" s="129" t="inlineStr">
        <is>
          <t>ППК25175</t>
        </is>
      </c>
      <c r="N34" s="132" t="n">
        <v>0</v>
      </c>
      <c r="O34" s="134" t="inlineStr">
        <is>
          <t>yes — all 12 determinations covered</t>
        </is>
      </c>
    </row>
    <row r="35">
      <c r="A35" s="129" t="n">
        <v>2</v>
      </c>
      <c r="B35" s="129" t="inlineStr">
        <is>
          <t>14.08.2026</t>
        </is>
      </c>
      <c r="C35" s="130" t="inlineStr">
        <is>
          <t>GP082501/1</t>
        </is>
      </c>
      <c r="D35" s="129" t="inlineStr">
        <is>
          <t>Grape Pie</t>
        </is>
      </c>
      <c r="E35" s="131" t="n">
        <v>200.42</v>
      </c>
      <c r="F35" s="129" t="inlineStr">
        <is>
          <t>19–22%</t>
        </is>
      </c>
      <c r="G35" s="132" t="n">
        <v>0.2129</v>
      </c>
      <c r="H35" s="129" t="inlineStr">
        <is>
          <t>P050312</t>
        </is>
      </c>
      <c r="I35" s="129" t="inlineStr">
        <is>
          <t>GP082501/1</t>
        </is>
      </c>
      <c r="J35" s="129" t="inlineStr">
        <is>
          <t>✓ COMPLETE</t>
        </is>
      </c>
      <c r="K35" s="133" t="inlineStr">
        <is>
          <t>—</t>
        </is>
      </c>
      <c r="L35" s="132" t="n">
        <v>0.2129</v>
      </c>
      <c r="M35" s="129" t="inlineStr">
        <is>
          <t>ППК25380</t>
        </is>
      </c>
      <c r="N35" s="132" t="n">
        <v>0</v>
      </c>
      <c r="O35" s="134" t="inlineStr">
        <is>
          <t>yes — all 12 determinations covered</t>
        </is>
      </c>
    </row>
    <row r="36">
      <c r="A36" s="129" t="n">
        <v>2</v>
      </c>
      <c r="B36" s="129" t="inlineStr">
        <is>
          <t>14.08.2026</t>
        </is>
      </c>
      <c r="C36" s="130" t="inlineStr">
        <is>
          <t>GP092501</t>
        </is>
      </c>
      <c r="D36" s="129" t="inlineStr">
        <is>
          <t>Grape Pie</t>
        </is>
      </c>
      <c r="E36" s="131" t="n">
        <v>171.03</v>
      </c>
      <c r="F36" s="129" t="inlineStr">
        <is>
          <t>≥ 25%</t>
        </is>
      </c>
      <c r="G36" s="132" t="n">
        <v>0.2573</v>
      </c>
      <c r="H36" s="129" t="inlineStr">
        <is>
          <t>P060092</t>
        </is>
      </c>
      <c r="I36" s="129" t="inlineStr">
        <is>
          <t>GP092501</t>
        </is>
      </c>
      <c r="J36" s="129" t="inlineStr">
        <is>
          <t>✓ COMPLETE</t>
        </is>
      </c>
      <c r="K36" s="133" t="inlineStr">
        <is>
          <t>—</t>
        </is>
      </c>
      <c r="L36" s="132" t="n">
        <v>0.2573</v>
      </c>
      <c r="M36" s="129" t="inlineStr">
        <is>
          <t>ППК26009</t>
        </is>
      </c>
      <c r="N36" s="132" t="n">
        <v>0</v>
      </c>
      <c r="O36" s="134" t="inlineStr">
        <is>
          <t>yes — all 12 determinations covered</t>
        </is>
      </c>
    </row>
    <row r="37">
      <c r="A37" s="129" t="n">
        <v>2</v>
      </c>
      <c r="B37" s="129" t="inlineStr">
        <is>
          <t>14.08.2026</t>
        </is>
      </c>
      <c r="C37" s="130" t="inlineStr">
        <is>
          <t>GRC102501/2</t>
        </is>
      </c>
      <c r="D37" s="129" t="inlineStr">
        <is>
          <t>Grapes and Cream</t>
        </is>
      </c>
      <c r="E37" s="131" t="n">
        <v>20.17</v>
      </c>
      <c r="F37" s="129" t="inlineStr">
        <is>
          <t>10–13%</t>
        </is>
      </c>
      <c r="G37" s="132" t="n">
        <v>0.1153</v>
      </c>
      <c r="H37" s="129" t="inlineStr">
        <is>
          <t>P060182</t>
        </is>
      </c>
      <c r="I37" s="129" t="inlineStr">
        <is>
          <t>GRC102501 (through its P lot; the desk row is the roll-up GRC102501)</t>
        </is>
      </c>
      <c r="J37" s="129" t="inlineStr">
        <is>
          <t>⚠ 3 MISSING</t>
        </is>
      </c>
      <c r="K37" s="133" t="inlineStr">
        <is>
          <t>#10 Mycotoxins; #11 Heavy metals (on file 09.09, not recorded); #12 Pesticides (on file 09.09, not recorded)</t>
        </is>
      </c>
      <c r="L37" s="132" t="n">
        <v>0.1153</v>
      </c>
      <c r="M37" s="129" t="inlineStr">
        <is>
          <t>None</t>
        </is>
      </c>
      <c r="N37" s="132" t="n">
        <v>0</v>
      </c>
      <c r="O37" s="135" t="inlineStr">
        <is>
          <t>no — 3 missing</t>
        </is>
      </c>
    </row>
    <row r="38">
      <c r="A38" s="129" t="n">
        <v>2</v>
      </c>
      <c r="B38" s="129" t="inlineStr">
        <is>
          <t>14.08.2026</t>
        </is>
      </c>
      <c r="C38" s="130" t="inlineStr">
        <is>
          <t>HPA052501</t>
        </is>
      </c>
      <c r="D38" s="129" t="inlineStr">
        <is>
          <t>High Pro Amnesia</t>
        </is>
      </c>
      <c r="E38" s="131" t="n">
        <v>249.95</v>
      </c>
      <c r="F38" s="129" t="inlineStr">
        <is>
          <t>19–22%</t>
        </is>
      </c>
      <c r="G38" s="132" t="n">
        <v>0.2039</v>
      </c>
      <c r="H38" s="129" t="inlineStr">
        <is>
          <t>P050182</t>
        </is>
      </c>
      <c r="I38" s="129" t="inlineStr">
        <is>
          <t>HPA052501</t>
        </is>
      </c>
      <c r="J38" s="129" t="inlineStr">
        <is>
          <t>✓ COMPLETE</t>
        </is>
      </c>
      <c r="K38" s="133" t="inlineStr">
        <is>
          <t>—</t>
        </is>
      </c>
      <c r="L38" s="132" t="n">
        <v>0.2039</v>
      </c>
      <c r="M38" s="129" t="inlineStr">
        <is>
          <t>ППК25278</t>
        </is>
      </c>
      <c r="N38" s="132" t="n">
        <v>0</v>
      </c>
      <c r="O38" s="134" t="inlineStr">
        <is>
          <t>yes — all 12 determinations covered</t>
        </is>
      </c>
    </row>
    <row r="39">
      <c r="A39" s="129" t="n">
        <v>2</v>
      </c>
      <c r="B39" s="129" t="inlineStr">
        <is>
          <t>14.08.2026</t>
        </is>
      </c>
      <c r="C39" s="130" t="inlineStr">
        <is>
          <t>JD012603/01</t>
        </is>
      </c>
      <c r="D39" s="129" t="inlineStr">
        <is>
          <t>Jelly Donuts</t>
        </is>
      </c>
      <c r="E39" s="131" t="n">
        <v>12</v>
      </c>
      <c r="F39" s="129" t="inlineStr">
        <is>
          <t>16–19%</t>
        </is>
      </c>
      <c r="G39" s="132" t="n">
        <v>0.1671</v>
      </c>
      <c r="H39" s="129" t="inlineStr">
        <is>
          <t>P060362</t>
        </is>
      </c>
      <c r="I39" s="129" t="inlineStr">
        <is>
          <t>JD012603 (through its P lot; the desk row is the roll-up JD012603)</t>
        </is>
      </c>
      <c r="J39" s="129" t="inlineStr">
        <is>
          <t>○ 4 ON FILE, NOT RECORDED</t>
        </is>
      </c>
      <c r="K39" s="133" t="inlineStr">
        <is>
          <t>#9 Microbiology (on file 09.09, not recorded); #10 Mycotoxins (on file 09.09, not recorded); #11 Heavy metals (on file 09.09, not recorded); #12 Pesticides (on file 09.09, not recorded)</t>
        </is>
      </c>
      <c r="L39" s="132" t="inlineStr">
        <is>
          <t>— none on the desk —</t>
        </is>
      </c>
      <c r="M39" s="129" t="inlineStr">
        <is>
          <t>—</t>
        </is>
      </c>
      <c r="N39" s="132" t="inlineStr">
        <is>
          <t>—</t>
        </is>
      </c>
      <c r="O39" s="135" t="inlineStr">
        <is>
          <t>no — 4 on file, not recorded</t>
        </is>
      </c>
    </row>
    <row r="40">
      <c r="A40" s="129" t="n">
        <v>2</v>
      </c>
      <c r="B40" s="129" t="inlineStr">
        <is>
          <t>14.08.2026</t>
        </is>
      </c>
      <c r="C40" s="130" t="inlineStr">
        <is>
          <t>JD012603/02</t>
        </is>
      </c>
      <c r="D40" s="129" t="inlineStr">
        <is>
          <t>Jelly Donuts</t>
        </is>
      </c>
      <c r="E40" s="131" t="n">
        <v>46</v>
      </c>
      <c r="F40" s="129" t="inlineStr">
        <is>
          <t>13–16%</t>
        </is>
      </c>
      <c r="G40" s="132" t="n">
        <v>0.133</v>
      </c>
      <c r="H40" s="129" t="inlineStr">
        <is>
          <t>P060412</t>
        </is>
      </c>
      <c r="I40" s="129" t="inlineStr">
        <is>
          <t>JD012603 (through its P lot; the desk row is the roll-up JD012603)</t>
        </is>
      </c>
      <c r="J40" s="129" t="inlineStr">
        <is>
          <t>○ 4 ON FILE, NOT RECORDED</t>
        </is>
      </c>
      <c r="K40" s="133" t="inlineStr">
        <is>
          <t>#9 Microbiology (on file 09.09, not recorded); #10 Mycotoxins (on file 09.09, not recorded); #11 Heavy metals (on file 09.09, not recorded); #12 Pesticides (on file 09.09, not recorded)</t>
        </is>
      </c>
      <c r="L40" s="136" t="n">
        <v>0.2054</v>
      </c>
      <c r="M40" s="137" t="inlineStr">
        <is>
          <t>ППК26113</t>
        </is>
      </c>
      <c r="N40" s="136" t="n">
        <v>0.07239999999999998</v>
      </c>
      <c r="O40" s="138" t="inlineStr">
        <is>
          <t>no — 4 on file, not recorded  |  POTENCY: the certificate reads 20.54 %, outside the 13–16% it was delivered under</t>
        </is>
      </c>
    </row>
    <row r="41">
      <c r="A41" s="129" t="n">
        <v>2</v>
      </c>
      <c r="B41" s="129" t="inlineStr">
        <is>
          <t>14.08.2026</t>
        </is>
      </c>
      <c r="C41" s="130" t="inlineStr">
        <is>
          <t>JD012603/02V</t>
        </is>
      </c>
      <c r="D41" s="129" t="inlineStr">
        <is>
          <t>Jelly Donuts</t>
        </is>
      </c>
      <c r="E41" s="131" t="n">
        <v>11</v>
      </c>
      <c r="F41" s="129" t="inlineStr">
        <is>
          <t>13–16%</t>
        </is>
      </c>
      <c r="G41" s="132" t="n">
        <v>0.1497</v>
      </c>
      <c r="H41" s="129" t="inlineStr">
        <is>
          <t>P060422</t>
        </is>
      </c>
      <c r="I41" s="129" t="inlineStr">
        <is>
          <t>JD012603 (through its P lot; the desk row is the roll-up JD012603)</t>
        </is>
      </c>
      <c r="J41" s="129" t="inlineStr">
        <is>
          <t>○ 4 ON FILE, NOT RECORDED</t>
        </is>
      </c>
      <c r="K41" s="133" t="inlineStr">
        <is>
          <t>#9 Microbiology (on file 09.09, not recorded); #10 Mycotoxins (on file 09.09, not recorded); #11 Heavy metals (on file 09.09, not recorded); #12 Pesticides (on file 09.09, not recorded)</t>
        </is>
      </c>
      <c r="L41" s="132" t="n">
        <v>0.1516</v>
      </c>
      <c r="M41" s="129" t="inlineStr">
        <is>
          <t>ППК26111</t>
        </is>
      </c>
      <c r="N41" s="132" t="n">
        <v>0.001899999999999995</v>
      </c>
      <c r="O41" s="135" t="inlineStr">
        <is>
          <t>no — 4 on file, not recorded</t>
        </is>
      </c>
    </row>
    <row r="42">
      <c r="A42" s="129" t="n">
        <v>2</v>
      </c>
      <c r="B42" s="129" t="inlineStr">
        <is>
          <t>14.08.2026</t>
        </is>
      </c>
      <c r="C42" s="130" t="inlineStr">
        <is>
          <t>KC102501</t>
        </is>
      </c>
      <c r="D42" s="129" t="inlineStr">
        <is>
          <t>Kush Crasher</t>
        </is>
      </c>
      <c r="E42" s="131" t="n">
        <v>21.67</v>
      </c>
      <c r="F42" s="129" t="inlineStr">
        <is>
          <t>16–19%</t>
        </is>
      </c>
      <c r="G42" s="132" t="n">
        <v>0.174</v>
      </c>
      <c r="H42" s="129" t="inlineStr">
        <is>
          <t>P060172</t>
        </is>
      </c>
      <c r="I42" s="129" t="inlineStr">
        <is>
          <t>KC102501</t>
        </is>
      </c>
      <c r="J42" s="129" t="inlineStr">
        <is>
          <t>○ 4 ON FILE, NOT RECORDED</t>
        </is>
      </c>
      <c r="K42" s="133" t="inlineStr">
        <is>
          <t>#9 Microbiology (on file 09.09, not recorded); #10 Mycotoxins (on file 09.09, not recorded); #11 Heavy metals (on file 09.09, not recorded); #12 Pesticides (on file 09.09, not recorded)</t>
        </is>
      </c>
      <c r="L42" s="132" t="n">
        <v>0.1704</v>
      </c>
      <c r="M42" s="129" t="inlineStr">
        <is>
          <t>051-4-К/26</t>
        </is>
      </c>
      <c r="N42" s="132" t="n">
        <v>-0.003599999999999994</v>
      </c>
      <c r="O42" s="135" t="inlineStr">
        <is>
          <t>no — 4 on file, not recorded</t>
        </is>
      </c>
    </row>
    <row r="43">
      <c r="A43" s="129" t="n">
        <v>2</v>
      </c>
      <c r="B43" s="129" t="inlineStr">
        <is>
          <t>14.08.2026</t>
        </is>
      </c>
      <c r="C43" s="130" t="inlineStr">
        <is>
          <t>MB0824_05</t>
        </is>
      </c>
      <c r="D43" s="129" t="inlineStr">
        <is>
          <t>Motor Breath</t>
        </is>
      </c>
      <c r="E43" s="131" t="n">
        <v>244.06</v>
      </c>
      <c r="F43" s="129" t="inlineStr">
        <is>
          <t>16–19%</t>
        </is>
      </c>
      <c r="G43" s="132" t="n">
        <v>0.1682</v>
      </c>
      <c r="H43" s="129" t="inlineStr">
        <is>
          <t>P050112</t>
        </is>
      </c>
      <c r="I43" s="129" t="inlineStr">
        <is>
          <t>MB0824_05</t>
        </is>
      </c>
      <c r="J43" s="129" t="inlineStr">
        <is>
          <t>✓ COMPLETE</t>
        </is>
      </c>
      <c r="K43" s="133" t="inlineStr">
        <is>
          <t>—</t>
        </is>
      </c>
      <c r="L43" s="132" t="n">
        <v>0.1682</v>
      </c>
      <c r="M43" s="129" t="inlineStr">
        <is>
          <t>None</t>
        </is>
      </c>
      <c r="N43" s="132" t="n">
        <v>0</v>
      </c>
      <c r="O43" s="134" t="inlineStr">
        <is>
          <t>yes — all 12 determinations covered</t>
        </is>
      </c>
    </row>
    <row r="44">
      <c r="A44" s="129" t="n">
        <v>2</v>
      </c>
      <c r="B44" s="129" t="inlineStr">
        <is>
          <t>14.08.2026</t>
        </is>
      </c>
      <c r="C44" s="130" t="inlineStr">
        <is>
          <t>OMP1024_01</t>
        </is>
      </c>
      <c r="D44" s="129" t="inlineStr">
        <is>
          <t>Orange Punch Mimosa</t>
        </is>
      </c>
      <c r="E44" s="131" t="n">
        <v>213.59</v>
      </c>
      <c r="F44" s="129" t="inlineStr">
        <is>
          <t>13–16%</t>
        </is>
      </c>
      <c r="G44" s="132" t="n">
        <v>0.1538</v>
      </c>
      <c r="H44" s="129" t="inlineStr">
        <is>
          <t>P050042</t>
        </is>
      </c>
      <c r="I44" s="129" t="inlineStr">
        <is>
          <t>OMP1024_01</t>
        </is>
      </c>
      <c r="J44" s="129" t="inlineStr">
        <is>
          <t>✓ COMPLETE</t>
        </is>
      </c>
      <c r="K44" s="133" t="inlineStr">
        <is>
          <t>—</t>
        </is>
      </c>
      <c r="L44" s="132" t="inlineStr">
        <is>
          <t>— none on the desk —</t>
        </is>
      </c>
      <c r="M44" s="129" t="inlineStr">
        <is>
          <t>—</t>
        </is>
      </c>
      <c r="N44" s="132" t="inlineStr">
        <is>
          <t>—</t>
        </is>
      </c>
      <c r="O44" s="134" t="inlineStr">
        <is>
          <t>yes — all 12 determinations covered</t>
        </is>
      </c>
    </row>
    <row r="45">
      <c r="A45" s="129" t="n">
        <v>2</v>
      </c>
      <c r="B45" s="129" t="inlineStr">
        <is>
          <t>14.08.2026</t>
        </is>
      </c>
      <c r="C45" s="130" t="inlineStr">
        <is>
          <t>OPM092501</t>
        </is>
      </c>
      <c r="D45" s="129" t="inlineStr">
        <is>
          <t>Orange Punch Mimosa</t>
        </is>
      </c>
      <c r="E45" s="131" t="n">
        <v>14.76</v>
      </c>
      <c r="F45" s="129" t="inlineStr">
        <is>
          <t>7–10%</t>
        </is>
      </c>
      <c r="G45" s="132" t="n">
        <v>0.09429999999999999</v>
      </c>
      <c r="H45" s="129" t="inlineStr">
        <is>
          <t>P060042</t>
        </is>
      </c>
      <c r="I45" s="129" t="inlineStr">
        <is>
          <t>OPM092501</t>
        </is>
      </c>
      <c r="J45" s="129" t="inlineStr">
        <is>
          <t>✓ COMPLETE</t>
        </is>
      </c>
      <c r="K45" s="133" t="inlineStr">
        <is>
          <t>—</t>
        </is>
      </c>
      <c r="L45" s="132" t="n">
        <v>0.09429999999999999</v>
      </c>
      <c r="M45" s="129" t="inlineStr">
        <is>
          <t>ППК26008</t>
        </is>
      </c>
      <c r="N45" s="132" t="n">
        <v>0</v>
      </c>
      <c r="O45" s="134" t="inlineStr">
        <is>
          <t>yes — all 12 determinations covered</t>
        </is>
      </c>
    </row>
    <row r="46">
      <c r="A46" s="129" t="n">
        <v>2</v>
      </c>
      <c r="B46" s="129" t="inlineStr">
        <is>
          <t>14.08.2026</t>
        </is>
      </c>
      <c r="C46" s="130" t="inlineStr">
        <is>
          <t>OPM1024_03</t>
        </is>
      </c>
      <c r="D46" s="129" t="inlineStr">
        <is>
          <t>Orange Punch Mimosa</t>
        </is>
      </c>
      <c r="E46" s="131" t="n">
        <v>267.59</v>
      </c>
      <c r="F46" s="129" t="inlineStr">
        <is>
          <t>16–19%</t>
        </is>
      </c>
      <c r="G46" s="132" t="n">
        <v>0.1655</v>
      </c>
      <c r="H46" s="129" t="inlineStr">
        <is>
          <t>P050082</t>
        </is>
      </c>
      <c r="I46" s="129" t="inlineStr">
        <is>
          <t>OPM1024_03</t>
        </is>
      </c>
      <c r="J46" s="129" t="inlineStr">
        <is>
          <t>✓ COMPLETE</t>
        </is>
      </c>
      <c r="K46" s="133" t="inlineStr">
        <is>
          <t>—</t>
        </is>
      </c>
      <c r="L46" s="132" t="n">
        <v>0.1655</v>
      </c>
      <c r="M46" s="129" t="inlineStr">
        <is>
          <t>ППК25210</t>
        </is>
      </c>
      <c r="N46" s="132" t="n">
        <v>0</v>
      </c>
      <c r="O46" s="134" t="inlineStr">
        <is>
          <t>yes — all 12 determinations covered</t>
        </is>
      </c>
    </row>
    <row r="47">
      <c r="A47" s="129" t="n">
        <v>2</v>
      </c>
      <c r="B47" s="129" t="inlineStr">
        <is>
          <t>14.08.2026</t>
        </is>
      </c>
      <c r="C47" s="130" t="inlineStr">
        <is>
          <t>PM112501</t>
        </is>
      </c>
      <c r="D47" s="129" t="inlineStr">
        <is>
          <t>Permanent Marker</t>
        </is>
      </c>
      <c r="E47" s="131" t="n">
        <v>48.09</v>
      </c>
      <c r="F47" s="129" t="inlineStr">
        <is>
          <t>13–16%</t>
        </is>
      </c>
      <c r="G47" s="132" t="n">
        <v>0.13</v>
      </c>
      <c r="H47" s="129" t="inlineStr">
        <is>
          <t>P060232</t>
        </is>
      </c>
      <c r="I47" s="129" t="inlineStr">
        <is>
          <t>PM112501</t>
        </is>
      </c>
      <c r="J47" s="129" t="inlineStr">
        <is>
          <t>❌ 4 MISSING</t>
        </is>
      </c>
      <c r="K47" s="133" t="inlineStr">
        <is>
          <t>#9 Microbiology (on file 09.09, not recorded); #10 Mycotoxins; #11 Heavy metals (on file 09.09, not recorded); #12 Pesticides (on file 09.09, not recorded)</t>
        </is>
      </c>
      <c r="L47" s="132" t="n">
        <v>0.1333</v>
      </c>
      <c r="M47" s="129" t="inlineStr">
        <is>
          <t>ППК26030</t>
        </is>
      </c>
      <c r="N47" s="132" t="n">
        <v>0.003300000000000001</v>
      </c>
      <c r="O47" s="135" t="inlineStr">
        <is>
          <t>no — 4 missing</t>
        </is>
      </c>
    </row>
    <row r="48">
      <c r="A48" s="129" t="n">
        <v>2</v>
      </c>
      <c r="B48" s="129" t="inlineStr">
        <is>
          <t>14.08.2026</t>
        </is>
      </c>
      <c r="C48" s="130" t="inlineStr">
        <is>
          <t>PUM102501</t>
        </is>
      </c>
      <c r="D48" s="129" t="inlineStr">
        <is>
          <t>Pure Michigen</t>
        </is>
      </c>
      <c r="E48" s="131" t="n">
        <v>49.91</v>
      </c>
      <c r="F48" s="129" t="inlineStr">
        <is>
          <t>13–16%</t>
        </is>
      </c>
      <c r="G48" s="132" t="n">
        <v>0.1563</v>
      </c>
      <c r="H48" s="129" t="inlineStr">
        <is>
          <t>P060112</t>
        </is>
      </c>
      <c r="I48" s="129" t="inlineStr">
        <is>
          <t>—</t>
        </is>
      </c>
      <c r="J48" s="129" t="inlineStr">
        <is>
          <t>— CERTIFICATES ON FILE, NO TRACKER ROW —</t>
        </is>
      </c>
      <c r="K48"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48" s="132" t="inlineStr">
        <is>
          <t>— none on the desk —</t>
        </is>
      </c>
      <c r="M48" s="129" t="inlineStr">
        <is>
          <t>—</t>
        </is>
      </c>
      <c r="N48" s="132" t="inlineStr">
        <is>
          <t>—</t>
        </is>
      </c>
      <c r="O48" s="135" t="inlineStr">
        <is>
          <t>NO — certificates are on file but the batch is on no tracker lot; add the lot, then re-run</t>
        </is>
      </c>
    </row>
    <row r="49">
      <c r="A49" s="129" t="n">
        <v>2</v>
      </c>
      <c r="B49" s="129" t="inlineStr">
        <is>
          <t>14.08.2026</t>
        </is>
      </c>
      <c r="C49" s="130" t="inlineStr">
        <is>
          <t>SCR112501</t>
        </is>
      </c>
      <c r="D49" s="129" t="inlineStr">
        <is>
          <t>Scrambler</t>
        </is>
      </c>
      <c r="E49" s="131" t="n">
        <v>23.44</v>
      </c>
      <c r="F49" s="129" t="inlineStr">
        <is>
          <t>16–19%</t>
        </is>
      </c>
      <c r="G49" s="132" t="n">
        <v>0.1713</v>
      </c>
      <c r="H49" s="129" t="inlineStr">
        <is>
          <t>P060282</t>
        </is>
      </c>
      <c r="I49" s="129" t="inlineStr">
        <is>
          <t>SCR112501</t>
        </is>
      </c>
      <c r="J49" s="129" t="inlineStr">
        <is>
          <t>✓ COMPLETE</t>
        </is>
      </c>
      <c r="K49" s="133" t="inlineStr">
        <is>
          <t>—</t>
        </is>
      </c>
      <c r="L49" s="132" t="n">
        <v>0.1713</v>
      </c>
      <c r="M49" s="129" t="inlineStr">
        <is>
          <t>ППК26069</t>
        </is>
      </c>
      <c r="N49" s="132" t="n">
        <v>0</v>
      </c>
      <c r="O49" s="134" t="inlineStr">
        <is>
          <t>yes — all 12 determinations covered</t>
        </is>
      </c>
    </row>
    <row r="50">
      <c r="A50" s="129" t="n">
        <v>2</v>
      </c>
      <c r="B50" s="129" t="inlineStr">
        <is>
          <t>14.08.2026</t>
        </is>
      </c>
      <c r="C50" s="130" t="inlineStr">
        <is>
          <t>SJ092501</t>
        </is>
      </c>
      <c r="D50" s="129" t="inlineStr">
        <is>
          <t>Sleepy Joe</t>
        </is>
      </c>
      <c r="E50" s="131" t="n">
        <v>28.68</v>
      </c>
      <c r="F50" s="129" t="inlineStr">
        <is>
          <t>10–13%</t>
        </is>
      </c>
      <c r="G50" s="132" t="n">
        <v>0.1096</v>
      </c>
      <c r="H50" s="129" t="inlineStr">
        <is>
          <t>—</t>
        </is>
      </c>
      <c r="I50" s="129" t="inlineStr">
        <is>
          <t>SJ0925021 (through the certificates that print this batch (85/2026, 9/0012/26, ППК26006); the desk names the lot SJ0925021)</t>
        </is>
      </c>
      <c r="J50" s="129" t="inlineStr">
        <is>
          <t>✓ COMPLETE</t>
        </is>
      </c>
      <c r="K50" s="133" t="inlineStr">
        <is>
          <t>—</t>
        </is>
      </c>
      <c r="L50" s="132" t="n">
        <v>0.1096</v>
      </c>
      <c r="M50" s="129" t="inlineStr">
        <is>
          <t>ППК26006</t>
        </is>
      </c>
      <c r="N50" s="132" t="n">
        <v>0</v>
      </c>
      <c r="O50" s="134" t="inlineStr">
        <is>
          <t>yes — all 12 determinations covered</t>
        </is>
      </c>
    </row>
    <row r="51">
      <c r="A51" s="129" t="n">
        <v>2</v>
      </c>
      <c r="B51" s="129" t="inlineStr">
        <is>
          <t>14.08.2026</t>
        </is>
      </c>
      <c r="C51" s="130" t="inlineStr">
        <is>
          <t>WC082501</t>
        </is>
      </c>
      <c r="D51" s="129" t="inlineStr">
        <is>
          <t>Wedding Crusher</t>
        </is>
      </c>
      <c r="E51" s="131" t="n">
        <v>82.63</v>
      </c>
      <c r="F51" s="129" t="inlineStr">
        <is>
          <t>19–22%</t>
        </is>
      </c>
      <c r="G51" s="132" t="n">
        <v>0.2167</v>
      </c>
      <c r="H51" s="129" t="inlineStr">
        <is>
          <t>P060012</t>
        </is>
      </c>
      <c r="I51" s="129" t="inlineStr">
        <is>
          <t>WC082501</t>
        </is>
      </c>
      <c r="J51" s="129" t="inlineStr">
        <is>
          <t>✓ COMPLETE</t>
        </is>
      </c>
      <c r="K51" s="133" t="inlineStr">
        <is>
          <t>—</t>
        </is>
      </c>
      <c r="L51" s="132" t="n">
        <v>0.2167</v>
      </c>
      <c r="M51" s="129" t="inlineStr">
        <is>
          <t>ППК26001</t>
        </is>
      </c>
      <c r="N51" s="132" t="n">
        <v>0</v>
      </c>
      <c r="O51" s="134" t="inlineStr">
        <is>
          <t>yes — all 12 determinations covered</t>
        </is>
      </c>
    </row>
    <row r="52">
      <c r="A52" s="129" t="n">
        <v>3</v>
      </c>
      <c r="B52" s="129" t="inlineStr">
        <is>
          <t>28.08.2026</t>
        </is>
      </c>
      <c r="C52" s="130" t="inlineStr">
        <is>
          <t>AB092501</t>
        </is>
      </c>
      <c r="D52" s="129" t="inlineStr">
        <is>
          <t>Appels &amp; Bananas</t>
        </is>
      </c>
      <c r="E52" s="131" t="n">
        <v>24.37</v>
      </c>
      <c r="F52" s="129" t="inlineStr">
        <is>
          <t>16–19%</t>
        </is>
      </c>
      <c r="G52" s="132" t="n">
        <v>0.1693</v>
      </c>
      <c r="H52" s="129" t="inlineStr">
        <is>
          <t>P060052</t>
        </is>
      </c>
      <c r="I52" s="129" t="inlineStr">
        <is>
          <t>AB092501</t>
        </is>
      </c>
      <c r="J52" s="129" t="inlineStr">
        <is>
          <t>✓ COMPLETE</t>
        </is>
      </c>
      <c r="K52" s="133" t="inlineStr">
        <is>
          <t>—</t>
        </is>
      </c>
      <c r="L52" s="132" t="n">
        <v>0.1693</v>
      </c>
      <c r="M52" s="129" t="inlineStr">
        <is>
          <t>ППК26005</t>
        </is>
      </c>
      <c r="N52" s="132" t="n">
        <v>0</v>
      </c>
      <c r="O52" s="134" t="inlineStr">
        <is>
          <t>yes — all 12 determinations covered</t>
        </is>
      </c>
    </row>
    <row r="53">
      <c r="A53" s="129" t="n">
        <v>3</v>
      </c>
      <c r="B53" s="129" t="inlineStr">
        <is>
          <t>28.08.2026</t>
        </is>
      </c>
      <c r="C53" s="130" t="inlineStr">
        <is>
          <t>BSS1024_01/1</t>
        </is>
      </c>
      <c r="D53" s="129" t="inlineStr">
        <is>
          <t>Blue Sunset Sherbet</t>
        </is>
      </c>
      <c r="E53" s="131" t="n">
        <v>251.02</v>
      </c>
      <c r="F53" s="129" t="inlineStr">
        <is>
          <t>22–25%</t>
        </is>
      </c>
      <c r="G53" s="132" t="n">
        <v>0.2342</v>
      </c>
      <c r="H53" s="129" t="inlineStr">
        <is>
          <t>P050122</t>
        </is>
      </c>
      <c r="I53" s="129" t="inlineStr">
        <is>
          <t>BSS1024_01/1</t>
        </is>
      </c>
      <c r="J53" s="129" t="inlineStr">
        <is>
          <t>✓ COMPLETE</t>
        </is>
      </c>
      <c r="K53" s="133" t="inlineStr">
        <is>
          <t>—</t>
        </is>
      </c>
      <c r="L53" s="132" t="inlineStr">
        <is>
          <t>— none on the desk —</t>
        </is>
      </c>
      <c r="M53" s="129" t="inlineStr">
        <is>
          <t>—</t>
        </is>
      </c>
      <c r="N53" s="132" t="inlineStr">
        <is>
          <t>—</t>
        </is>
      </c>
      <c r="O53" s="134" t="inlineStr">
        <is>
          <t>yes — all 12 determinations covered</t>
        </is>
      </c>
    </row>
    <row r="54">
      <c r="A54" s="129" t="n">
        <v>3</v>
      </c>
      <c r="B54" s="129" t="inlineStr">
        <is>
          <t>28.08.2026</t>
        </is>
      </c>
      <c r="C54" s="130" t="inlineStr">
        <is>
          <t>CC112501</t>
        </is>
      </c>
      <c r="D54" s="129" t="inlineStr">
        <is>
          <t>CashCow</t>
        </is>
      </c>
      <c r="E54" s="131" t="n">
        <v>13.94</v>
      </c>
      <c r="F54" s="129" t="inlineStr">
        <is>
          <t>13–16%</t>
        </is>
      </c>
      <c r="G54" s="132" t="n">
        <v>0.1335</v>
      </c>
      <c r="H54" s="129" t="inlineStr">
        <is>
          <t>P060272</t>
        </is>
      </c>
      <c r="I54" s="129" t="inlineStr">
        <is>
          <t>CC112501</t>
        </is>
      </c>
      <c r="J54" s="129" t="inlineStr">
        <is>
          <t>✓ COMPLETE</t>
        </is>
      </c>
      <c r="K54" s="133" t="inlineStr">
        <is>
          <t>—</t>
        </is>
      </c>
      <c r="L54" s="132" t="n">
        <v>0.1335</v>
      </c>
      <c r="M54" s="129" t="inlineStr">
        <is>
          <t>ППК26068</t>
        </is>
      </c>
      <c r="N54" s="132" t="n">
        <v>0</v>
      </c>
      <c r="O54" s="134" t="inlineStr">
        <is>
          <t>yes — all 12 determinations covered</t>
        </is>
      </c>
    </row>
    <row r="55">
      <c r="A55" s="129" t="n">
        <v>3</v>
      </c>
      <c r="B55" s="129" t="inlineStr">
        <is>
          <t>28.08.2026</t>
        </is>
      </c>
      <c r="C55" s="130" t="inlineStr">
        <is>
          <t>CJ052501/02</t>
        </is>
      </c>
      <c r="D55" s="129" t="inlineStr">
        <is>
          <t>Cap Junky</t>
        </is>
      </c>
      <c r="E55" s="131" t="n">
        <v>43.95</v>
      </c>
      <c r="F55" s="129" t="inlineStr">
        <is>
          <t>13–16%</t>
        </is>
      </c>
      <c r="G55" s="132" t="n">
        <v>0.1449</v>
      </c>
      <c r="H55" s="129" t="inlineStr">
        <is>
          <t>P050172</t>
        </is>
      </c>
      <c r="I55" s="129" t="inlineStr">
        <is>
          <t>CJ052501/02</t>
        </is>
      </c>
      <c r="J55" s="129" t="inlineStr">
        <is>
          <t>✓ COMPLETE</t>
        </is>
      </c>
      <c r="K55" s="133" t="inlineStr">
        <is>
          <t>—</t>
        </is>
      </c>
      <c r="L55" s="132" t="n">
        <v>0.1493</v>
      </c>
      <c r="M55" s="129" t="inlineStr">
        <is>
          <t>ППК25281</t>
        </is>
      </c>
      <c r="N55" s="132" t="n">
        <v>0.004399999999999995</v>
      </c>
      <c r="O55" s="134" t="inlineStr">
        <is>
          <t>yes — all 12 determinations covered</t>
        </is>
      </c>
    </row>
    <row r="56">
      <c r="A56" s="129" t="n">
        <v>3</v>
      </c>
      <c r="B56" s="129" t="inlineStr">
        <is>
          <t>28.08.2026</t>
        </is>
      </c>
      <c r="C56" s="130" t="inlineStr">
        <is>
          <t>CJ072501</t>
        </is>
      </c>
      <c r="D56" s="129" t="inlineStr">
        <is>
          <t>Cap Junky</t>
        </is>
      </c>
      <c r="E56" s="131" t="n">
        <v>39.72</v>
      </c>
      <c r="F56" s="129" t="inlineStr">
        <is>
          <t>22–25%</t>
        </is>
      </c>
      <c r="G56" s="132" t="n">
        <v>0.237</v>
      </c>
      <c r="H56" s="129" t="inlineStr">
        <is>
          <t>P050252</t>
        </is>
      </c>
      <c r="I56" s="129" t="inlineStr">
        <is>
          <t>CJ072501</t>
        </is>
      </c>
      <c r="J56" s="129" t="inlineStr">
        <is>
          <t>✓ COMPLETE</t>
        </is>
      </c>
      <c r="K56" s="133" t="inlineStr">
        <is>
          <t>—</t>
        </is>
      </c>
      <c r="L56" s="132" t="n">
        <v>0.237</v>
      </c>
      <c r="M56" s="129" t="inlineStr">
        <is>
          <t>ППК25367</t>
        </is>
      </c>
      <c r="N56" s="132" t="n">
        <v>0</v>
      </c>
      <c r="O56" s="134" t="inlineStr">
        <is>
          <t>yes — all 12 determinations covered</t>
        </is>
      </c>
    </row>
    <row r="57">
      <c r="A57" s="129" t="n">
        <v>3</v>
      </c>
      <c r="B57" s="129" t="inlineStr">
        <is>
          <t>28.08.2026</t>
        </is>
      </c>
      <c r="C57" s="130" t="inlineStr">
        <is>
          <t>CJ1024</t>
        </is>
      </c>
      <c r="D57" s="129" t="inlineStr">
        <is>
          <t>Cap Junky</t>
        </is>
      </c>
      <c r="E57" s="131" t="n">
        <v>21.21</v>
      </c>
      <c r="F57" s="129" t="inlineStr">
        <is>
          <t>22–25%</t>
        </is>
      </c>
      <c r="G57" s="132" t="n">
        <v>0.23</v>
      </c>
      <c r="H57" s="129" t="inlineStr">
        <is>
          <t>—</t>
        </is>
      </c>
      <c r="I57" s="129" t="inlineStr">
        <is>
          <t>CJ1024</t>
        </is>
      </c>
      <c r="J57" s="129" t="inlineStr">
        <is>
          <t>✓ COMPLETE</t>
        </is>
      </c>
      <c r="K57" s="133" t="inlineStr">
        <is>
          <t>—</t>
        </is>
      </c>
      <c r="L57" s="132" t="n">
        <v>0.23</v>
      </c>
      <c r="M57" s="129" t="inlineStr">
        <is>
          <t>ППК25052</t>
        </is>
      </c>
      <c r="N57" s="132" t="n">
        <v>0</v>
      </c>
      <c r="O57" s="134" t="inlineStr">
        <is>
          <t>yes — all 12 determinations covered</t>
        </is>
      </c>
    </row>
    <row r="58">
      <c r="A58" s="129" t="n">
        <v>3</v>
      </c>
      <c r="B58" s="129" t="inlineStr">
        <is>
          <t>28.08.2026</t>
        </is>
      </c>
      <c r="C58" s="130" t="inlineStr">
        <is>
          <t>FB012603</t>
        </is>
      </c>
      <c r="D58" s="129" t="inlineStr">
        <is>
          <t>Fat Bastard</t>
        </is>
      </c>
      <c r="E58" s="131" t="n">
        <v>75</v>
      </c>
      <c r="F58" s="129" t="inlineStr">
        <is>
          <t>13–16%</t>
        </is>
      </c>
      <c r="G58" s="132" t="n">
        <v>0.1465</v>
      </c>
      <c r="H58" s="129" t="inlineStr">
        <is>
          <t>P060432</t>
        </is>
      </c>
      <c r="I58" s="129" t="inlineStr">
        <is>
          <t>FB012603</t>
        </is>
      </c>
      <c r="J58" s="129" t="inlineStr">
        <is>
          <t>○ 3 ON FILE, NOT RECORDED</t>
        </is>
      </c>
      <c r="K58" s="133" t="inlineStr">
        <is>
          <t>#10 Mycotoxins (on file 09.09, not recorded); #11 Heavy metals (on file 09.09, not recorded); #12 Pesticides (on file 09.09, not recorded)</t>
        </is>
      </c>
      <c r="L58" s="136" t="n">
        <v>0.2083</v>
      </c>
      <c r="M58" s="137" t="inlineStr">
        <is>
          <t>ППК26112</t>
        </is>
      </c>
      <c r="N58" s="136" t="n">
        <v>0.06179999999999998</v>
      </c>
      <c r="O58" s="138" t="inlineStr">
        <is>
          <t>no — 3 on file, not recorded  |  POTENCY: the certificate reads 20.83 %, outside the 13–16% it was delivered under</t>
        </is>
      </c>
    </row>
    <row r="59">
      <c r="A59" s="129" t="n">
        <v>3</v>
      </c>
      <c r="B59" s="129" t="inlineStr">
        <is>
          <t>28.08.2026</t>
        </is>
      </c>
      <c r="C59" s="130" t="inlineStr">
        <is>
          <t>FB012603V</t>
        </is>
      </c>
      <c r="D59" s="129" t="inlineStr">
        <is>
          <t>Fat Bastard</t>
        </is>
      </c>
      <c r="E59" s="131" t="n">
        <v>16</v>
      </c>
      <c r="F59" s="129" t="inlineStr">
        <is>
          <t>13–16%</t>
        </is>
      </c>
      <c r="G59" s="132" t="n">
        <v>0.156</v>
      </c>
      <c r="H59" s="129" t="inlineStr">
        <is>
          <t>P060392</t>
        </is>
      </c>
      <c r="I59" s="129" t="inlineStr">
        <is>
          <t>FB012603V</t>
        </is>
      </c>
      <c r="J59" s="129" t="inlineStr">
        <is>
          <t>○ 3 ON FILE, NOT RECORDED</t>
        </is>
      </c>
      <c r="K59" s="133" t="inlineStr">
        <is>
          <t>#10 Mycotoxins (on file 09.09, not recorded); #11 Heavy metals (on file 09.09, not recorded); #12 Pesticides (on file 09.09, not recorded)</t>
        </is>
      </c>
      <c r="L59" s="136" t="n">
        <v>0.1829</v>
      </c>
      <c r="M59" s="137" t="inlineStr">
        <is>
          <t>ППК26110</t>
        </is>
      </c>
      <c r="N59" s="136" t="n">
        <v>0.02689999999999999</v>
      </c>
      <c r="O59" s="138" t="inlineStr">
        <is>
          <t>no — 3 on file, not recorded  |  POTENCY: the certificate reads 18.29 %, outside the 13–16% it was delivered under</t>
        </is>
      </c>
    </row>
    <row r="60">
      <c r="A60" s="129" t="n">
        <v>3</v>
      </c>
      <c r="B60" s="129" t="inlineStr">
        <is>
          <t>28.08.2026</t>
        </is>
      </c>
      <c r="C60" s="130" t="inlineStr">
        <is>
          <t>FB112501</t>
        </is>
      </c>
      <c r="D60" s="129" t="inlineStr">
        <is>
          <t>Fat Bastard</t>
        </is>
      </c>
      <c r="E60" s="131" t="n">
        <v>42.1</v>
      </c>
      <c r="F60" s="129" t="inlineStr">
        <is>
          <t>16–19%</t>
        </is>
      </c>
      <c r="G60" s="132" t="n">
        <v>0.1669</v>
      </c>
      <c r="H60" s="129" t="inlineStr">
        <is>
          <t>P060292</t>
        </is>
      </c>
      <c r="I60" s="129" t="inlineStr">
        <is>
          <t>FB112501</t>
        </is>
      </c>
      <c r="J60" s="129" t="inlineStr">
        <is>
          <t>✓ COMPLETE</t>
        </is>
      </c>
      <c r="K60" s="133" t="inlineStr">
        <is>
          <t>—</t>
        </is>
      </c>
      <c r="L60" s="132" t="n">
        <v>0.1669</v>
      </c>
      <c r="M60" s="129" t="inlineStr">
        <is>
          <t>ППК26066</t>
        </is>
      </c>
      <c r="N60" s="132" t="n">
        <v>0</v>
      </c>
      <c r="O60" s="134" t="inlineStr">
        <is>
          <t>yes — all 12 determinations covered</t>
        </is>
      </c>
    </row>
    <row r="61">
      <c r="A61" s="129" t="n">
        <v>3</v>
      </c>
      <c r="B61" s="129" t="inlineStr">
        <is>
          <t>28.08.2026</t>
        </is>
      </c>
      <c r="C61" s="130" t="inlineStr">
        <is>
          <t>GG012601</t>
        </is>
      </c>
      <c r="D61" s="129" t="inlineStr">
        <is>
          <t>GG4</t>
        </is>
      </c>
      <c r="E61" s="131" t="n">
        <v>77.84999999999999</v>
      </c>
      <c r="F61" s="129" t="inlineStr">
        <is>
          <t>13–16%</t>
        </is>
      </c>
      <c r="G61" s="132" t="n">
        <v>0.1535</v>
      </c>
      <c r="H61" s="129" t="inlineStr">
        <is>
          <t>P060302</t>
        </is>
      </c>
      <c r="I61" s="129" t="inlineStr">
        <is>
          <t>GG012601＊ (the desk writes it GG012601*)</t>
        </is>
      </c>
      <c r="J61" s="129" t="inlineStr">
        <is>
          <t>✓ COMPLETE</t>
        </is>
      </c>
      <c r="K61" s="133" t="inlineStr">
        <is>
          <t>—</t>
        </is>
      </c>
      <c r="L61" s="132" t="n">
        <v>0.1535</v>
      </c>
      <c r="M61" s="129" t="inlineStr">
        <is>
          <t>ППК26062</t>
        </is>
      </c>
      <c r="N61" s="132" t="n">
        <v>0</v>
      </c>
      <c r="O61" s="134" t="inlineStr">
        <is>
          <t>yes — all 12 determinations covered</t>
        </is>
      </c>
    </row>
    <row r="62">
      <c r="A62" s="129" t="n">
        <v>3</v>
      </c>
      <c r="B62" s="129" t="inlineStr">
        <is>
          <t>28.08.2026</t>
        </is>
      </c>
      <c r="C62" s="130" t="inlineStr">
        <is>
          <t>GG1024_02</t>
        </is>
      </c>
      <c r="D62" s="129" t="inlineStr">
        <is>
          <t>Gorilla Glue</t>
        </is>
      </c>
      <c r="E62" s="131" t="n">
        <v>184.89</v>
      </c>
      <c r="F62" s="129" t="inlineStr">
        <is>
          <t>13–16%</t>
        </is>
      </c>
      <c r="G62" s="132" t="n">
        <v>0.1595</v>
      </c>
      <c r="H62" s="129" t="inlineStr">
        <is>
          <t>P050012</t>
        </is>
      </c>
      <c r="I62" s="129" t="inlineStr">
        <is>
          <t>GG1024_02</t>
        </is>
      </c>
      <c r="J62" s="129" t="inlineStr">
        <is>
          <t>✓ COMPLETE</t>
        </is>
      </c>
      <c r="K62" s="133" t="inlineStr">
        <is>
          <t>—</t>
        </is>
      </c>
      <c r="L62" s="132" t="n">
        <v>0.1595</v>
      </c>
      <c r="M62" s="129" t="inlineStr">
        <is>
          <t>ППК25140</t>
        </is>
      </c>
      <c r="N62" s="132" t="n">
        <v>0</v>
      </c>
      <c r="O62" s="134" t="inlineStr">
        <is>
          <t>yes — all 12 determinations covered</t>
        </is>
      </c>
    </row>
    <row r="63">
      <c r="A63" s="129" t="n">
        <v>3</v>
      </c>
      <c r="B63" s="129" t="inlineStr">
        <is>
          <t>28.08.2026</t>
        </is>
      </c>
      <c r="C63" s="130" t="inlineStr">
        <is>
          <t>GG112501</t>
        </is>
      </c>
      <c r="D63" s="129" t="inlineStr">
        <is>
          <t>GG4</t>
        </is>
      </c>
      <c r="E63" s="131" t="n">
        <v>56.19</v>
      </c>
      <c r="F63" s="129" t="inlineStr">
        <is>
          <t>16–19%</t>
        </is>
      </c>
      <c r="G63" s="132" t="n">
        <v>0.1794</v>
      </c>
      <c r="H63" s="129" t="inlineStr">
        <is>
          <t>P060252</t>
        </is>
      </c>
      <c r="I63" s="129" t="inlineStr">
        <is>
          <t>GG112501</t>
        </is>
      </c>
      <c r="J63" s="129" t="inlineStr">
        <is>
          <t>✓ COMPLETE</t>
        </is>
      </c>
      <c r="K63" s="133" t="inlineStr">
        <is>
          <t>—</t>
        </is>
      </c>
      <c r="L63" s="132" t="n">
        <v>0.1794</v>
      </c>
      <c r="M63" s="129" t="inlineStr">
        <is>
          <t>ППК26061</t>
        </is>
      </c>
      <c r="N63" s="132" t="n">
        <v>0</v>
      </c>
      <c r="O63" s="134" t="inlineStr">
        <is>
          <t>yes — all 12 determinations covered</t>
        </is>
      </c>
    </row>
    <row r="64">
      <c r="A64" s="129" t="n">
        <v>3</v>
      </c>
      <c r="B64" s="129" t="inlineStr">
        <is>
          <t>28.08.2026</t>
        </is>
      </c>
      <c r="C64" s="130" t="inlineStr">
        <is>
          <t>GP062501</t>
        </is>
      </c>
      <c r="D64" s="129" t="inlineStr">
        <is>
          <t>Grape Pie</t>
        </is>
      </c>
      <c r="E64" s="131" t="n">
        <v>303.41</v>
      </c>
      <c r="F64" s="129" t="inlineStr">
        <is>
          <t>22–25%</t>
        </is>
      </c>
      <c r="G64" s="132" t="n">
        <v>0.2289</v>
      </c>
      <c r="H64" s="129" t="inlineStr">
        <is>
          <t>P050202</t>
        </is>
      </c>
      <c r="I64" s="129" t="inlineStr">
        <is>
          <t>GP062501</t>
        </is>
      </c>
      <c r="J64" s="129" t="inlineStr">
        <is>
          <t>⚠ 1 MISSING</t>
        </is>
      </c>
      <c r="K64" s="133" t="inlineStr">
        <is>
          <t>#6 CBN</t>
        </is>
      </c>
      <c r="L64" s="132" t="n">
        <v>0.2489</v>
      </c>
      <c r="M64" s="129" t="inlineStr">
        <is>
          <t>NGP/QCG/SOP-024-Ver02 F3-Ver.02</t>
        </is>
      </c>
      <c r="N64" s="132" t="n">
        <v>0.02</v>
      </c>
      <c r="O64" s="135" t="inlineStr">
        <is>
          <t>no — 1 missing</t>
        </is>
      </c>
    </row>
    <row r="65">
      <c r="A65" s="129" t="n">
        <v>3</v>
      </c>
      <c r="B65" s="129" t="inlineStr">
        <is>
          <t>28.08.2026</t>
        </is>
      </c>
      <c r="C65" s="130" t="inlineStr">
        <is>
          <t>GP072501/1</t>
        </is>
      </c>
      <c r="D65" s="129" t="inlineStr">
        <is>
          <t>Grape Pie</t>
        </is>
      </c>
      <c r="E65" s="131" t="n">
        <v>229.79</v>
      </c>
      <c r="F65" s="129" t="inlineStr">
        <is>
          <t>19–22%</t>
        </is>
      </c>
      <c r="G65" s="132" t="n">
        <v>0.2136</v>
      </c>
      <c r="H65" s="129" t="inlineStr">
        <is>
          <t>P050292</t>
        </is>
      </c>
      <c r="I65" s="129" t="inlineStr">
        <is>
          <t>GP072501/1</t>
        </is>
      </c>
      <c r="J65" s="129" t="inlineStr">
        <is>
          <t>✓ COMPLETE</t>
        </is>
      </c>
      <c r="K65" s="133" t="inlineStr">
        <is>
          <t>—</t>
        </is>
      </c>
      <c r="L65" s="132" t="n">
        <v>0.2136</v>
      </c>
      <c r="M65" s="129" t="inlineStr">
        <is>
          <t>ППК25378</t>
        </is>
      </c>
      <c r="N65" s="132" t="n">
        <v>0</v>
      </c>
      <c r="O65" s="134" t="inlineStr">
        <is>
          <t>yes — all 12 determinations covered</t>
        </is>
      </c>
    </row>
    <row r="66">
      <c r="A66" s="129" t="n">
        <v>3</v>
      </c>
      <c r="B66" s="129" t="inlineStr">
        <is>
          <t>28.08.2026</t>
        </is>
      </c>
      <c r="C66" s="130" t="inlineStr">
        <is>
          <t>GRC102501/1</t>
        </is>
      </c>
      <c r="D66" s="129" t="inlineStr">
        <is>
          <t>Grapes and Cream</t>
        </is>
      </c>
      <c r="E66" s="131" t="n">
        <v>10.69</v>
      </c>
      <c r="F66" s="129" t="inlineStr">
        <is>
          <t>7–10%</t>
        </is>
      </c>
      <c r="G66" s="132" t="n">
        <v>0.07049999999999999</v>
      </c>
      <c r="H66" s="129" t="inlineStr">
        <is>
          <t>P060142</t>
        </is>
      </c>
      <c r="I66" s="129" t="inlineStr">
        <is>
          <t>GRC102501 (through its P lot; the desk row is the roll-up GRC102501)</t>
        </is>
      </c>
      <c r="J66" s="129" t="inlineStr">
        <is>
          <t>⚠ 3 MISSING</t>
        </is>
      </c>
      <c r="K66" s="133" t="inlineStr">
        <is>
          <t>#10 Mycotoxins; #11 Heavy metals (on file 09.09, not recorded); #12 Pesticides (on file 09.09, not recorded)</t>
        </is>
      </c>
      <c r="L66" s="132" t="inlineStr">
        <is>
          <t>— none on the desk —</t>
        </is>
      </c>
      <c r="M66" s="129" t="inlineStr">
        <is>
          <t>—</t>
        </is>
      </c>
      <c r="N66" s="132" t="inlineStr">
        <is>
          <t>—</t>
        </is>
      </c>
      <c r="O66" s="135" t="inlineStr">
        <is>
          <t>no — 3 missing</t>
        </is>
      </c>
    </row>
    <row r="67">
      <c r="A67" s="129" t="n">
        <v>3</v>
      </c>
      <c r="B67" s="129" t="inlineStr">
        <is>
          <t>28.08.2026</t>
        </is>
      </c>
      <c r="C67" s="130" t="inlineStr">
        <is>
          <t>J31112501</t>
        </is>
      </c>
      <c r="D67" s="129" t="inlineStr">
        <is>
          <t>Jokerz 31</t>
        </is>
      </c>
      <c r="E67" s="131" t="n">
        <v>86.38</v>
      </c>
      <c r="F67" s="129" t="inlineStr">
        <is>
          <t>≥ 25%</t>
        </is>
      </c>
      <c r="G67" s="132" t="n">
        <v>0.25</v>
      </c>
      <c r="H67" s="129" t="inlineStr">
        <is>
          <t>P060202</t>
        </is>
      </c>
      <c r="I67" s="129" t="inlineStr">
        <is>
          <t>J31112501</t>
        </is>
      </c>
      <c r="J67" s="129" t="inlineStr">
        <is>
          <t>○ 3 ON FILE, NOT RECORDED</t>
        </is>
      </c>
      <c r="K67" s="133" t="inlineStr">
        <is>
          <t>#10 Mycotoxins (on file 09.09, not recorded); #11 Heavy metals (on file 09.09, not recorded); #12 Pesticides (on file 09.09, not recorded)</t>
        </is>
      </c>
      <c r="L67" s="132" t="n">
        <v>0.2527</v>
      </c>
      <c r="M67" s="129" t="inlineStr">
        <is>
          <t>None</t>
        </is>
      </c>
      <c r="N67" s="132" t="n">
        <v>0.002699999999999996</v>
      </c>
      <c r="O67" s="135" t="inlineStr">
        <is>
          <t>no — 3 on file, not recorded</t>
        </is>
      </c>
    </row>
    <row r="68">
      <c r="A68" s="129" t="n">
        <v>3</v>
      </c>
      <c r="B68" s="129" t="inlineStr">
        <is>
          <t>28.08.2026</t>
        </is>
      </c>
      <c r="C68" s="130" t="inlineStr">
        <is>
          <t>J31122501</t>
        </is>
      </c>
      <c r="D68" s="129" t="inlineStr">
        <is>
          <t>Jokerz 31</t>
        </is>
      </c>
      <c r="E68" s="131" t="n">
        <v>136.64</v>
      </c>
      <c r="F68" s="129" t="inlineStr">
        <is>
          <t>19–22%</t>
        </is>
      </c>
      <c r="G68" s="132" t="n">
        <v>0.2177</v>
      </c>
      <c r="H68" s="129" t="inlineStr">
        <is>
          <t>P060262</t>
        </is>
      </c>
      <c r="I68" s="129" t="inlineStr">
        <is>
          <t>J31122501</t>
        </is>
      </c>
      <c r="J68" s="129" t="inlineStr">
        <is>
          <t>⚠ 1 MISSING</t>
        </is>
      </c>
      <c r="K68" s="133" t="inlineStr">
        <is>
          <t>#8 LoD</t>
        </is>
      </c>
      <c r="L68" s="132" t="inlineStr">
        <is>
          <t>— none on the desk —</t>
        </is>
      </c>
      <c r="M68" s="129" t="inlineStr">
        <is>
          <t>—</t>
        </is>
      </c>
      <c r="N68" s="132" t="inlineStr">
        <is>
          <t>—</t>
        </is>
      </c>
      <c r="O68" s="135" t="inlineStr">
        <is>
          <t>no — 1 missing</t>
        </is>
      </c>
    </row>
    <row r="69">
      <c r="A69" s="129" t="n">
        <v>3</v>
      </c>
      <c r="B69" s="129" t="inlineStr">
        <is>
          <t>28.08.2026</t>
        </is>
      </c>
      <c r="C69" s="130" t="inlineStr">
        <is>
          <t>JD012601</t>
        </is>
      </c>
      <c r="D69" s="129" t="inlineStr">
        <is>
          <t>Jelly Donuts</t>
        </is>
      </c>
      <c r="E69" s="131" t="n">
        <v>78.93000000000001</v>
      </c>
      <c r="F69" s="129" t="inlineStr">
        <is>
          <t>16–19%</t>
        </is>
      </c>
      <c r="G69" s="132" t="n">
        <v>0.1816</v>
      </c>
      <c r="H69" s="129" t="inlineStr">
        <is>
          <t>P060312</t>
        </is>
      </c>
      <c r="I69" s="129" t="inlineStr">
        <is>
          <t>JD012601＊ (the desk writes it JD012601*)</t>
        </is>
      </c>
      <c r="J69" s="129" t="inlineStr">
        <is>
          <t>✓ COMPLETE</t>
        </is>
      </c>
      <c r="K69" s="133" t="inlineStr">
        <is>
          <t>—</t>
        </is>
      </c>
      <c r="L69" s="132" t="n">
        <v>0.1816</v>
      </c>
      <c r="M69" s="129" t="inlineStr">
        <is>
          <t>ППК26064</t>
        </is>
      </c>
      <c r="N69" s="132" t="n">
        <v>0</v>
      </c>
      <c r="O69" s="134" t="inlineStr">
        <is>
          <t>yes — all 12 determinations covered</t>
        </is>
      </c>
    </row>
    <row r="70">
      <c r="A70" s="129" t="n">
        <v>3</v>
      </c>
      <c r="B70" s="129" t="inlineStr">
        <is>
          <t>28.08.2026</t>
        </is>
      </c>
      <c r="C70" s="130" t="inlineStr">
        <is>
          <t>MB0824_04</t>
        </is>
      </c>
      <c r="D70" s="129" t="inlineStr">
        <is>
          <t>Motor Breath</t>
        </is>
      </c>
      <c r="E70" s="131" t="n">
        <v>175.22</v>
      </c>
      <c r="F70" s="129" t="inlineStr">
        <is>
          <t>16–19%</t>
        </is>
      </c>
      <c r="G70" s="132" t="n">
        <v>0.1867</v>
      </c>
      <c r="H70" s="129" t="inlineStr">
        <is>
          <t>P050032</t>
        </is>
      </c>
      <c r="I70" s="129" t="inlineStr">
        <is>
          <t>MB0824_04</t>
        </is>
      </c>
      <c r="J70" s="129" t="inlineStr">
        <is>
          <t>⚠ 1 MISSING</t>
        </is>
      </c>
      <c r="K70" s="133" t="inlineStr">
        <is>
          <t>#6 CBN</t>
        </is>
      </c>
      <c r="L70" s="132" t="inlineStr">
        <is>
          <t>— none on the desk —</t>
        </is>
      </c>
      <c r="M70" s="129" t="inlineStr">
        <is>
          <t>—</t>
        </is>
      </c>
      <c r="N70" s="132" t="inlineStr">
        <is>
          <t>—</t>
        </is>
      </c>
      <c r="O70" s="135" t="inlineStr">
        <is>
          <t>no — 1 missing</t>
        </is>
      </c>
    </row>
    <row r="71">
      <c r="A71" s="129" t="n">
        <v>3</v>
      </c>
      <c r="B71" s="129" t="inlineStr">
        <is>
          <t>28.08.2026</t>
        </is>
      </c>
      <c r="C71" s="130" t="inlineStr">
        <is>
          <t>OPM052501</t>
        </is>
      </c>
      <c r="D71" s="129" t="inlineStr">
        <is>
          <t>Orange Punch Mimosa</t>
        </is>
      </c>
      <c r="E71" s="131" t="n">
        <v>292.95</v>
      </c>
      <c r="F71" s="129" t="inlineStr">
        <is>
          <t>13–16%</t>
        </is>
      </c>
      <c r="G71" s="132" t="n">
        <v>0.1416</v>
      </c>
      <c r="H71" s="129" t="inlineStr">
        <is>
          <t>P050132</t>
        </is>
      </c>
      <c r="I71" s="129" t="inlineStr">
        <is>
          <t>OPM052501</t>
        </is>
      </c>
      <c r="J71" s="129" t="inlineStr">
        <is>
          <t>⚠ 1 MISSING</t>
        </is>
      </c>
      <c r="K71" s="133" t="inlineStr">
        <is>
          <t>#6 CBN</t>
        </is>
      </c>
      <c r="L71" s="132" t="inlineStr">
        <is>
          <t>— none on the desk —</t>
        </is>
      </c>
      <c r="M71" s="129" t="inlineStr">
        <is>
          <t>—</t>
        </is>
      </c>
      <c r="N71" s="132" t="inlineStr">
        <is>
          <t>—</t>
        </is>
      </c>
      <c r="O71" s="135" t="inlineStr">
        <is>
          <t>no — 1 missing</t>
        </is>
      </c>
    </row>
    <row r="72">
      <c r="A72" s="129" t="n">
        <v>3</v>
      </c>
      <c r="B72" s="129" t="inlineStr">
        <is>
          <t>28.08.2026</t>
        </is>
      </c>
      <c r="C72" s="130" t="inlineStr">
        <is>
          <t>OPM112501</t>
        </is>
      </c>
      <c r="D72" s="129" t="inlineStr">
        <is>
          <t>Orange Punch Mimosa</t>
        </is>
      </c>
      <c r="E72" s="131" t="n">
        <v>39.37</v>
      </c>
      <c r="F72" s="129" t="inlineStr">
        <is>
          <t>7–10%</t>
        </is>
      </c>
      <c r="G72" s="132" t="n">
        <v>0.08</v>
      </c>
      <c r="H72" s="129" t="inlineStr">
        <is>
          <t>P060222</t>
        </is>
      </c>
      <c r="I72" s="129" t="inlineStr">
        <is>
          <t>OPM112501</t>
        </is>
      </c>
      <c r="J72" s="129" t="inlineStr">
        <is>
          <t>❌ 4 MISSING</t>
        </is>
      </c>
      <c r="K72" s="133" t="inlineStr">
        <is>
          <t>#6 CBN; #10 Mycotoxins; #11 Heavy metals (on file 09.09, not recorded); #12 Pesticides (on file 09.09, not recorded)</t>
        </is>
      </c>
      <c r="L72" s="132" t="inlineStr">
        <is>
          <t>— none on the desk —</t>
        </is>
      </c>
      <c r="M72" s="129" t="inlineStr">
        <is>
          <t>—</t>
        </is>
      </c>
      <c r="N72" s="132" t="inlineStr">
        <is>
          <t>—</t>
        </is>
      </c>
      <c r="O72" s="135" t="inlineStr">
        <is>
          <t>no — 4 missing</t>
        </is>
      </c>
    </row>
    <row r="73">
      <c r="A73" s="129" t="n">
        <v>3</v>
      </c>
      <c r="B73" s="129" t="inlineStr">
        <is>
          <t>28.08.2026</t>
        </is>
      </c>
      <c r="C73" s="130" t="inlineStr">
        <is>
          <t>PM072501</t>
        </is>
      </c>
      <c r="D73" s="129" t="inlineStr">
        <is>
          <t>Permanent Marker</t>
        </is>
      </c>
      <c r="E73" s="131" t="n">
        <v>26.78</v>
      </c>
      <c r="F73" s="129" t="inlineStr">
        <is>
          <t>10–13%</t>
        </is>
      </c>
      <c r="G73" s="132" t="n">
        <v>0.1001</v>
      </c>
      <c r="H73" s="129" t="inlineStr">
        <is>
          <t>P050272</t>
        </is>
      </c>
      <c r="I73" s="129" t="inlineStr">
        <is>
          <t>PM072501</t>
        </is>
      </c>
      <c r="J73" s="129" t="inlineStr">
        <is>
          <t>⚠ 1 MISSING</t>
        </is>
      </c>
      <c r="K73" s="133" t="inlineStr">
        <is>
          <t>#6 CBN</t>
        </is>
      </c>
      <c r="L73" s="132" t="inlineStr">
        <is>
          <t>— none on the desk —</t>
        </is>
      </c>
      <c r="M73" s="129" t="inlineStr">
        <is>
          <t>—</t>
        </is>
      </c>
      <c r="N73" s="132" t="inlineStr">
        <is>
          <t>—</t>
        </is>
      </c>
      <c r="O73" s="135" t="inlineStr">
        <is>
          <t>no — 1 missing</t>
        </is>
      </c>
    </row>
    <row r="74">
      <c r="A74" s="129" t="n">
        <v>3</v>
      </c>
      <c r="B74" s="129" t="inlineStr">
        <is>
          <t>28.08.2026</t>
        </is>
      </c>
      <c r="C74" s="130" t="inlineStr">
        <is>
          <t>SCR012601</t>
        </is>
      </c>
      <c r="D74" s="129" t="inlineStr">
        <is>
          <t>Scrambler</t>
        </is>
      </c>
      <c r="E74" s="131" t="n">
        <v>90</v>
      </c>
      <c r="F74" s="129" t="inlineStr">
        <is>
          <t>16–19%</t>
        </is>
      </c>
      <c r="G74" s="132" t="n">
        <v>0.1807</v>
      </c>
      <c r="H74" s="129" t="inlineStr">
        <is>
          <t>P060342</t>
        </is>
      </c>
      <c r="I74" s="129" t="inlineStr">
        <is>
          <t>SCR012601* (the desk writes it SCR012601*)</t>
        </is>
      </c>
      <c r="J74" s="129" t="inlineStr">
        <is>
          <t>❌ 8 MISSING</t>
        </is>
      </c>
      <c r="K74" s="133" t="inlineStr">
        <is>
          <t>#3 Ident. C; #4 Δ⁹-THC; #5 CBD; #6 CBN; #8 LoD; #10 Mycotoxins; #11 Heavy metals; #12 Pesticides</t>
        </is>
      </c>
      <c r="L74" s="132" t="inlineStr">
        <is>
          <t>— none on the desk —</t>
        </is>
      </c>
      <c r="M74" s="129" t="inlineStr">
        <is>
          <t>—</t>
        </is>
      </c>
      <c r="N74" s="132" t="inlineStr">
        <is>
          <t>—</t>
        </is>
      </c>
      <c r="O74" s="135" t="inlineStr">
        <is>
          <t>no — 8 missing</t>
        </is>
      </c>
    </row>
    <row r="75">
      <c r="A75" s="129" t="n">
        <v>3</v>
      </c>
      <c r="B75" s="129" t="inlineStr">
        <is>
          <t>28.08.2026</t>
        </is>
      </c>
      <c r="C75" s="130" t="inlineStr">
        <is>
          <t>SCR022601</t>
        </is>
      </c>
      <c r="D75" s="129" t="inlineStr">
        <is>
          <t>Scrambler</t>
        </is>
      </c>
      <c r="E75" s="131" t="n">
        <v>210</v>
      </c>
      <c r="F75" s="129" t="inlineStr">
        <is>
          <t>16–19%</t>
        </is>
      </c>
      <c r="G75" s="132" t="n">
        <v>0.16</v>
      </c>
      <c r="H75" s="129" t="inlineStr">
        <is>
          <t>P060442</t>
        </is>
      </c>
      <c r="I75" s="129" t="inlineStr">
        <is>
          <t>SCR022601</t>
        </is>
      </c>
      <c r="J75" s="129" t="inlineStr">
        <is>
          <t>○ 3 ON FILE, NOT RECORDED</t>
        </is>
      </c>
      <c r="K75" s="133" t="inlineStr">
        <is>
          <t>#10 Mycotoxins (on file 09.09, not recorded); #11 Heavy metals (on file 09.09, not recorded); #12 Pesticides (on file 09.09, not recorded)</t>
        </is>
      </c>
      <c r="L75" s="132" t="inlineStr">
        <is>
          <t>— none on the desk —</t>
        </is>
      </c>
      <c r="M75" s="129" t="inlineStr">
        <is>
          <t>—</t>
        </is>
      </c>
      <c r="N75" s="132" t="inlineStr">
        <is>
          <t>—</t>
        </is>
      </c>
      <c r="O75" s="135" t="inlineStr">
        <is>
          <t>no — 3 on file, not recorded</t>
        </is>
      </c>
    </row>
    <row r="76">
      <c r="A76" s="129" t="n">
        <v>3</v>
      </c>
      <c r="B76" s="129" t="inlineStr">
        <is>
          <t>28.08.2026</t>
        </is>
      </c>
      <c r="C76" s="130" t="inlineStr">
        <is>
          <t>SJ102501</t>
        </is>
      </c>
      <c r="D76" s="129" t="inlineStr">
        <is>
          <t>Sleepy Joe</t>
        </is>
      </c>
      <c r="E76" s="131" t="n">
        <v>66.37</v>
      </c>
      <c r="F76" s="129" t="inlineStr">
        <is>
          <t>10–13%</t>
        </is>
      </c>
      <c r="G76" s="132" t="n">
        <v>0.112</v>
      </c>
      <c r="H76" s="129" t="inlineStr">
        <is>
          <t>P060162</t>
        </is>
      </c>
      <c r="I76" s="129" t="inlineStr">
        <is>
          <t>SJ102501</t>
        </is>
      </c>
      <c r="J76" s="129" t="inlineStr">
        <is>
          <t>⚠ 3 MISSING</t>
        </is>
      </c>
      <c r="K76" s="133" t="inlineStr">
        <is>
          <t>#10 Mycotoxins; #11 Heavy metals; #12 Pesticides (on file 09.09, not recorded)</t>
        </is>
      </c>
      <c r="L76" s="132" t="n">
        <v>0.112</v>
      </c>
      <c r="M76" s="129" t="inlineStr">
        <is>
          <t>051-3-К/26</t>
        </is>
      </c>
      <c r="N76" s="132" t="n">
        <v>0</v>
      </c>
      <c r="O76" s="135" t="inlineStr">
        <is>
          <t>no — 3 missing</t>
        </is>
      </c>
    </row>
    <row r="77">
      <c r="A77" s="129" t="n">
        <v>3</v>
      </c>
      <c r="B77" s="129" t="inlineStr">
        <is>
          <t>28.08.2026</t>
        </is>
      </c>
      <c r="C77" s="130" t="inlineStr">
        <is>
          <t>SJ112501</t>
        </is>
      </c>
      <c r="D77" s="129" t="inlineStr">
        <is>
          <t>Sleepy Joe</t>
        </is>
      </c>
      <c r="E77" s="131" t="n">
        <v>48.6</v>
      </c>
      <c r="F77" s="129" t="inlineStr">
        <is>
          <t>7–10%</t>
        </is>
      </c>
      <c r="G77" s="132" t="n">
        <v>0.09</v>
      </c>
      <c r="H77" s="129" t="inlineStr">
        <is>
          <t>P060192</t>
        </is>
      </c>
      <c r="I77" s="129" t="inlineStr">
        <is>
          <t>SJ112501</t>
        </is>
      </c>
      <c r="J77" s="129" t="inlineStr">
        <is>
          <t>○ 4 ON FILE, NOT RECORDED</t>
        </is>
      </c>
      <c r="K77" s="133" t="inlineStr">
        <is>
          <t>#9 Microbiology (on file 09.09, not recorded); #10 Mycotoxins (on file 09.09, not recorded); #11 Heavy metals (on file 09.09, not recorded); #12 Pesticides (on file 09.09, not recorded)</t>
        </is>
      </c>
      <c r="L77" s="132" t="inlineStr">
        <is>
          <t>— none on the desk —</t>
        </is>
      </c>
      <c r="M77" s="129" t="inlineStr">
        <is>
          <t>—</t>
        </is>
      </c>
      <c r="N77" s="132" t="inlineStr">
        <is>
          <t>—</t>
        </is>
      </c>
      <c r="O77" s="135" t="inlineStr">
        <is>
          <t>no — 4 on file, not recorded</t>
        </is>
      </c>
    </row>
    <row r="78">
      <c r="A78" s="129" t="n">
        <v>3</v>
      </c>
      <c r="B78" s="129" t="inlineStr">
        <is>
          <t>28.08.2026</t>
        </is>
      </c>
      <c r="C78" s="130" t="inlineStr">
        <is>
          <t>WC072501</t>
        </is>
      </c>
      <c r="D78" s="129" t="inlineStr">
        <is>
          <t>Wedding Crusher</t>
        </is>
      </c>
      <c r="E78" s="131" t="n">
        <v>29.95</v>
      </c>
      <c r="F78" s="129" t="inlineStr">
        <is>
          <t>22–25%</t>
        </is>
      </c>
      <c r="G78" s="132" t="n">
        <v>0.2211</v>
      </c>
      <c r="H78" s="129" t="inlineStr">
        <is>
          <t>P050262</t>
        </is>
      </c>
      <c r="I78" s="129" t="inlineStr">
        <is>
          <t>WC072501</t>
        </is>
      </c>
      <c r="J78" s="129" t="inlineStr">
        <is>
          <t>✓ COMPLETE</t>
        </is>
      </c>
      <c r="K78" s="133" t="inlineStr">
        <is>
          <t>—</t>
        </is>
      </c>
      <c r="L78" s="132" t="n">
        <v>0.2211</v>
      </c>
      <c r="M78" s="129" t="inlineStr">
        <is>
          <t>ППК25369</t>
        </is>
      </c>
      <c r="N78" s="132" t="n">
        <v>0</v>
      </c>
      <c r="O78" s="134" t="inlineStr">
        <is>
          <t>yes — all 12 determinations covered</t>
        </is>
      </c>
    </row>
    <row r="79">
      <c r="A79" s="129" t="n">
        <v>3</v>
      </c>
      <c r="B79" s="129" t="inlineStr">
        <is>
          <t>28.08.2026</t>
        </is>
      </c>
      <c r="C79" s="130" t="inlineStr">
        <is>
          <t>WED102501</t>
        </is>
      </c>
      <c r="D79" s="129" t="inlineStr">
        <is>
          <t>Wedding Cake</t>
        </is>
      </c>
      <c r="E79" s="131" t="n">
        <v>34.41</v>
      </c>
      <c r="F79" s="129" t="inlineStr">
        <is>
          <t>22–25%</t>
        </is>
      </c>
      <c r="G79" s="132" t="n">
        <v>0.2205</v>
      </c>
      <c r="H79" s="129" t="inlineStr">
        <is>
          <t>P060102</t>
        </is>
      </c>
      <c r="I79" s="129" t="inlineStr">
        <is>
          <t>WED102501</t>
        </is>
      </c>
      <c r="J79" s="129" t="inlineStr">
        <is>
          <t>○ 8 ON FILE, NOT RECORDED</t>
        </is>
      </c>
      <c r="K79" s="133"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L79" s="132" t="inlineStr">
        <is>
          <t>— none on the desk —</t>
        </is>
      </c>
      <c r="M79" s="129" t="inlineStr">
        <is>
          <t>—</t>
        </is>
      </c>
      <c r="N79" s="132" t="inlineStr">
        <is>
          <t>—</t>
        </is>
      </c>
      <c r="O79" s="135" t="inlineStr">
        <is>
          <t>no — 8 on file, not recorded</t>
        </is>
      </c>
    </row>
    <row r="80"/>
    <row r="81" ht="62" customHeight="1" s="70">
      <c r="A81" s="139"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44 of 78; short of coverage: 30; nothing on file: 4; potency contradicted: 5.</t>
        </is>
      </c>
    </row>
  </sheetData>
  <autoFilter ref="A1:O79"/>
  <mergeCells count="1">
    <mergeCell ref="A81:O81"/>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I46"/>
  <sheetViews>
    <sheetView workbookViewId="0">
      <pane ySplit="1" topLeftCell="A2" activePane="bottomLeft" state="frozen"/>
      <selection pane="bottomLeft" activeCell="A1" sqref="A1"/>
    </sheetView>
  </sheetViews>
  <sheetFormatPr baseColWidth="8" defaultRowHeight="15"/>
  <cols>
    <col width="9" customWidth="1" style="70" min="1" max="1"/>
    <col width="20" customWidth="1" style="70" min="2" max="2"/>
    <col width="18" customWidth="1" style="70" min="3" max="3"/>
    <col width="12" customWidth="1" style="70" min="4" max="4"/>
    <col width="14" customWidth="1" style="70" min="5" max="5"/>
    <col width="15" customWidth="1" style="70" min="6" max="6"/>
    <col width="18" customWidth="1" style="70" min="7" max="7"/>
    <col width="14" customWidth="1" style="70" min="8" max="8"/>
    <col width="46" customWidth="1" style="70" min="9" max="9"/>
  </cols>
  <sheetData>
    <row r="1" ht="22" customHeight="1" s="70">
      <c r="A1" s="128" t="inlineStr">
        <is>
          <t>Cert No</t>
        </is>
      </c>
      <c r="B1" s="128" t="inlineStr">
        <is>
          <t>Strain (as printed)</t>
        </is>
      </c>
      <c r="C1" s="128" t="inlineStr">
        <is>
          <t>Strain (ruled)</t>
        </is>
      </c>
      <c r="D1" s="128" t="inlineStr">
        <is>
          <t>Batch</t>
        </is>
      </c>
      <c r="E1" s="128" t="inlineStr">
        <is>
          <t>Manufactured</t>
        </is>
      </c>
      <c r="F1" s="128" t="inlineStr">
        <is>
          <t>Retest</t>
        </is>
      </c>
      <c r="G1" s="128" t="inlineStr">
        <is>
          <t>Desk lot</t>
        </is>
      </c>
      <c r="H1" s="128" t="inlineStr">
        <is>
          <t>CoQ status</t>
        </is>
      </c>
      <c r="I1" s="128" t="inlineStr">
        <is>
          <t>Note</t>
        </is>
      </c>
    </row>
    <row r="2">
      <c r="A2" s="129" t="inlineStr">
        <is>
          <t>041</t>
        </is>
      </c>
      <c r="B2" s="129" t="inlineStr">
        <is>
          <t>Cap Junky</t>
        </is>
      </c>
      <c r="C2" s="129" t="inlineStr">
        <is>
          <t>Cap Junky</t>
        </is>
      </c>
      <c r="D2" s="130" t="inlineStr">
        <is>
          <t>P060022</t>
        </is>
      </c>
      <c r="E2" s="129" t="inlineStr">
        <is>
          <t>December 2025</t>
        </is>
      </c>
      <c r="F2" s="129" t="inlineStr">
        <is>
          <t>July 2026</t>
        </is>
      </c>
      <c r="G2" s="129" t="inlineStr">
        <is>
          <t>CJ082501/1</t>
        </is>
      </c>
      <c r="H2" s="129" t="inlineStr">
        <is>
          <t>✓ COMPLETE</t>
        </is>
      </c>
      <c r="I2" s="133" t="inlineStr"/>
    </row>
    <row r="3">
      <c r="A3" s="129" t="inlineStr">
        <is>
          <t>040</t>
        </is>
      </c>
      <c r="B3" s="129" t="inlineStr">
        <is>
          <t>Orange Punch Mimosa</t>
        </is>
      </c>
      <c r="C3" s="129" t="inlineStr">
        <is>
          <t>Orange Punch Mimosa</t>
        </is>
      </c>
      <c r="D3" s="130" t="inlineStr">
        <is>
          <t>P060042</t>
        </is>
      </c>
      <c r="E3" s="129" t="inlineStr">
        <is>
          <t>December 2026</t>
        </is>
      </c>
      <c r="F3" s="129" t="inlineStr">
        <is>
          <t>July 2026</t>
        </is>
      </c>
      <c r="G3" s="129" t="inlineStr">
        <is>
          <t>OPM092501</t>
        </is>
      </c>
      <c r="H3" s="129" t="inlineStr">
        <is>
          <t>✓ COMPLETE</t>
        </is>
      </c>
      <c r="I3" s="133" t="inlineStr"/>
    </row>
    <row r="4">
      <c r="A4" s="129" t="inlineStr">
        <is>
          <t>039</t>
        </is>
      </c>
      <c r="B4" s="129" t="inlineStr">
        <is>
          <t>Cap Junky</t>
        </is>
      </c>
      <c r="C4" s="129" t="inlineStr">
        <is>
          <t>Cap Junky</t>
        </is>
      </c>
      <c r="D4" s="130" t="inlineStr">
        <is>
          <t>P060072</t>
        </is>
      </c>
      <c r="E4" s="129" t="inlineStr">
        <is>
          <t>December 2026</t>
        </is>
      </c>
      <c r="F4" s="129" t="inlineStr">
        <is>
          <t>July 2026</t>
        </is>
      </c>
      <c r="G4" s="129" t="inlineStr">
        <is>
          <t>CJ092501</t>
        </is>
      </c>
      <c r="H4" s="129" t="inlineStr">
        <is>
          <t>✓ COMPLETE</t>
        </is>
      </c>
      <c r="I4" s="133" t="inlineStr"/>
    </row>
    <row r="5">
      <c r="A5" s="129" t="inlineStr">
        <is>
          <t>038</t>
        </is>
      </c>
      <c r="B5" s="129" t="inlineStr">
        <is>
          <t>Sleepy Joy</t>
        </is>
      </c>
      <c r="C5" s="129" t="inlineStr">
        <is>
          <t>Sleepy Joy</t>
        </is>
      </c>
      <c r="D5" s="130" t="inlineStr">
        <is>
          <t>P060082</t>
        </is>
      </c>
      <c r="E5" s="129" t="inlineStr">
        <is>
          <t>December 2025</t>
        </is>
      </c>
      <c r="F5" s="129" t="inlineStr">
        <is>
          <t>July 2026</t>
        </is>
      </c>
      <c r="G5" s="129" t="inlineStr">
        <is>
          <t>SJ0925021</t>
        </is>
      </c>
      <c r="H5" s="129" t="inlineStr">
        <is>
          <t>✓ COMPLETE</t>
        </is>
      </c>
      <c r="I5" s="133" t="inlineStr">
        <is>
          <t>strain unresolved: Sleepy Joe (delivery sheet) vs Sleepy Joy (certificate register, P060082)</t>
        </is>
      </c>
    </row>
    <row r="6">
      <c r="A6" s="129" t="inlineStr">
        <is>
          <t>037</t>
        </is>
      </c>
      <c r="B6" s="129" t="inlineStr">
        <is>
          <t>Apple and Banana</t>
        </is>
      </c>
      <c r="C6" s="129" t="inlineStr">
        <is>
          <t>Apple and Banana</t>
        </is>
      </c>
      <c r="D6" s="130" t="inlineStr">
        <is>
          <t>P060052</t>
        </is>
      </c>
      <c r="E6" s="129" t="inlineStr">
        <is>
          <t>December 2025</t>
        </is>
      </c>
      <c r="F6" s="129" t="inlineStr">
        <is>
          <t>July 2026</t>
        </is>
      </c>
      <c r="G6" s="129" t="inlineStr">
        <is>
          <t>AB092501</t>
        </is>
      </c>
      <c r="H6" s="129" t="inlineStr">
        <is>
          <t>✓ COMPLETE</t>
        </is>
      </c>
      <c r="I6" s="133" t="inlineStr">
        <is>
          <t>strain unresolved: Appels &amp; Bananas (delivery sheet) vs Apple and Banana (certificate register, P060052)</t>
        </is>
      </c>
    </row>
    <row r="7">
      <c r="A7" s="129" t="inlineStr">
        <is>
          <t>036</t>
        </is>
      </c>
      <c r="B7" s="129" t="inlineStr">
        <is>
          <t>Permanent Market</t>
        </is>
      </c>
      <c r="C7" s="129" t="inlineStr">
        <is>
          <t>Permanent Market</t>
        </is>
      </c>
      <c r="D7" s="130" t="inlineStr">
        <is>
          <t>P060062</t>
        </is>
      </c>
      <c r="E7" s="129" t="inlineStr">
        <is>
          <t>December 2026</t>
        </is>
      </c>
      <c r="F7" s="129" t="inlineStr">
        <is>
          <t>July 2026</t>
        </is>
      </c>
      <c r="G7" s="129" t="inlineStr">
        <is>
          <t>PM092501</t>
        </is>
      </c>
      <c r="H7" s="129" t="inlineStr">
        <is>
          <t>✓ COMPLETE</t>
        </is>
      </c>
      <c r="I7" s="133" t="inlineStr">
        <is>
          <t>strain unresolved: Permanent Marker (delivery sheet) vs Permanent Market (certificate register, P060062 and P050272)</t>
        </is>
      </c>
    </row>
    <row r="8">
      <c r="A8" s="129" t="inlineStr">
        <is>
          <t>035</t>
        </is>
      </c>
      <c r="B8" s="129" t="inlineStr">
        <is>
          <t>Wedding Crasher</t>
        </is>
      </c>
      <c r="C8" s="129" t="inlineStr">
        <is>
          <t>Wedding Crasher</t>
        </is>
      </c>
      <c r="D8" s="130" t="inlineStr">
        <is>
          <t>P060012</t>
        </is>
      </c>
      <c r="E8" s="129" t="inlineStr">
        <is>
          <t>December 2026</t>
        </is>
      </c>
      <c r="F8" s="129" t="inlineStr">
        <is>
          <t>July 2026</t>
        </is>
      </c>
      <c r="G8" s="129" t="inlineStr">
        <is>
          <t>WC082501</t>
        </is>
      </c>
      <c r="H8" s="129" t="inlineStr">
        <is>
          <t>✓ COMPLETE</t>
        </is>
      </c>
      <c r="I8" s="133" t="inlineStr">
        <is>
          <t>strain unresolved: Wedding Crusher (delivery sheet) vs Wedding Crasher (certificate register, P060012 and P050262)</t>
        </is>
      </c>
    </row>
    <row r="9">
      <c r="A9" s="129" t="inlineStr">
        <is>
          <t>034</t>
        </is>
      </c>
      <c r="B9" s="129" t="inlineStr">
        <is>
          <t>Cap Junky</t>
        </is>
      </c>
      <c r="C9" s="129" t="inlineStr">
        <is>
          <t>Cap Junky</t>
        </is>
      </c>
      <c r="D9" s="130" t="inlineStr">
        <is>
          <t>P060032</t>
        </is>
      </c>
      <c r="E9" s="129" t="inlineStr">
        <is>
          <t>December 2025</t>
        </is>
      </c>
      <c r="F9" s="129" t="inlineStr">
        <is>
          <t>July 2026</t>
        </is>
      </c>
      <c r="G9" s="129" t="inlineStr">
        <is>
          <t>CJ082501/2</t>
        </is>
      </c>
      <c r="H9" s="129" t="inlineStr">
        <is>
          <t>✓ COMPLETE</t>
        </is>
      </c>
      <c r="I9" s="133" t="inlineStr"/>
    </row>
    <row r="10">
      <c r="A10" s="129" t="inlineStr">
        <is>
          <t>033</t>
        </is>
      </c>
      <c r="B10" s="129" t="inlineStr">
        <is>
          <t>Grape Pie</t>
        </is>
      </c>
      <c r="C10" s="129" t="inlineStr">
        <is>
          <t>Grape Pie</t>
        </is>
      </c>
      <c r="D10" s="130" t="inlineStr">
        <is>
          <t>P060092</t>
        </is>
      </c>
      <c r="E10" s="129" t="inlineStr">
        <is>
          <t>December 2025</t>
        </is>
      </c>
      <c r="F10" s="129" t="inlineStr">
        <is>
          <t>July 2026</t>
        </is>
      </c>
      <c r="G10" s="129" t="inlineStr">
        <is>
          <t>GP092501</t>
        </is>
      </c>
      <c r="H10" s="129" t="inlineStr">
        <is>
          <t>✓ COMPLETE</t>
        </is>
      </c>
      <c r="I10" s="133" t="inlineStr"/>
    </row>
    <row r="11">
      <c r="A11" s="129" t="inlineStr">
        <is>
          <t>032</t>
        </is>
      </c>
      <c r="B11" s="129" t="inlineStr">
        <is>
          <t>Cap Junky</t>
        </is>
      </c>
      <c r="C11" s="129" t="inlineStr">
        <is>
          <t>Cap Junky</t>
        </is>
      </c>
      <c r="D11" s="130" t="inlineStr">
        <is>
          <t>P050222</t>
        </is>
      </c>
      <c r="E11" s="129" t="inlineStr">
        <is>
          <t>September 2025</t>
        </is>
      </c>
      <c r="F11" s="129" t="inlineStr">
        <is>
          <t>April 2026</t>
        </is>
      </c>
      <c r="G11" s="129" t="inlineStr">
        <is>
          <t>CJ062501/1</t>
        </is>
      </c>
      <c r="H11" s="129" t="inlineStr">
        <is>
          <t>✓ COMPLETE</t>
        </is>
      </c>
      <c r="I11" s="133" t="inlineStr"/>
    </row>
    <row r="12">
      <c r="A12" s="129" t="inlineStr">
        <is>
          <t>031</t>
        </is>
      </c>
      <c r="B12" s="129" t="inlineStr">
        <is>
          <t>Cap Junky</t>
        </is>
      </c>
      <c r="C12" s="129" t="inlineStr">
        <is>
          <t>Cap Junky</t>
        </is>
      </c>
      <c r="D12" s="130" t="inlineStr">
        <is>
          <t>P050252</t>
        </is>
      </c>
      <c r="E12" s="129" t="inlineStr">
        <is>
          <t>October 2025</t>
        </is>
      </c>
      <c r="F12" s="129" t="inlineStr">
        <is>
          <t>May 2026</t>
        </is>
      </c>
      <c r="G12" s="129" t="inlineStr">
        <is>
          <t>CJ072501</t>
        </is>
      </c>
      <c r="H12" s="129" t="inlineStr">
        <is>
          <t>✓ COMPLETE</t>
        </is>
      </c>
      <c r="I12" s="133" t="inlineStr"/>
    </row>
    <row r="13">
      <c r="A13" s="129" t="inlineStr">
        <is>
          <t>030</t>
        </is>
      </c>
      <c r="B13" s="129" t="inlineStr">
        <is>
          <t>Wedding Crasher</t>
        </is>
      </c>
      <c r="C13" s="129" t="inlineStr">
        <is>
          <t>Wedding Crasher</t>
        </is>
      </c>
      <c r="D13" s="130" t="inlineStr">
        <is>
          <t>P050262</t>
        </is>
      </c>
      <c r="E13" s="129" t="inlineStr">
        <is>
          <t>October 2025</t>
        </is>
      </c>
      <c r="F13" s="129" t="inlineStr">
        <is>
          <t>May 2026</t>
        </is>
      </c>
      <c r="G13" s="129" t="inlineStr">
        <is>
          <t>WC072501</t>
        </is>
      </c>
      <c r="H13" s="129" t="inlineStr">
        <is>
          <t>✓ COMPLETE</t>
        </is>
      </c>
      <c r="I13" s="133" t="inlineStr">
        <is>
          <t>strain unresolved: Wedding Crusher (delivery sheet) vs Wedding Crasher (certificate register, P060012 and P050262)</t>
        </is>
      </c>
    </row>
    <row r="14">
      <c r="A14" s="129" t="inlineStr">
        <is>
          <t>029</t>
        </is>
      </c>
      <c r="B14" s="129" t="inlineStr">
        <is>
          <t>Grape Pie</t>
        </is>
      </c>
      <c r="C14" s="129" t="inlineStr">
        <is>
          <t>Grape Pie</t>
        </is>
      </c>
      <c r="D14" s="130" t="inlineStr">
        <is>
          <t>P050152</t>
        </is>
      </c>
      <c r="E14" s="129" t="inlineStr">
        <is>
          <t>August 2025</t>
        </is>
      </c>
      <c r="F14" s="129" t="inlineStr">
        <is>
          <t>March 2026</t>
        </is>
      </c>
      <c r="G14" s="129" t="inlineStr">
        <is>
          <t>GP052501</t>
        </is>
      </c>
      <c r="H14" s="129" t="inlineStr">
        <is>
          <t>✓ COMPLETE</t>
        </is>
      </c>
      <c r="I14" s="133" t="inlineStr"/>
    </row>
    <row r="15">
      <c r="A15" s="129" t="inlineStr">
        <is>
          <t>028</t>
        </is>
      </c>
      <c r="B15" s="129" t="inlineStr">
        <is>
          <t>Cap Junkie</t>
        </is>
      </c>
      <c r="C15" s="140" t="inlineStr">
        <is>
          <t>Cap Junky</t>
        </is>
      </c>
      <c r="D15" s="130" t="inlineStr">
        <is>
          <t>P050212</t>
        </is>
      </c>
      <c r="E15" s="129" t="inlineStr">
        <is>
          <t>September 2025</t>
        </is>
      </c>
      <c r="F15" s="129" t="inlineStr">
        <is>
          <t>April 2026</t>
        </is>
      </c>
      <c r="G15" s="129" t="inlineStr">
        <is>
          <t>CJ062501/2</t>
        </is>
      </c>
      <c r="H15" s="129" t="inlineStr">
        <is>
          <t>✓ COMPLETE</t>
        </is>
      </c>
      <c r="I15" s="133" t="inlineStr">
        <is>
          <t>strain ruled Cap Junky; the register prints Cap Junkie</t>
        </is>
      </c>
    </row>
    <row r="16">
      <c r="A16" s="129" t="inlineStr">
        <is>
          <t>027</t>
        </is>
      </c>
      <c r="B16" s="129" t="inlineStr">
        <is>
          <t>Clemosa a Bud</t>
        </is>
      </c>
      <c r="C16" s="129" t="inlineStr">
        <is>
          <t>Clemosa a Bud</t>
        </is>
      </c>
      <c r="D16" s="130" t="inlineStr">
        <is>
          <t>P050282</t>
        </is>
      </c>
      <c r="E16" s="129" t="inlineStr">
        <is>
          <t>October 2025</t>
        </is>
      </c>
      <c r="F16" s="129" t="inlineStr">
        <is>
          <t>May 2026</t>
        </is>
      </c>
      <c r="G16" s="129" t="inlineStr">
        <is>
          <t>CLE072501</t>
        </is>
      </c>
      <c r="H16" s="129" t="inlineStr">
        <is>
          <t>✓ COMPLETE</t>
        </is>
      </c>
      <c r="I16" s="133" t="inlineStr">
        <is>
          <t>strain unresolved: Clemosa (delivery sheet) vs Clemosa a Bud (certificate register, P050282)</t>
        </is>
      </c>
    </row>
    <row r="17">
      <c r="A17" s="129" t="inlineStr">
        <is>
          <t>026</t>
        </is>
      </c>
      <c r="B17" s="129" t="inlineStr">
        <is>
          <t>Permanent Market</t>
        </is>
      </c>
      <c r="C17" s="129" t="inlineStr">
        <is>
          <t>Permanent Market</t>
        </is>
      </c>
      <c r="D17" s="130" t="inlineStr">
        <is>
          <t>P050272</t>
        </is>
      </c>
      <c r="E17" s="129" t="inlineStr">
        <is>
          <t>October 2025</t>
        </is>
      </c>
      <c r="F17" s="129" t="inlineStr">
        <is>
          <t>May 2026</t>
        </is>
      </c>
      <c r="G17" s="129" t="inlineStr">
        <is>
          <t>PM072501</t>
        </is>
      </c>
      <c r="H17" s="129" t="inlineStr">
        <is>
          <t>⚠ 1 MISSING</t>
        </is>
      </c>
      <c r="I17" s="133" t="inlineStr">
        <is>
          <t>strain unresolved: Permanent Marker (delivery sheet) vs Permanent Market (certificate register, P060062 and P050272)</t>
        </is>
      </c>
    </row>
    <row r="18">
      <c r="A18" s="129" t="inlineStr">
        <is>
          <t>025</t>
        </is>
      </c>
      <c r="B18" s="129" t="inlineStr">
        <is>
          <t>Motor Breath</t>
        </is>
      </c>
      <c r="C18" s="129" t="inlineStr">
        <is>
          <t>Motor Breath</t>
        </is>
      </c>
      <c r="D18" s="130" t="inlineStr">
        <is>
          <t>P050112</t>
        </is>
      </c>
      <c r="E18" s="129" t="inlineStr">
        <is>
          <t>July 2025</t>
        </is>
      </c>
      <c r="F18" s="129" t="inlineStr">
        <is>
          <t>February 2025</t>
        </is>
      </c>
      <c r="G18" s="129" t="inlineStr">
        <is>
          <t>MB0824_05</t>
        </is>
      </c>
      <c r="H18" s="129" t="inlineStr">
        <is>
          <t>✓ COMPLETE</t>
        </is>
      </c>
      <c r="I18" s="133" t="inlineStr"/>
    </row>
    <row r="19">
      <c r="A19" s="129" t="inlineStr">
        <is>
          <t>024</t>
        </is>
      </c>
      <c r="B19" s="129" t="inlineStr">
        <is>
          <t>Orange Punch Mimosa</t>
        </is>
      </c>
      <c r="C19" s="129" t="inlineStr">
        <is>
          <t>Orange Punch Mimosa</t>
        </is>
      </c>
      <c r="D19" s="130" t="inlineStr">
        <is>
          <t>P050132</t>
        </is>
      </c>
      <c r="E19" s="129" t="inlineStr">
        <is>
          <t>August 2025</t>
        </is>
      </c>
      <c r="F19" s="129" t="inlineStr">
        <is>
          <t>March 2026</t>
        </is>
      </c>
      <c r="G19" s="129" t="inlineStr">
        <is>
          <t>OPM052501</t>
        </is>
      </c>
      <c r="H19" s="129" t="inlineStr">
        <is>
          <t>⚠ 1 MISSING</t>
        </is>
      </c>
      <c r="I19" s="133" t="inlineStr"/>
    </row>
    <row r="20">
      <c r="A20" s="129" t="inlineStr">
        <is>
          <t>023</t>
        </is>
      </c>
      <c r="B20" s="129" t="inlineStr">
        <is>
          <t>Orange Punch Mimosa</t>
        </is>
      </c>
      <c r="C20" s="129" t="inlineStr">
        <is>
          <t>Orange Punch Mimosa</t>
        </is>
      </c>
      <c r="D20" s="130" t="inlineStr">
        <is>
          <t>P050082</t>
        </is>
      </c>
      <c r="E20" s="129" t="inlineStr">
        <is>
          <t>June 2025</t>
        </is>
      </c>
      <c r="F20" s="129" t="inlineStr">
        <is>
          <t>January 2026</t>
        </is>
      </c>
      <c r="G20" s="129" t="inlineStr">
        <is>
          <t>OPM1024_03</t>
        </is>
      </c>
      <c r="H20" s="129" t="inlineStr">
        <is>
          <t>✓ COMPLETE</t>
        </is>
      </c>
      <c r="I20" s="133" t="inlineStr"/>
    </row>
    <row r="21">
      <c r="A21" s="129" t="inlineStr">
        <is>
          <t>022</t>
        </is>
      </c>
      <c r="B21" s="129" t="inlineStr">
        <is>
          <t>Cap Junky</t>
        </is>
      </c>
      <c r="C21" s="129" t="inlineStr">
        <is>
          <t>Cap Junky</t>
        </is>
      </c>
      <c r="D21" s="130" t="inlineStr">
        <is>
          <t>P050172</t>
        </is>
      </c>
      <c r="E21" s="129" t="inlineStr">
        <is>
          <t>August 2025</t>
        </is>
      </c>
      <c r="F21" s="129" t="inlineStr">
        <is>
          <t>March 2026</t>
        </is>
      </c>
      <c r="G21" s="129" t="inlineStr">
        <is>
          <t>CJ052501/02</t>
        </is>
      </c>
      <c r="H21" s="129" t="inlineStr">
        <is>
          <t>✓ COMPLETE</t>
        </is>
      </c>
      <c r="I21" s="133" t="inlineStr"/>
    </row>
    <row r="22">
      <c r="A22" s="129" t="inlineStr">
        <is>
          <t>020</t>
        </is>
      </c>
      <c r="B22" s="129" t="inlineStr">
        <is>
          <t>Grape Pie</t>
        </is>
      </c>
      <c r="C22" s="129" t="inlineStr">
        <is>
          <t>Grape Pie</t>
        </is>
      </c>
      <c r="D22" s="130" t="inlineStr">
        <is>
          <t>P050312</t>
        </is>
      </c>
      <c r="E22" s="129" t="inlineStr">
        <is>
          <t>November 2025</t>
        </is>
      </c>
      <c r="F22" s="129" t="inlineStr">
        <is>
          <t>June 2026</t>
        </is>
      </c>
      <c r="G22" s="129" t="inlineStr">
        <is>
          <t>GP082501/1</t>
        </is>
      </c>
      <c r="H22" s="129" t="inlineStr">
        <is>
          <t>✓ COMPLETE</t>
        </is>
      </c>
      <c r="I22" s="133" t="inlineStr"/>
    </row>
    <row r="23">
      <c r="A23" s="129" t="inlineStr">
        <is>
          <t>021</t>
        </is>
      </c>
      <c r="B23" s="129" t="inlineStr">
        <is>
          <t>Grape Pie</t>
        </is>
      </c>
      <c r="C23" s="129" t="inlineStr">
        <is>
          <t>Grape Pie</t>
        </is>
      </c>
      <c r="D23" s="130" t="inlineStr">
        <is>
          <t>P050322</t>
        </is>
      </c>
      <c r="E23" s="129" t="inlineStr">
        <is>
          <t>November 2025</t>
        </is>
      </c>
      <c r="F23" s="129" t="inlineStr">
        <is>
          <t>June 2026</t>
        </is>
      </c>
      <c r="G23" s="129" t="inlineStr">
        <is>
          <t>GP082501/2</t>
        </is>
      </c>
      <c r="H23" s="129" t="inlineStr">
        <is>
          <t>✓ COMPLETE</t>
        </is>
      </c>
      <c r="I23" s="133" t="inlineStr"/>
    </row>
    <row r="24">
      <c r="A24" s="129" t="inlineStr">
        <is>
          <t>019</t>
        </is>
      </c>
      <c r="B24" s="129" t="inlineStr">
        <is>
          <t>Grape Pie</t>
        </is>
      </c>
      <c r="C24" s="129" t="inlineStr">
        <is>
          <t>Grape Pie</t>
        </is>
      </c>
      <c r="D24" s="130" t="inlineStr">
        <is>
          <t>P050302</t>
        </is>
      </c>
      <c r="E24" s="129" t="inlineStr">
        <is>
          <t>November 2025</t>
        </is>
      </c>
      <c r="F24" s="129" t="inlineStr">
        <is>
          <t>June 2026</t>
        </is>
      </c>
      <c r="G24" s="129" t="inlineStr">
        <is>
          <t>GP072501/2</t>
        </is>
      </c>
      <c r="H24" s="129" t="inlineStr">
        <is>
          <t>✓ COMPLETE</t>
        </is>
      </c>
      <c r="I24" s="133" t="inlineStr"/>
    </row>
    <row r="25">
      <c r="A25" s="129" t="inlineStr">
        <is>
          <t>018</t>
        </is>
      </c>
      <c r="B25" s="129" t="inlineStr">
        <is>
          <t>Grape Pie</t>
        </is>
      </c>
      <c r="C25" s="129" t="inlineStr">
        <is>
          <t>Grape Pie</t>
        </is>
      </c>
      <c r="D25" s="130" t="inlineStr">
        <is>
          <t>P050292</t>
        </is>
      </c>
      <c r="E25" s="129" t="inlineStr">
        <is>
          <t>November 2025</t>
        </is>
      </c>
      <c r="F25" s="129" t="inlineStr">
        <is>
          <t>June 2026</t>
        </is>
      </c>
      <c r="G25" s="129" t="inlineStr">
        <is>
          <t>GP072501/1</t>
        </is>
      </c>
      <c r="H25" s="129" t="inlineStr">
        <is>
          <t>✓ COMPLETE</t>
        </is>
      </c>
      <c r="I25" s="133" t="inlineStr"/>
    </row>
    <row r="26">
      <c r="A26" s="129" t="inlineStr">
        <is>
          <t>017</t>
        </is>
      </c>
      <c r="B26" s="129" t="inlineStr">
        <is>
          <t>Blue Sunset Sherbet</t>
        </is>
      </c>
      <c r="C26" s="129" t="inlineStr">
        <is>
          <t>Blue Sunset Sherbet</t>
        </is>
      </c>
      <c r="D26" s="130" t="inlineStr">
        <is>
          <t>P050192</t>
        </is>
      </c>
      <c r="E26" s="129" t="inlineStr">
        <is>
          <t>August 2025</t>
        </is>
      </c>
      <c r="F26" s="129" t="inlineStr">
        <is>
          <t>— none printed —</t>
        </is>
      </c>
      <c r="G26" s="129" t="inlineStr">
        <is>
          <t>BSS052501</t>
        </is>
      </c>
      <c r="H26" s="129" t="inlineStr">
        <is>
          <t>⚠ 2 MISSING</t>
        </is>
      </c>
      <c r="I26" s="133" t="inlineStr"/>
    </row>
    <row r="27">
      <c r="A27" s="141" t="inlineStr">
        <is>
          <t>— not read —</t>
        </is>
      </c>
      <c r="B27" s="129" t="inlineStr">
        <is>
          <t>Cup Junkie</t>
        </is>
      </c>
      <c r="C27" s="140" t="inlineStr">
        <is>
          <t>Cap Junky</t>
        </is>
      </c>
      <c r="D27" s="130" t="inlineStr">
        <is>
          <t>P050162</t>
        </is>
      </c>
      <c r="E27" s="129" t="inlineStr">
        <is>
          <t>August 2025</t>
        </is>
      </c>
      <c r="F27" s="129" t="inlineStr">
        <is>
          <t>— none printed —</t>
        </is>
      </c>
      <c r="G27" s="129" t="inlineStr">
        <is>
          <t>CJ052501/01</t>
        </is>
      </c>
      <c r="H27" s="129" t="inlineStr">
        <is>
          <t>✓ COMPLETE</t>
        </is>
      </c>
      <c r="I27" s="133" t="inlineStr">
        <is>
          <t>strain ruled Cap Junky; the register prints Cup Junkie</t>
        </is>
      </c>
    </row>
    <row r="28">
      <c r="A28" s="141" t="inlineStr">
        <is>
          <t>— not read —</t>
        </is>
      </c>
      <c r="B28" s="129" t="inlineStr">
        <is>
          <t>High Pro Amnesia</t>
        </is>
      </c>
      <c r="C28" s="129" t="inlineStr">
        <is>
          <t>High Pro Amnesia</t>
        </is>
      </c>
      <c r="D28" s="130" t="inlineStr">
        <is>
          <t>P050182</t>
        </is>
      </c>
      <c r="E28" s="129" t="inlineStr">
        <is>
          <t>August 2025</t>
        </is>
      </c>
      <c r="F28" s="129" t="inlineStr">
        <is>
          <t>— none printed —</t>
        </is>
      </c>
      <c r="G28" s="129" t="inlineStr">
        <is>
          <t>HPA052501</t>
        </is>
      </c>
      <c r="H28" s="129" t="inlineStr">
        <is>
          <t>✓ COMPLETE</t>
        </is>
      </c>
      <c r="I28" s="133" t="inlineStr"/>
    </row>
    <row r="29">
      <c r="A29" s="141" t="inlineStr">
        <is>
          <t>— not read —</t>
        </is>
      </c>
      <c r="B29" s="129" t="inlineStr">
        <is>
          <t>Blue Sunset Sherbet</t>
        </is>
      </c>
      <c r="C29" s="129" t="inlineStr">
        <is>
          <t>Blue Sunset Sherbet</t>
        </is>
      </c>
      <c r="D29" s="130" t="inlineStr">
        <is>
          <t>P050122</t>
        </is>
      </c>
      <c r="E29" s="129" t="inlineStr">
        <is>
          <t>June 2025</t>
        </is>
      </c>
      <c r="F29" s="129" t="inlineStr">
        <is>
          <t>— none printed —</t>
        </is>
      </c>
      <c r="G29" s="129" t="inlineStr">
        <is>
          <t>BSS1024_01/1</t>
        </is>
      </c>
      <c r="H29" s="129" t="inlineStr">
        <is>
          <t>✓ COMPLETE</t>
        </is>
      </c>
      <c r="I29" s="133" t="inlineStr"/>
    </row>
    <row r="30">
      <c r="A30" s="141" t="inlineStr">
        <is>
          <t>— not read —</t>
        </is>
      </c>
      <c r="B30" s="129" t="inlineStr">
        <is>
          <t>Gorilla Glue</t>
        </is>
      </c>
      <c r="C30" s="129" t="inlineStr">
        <is>
          <t>Gorilla Glue</t>
        </is>
      </c>
      <c r="D30" s="130" t="inlineStr">
        <is>
          <t>P050092</t>
        </is>
      </c>
      <c r="E30" s="129" t="inlineStr">
        <is>
          <t>March 2025</t>
        </is>
      </c>
      <c r="F30" s="129" t="inlineStr">
        <is>
          <t>— none printed —</t>
        </is>
      </c>
      <c r="G30" s="129" t="inlineStr">
        <is>
          <t>GG1024_01</t>
        </is>
      </c>
      <c r="H30" s="129" t="inlineStr">
        <is>
          <t>✓ COMPLETE</t>
        </is>
      </c>
      <c r="I30" s="133" t="inlineStr"/>
    </row>
    <row r="31">
      <c r="A31" s="141" t="inlineStr">
        <is>
          <t>— not read —</t>
        </is>
      </c>
      <c r="B31" s="129" t="inlineStr">
        <is>
          <t>Grape Pie</t>
        </is>
      </c>
      <c r="C31" s="129" t="inlineStr">
        <is>
          <t>Grape Pie</t>
        </is>
      </c>
      <c r="D31" s="130" t="inlineStr">
        <is>
          <t>P050102</t>
        </is>
      </c>
      <c r="E31" s="129" t="inlineStr">
        <is>
          <t>March 2025</t>
        </is>
      </c>
      <c r="F31" s="129" t="inlineStr">
        <is>
          <t>October 2025</t>
        </is>
      </c>
      <c r="G31" s="129" t="inlineStr">
        <is>
          <t>GP0824_01</t>
        </is>
      </c>
      <c r="H31" s="129" t="inlineStr">
        <is>
          <t>✓ COMPLETE</t>
        </is>
      </c>
      <c r="I31" s="133" t="inlineStr"/>
    </row>
    <row r="32">
      <c r="A32" s="141" t="inlineStr">
        <is>
          <t>— not read —</t>
        </is>
      </c>
      <c r="B32" s="129" t="inlineStr">
        <is>
          <t>Grape Pie</t>
        </is>
      </c>
      <c r="C32" s="129" t="inlineStr">
        <is>
          <t>Grape Pie</t>
        </is>
      </c>
      <c r="D32" s="130" t="inlineStr">
        <is>
          <t>P050072</t>
        </is>
      </c>
      <c r="E32" s="129" t="inlineStr">
        <is>
          <t>June 2025</t>
        </is>
      </c>
      <c r="F32" s="129" t="inlineStr">
        <is>
          <t>January 2026</t>
        </is>
      </c>
      <c r="G32" s="129" t="inlineStr">
        <is>
          <t>GP0824_03</t>
        </is>
      </c>
      <c r="H32" s="129" t="inlineStr">
        <is>
          <t>✓ COMPLETE</t>
        </is>
      </c>
      <c r="I32" s="133" t="inlineStr"/>
    </row>
    <row r="33">
      <c r="A33" s="141" t="inlineStr">
        <is>
          <t>— not read —</t>
        </is>
      </c>
      <c r="B33" s="129" t="inlineStr">
        <is>
          <t>Orange Punch Mimosa</t>
        </is>
      </c>
      <c r="C33" s="129" t="inlineStr">
        <is>
          <t>Orange Punch Mimosa</t>
        </is>
      </c>
      <c r="D33" s="130" t="inlineStr">
        <is>
          <t>P050062</t>
        </is>
      </c>
      <c r="E33" s="129" t="inlineStr">
        <is>
          <t>May 2025</t>
        </is>
      </c>
      <c r="F33" s="129" t="inlineStr">
        <is>
          <t>December 2025</t>
        </is>
      </c>
      <c r="G33" s="129" t="inlineStr">
        <is>
          <t>OPM1024_02</t>
        </is>
      </c>
      <c r="H33" s="129" t="inlineStr">
        <is>
          <t>✓ COMPLETE</t>
        </is>
      </c>
      <c r="I33" s="133" t="inlineStr"/>
    </row>
    <row r="34">
      <c r="A34" s="141" t="inlineStr">
        <is>
          <t>— not read —</t>
        </is>
      </c>
      <c r="B34" s="129" t="inlineStr">
        <is>
          <t>High Pro Amnesia</t>
        </is>
      </c>
      <c r="C34" s="129" t="inlineStr">
        <is>
          <t>High Pro Amnesia</t>
        </is>
      </c>
      <c r="D34" s="130" t="inlineStr">
        <is>
          <t>P050052</t>
        </is>
      </c>
      <c r="E34" s="129" t="inlineStr">
        <is>
          <t>May 2025</t>
        </is>
      </c>
      <c r="F34" s="129" t="inlineStr">
        <is>
          <t>December 2025</t>
        </is>
      </c>
      <c r="G34" s="129" t="inlineStr">
        <is>
          <t>HPA1024_01</t>
        </is>
      </c>
      <c r="H34" s="129" t="inlineStr">
        <is>
          <t>✓ COMPLETE</t>
        </is>
      </c>
      <c r="I34" s="133" t="inlineStr"/>
    </row>
    <row r="35">
      <c r="A35" s="141" t="inlineStr">
        <is>
          <t>— not read —</t>
        </is>
      </c>
      <c r="B35" s="129" t="inlineStr">
        <is>
          <t>Grape Pie</t>
        </is>
      </c>
      <c r="C35" s="129" t="inlineStr">
        <is>
          <t>Grape Pie</t>
        </is>
      </c>
      <c r="D35" s="130" t="inlineStr">
        <is>
          <t>P050022</t>
        </is>
      </c>
      <c r="E35" s="129" t="inlineStr">
        <is>
          <t>May 2025</t>
        </is>
      </c>
      <c r="F35" s="129" t="inlineStr">
        <is>
          <t>December 2025</t>
        </is>
      </c>
      <c r="G35" s="129" t="inlineStr">
        <is>
          <t>GP0824_02</t>
        </is>
      </c>
      <c r="H35" s="129" t="inlineStr">
        <is>
          <t>✓ COMPLETE</t>
        </is>
      </c>
      <c r="I35" s="133" t="inlineStr"/>
    </row>
    <row r="36">
      <c r="A36" s="141" t="inlineStr">
        <is>
          <t>— not read —</t>
        </is>
      </c>
      <c r="B36" s="129" t="inlineStr">
        <is>
          <t>Orange Punch Mimosa</t>
        </is>
      </c>
      <c r="C36" s="129" t="inlineStr">
        <is>
          <t>Orange Punch Mimosa</t>
        </is>
      </c>
      <c r="D36" s="130" t="inlineStr">
        <is>
          <t>P050042</t>
        </is>
      </c>
      <c r="E36" s="129" t="inlineStr">
        <is>
          <t>March 2025</t>
        </is>
      </c>
      <c r="F36" s="129" t="inlineStr">
        <is>
          <t>November 2025</t>
        </is>
      </c>
      <c r="G36" s="129" t="inlineStr">
        <is>
          <t>OMP1024_01</t>
        </is>
      </c>
      <c r="H36" s="129" t="inlineStr">
        <is>
          <t>✓ COMPLETE</t>
        </is>
      </c>
      <c r="I36" s="133" t="inlineStr"/>
    </row>
    <row r="37">
      <c r="A37" s="141" t="inlineStr">
        <is>
          <t>— not read —</t>
        </is>
      </c>
      <c r="B37" s="129" t="inlineStr">
        <is>
          <t>Motor Breath</t>
        </is>
      </c>
      <c r="C37" s="129" t="inlineStr">
        <is>
          <t>Motor Breath</t>
        </is>
      </c>
      <c r="D37" s="130" t="inlineStr">
        <is>
          <t>P050032</t>
        </is>
      </c>
      <c r="E37" s="129" t="inlineStr">
        <is>
          <t>April 2025</t>
        </is>
      </c>
      <c r="F37" s="129" t="inlineStr">
        <is>
          <t>November 2025</t>
        </is>
      </c>
      <c r="G37" s="129" t="inlineStr">
        <is>
          <t>MB0824_04</t>
        </is>
      </c>
      <c r="H37" s="129" t="inlineStr">
        <is>
          <t>⚠ 1 MISSING</t>
        </is>
      </c>
      <c r="I37" s="133" t="inlineStr"/>
    </row>
    <row r="38">
      <c r="A38" s="141" t="inlineStr">
        <is>
          <t>— not read —</t>
        </is>
      </c>
      <c r="B38" s="129" t="inlineStr">
        <is>
          <t>Gorilla Glue</t>
        </is>
      </c>
      <c r="C38" s="129" t="inlineStr">
        <is>
          <t>Gorilla Glue</t>
        </is>
      </c>
      <c r="D38" s="130" t="inlineStr">
        <is>
          <t>P050012</t>
        </is>
      </c>
      <c r="E38" s="129" t="inlineStr">
        <is>
          <t>April 2025</t>
        </is>
      </c>
      <c r="F38" s="129" t="inlineStr">
        <is>
          <t>November 2025</t>
        </is>
      </c>
      <c r="G38" s="129" t="inlineStr">
        <is>
          <t>GG1024_02</t>
        </is>
      </c>
      <c r="H38" s="129" t="inlineStr">
        <is>
          <t>✓ COMPLETE</t>
        </is>
      </c>
      <c r="I38" s="133" t="inlineStr"/>
    </row>
    <row r="39">
      <c r="A39" s="141" t="inlineStr">
        <is>
          <t>— not read —</t>
        </is>
      </c>
      <c r="B39" s="129" t="inlineStr">
        <is>
          <t>Blue Gelato</t>
        </is>
      </c>
      <c r="C39" s="129" t="inlineStr">
        <is>
          <t>Blue Gelato</t>
        </is>
      </c>
      <c r="D39" s="130" t="inlineStr">
        <is>
          <t>BG1024</t>
        </is>
      </c>
      <c r="E39" s="129" t="inlineStr">
        <is>
          <t>January 2025</t>
        </is>
      </c>
      <c r="F39" s="129" t="inlineStr">
        <is>
          <t>June 2025</t>
        </is>
      </c>
      <c r="G39" s="129" t="inlineStr">
        <is>
          <t>BG1024</t>
        </is>
      </c>
      <c r="H39" s="129" t="inlineStr">
        <is>
          <t>✓ COMPLETE</t>
        </is>
      </c>
      <c r="I39" s="133" t="inlineStr"/>
    </row>
    <row r="40">
      <c r="A40" s="141" t="inlineStr">
        <is>
          <t>— not read —</t>
        </is>
      </c>
      <c r="B40" s="129" t="inlineStr">
        <is>
          <t>Blue Sunset Sherbet</t>
        </is>
      </c>
      <c r="C40" s="129" t="inlineStr">
        <is>
          <t>Blue Sunset Sherbet</t>
        </is>
      </c>
      <c r="D40" s="130" t="inlineStr">
        <is>
          <t>BSS1024</t>
        </is>
      </c>
      <c r="E40" s="129" t="inlineStr">
        <is>
          <t>January 2025</t>
        </is>
      </c>
      <c r="F40" s="129" t="inlineStr">
        <is>
          <t>June 2025</t>
        </is>
      </c>
      <c r="G40" s="129" t="inlineStr">
        <is>
          <t>BSS1024</t>
        </is>
      </c>
      <c r="H40" s="129" t="inlineStr">
        <is>
          <t>✓ COMPLETE</t>
        </is>
      </c>
      <c r="I40" s="133" t="inlineStr"/>
    </row>
    <row r="41">
      <c r="A41" s="141" t="inlineStr">
        <is>
          <t>— not read —</t>
        </is>
      </c>
      <c r="B41" s="129" t="inlineStr">
        <is>
          <t>Cap Junky</t>
        </is>
      </c>
      <c r="C41" s="129" t="inlineStr">
        <is>
          <t>Cap Junky</t>
        </is>
      </c>
      <c r="D41" s="130" t="inlineStr">
        <is>
          <t>CJ1024</t>
        </is>
      </c>
      <c r="E41" s="129" t="inlineStr">
        <is>
          <t>January 2025</t>
        </is>
      </c>
      <c r="F41" s="129" t="inlineStr">
        <is>
          <t>June 2025</t>
        </is>
      </c>
      <c r="G41" s="129" t="inlineStr">
        <is>
          <t>CJ1024</t>
        </is>
      </c>
      <c r="H41" s="129" t="inlineStr">
        <is>
          <t>✓ COMPLETE</t>
        </is>
      </c>
      <c r="I41" s="133" t="inlineStr"/>
    </row>
    <row r="42">
      <c r="A42" s="141" t="inlineStr">
        <is>
          <t>— not read —</t>
        </is>
      </c>
      <c r="B42" s="129" t="inlineStr">
        <is>
          <t>Gorilla Glue</t>
        </is>
      </c>
      <c r="C42" s="129" t="inlineStr">
        <is>
          <t>Gorilla Glue</t>
        </is>
      </c>
      <c r="D42" s="130" t="inlineStr">
        <is>
          <t>GG1024</t>
        </is>
      </c>
      <c r="E42" s="129" t="inlineStr">
        <is>
          <t>January 2025</t>
        </is>
      </c>
      <c r="F42" s="129" t="inlineStr">
        <is>
          <t>— none printed —</t>
        </is>
      </c>
      <c r="G42" s="129" t="inlineStr">
        <is>
          <t>GG1024</t>
        </is>
      </c>
      <c r="H42" s="129" t="inlineStr">
        <is>
          <t>❌ 9 MISSING</t>
        </is>
      </c>
      <c r="I42" s="133" t="inlineStr"/>
    </row>
    <row r="43">
      <c r="A43" s="141" t="inlineStr">
        <is>
          <t>— not read —</t>
        </is>
      </c>
      <c r="B43" s="129" t="inlineStr">
        <is>
          <t>Orange Punch Mimosa</t>
        </is>
      </c>
      <c r="C43" s="129" t="inlineStr">
        <is>
          <t>Orange Punch Mimosa</t>
        </is>
      </c>
      <c r="D43" s="130" t="inlineStr">
        <is>
          <t>OPM1024</t>
        </is>
      </c>
      <c r="E43" s="129" t="inlineStr">
        <is>
          <t>January 2025</t>
        </is>
      </c>
      <c r="F43" s="129" t="inlineStr">
        <is>
          <t>June 2025</t>
        </is>
      </c>
      <c r="G43" s="129" t="inlineStr">
        <is>
          <t>OPM1024</t>
        </is>
      </c>
      <c r="H43" s="129" t="inlineStr">
        <is>
          <t>❌ 4 MISSING</t>
        </is>
      </c>
      <c r="I43" s="133" t="inlineStr"/>
    </row>
    <row r="44">
      <c r="A44" s="141" t="inlineStr">
        <is>
          <t>— not read —</t>
        </is>
      </c>
      <c r="B44" s="129" t="inlineStr">
        <is>
          <t>High Pro Amnesia</t>
        </is>
      </c>
      <c r="C44" s="129" t="inlineStr">
        <is>
          <t>High Pro Amnesia</t>
        </is>
      </c>
      <c r="D44" s="130" t="inlineStr">
        <is>
          <t>HPA1024</t>
        </is>
      </c>
      <c r="E44" s="129" t="inlineStr">
        <is>
          <t>January 2025</t>
        </is>
      </c>
      <c r="F44" s="129" t="inlineStr">
        <is>
          <t>— none printed —</t>
        </is>
      </c>
      <c r="G44" s="129" t="inlineStr">
        <is>
          <t>HPA1024</t>
        </is>
      </c>
      <c r="H44" s="129" t="inlineStr">
        <is>
          <t>❌ 4 MISSING</t>
        </is>
      </c>
      <c r="I44" s="133" t="inlineStr"/>
    </row>
    <row r="46" ht="58" customHeight="1" s="70">
      <c r="A46" s="139"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row>
  </sheetData>
  <autoFilter ref="A1:I44"/>
  <mergeCells count="1">
    <mergeCell ref="A46:I46"/>
  </mergeCell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E256"/>
  <sheetViews>
    <sheetView workbookViewId="0">
      <pane ySplit="1" topLeftCell="A2" activePane="bottomLeft" state="frozen"/>
      <selection pane="bottomLeft" activeCell="A1" sqref="A1"/>
    </sheetView>
  </sheetViews>
  <sheetFormatPr baseColWidth="8" defaultRowHeight="15"/>
  <cols>
    <col width="34" customWidth="1" style="70" min="1" max="1"/>
    <col width="15" customWidth="1" style="70" min="2" max="2"/>
    <col width="15" customWidth="1" style="70" min="3" max="3"/>
    <col width="46" customWidth="1" style="70" min="4" max="4"/>
    <col width="46" customWidth="1" style="70" min="5" max="5"/>
  </cols>
  <sheetData>
    <row r="1">
      <c r="A1" s="142" t="inlineStr">
        <is>
          <t>THE PASS THIS BUILD READ</t>
        </is>
      </c>
      <c r="B1" s="142" t="inlineStr"/>
      <c r="C1" s="142" t="inlineStr"/>
      <c r="D1" s="142" t="inlineStr"/>
      <c r="E1" s="142" t="inlineStr"/>
    </row>
    <row r="3">
      <c r="A3" s="143" t="inlineStr">
        <is>
          <t>Source</t>
        </is>
      </c>
      <c r="B3" s="144" t="inlineStr">
        <is>
          <t>CoQ_Analysis_Master_v20_owner.xlsx</t>
        </is>
      </c>
      <c r="D3" s="145" t="inlineStr">
        <is>
          <t>the owner's workbook of 09.09.2026, vendored beside this one; the three sheets it was read from are Cell Resolution 09.09, Coverage Update 09.09 and Identity Problem 09.09</t>
        </is>
      </c>
    </row>
    <row r="4">
      <c r="A4" s="143" t="inlineStr">
        <is>
          <t>Certificates it read</t>
        </is>
      </c>
      <c r="B4" s="144" t="inlineStr">
        <is>
          <t>387</t>
        </is>
      </c>
      <c r="D4" s="145" t="inlineStr">
        <is>
          <t>eCoA_DATABASE, name for name</t>
        </is>
      </c>
    </row>
    <row r="5">
      <c r="A5" s="143" t="inlineStr">
        <is>
          <t>Determinations it resolved</t>
        </is>
      </c>
      <c r="B5" s="144" t="inlineStr">
        <is>
          <t>600</t>
        </is>
      </c>
      <c r="D5" s="145" t="inlineStr">
        <is>
          <t>50 lots of Tranches 1 and 2 x 12</t>
        </is>
      </c>
    </row>
    <row r="7">
      <c r="A7" s="142" t="inlineStr">
        <is>
          <t>WHAT IT CLOSED ON BATCH COVERAGE</t>
        </is>
      </c>
      <c r="B7" s="142" t="inlineStr"/>
      <c r="C7" s="142" t="inlineStr"/>
      <c r="D7" s="142" t="inlineStr"/>
      <c r="E7" s="142" t="inlineStr"/>
    </row>
    <row r="9">
      <c r="A9" s="143" t="inlineStr">
        <is>
          <t>Parameters closed</t>
        </is>
      </c>
      <c r="B9" s="144" t="inlineStr">
        <is>
          <t>84</t>
        </is>
      </c>
      <c r="D9" s="145" t="inlineStr">
        <is>
          <t>a certificate on file that this sheet still marked missing</t>
        </is>
      </c>
    </row>
    <row r="10">
      <c r="A10" s="143" t="inlineStr">
        <is>
          <t>Lots affected</t>
        </is>
      </c>
      <c r="B10" s="144" t="inlineStr">
        <is>
          <t>24</t>
        </is>
      </c>
    </row>
    <row r="11">
      <c r="A11" s="143" t="inlineStr">
        <is>
          <t>Closures not applied</t>
        </is>
      </c>
      <c r="B11" s="144" t="inlineStr">
        <is>
          <t>13</t>
        </is>
      </c>
      <c r="D11" s="145" t="inlineStr">
        <is>
          <t>already covered, or the lot has no row on Batch Coverage — listed below</t>
        </is>
      </c>
    </row>
    <row r="13">
      <c r="A13" s="142" t="inlineStr">
        <is>
          <t>WHAT THE TWO RECORDS SAY ABOUT THE SAME 600 CELLS</t>
        </is>
      </c>
      <c r="B13" s="142" t="inlineStr"/>
      <c r="C13" s="142" t="inlineStr"/>
      <c r="D13" s="142" t="inlineStr"/>
      <c r="E13" s="142" t="inlineStr"/>
    </row>
    <row r="15">
      <c r="A15" s="143" t="inlineStr">
        <is>
          <t>agree</t>
        </is>
      </c>
      <c r="B15" s="144" t="inlineStr">
        <is>
          <t>147</t>
        </is>
      </c>
      <c r="D15" s="145" t="inlineStr">
        <is>
          <t>both hold a value and it is the same value</t>
        </is>
      </c>
    </row>
    <row r="16">
      <c r="A16" s="143" t="inlineStr">
        <is>
          <t>values</t>
        </is>
      </c>
      <c r="B16" s="144" t="inlineStr">
        <is>
          <t>202</t>
        </is>
      </c>
      <c r="D16" s="145" t="inlineStr">
        <is>
          <t>both hold a value and the values differ — a finding</t>
        </is>
      </c>
    </row>
    <row r="17">
      <c r="A17" s="143" t="inlineStr">
        <is>
          <t>order</t>
        </is>
      </c>
      <c r="B17" s="144" t="inlineStr">
        <is>
          <t>3</t>
        </is>
      </c>
      <c r="D17" s="145" t="inlineStr">
        <is>
          <t>the same values against different analytes — a finding</t>
        </is>
      </c>
    </row>
    <row r="18">
      <c r="A18" s="143" t="inlineStr">
        <is>
          <t>fill</t>
        </is>
      </c>
      <c r="B18" s="144" t="inlineStr">
        <is>
          <t>14</t>
        </is>
      </c>
      <c r="D18" s="145" t="inlineStr">
        <is>
          <t>the desk held nothing and the pass holds a printable result</t>
        </is>
      </c>
    </row>
    <row r="19">
      <c r="A19" s="143" t="inlineStr">
        <is>
          <t>blocked</t>
        </is>
      </c>
      <c r="B19" s="144" t="inlineStr">
        <is>
          <t>10</t>
        </is>
      </c>
      <c r="D19" s="145" t="inlineStr">
        <is>
          <t>the only document is an in-house iCoA that has not been issued</t>
        </is>
      </c>
    </row>
    <row r="20">
      <c r="A20" s="143" t="inlineStr">
        <is>
          <t>ambiguous</t>
        </is>
      </c>
      <c r="B20" s="144" t="inlineStr">
        <is>
          <t>51</t>
        </is>
      </c>
      <c r="D20" s="145" t="inlineStr">
        <is>
          <t>the pass holds a list of values it does not label</t>
        </is>
      </c>
    </row>
    <row r="21">
      <c r="A21" s="143" t="inlineStr">
        <is>
          <t>basis note</t>
        </is>
      </c>
      <c r="B21" s="144" t="inlineStr">
        <is>
          <t>25</t>
        </is>
      </c>
      <c r="D21" s="145" t="inlineStr">
        <is>
          <t>the pass names where identity comes from, not a result</t>
        </is>
      </c>
    </row>
    <row r="22">
      <c r="A22" s="143" t="inlineStr">
        <is>
          <t>none</t>
        </is>
      </c>
      <c r="B22" s="144" t="inlineStr">
        <is>
          <t>39</t>
        </is>
      </c>
      <c r="D22" s="145" t="inlineStr">
        <is>
          <t>neither record holds anything</t>
        </is>
      </c>
    </row>
    <row r="23">
      <c r="A23" s="143" t="inlineStr">
        <is>
          <t>not comparable</t>
        </is>
      </c>
      <c r="B23" s="144" t="inlineStr">
        <is>
          <t>86</t>
        </is>
      </c>
      <c r="D23" s="145" t="inlineStr">
        <is>
          <t>the two records hold different numbers of lines</t>
        </is>
      </c>
    </row>
    <row r="24">
      <c r="A24" s="143" t="inlineStr">
        <is>
          <t>no desk lot</t>
        </is>
      </c>
      <c r="B24" s="144" t="inlineStr">
        <is>
          <t>23</t>
        </is>
      </c>
      <c r="D24" s="145" t="inlineStr">
        <is>
          <t>the desk carries no initial-release CoQ for the batch</t>
        </is>
      </c>
    </row>
    <row r="26">
      <c r="A26" s="142" t="inlineStr">
        <is>
          <t>THE DISAGREEMENTS</t>
        </is>
      </c>
      <c r="B26" s="142" t="inlineStr"/>
      <c r="C26" s="142" t="inlineStr"/>
      <c r="D26" s="142" t="inlineStr"/>
      <c r="E26" s="142" t="inlineStr"/>
    </row>
    <row r="28">
      <c r="A28" s="142" t="inlineStr">
        <is>
          <t>Batch</t>
        </is>
      </c>
      <c r="B28" s="142" t="inlineStr">
        <is>
          <t>Determination</t>
        </is>
      </c>
      <c r="C28" s="142" t="inlineStr">
        <is>
          <t>Kind</t>
        </is>
      </c>
      <c r="D28" s="142" t="inlineStr">
        <is>
          <t>The desk holds</t>
        </is>
      </c>
      <c r="E28" s="142" t="inlineStr">
        <is>
          <t>The 09.09 pass reads</t>
        </is>
      </c>
    </row>
    <row r="29">
      <c r="A29" s="144" t="inlineStr">
        <is>
          <t>BG1024</t>
        </is>
      </c>
      <c r="B29" s="144" t="inlineStr">
        <is>
          <t>#1</t>
        </is>
      </c>
      <c r="C29" s="146" t="inlineStr">
        <is>
          <t>different values</t>
        </is>
      </c>
      <c r="D29" s="144" t="inlineStr">
        <is>
          <t>Conforms | Одговара</t>
        </is>
      </c>
      <c r="E29" s="144" t="inlineStr">
        <is>
          <t>Conforms</t>
        </is>
      </c>
    </row>
    <row r="30">
      <c r="A30" s="144" t="inlineStr">
        <is>
          <t>BG1024</t>
        </is>
      </c>
      <c r="B30" s="144" t="inlineStr">
        <is>
          <t>#2</t>
        </is>
      </c>
      <c r="C30" s="146" t="inlineStr">
        <is>
          <t>different values</t>
        </is>
      </c>
      <c r="D30" s="144" t="inlineStr">
        <is>
          <t>Conforms | Одговара</t>
        </is>
      </c>
      <c r="E30" s="144" t="inlineStr">
        <is>
          <t>Conforms</t>
        </is>
      </c>
    </row>
    <row r="31">
      <c r="A31" s="144" t="inlineStr">
        <is>
          <t>BG1024</t>
        </is>
      </c>
      <c r="B31" s="144" t="inlineStr">
        <is>
          <t>#7</t>
        </is>
      </c>
      <c r="C31" s="146" t="inlineStr">
        <is>
          <t>different values</t>
        </is>
      </c>
      <c r="D31" s="144" t="inlineStr">
        <is>
          <t>Conforms | Одговара</t>
        </is>
      </c>
      <c r="E31" s="144" t="inlineStr">
        <is>
          <t>Conforms</t>
        </is>
      </c>
    </row>
    <row r="32">
      <c r="A32" s="144" t="inlineStr">
        <is>
          <t>BG1024</t>
        </is>
      </c>
      <c r="B32" s="144" t="inlineStr">
        <is>
          <t>#9</t>
        </is>
      </c>
      <c r="C32" s="146" t="inlineStr">
        <is>
          <t>different values</t>
        </is>
      </c>
      <c r="D32" s="144" t="inlineStr">
        <is>
          <t>1.6 × 10⁴; 1 × 10⁴; &lt; 10² and &gt; 10; Absent | Отсутна; Absent | Отсутна</t>
        </is>
      </c>
      <c r="E32" s="144" t="inlineStr">
        <is>
          <t>1,6 x 10⁴ CFU/g; 1 x 10⁴ CFU/g; &lt; 10² и &gt; 10 CFU/g; Одговара; Одговара</t>
        </is>
      </c>
    </row>
    <row r="33">
      <c r="A33" s="144" t="inlineStr">
        <is>
          <t>BSS1024</t>
        </is>
      </c>
      <c r="B33" s="144" t="inlineStr">
        <is>
          <t>#1</t>
        </is>
      </c>
      <c r="C33" s="146" t="inlineStr">
        <is>
          <t>different values</t>
        </is>
      </c>
      <c r="D33" s="144" t="inlineStr">
        <is>
          <t>Conforms | Одговара</t>
        </is>
      </c>
      <c r="E33" s="144" t="inlineStr">
        <is>
          <t>Conforms</t>
        </is>
      </c>
    </row>
    <row r="34">
      <c r="A34" s="144" t="inlineStr">
        <is>
          <t>BSS1024</t>
        </is>
      </c>
      <c r="B34" s="144" t="inlineStr">
        <is>
          <t>#2</t>
        </is>
      </c>
      <c r="C34" s="146" t="inlineStr">
        <is>
          <t>different values</t>
        </is>
      </c>
      <c r="D34" s="144" t="inlineStr">
        <is>
          <t>Conforms | Одговара</t>
        </is>
      </c>
      <c r="E34" s="144" t="inlineStr">
        <is>
          <t>Conforms</t>
        </is>
      </c>
    </row>
    <row r="35">
      <c r="A35" s="144" t="inlineStr">
        <is>
          <t>BSS1024</t>
        </is>
      </c>
      <c r="B35" s="144" t="inlineStr">
        <is>
          <t>#7</t>
        </is>
      </c>
      <c r="C35" s="146" t="inlineStr">
        <is>
          <t>different values</t>
        </is>
      </c>
      <c r="D35" s="144" t="inlineStr">
        <is>
          <t>Conforms | Одговара</t>
        </is>
      </c>
      <c r="E35" s="144" t="inlineStr">
        <is>
          <t>Conforms</t>
        </is>
      </c>
    </row>
    <row r="36">
      <c r="A36" s="144" t="inlineStr">
        <is>
          <t>BSS1024</t>
        </is>
      </c>
      <c r="B36" s="144" t="inlineStr">
        <is>
          <t>#9</t>
        </is>
      </c>
      <c r="C36" s="146" t="inlineStr">
        <is>
          <t>different values</t>
        </is>
      </c>
      <c r="D36" s="144" t="inlineStr">
        <is>
          <t>1.5 × 10⁴; 2.2 × 10³; &lt; 10² and &gt; 10; Absent | Отсутна; Absent | Отсутна</t>
        </is>
      </c>
      <c r="E36" s="144" t="inlineStr">
        <is>
          <t>1,5 x 10⁴ CFU/g; 2,2 x 10³ CFU/g; &lt; 10² и &gt; 10 CFU/g; Одговара; Одговара</t>
        </is>
      </c>
    </row>
    <row r="37">
      <c r="A37" s="144" t="inlineStr">
        <is>
          <t>BSS1024</t>
        </is>
      </c>
      <c r="B37" s="144" t="inlineStr">
        <is>
          <t>#11</t>
        </is>
      </c>
      <c r="C37" s="147" t="inlineStr">
        <is>
          <t>same values,
other order</t>
        </is>
      </c>
      <c r="D37" s="144" t="inlineStr">
        <is>
          <t>0.071; 0.014; 0.081; 0.014</t>
        </is>
      </c>
      <c r="E37" s="144" t="inlineStr">
        <is>
          <t>0,081 mg/kg(l); 0,071 mg/kg(l); 0,014 mg/kg(l); 0,014 mg/kg(l)</t>
        </is>
      </c>
    </row>
    <row r="38">
      <c r="A38" s="144" t="inlineStr">
        <is>
          <t>CJ052501/01</t>
        </is>
      </c>
      <c r="B38" s="144" t="inlineStr">
        <is>
          <t>#1</t>
        </is>
      </c>
      <c r="C38" s="146" t="inlineStr">
        <is>
          <t>different values</t>
        </is>
      </c>
      <c r="D38" s="144" t="inlineStr">
        <is>
          <t>Conforms | Одговара</t>
        </is>
      </c>
      <c r="E38" s="144" t="inlineStr">
        <is>
          <t>Conforms</t>
        </is>
      </c>
    </row>
    <row r="39">
      <c r="A39" s="144" t="inlineStr">
        <is>
          <t>CJ052501/01</t>
        </is>
      </c>
      <c r="B39" s="144" t="inlineStr">
        <is>
          <t>#2</t>
        </is>
      </c>
      <c r="C39" s="146" t="inlineStr">
        <is>
          <t>different values</t>
        </is>
      </c>
      <c r="D39" s="144" t="inlineStr">
        <is>
          <t>Conforms | Одговара</t>
        </is>
      </c>
      <c r="E39" s="144" t="inlineStr">
        <is>
          <t>Conforms</t>
        </is>
      </c>
    </row>
    <row r="40">
      <c r="A40" s="144" t="inlineStr">
        <is>
          <t>CJ052501/01</t>
        </is>
      </c>
      <c r="B40" s="144" t="inlineStr">
        <is>
          <t>#3</t>
        </is>
      </c>
      <c r="C40" s="146" t="inlineStr">
        <is>
          <t>different values</t>
        </is>
      </c>
      <c r="D40" s="144" t="inlineStr">
        <is>
          <t>Conforms | Одговара</t>
        </is>
      </c>
      <c r="E40" s="144" t="inlineStr">
        <is>
          <t>Conforms (ImB spec.)</t>
        </is>
      </c>
    </row>
    <row r="41">
      <c r="A41" s="144" t="inlineStr">
        <is>
          <t>CJ052501/01</t>
        </is>
      </c>
      <c r="B41" s="144" t="inlineStr">
        <is>
          <t>#7</t>
        </is>
      </c>
      <c r="C41" s="146" t="inlineStr">
        <is>
          <t>different values</t>
        </is>
      </c>
      <c r="D41" s="144" t="inlineStr">
        <is>
          <t>Conforms | Одговара</t>
        </is>
      </c>
      <c r="E41" s="144" t="inlineStr">
        <is>
          <t>Conforms</t>
        </is>
      </c>
    </row>
    <row r="42">
      <c r="A42" s="144" t="inlineStr">
        <is>
          <t>CJ052501/01</t>
        </is>
      </c>
      <c r="B42" s="144" t="inlineStr">
        <is>
          <t>#9</t>
        </is>
      </c>
      <c r="C42" s="146" t="inlineStr">
        <is>
          <t>different values</t>
        </is>
      </c>
      <c r="D42" s="144" t="inlineStr">
        <is>
          <t>2.8 × 10⁴; 1.7 × 10⁴; &lt; 10³ and &gt; 10²; Absent | Отсутна; Absent | Отсутна</t>
        </is>
      </c>
      <c r="E42" s="144" t="inlineStr">
        <is>
          <t>2.8×10⁴; 1.7×10⁴; &lt;10³ and &gt;10² ᴿ; Одговара; Одговара</t>
        </is>
      </c>
    </row>
    <row r="43">
      <c r="A43" s="144" t="inlineStr">
        <is>
          <t>CJ052501/01</t>
        </is>
      </c>
      <c r="B43" s="144" t="inlineStr">
        <is>
          <t>#12</t>
        </is>
      </c>
      <c r="C43" s="146" t="inlineStr">
        <is>
          <t>different values</t>
        </is>
      </c>
      <c r="D43" s="144" t="inlineStr">
        <is>
          <t>ND</t>
        </is>
      </c>
      <c r="E43" s="144" t="inlineStr">
        <is>
          <t>≤ LOQ (all 24 compounds)</t>
        </is>
      </c>
    </row>
    <row r="44">
      <c r="A44" s="144" t="inlineStr">
        <is>
          <t>CJ082501/2</t>
        </is>
      </c>
      <c r="B44" s="144" t="inlineStr">
        <is>
          <t>#1</t>
        </is>
      </c>
      <c r="C44" s="146" t="inlineStr">
        <is>
          <t>different values</t>
        </is>
      </c>
      <c r="D44" s="144" t="inlineStr">
        <is>
          <t>Conforms | Одговара</t>
        </is>
      </c>
      <c r="E44" s="144" t="inlineStr">
        <is>
          <t>Conforms</t>
        </is>
      </c>
    </row>
    <row r="45">
      <c r="A45" s="144" t="inlineStr">
        <is>
          <t>CJ082501/2</t>
        </is>
      </c>
      <c r="B45" s="144" t="inlineStr">
        <is>
          <t>#2</t>
        </is>
      </c>
      <c r="C45" s="146" t="inlineStr">
        <is>
          <t>different values</t>
        </is>
      </c>
      <c r="D45" s="144" t="inlineStr">
        <is>
          <t>Conforms | Одговара</t>
        </is>
      </c>
      <c r="E45" s="144" t="inlineStr">
        <is>
          <t>Conforms</t>
        </is>
      </c>
    </row>
    <row r="46">
      <c r="A46" s="144" t="inlineStr">
        <is>
          <t>CJ082501/2</t>
        </is>
      </c>
      <c r="B46" s="144" t="inlineStr">
        <is>
          <t>#3</t>
        </is>
      </c>
      <c r="C46" s="146" t="inlineStr">
        <is>
          <t>different values</t>
        </is>
      </c>
      <c r="D46" s="144" t="inlineStr">
        <is>
          <t>Conforms | Одговара</t>
        </is>
      </c>
      <c r="E46" s="144" t="inlineStr">
        <is>
          <t>Conforms (ImB spec.)</t>
        </is>
      </c>
    </row>
    <row r="47">
      <c r="A47" s="144" t="inlineStr">
        <is>
          <t>CJ082501/2</t>
        </is>
      </c>
      <c r="B47" s="144" t="inlineStr">
        <is>
          <t>#7</t>
        </is>
      </c>
      <c r="C47" s="146" t="inlineStr">
        <is>
          <t>different values</t>
        </is>
      </c>
      <c r="D47" s="144" t="inlineStr">
        <is>
          <t>Conforms | Одговара</t>
        </is>
      </c>
      <c r="E47" s="144" t="inlineStr">
        <is>
          <t>Conforms</t>
        </is>
      </c>
    </row>
    <row r="48">
      <c r="A48" s="144" t="inlineStr">
        <is>
          <t>CJ082501/2</t>
        </is>
      </c>
      <c r="B48" s="144" t="inlineStr">
        <is>
          <t>#9</t>
        </is>
      </c>
      <c r="C48" s="146" t="inlineStr">
        <is>
          <t>different values</t>
        </is>
      </c>
      <c r="D48" s="144" t="inlineStr">
        <is>
          <t>9.5 × 10²; 1.2 × 10³; &lt; 10; Absent | Отсутна; Absent | Отсутна</t>
        </is>
      </c>
      <c r="E48" s="144" t="inlineStr">
        <is>
          <t>9.5×10²; 1.2×10³; &lt;10; Одговара; Одговара</t>
        </is>
      </c>
    </row>
    <row r="49">
      <c r="A49" s="144" t="inlineStr">
        <is>
          <t>CJ082501/2</t>
        </is>
      </c>
      <c r="B49" s="144" t="inlineStr">
        <is>
          <t>#12</t>
        </is>
      </c>
      <c r="C49" s="146" t="inlineStr">
        <is>
          <t>different values</t>
        </is>
      </c>
      <c r="D49" s="144" t="inlineStr">
        <is>
          <t>ND</t>
        </is>
      </c>
      <c r="E49" s="144" t="inlineStr">
        <is>
          <t>≤ LOQ (all 29 compounds)</t>
        </is>
      </c>
    </row>
    <row r="50">
      <c r="A50" s="144" t="inlineStr">
        <is>
          <t>GG1024_01</t>
        </is>
      </c>
      <c r="B50" s="144" t="inlineStr">
        <is>
          <t>#1</t>
        </is>
      </c>
      <c r="C50" s="146" t="inlineStr">
        <is>
          <t>different values</t>
        </is>
      </c>
      <c r="D50" s="144" t="inlineStr">
        <is>
          <t>Conforms | Одговара</t>
        </is>
      </c>
      <c r="E50" s="144" t="inlineStr">
        <is>
          <t>Conforms</t>
        </is>
      </c>
    </row>
    <row r="51">
      <c r="A51" s="144" t="inlineStr">
        <is>
          <t>GG1024_01</t>
        </is>
      </c>
      <c r="B51" s="144" t="inlineStr">
        <is>
          <t>#2</t>
        </is>
      </c>
      <c r="C51" s="146" t="inlineStr">
        <is>
          <t>different values</t>
        </is>
      </c>
      <c r="D51" s="144" t="inlineStr">
        <is>
          <t>Conforms | Одговара</t>
        </is>
      </c>
      <c r="E51" s="144" t="inlineStr">
        <is>
          <t>Conforms</t>
        </is>
      </c>
    </row>
    <row r="52">
      <c r="A52" s="144" t="inlineStr">
        <is>
          <t>GG1024_01</t>
        </is>
      </c>
      <c r="B52" s="144" t="inlineStr">
        <is>
          <t>#3</t>
        </is>
      </c>
      <c r="C52" s="146" t="inlineStr">
        <is>
          <t>different values</t>
        </is>
      </c>
      <c r="D52" s="144" t="inlineStr">
        <is>
          <t>Conforms | Одговара</t>
        </is>
      </c>
      <c r="E52" s="144" t="inlineStr">
        <is>
          <t>Conforms (ImB spec.)</t>
        </is>
      </c>
    </row>
    <row r="53">
      <c r="A53" s="144" t="inlineStr">
        <is>
          <t>GG1024_01</t>
        </is>
      </c>
      <c r="B53" s="144" t="inlineStr">
        <is>
          <t>#7</t>
        </is>
      </c>
      <c r="C53" s="146" t="inlineStr">
        <is>
          <t>different values</t>
        </is>
      </c>
      <c r="D53" s="144" t="inlineStr">
        <is>
          <t>Conforms | Одговара</t>
        </is>
      </c>
      <c r="E53" s="144" t="inlineStr">
        <is>
          <t>Conforms</t>
        </is>
      </c>
    </row>
    <row r="54">
      <c r="A54" s="144" t="inlineStr">
        <is>
          <t>GG1024_01</t>
        </is>
      </c>
      <c r="B54" s="144" t="inlineStr">
        <is>
          <t>#9</t>
        </is>
      </c>
      <c r="C54" s="146" t="inlineStr">
        <is>
          <t>different values</t>
        </is>
      </c>
      <c r="D54" s="144" t="inlineStr">
        <is>
          <t>5.1 × 10⁴; 4.2 × 10⁴; &lt; 10; Absent | Отсутна; Absent | Отсутна</t>
        </is>
      </c>
      <c r="E54" s="144" t="inlineStr">
        <is>
          <t>5.1 x 10⁴; 4.2 x 10⁴; &lt;10; Одговара; Одговара</t>
        </is>
      </c>
    </row>
    <row r="55">
      <c r="A55" s="144" t="inlineStr">
        <is>
          <t>GG1024_01</t>
        </is>
      </c>
      <c r="B55" s="144" t="inlineStr">
        <is>
          <t>#12</t>
        </is>
      </c>
      <c r="C55" s="146" t="inlineStr">
        <is>
          <t>different values</t>
        </is>
      </c>
      <c r="D55" s="144" t="inlineStr">
        <is>
          <t>ND</t>
        </is>
      </c>
      <c r="E55" s="144" t="inlineStr">
        <is>
          <t>≤ LOQ (all 27 compounds)</t>
        </is>
      </c>
    </row>
    <row r="56">
      <c r="A56" s="144" t="inlineStr">
        <is>
          <t>GP052501</t>
        </is>
      </c>
      <c r="B56" s="144" t="inlineStr">
        <is>
          <t>#1</t>
        </is>
      </c>
      <c r="C56" s="146" t="inlineStr">
        <is>
          <t>different values</t>
        </is>
      </c>
      <c r="D56" s="144" t="inlineStr">
        <is>
          <t>Conforms | Одговара</t>
        </is>
      </c>
      <c r="E56" s="144" t="inlineStr">
        <is>
          <t>Conforms</t>
        </is>
      </c>
    </row>
    <row r="57">
      <c r="A57" s="144" t="inlineStr">
        <is>
          <t>GP052501</t>
        </is>
      </c>
      <c r="B57" s="144" t="inlineStr">
        <is>
          <t>#2</t>
        </is>
      </c>
      <c r="C57" s="146" t="inlineStr">
        <is>
          <t>different values</t>
        </is>
      </c>
      <c r="D57" s="144" t="inlineStr">
        <is>
          <t>Conforms | Одговара</t>
        </is>
      </c>
      <c r="E57" s="144" t="inlineStr">
        <is>
          <t>Conforms</t>
        </is>
      </c>
    </row>
    <row r="58">
      <c r="A58" s="144" t="inlineStr">
        <is>
          <t>GP052501</t>
        </is>
      </c>
      <c r="B58" s="144" t="inlineStr">
        <is>
          <t>#3</t>
        </is>
      </c>
      <c r="C58" s="146" t="inlineStr">
        <is>
          <t>different values</t>
        </is>
      </c>
      <c r="D58" s="144" t="inlineStr">
        <is>
          <t>Conforms | Одговара</t>
        </is>
      </c>
      <c r="E58" s="144" t="inlineStr">
        <is>
          <t>Conforms (ImB spec.)</t>
        </is>
      </c>
    </row>
    <row r="59">
      <c r="A59" s="144" t="inlineStr">
        <is>
          <t>GP052501</t>
        </is>
      </c>
      <c r="B59" s="144" t="inlineStr">
        <is>
          <t>#7</t>
        </is>
      </c>
      <c r="C59" s="146" t="inlineStr">
        <is>
          <t>different values</t>
        </is>
      </c>
      <c r="D59" s="144" t="inlineStr">
        <is>
          <t>Conforms | Одговара</t>
        </is>
      </c>
      <c r="E59" s="144" t="inlineStr">
        <is>
          <t>Conforms</t>
        </is>
      </c>
    </row>
    <row r="60">
      <c r="A60" s="144" t="inlineStr">
        <is>
          <t>GP052501</t>
        </is>
      </c>
      <c r="B60" s="144" t="inlineStr">
        <is>
          <t>#9</t>
        </is>
      </c>
      <c r="C60" s="146" t="inlineStr">
        <is>
          <t>different values</t>
        </is>
      </c>
      <c r="D60" s="144" t="inlineStr">
        <is>
          <t>2.1 × 10⁴; 3.6 × 10⁴; &lt; 10² and &gt; 10¹; Absent | Отсутна; Absent | Отсутна</t>
        </is>
      </c>
      <c r="E60" s="144" t="inlineStr">
        <is>
          <t>2.1×10⁴ ᴿ; 3.6 x 10⁴; &lt;10² и &gt;10¹; Одговара; Одговара</t>
        </is>
      </c>
    </row>
    <row r="61">
      <c r="A61" s="144" t="inlineStr">
        <is>
          <t>GP052501</t>
        </is>
      </c>
      <c r="B61" s="144" t="inlineStr">
        <is>
          <t>#12</t>
        </is>
      </c>
      <c r="C61" s="146" t="inlineStr">
        <is>
          <t>different values</t>
        </is>
      </c>
      <c r="D61" s="144" t="inlineStr">
        <is>
          <t>ND</t>
        </is>
      </c>
      <c r="E61" s="144" t="inlineStr">
        <is>
          <t>≤ LOQ (all 29 compounds)</t>
        </is>
      </c>
    </row>
    <row r="62">
      <c r="A62" s="144" t="inlineStr">
        <is>
          <t>GP0824_02</t>
        </is>
      </c>
      <c r="B62" s="144" t="inlineStr">
        <is>
          <t>#1</t>
        </is>
      </c>
      <c r="C62" s="146" t="inlineStr">
        <is>
          <t>different values</t>
        </is>
      </c>
      <c r="D62" s="144" t="inlineStr">
        <is>
          <t>Conforms | Одговара</t>
        </is>
      </c>
      <c r="E62" s="144" t="inlineStr">
        <is>
          <t>Conforms</t>
        </is>
      </c>
    </row>
    <row r="63">
      <c r="A63" s="144" t="inlineStr">
        <is>
          <t>GP0824_02</t>
        </is>
      </c>
      <c r="B63" s="144" t="inlineStr">
        <is>
          <t>#2</t>
        </is>
      </c>
      <c r="C63" s="146" t="inlineStr">
        <is>
          <t>different values</t>
        </is>
      </c>
      <c r="D63" s="144" t="inlineStr">
        <is>
          <t>Conforms | Одговара</t>
        </is>
      </c>
      <c r="E63" s="144" t="inlineStr">
        <is>
          <t>Conforms</t>
        </is>
      </c>
    </row>
    <row r="64">
      <c r="A64" s="144" t="inlineStr">
        <is>
          <t>GP0824_02</t>
        </is>
      </c>
      <c r="B64" s="144" t="inlineStr">
        <is>
          <t>#3</t>
        </is>
      </c>
      <c r="C64" s="146" t="inlineStr">
        <is>
          <t>different values</t>
        </is>
      </c>
      <c r="D64" s="144" t="inlineStr">
        <is>
          <t>Conforms | Одговара</t>
        </is>
      </c>
      <c r="E64" s="144" t="inlineStr">
        <is>
          <t>Conforms (ImB spec.)</t>
        </is>
      </c>
    </row>
    <row r="65">
      <c r="A65" s="144" t="inlineStr">
        <is>
          <t>GP0824_02</t>
        </is>
      </c>
      <c r="B65" s="144" t="inlineStr">
        <is>
          <t>#7</t>
        </is>
      </c>
      <c r="C65" s="146" t="inlineStr">
        <is>
          <t>different values</t>
        </is>
      </c>
      <c r="D65" s="144" t="inlineStr">
        <is>
          <t>Conforms | Одговара</t>
        </is>
      </c>
      <c r="E65" s="144" t="inlineStr">
        <is>
          <t>Conforms</t>
        </is>
      </c>
    </row>
    <row r="66">
      <c r="A66" s="144" t="inlineStr">
        <is>
          <t>GP0824_02</t>
        </is>
      </c>
      <c r="B66" s="144" t="inlineStr">
        <is>
          <t>#9</t>
        </is>
      </c>
      <c r="C66" s="146" t="inlineStr">
        <is>
          <t>different values</t>
        </is>
      </c>
      <c r="D66" s="144" t="inlineStr">
        <is>
          <t>&lt; 10; &lt; 10; &lt; 10; Absent | Отсутна; Absent | Отсутна</t>
        </is>
      </c>
      <c r="E66" s="144" t="inlineStr">
        <is>
          <t>700; 10; &lt;10^2 и &gt;10; Одговара; Одговара</t>
        </is>
      </c>
    </row>
    <row r="67">
      <c r="A67" s="144" t="inlineStr">
        <is>
          <t>GP0824_02</t>
        </is>
      </c>
      <c r="B67" s="144" t="inlineStr">
        <is>
          <t>#11</t>
        </is>
      </c>
      <c r="C67" s="146" t="inlineStr">
        <is>
          <t>different values</t>
        </is>
      </c>
      <c r="D67" s="144" t="inlineStr">
        <is>
          <t>ND; ND; 0.047; ND</t>
        </is>
      </c>
      <c r="E67" s="144" t="inlineStr">
        <is>
          <t>н.д.; н.д.; н.д.; н.д.</t>
        </is>
      </c>
    </row>
    <row r="68">
      <c r="A68" s="144" t="inlineStr">
        <is>
          <t>GP0824_02</t>
        </is>
      </c>
      <c r="B68" s="144" t="inlineStr">
        <is>
          <t>#12</t>
        </is>
      </c>
      <c r="C68" s="146" t="inlineStr">
        <is>
          <t>different values</t>
        </is>
      </c>
      <c r="D68" s="144" t="inlineStr">
        <is>
          <t>ND</t>
        </is>
      </c>
      <c r="E68" s="144" t="inlineStr">
        <is>
          <t>≤ LOQ (all 29 compounds)</t>
        </is>
      </c>
    </row>
    <row r="69">
      <c r="A69" s="144" t="inlineStr">
        <is>
          <t>GP082501/2</t>
        </is>
      </c>
      <c r="B69" s="144" t="inlineStr">
        <is>
          <t>#1</t>
        </is>
      </c>
      <c r="C69" s="146" t="inlineStr">
        <is>
          <t>different values</t>
        </is>
      </c>
      <c r="D69" s="144" t="inlineStr">
        <is>
          <t>Conforms | Одговара</t>
        </is>
      </c>
      <c r="E69" s="144" t="inlineStr">
        <is>
          <t>Conforms</t>
        </is>
      </c>
    </row>
    <row r="70">
      <c r="A70" s="144" t="inlineStr">
        <is>
          <t>GP082501/2</t>
        </is>
      </c>
      <c r="B70" s="144" t="inlineStr">
        <is>
          <t>#2</t>
        </is>
      </c>
      <c r="C70" s="146" t="inlineStr">
        <is>
          <t>different values</t>
        </is>
      </c>
      <c r="D70" s="144" t="inlineStr">
        <is>
          <t>Conforms | Одговара</t>
        </is>
      </c>
      <c r="E70" s="144" t="inlineStr">
        <is>
          <t>Conforms</t>
        </is>
      </c>
    </row>
    <row r="71">
      <c r="A71" s="144" t="inlineStr">
        <is>
          <t>GP082501/2</t>
        </is>
      </c>
      <c r="B71" s="144" t="inlineStr">
        <is>
          <t>#3</t>
        </is>
      </c>
      <c r="C71" s="146" t="inlineStr">
        <is>
          <t>different values</t>
        </is>
      </c>
      <c r="D71" s="144" t="inlineStr">
        <is>
          <t>Conforms | Одговара</t>
        </is>
      </c>
      <c r="E71" s="144" t="inlineStr">
        <is>
          <t>Conforms (ImB spec.)</t>
        </is>
      </c>
    </row>
    <row r="72">
      <c r="A72" s="144" t="inlineStr">
        <is>
          <t>GP082501/2</t>
        </is>
      </c>
      <c r="B72" s="144" t="inlineStr">
        <is>
          <t>#7</t>
        </is>
      </c>
      <c r="C72" s="146" t="inlineStr">
        <is>
          <t>different values</t>
        </is>
      </c>
      <c r="D72" s="144" t="inlineStr">
        <is>
          <t>Conforms | Одговара</t>
        </is>
      </c>
      <c r="E72" s="144" t="inlineStr">
        <is>
          <t>Conforms</t>
        </is>
      </c>
    </row>
    <row r="73">
      <c r="A73" s="144" t="inlineStr">
        <is>
          <t>GP082501/2</t>
        </is>
      </c>
      <c r="B73" s="144" t="inlineStr">
        <is>
          <t>#9</t>
        </is>
      </c>
      <c r="C73" s="146" t="inlineStr">
        <is>
          <t>different values</t>
        </is>
      </c>
      <c r="D73" s="144" t="inlineStr">
        <is>
          <t>3.2 × 10³; 5.8 × 10³; &lt; 10⁴ and &gt; 10³; Absent | Отсутна; Absent | Отсутна</t>
        </is>
      </c>
      <c r="E73" s="144" t="inlineStr">
        <is>
          <t>3.2 x 10³; 5.8 x 10³; &lt;10^4 и &gt;10^3; Одговара; Одговара</t>
        </is>
      </c>
    </row>
    <row r="74">
      <c r="A74" s="144" t="inlineStr">
        <is>
          <t>GP082501/2</t>
        </is>
      </c>
      <c r="B74" s="144" t="inlineStr">
        <is>
          <t>#12</t>
        </is>
      </c>
      <c r="C74" s="146" t="inlineStr">
        <is>
          <t>different values</t>
        </is>
      </c>
      <c r="D74" s="144" t="inlineStr">
        <is>
          <t>ND</t>
        </is>
      </c>
      <c r="E74" s="144" t="inlineStr">
        <is>
          <t>≤ LOQ (all 29 compounds)</t>
        </is>
      </c>
    </row>
    <row r="75">
      <c r="A75" s="144" t="inlineStr">
        <is>
          <t>HPA1024</t>
        </is>
      </c>
      <c r="B75" s="144" t="inlineStr">
        <is>
          <t>#1</t>
        </is>
      </c>
      <c r="C75" s="146" t="inlineStr">
        <is>
          <t>different values</t>
        </is>
      </c>
      <c r="D75" s="144" t="inlineStr">
        <is>
          <t>Conforms | Одговара</t>
        </is>
      </c>
      <c r="E75" s="144" t="inlineStr">
        <is>
          <t>Conforms</t>
        </is>
      </c>
    </row>
    <row r="76">
      <c r="A76" s="144" t="inlineStr">
        <is>
          <t>HPA1024</t>
        </is>
      </c>
      <c r="B76" s="144" t="inlineStr">
        <is>
          <t>#2</t>
        </is>
      </c>
      <c r="C76" s="146" t="inlineStr">
        <is>
          <t>different values</t>
        </is>
      </c>
      <c r="D76" s="144" t="inlineStr">
        <is>
          <t>Conforms | Одговара</t>
        </is>
      </c>
      <c r="E76" s="144" t="inlineStr">
        <is>
          <t>Conforms</t>
        </is>
      </c>
    </row>
    <row r="77">
      <c r="A77" s="144" t="inlineStr">
        <is>
          <t>HPA1024</t>
        </is>
      </c>
      <c r="B77" s="144" t="inlineStr">
        <is>
          <t>#4</t>
        </is>
      </c>
      <c r="C77" s="146" t="inlineStr">
        <is>
          <t>different values</t>
        </is>
      </c>
      <c r="D77" s="144" t="inlineStr">
        <is>
          <t>14.97</t>
        </is>
      </c>
      <c r="E77" s="144" t="inlineStr">
        <is>
          <t>19.68 %w/w</t>
        </is>
      </c>
    </row>
    <row r="78">
      <c r="A78" s="144" t="inlineStr">
        <is>
          <t>HPA1024</t>
        </is>
      </c>
      <c r="B78" s="144" t="inlineStr">
        <is>
          <t>#5</t>
        </is>
      </c>
      <c r="C78" s="146" t="inlineStr">
        <is>
          <t>different values</t>
        </is>
      </c>
      <c r="D78" s="144" t="inlineStr">
        <is>
          <t>0.04</t>
        </is>
      </c>
      <c r="E78" s="144" t="inlineStr">
        <is>
          <t>&lt; LOQ %w/w</t>
        </is>
      </c>
    </row>
    <row r="79">
      <c r="A79" s="144" t="inlineStr">
        <is>
          <t>HPA1024</t>
        </is>
      </c>
      <c r="B79" s="144" t="inlineStr">
        <is>
          <t>#7</t>
        </is>
      </c>
      <c r="C79" s="146" t="inlineStr">
        <is>
          <t>different values</t>
        </is>
      </c>
      <c r="D79" s="144" t="inlineStr">
        <is>
          <t>Conforms | Одговара</t>
        </is>
      </c>
      <c r="E79" s="144" t="inlineStr">
        <is>
          <t>Conforms</t>
        </is>
      </c>
    </row>
    <row r="80">
      <c r="A80" s="144" t="inlineStr">
        <is>
          <t>HPA1024</t>
        </is>
      </c>
      <c r="B80" s="144" t="inlineStr">
        <is>
          <t>#9</t>
        </is>
      </c>
      <c r="C80" s="146" t="inlineStr">
        <is>
          <t>different values</t>
        </is>
      </c>
      <c r="D80" s="144" t="inlineStr">
        <is>
          <t>5.2 × 10⁴; 7 × 10²; &lt; 10; Absent | Отсутна; Absent | Отсутна</t>
        </is>
      </c>
      <c r="E80" s="144" t="inlineStr">
        <is>
          <t>5.2·10⁴ CFU/g CFU/g; 7·10² CFU/g CFU/g; &lt;10 CFU/g CFU/g; Absent; Absent</t>
        </is>
      </c>
    </row>
    <row r="81">
      <c r="A81" s="144" t="inlineStr">
        <is>
          <t>HPA1024</t>
        </is>
      </c>
      <c r="B81" s="144" t="inlineStr">
        <is>
          <t>#11</t>
        </is>
      </c>
      <c r="C81" s="147" t="inlineStr">
        <is>
          <t>same values,
other order</t>
        </is>
      </c>
      <c r="D81" s="144" t="inlineStr">
        <is>
          <t>0.02; 0.013; 0.017; 0.0026</t>
        </is>
      </c>
      <c r="E81" s="144" t="inlineStr">
        <is>
          <t>0.013 mg/kg mg/kg; 0.02 mg/kg mg/kg; 0.0026 mg/kg mg/kg; 0.017 mg/kg mg/kg</t>
        </is>
      </c>
    </row>
    <row r="82">
      <c r="A82" s="144" t="inlineStr">
        <is>
          <t>HPA1024_01</t>
        </is>
      </c>
      <c r="B82" s="144" t="inlineStr">
        <is>
          <t>#1</t>
        </is>
      </c>
      <c r="C82" s="146" t="inlineStr">
        <is>
          <t>different values</t>
        </is>
      </c>
      <c r="D82" s="144" t="inlineStr">
        <is>
          <t>Conforms | Одговара</t>
        </is>
      </c>
      <c r="E82" s="144" t="inlineStr">
        <is>
          <t>Conforms</t>
        </is>
      </c>
    </row>
    <row r="83">
      <c r="A83" s="144" t="inlineStr">
        <is>
          <t>HPA1024_01</t>
        </is>
      </c>
      <c r="B83" s="144" t="inlineStr">
        <is>
          <t>#2</t>
        </is>
      </c>
      <c r="C83" s="146" t="inlineStr">
        <is>
          <t>different values</t>
        </is>
      </c>
      <c r="D83" s="144" t="inlineStr">
        <is>
          <t>Conforms | Одговара</t>
        </is>
      </c>
      <c r="E83" s="144" t="inlineStr">
        <is>
          <t>Conforms</t>
        </is>
      </c>
    </row>
    <row r="84">
      <c r="A84" s="144" t="inlineStr">
        <is>
          <t>HPA1024_01</t>
        </is>
      </c>
      <c r="B84" s="144" t="inlineStr">
        <is>
          <t>#3</t>
        </is>
      </c>
      <c r="C84" s="146" t="inlineStr">
        <is>
          <t>different values</t>
        </is>
      </c>
      <c r="D84" s="144" t="inlineStr">
        <is>
          <t>Conforms | Одговара</t>
        </is>
      </c>
      <c r="E84" s="144" t="inlineStr">
        <is>
          <t>Conforms (ImB spec.)</t>
        </is>
      </c>
    </row>
    <row r="85">
      <c r="A85" s="144" t="inlineStr">
        <is>
          <t>HPA1024_01</t>
        </is>
      </c>
      <c r="B85" s="144" t="inlineStr">
        <is>
          <t>#7</t>
        </is>
      </c>
      <c r="C85" s="146" t="inlineStr">
        <is>
          <t>different values</t>
        </is>
      </c>
      <c r="D85" s="144" t="inlineStr">
        <is>
          <t>Conforms | Одговара</t>
        </is>
      </c>
      <c r="E85" s="144" t="inlineStr">
        <is>
          <t>Conforms</t>
        </is>
      </c>
    </row>
    <row r="86">
      <c r="A86" s="144" t="inlineStr">
        <is>
          <t>HPA1024_01</t>
        </is>
      </c>
      <c r="B86" s="144" t="inlineStr">
        <is>
          <t>#9</t>
        </is>
      </c>
      <c r="C86" s="146" t="inlineStr">
        <is>
          <t>different values</t>
        </is>
      </c>
      <c r="D86" s="144" t="inlineStr">
        <is>
          <t>9.6 × 10³; 1.5 × 10⁴; &lt; 10; Absent | Отсутна; Absent | Отсутна</t>
        </is>
      </c>
      <c r="E86" s="144" t="inlineStr">
        <is>
          <t>9.6 x 10³; 1.5 x 10⁴; &lt;10; Одговара; Одговара</t>
        </is>
      </c>
    </row>
    <row r="87">
      <c r="A87" s="144" t="inlineStr">
        <is>
          <t>HPA1024_01</t>
        </is>
      </c>
      <c r="B87" s="144" t="inlineStr">
        <is>
          <t>#12</t>
        </is>
      </c>
      <c r="C87" s="146" t="inlineStr">
        <is>
          <t>different values</t>
        </is>
      </c>
      <c r="D87" s="144" t="inlineStr">
        <is>
          <t>ND</t>
        </is>
      </c>
      <c r="E87" s="144" t="inlineStr">
        <is>
          <t>≤ LOQ (all 23 compounds)</t>
        </is>
      </c>
    </row>
    <row r="88">
      <c r="A88" s="144" t="inlineStr">
        <is>
          <t>J31102501</t>
        </is>
      </c>
      <c r="B88" s="144" t="inlineStr">
        <is>
          <t>#1</t>
        </is>
      </c>
      <c r="C88" s="146" t="inlineStr">
        <is>
          <t>different values</t>
        </is>
      </c>
      <c r="D88" s="144" t="inlineStr">
        <is>
          <t>Conforms | Одговара</t>
        </is>
      </c>
      <c r="E88" s="144" t="inlineStr">
        <is>
          <t>Conforms</t>
        </is>
      </c>
    </row>
    <row r="89">
      <c r="A89" s="144" t="inlineStr">
        <is>
          <t>J31102501</t>
        </is>
      </c>
      <c r="B89" s="144" t="inlineStr">
        <is>
          <t>#2</t>
        </is>
      </c>
      <c r="C89" s="146" t="inlineStr">
        <is>
          <t>different values</t>
        </is>
      </c>
      <c r="D89" s="144" t="inlineStr">
        <is>
          <t>Conforms | Одговара</t>
        </is>
      </c>
      <c r="E89" s="144" t="inlineStr">
        <is>
          <t>Conforms</t>
        </is>
      </c>
    </row>
    <row r="90">
      <c r="A90" s="144" t="inlineStr">
        <is>
          <t>J31102501</t>
        </is>
      </c>
      <c r="B90" s="144" t="inlineStr">
        <is>
          <t>#3</t>
        </is>
      </c>
      <c r="C90" s="146" t="inlineStr">
        <is>
          <t>different values</t>
        </is>
      </c>
      <c r="D90" s="144" t="inlineStr">
        <is>
          <t>Conforms | Одговара</t>
        </is>
      </c>
      <c r="E90" s="144" t="inlineStr">
        <is>
          <t>Conforms (ImB spec.) ᴿ</t>
        </is>
      </c>
    </row>
    <row r="91">
      <c r="A91" s="144" t="inlineStr">
        <is>
          <t>J31102501</t>
        </is>
      </c>
      <c r="B91" s="144" t="inlineStr">
        <is>
          <t>#7</t>
        </is>
      </c>
      <c r="C91" s="146" t="inlineStr">
        <is>
          <t>different values</t>
        </is>
      </c>
      <c r="D91" s="144" t="inlineStr">
        <is>
          <t>Conforms | Одговара</t>
        </is>
      </c>
      <c r="E91" s="144" t="inlineStr">
        <is>
          <t>Conforms</t>
        </is>
      </c>
    </row>
    <row r="92">
      <c r="A92" s="144" t="inlineStr">
        <is>
          <t>JD112501</t>
        </is>
      </c>
      <c r="B92" s="144" t="inlineStr">
        <is>
          <t>#1</t>
        </is>
      </c>
      <c r="C92" s="146" t="inlineStr">
        <is>
          <t>different values</t>
        </is>
      </c>
      <c r="D92" s="144" t="inlineStr">
        <is>
          <t>Conforms | Одговара</t>
        </is>
      </c>
      <c r="E92" s="144" t="inlineStr">
        <is>
          <t>Conforms</t>
        </is>
      </c>
    </row>
    <row r="93">
      <c r="A93" s="144" t="inlineStr">
        <is>
          <t>JD112501</t>
        </is>
      </c>
      <c r="B93" s="144" t="inlineStr">
        <is>
          <t>#2</t>
        </is>
      </c>
      <c r="C93" s="146" t="inlineStr">
        <is>
          <t>different values</t>
        </is>
      </c>
      <c r="D93" s="144" t="inlineStr">
        <is>
          <t>Conforms | Одговара</t>
        </is>
      </c>
      <c r="E93" s="144" t="inlineStr">
        <is>
          <t>Conforms</t>
        </is>
      </c>
    </row>
    <row r="94">
      <c r="A94" s="144" t="inlineStr">
        <is>
          <t>JD112501</t>
        </is>
      </c>
      <c r="B94" s="144" t="inlineStr">
        <is>
          <t>#6</t>
        </is>
      </c>
      <c r="C94" s="146" t="inlineStr">
        <is>
          <t>different values</t>
        </is>
      </c>
      <c r="D94" s="144" t="inlineStr">
        <is>
          <t>&lt; LOQ %</t>
        </is>
      </c>
      <c r="E94" s="144" t="inlineStr">
        <is>
          <t>BLQ %</t>
        </is>
      </c>
    </row>
    <row r="95">
      <c r="A95" s="144" t="inlineStr">
        <is>
          <t>JD112501</t>
        </is>
      </c>
      <c r="B95" s="144" t="inlineStr">
        <is>
          <t>#7</t>
        </is>
      </c>
      <c r="C95" s="146" t="inlineStr">
        <is>
          <t>different values</t>
        </is>
      </c>
      <c r="D95" s="144" t="inlineStr">
        <is>
          <t>Conforms | Одговара</t>
        </is>
      </c>
      <c r="E95" s="144" t="inlineStr">
        <is>
          <t>Conforms</t>
        </is>
      </c>
    </row>
    <row r="96">
      <c r="A96" s="144" t="inlineStr">
        <is>
          <t>OPM1024</t>
        </is>
      </c>
      <c r="B96" s="144" t="inlineStr">
        <is>
          <t>#1</t>
        </is>
      </c>
      <c r="C96" s="146" t="inlineStr">
        <is>
          <t>different values</t>
        </is>
      </c>
      <c r="D96" s="144" t="inlineStr">
        <is>
          <t>Conforms | Одговара</t>
        </is>
      </c>
      <c r="E96" s="144" t="inlineStr">
        <is>
          <t>Confirms</t>
        </is>
      </c>
    </row>
    <row r="97">
      <c r="A97" s="144" t="inlineStr">
        <is>
          <t>OPM1024</t>
        </is>
      </c>
      <c r="B97" s="144" t="inlineStr">
        <is>
          <t>#2</t>
        </is>
      </c>
      <c r="C97" s="146" t="inlineStr">
        <is>
          <t>different values</t>
        </is>
      </c>
      <c r="D97" s="144" t="inlineStr">
        <is>
          <t>Conforms | Одговара</t>
        </is>
      </c>
      <c r="E97" s="144" t="inlineStr">
        <is>
          <t>Conforms</t>
        </is>
      </c>
    </row>
    <row r="98">
      <c r="A98" s="144" t="inlineStr">
        <is>
          <t>OPM1024</t>
        </is>
      </c>
      <c r="B98" s="144" t="inlineStr">
        <is>
          <t>#4</t>
        </is>
      </c>
      <c r="C98" s="146" t="inlineStr">
        <is>
          <t>different values</t>
        </is>
      </c>
      <c r="D98" s="144" t="inlineStr">
        <is>
          <t>19.96</t>
        </is>
      </c>
      <c r="E98" s="144" t="inlineStr">
        <is>
          <t>20.03 %w/w</t>
        </is>
      </c>
    </row>
    <row r="99">
      <c r="A99" s="144" t="inlineStr">
        <is>
          <t>OPM1024</t>
        </is>
      </c>
      <c r="B99" s="144" t="inlineStr">
        <is>
          <t>#5</t>
        </is>
      </c>
      <c r="C99" s="146" t="inlineStr">
        <is>
          <t>different values</t>
        </is>
      </c>
      <c r="D99" s="144" t="inlineStr">
        <is>
          <t>0.05</t>
        </is>
      </c>
      <c r="E99" s="144" t="inlineStr">
        <is>
          <t>&lt; LOQ %w/w</t>
        </is>
      </c>
    </row>
    <row r="100">
      <c r="A100" s="144" t="inlineStr">
        <is>
          <t>OPM1024</t>
        </is>
      </c>
      <c r="B100" s="144" t="inlineStr">
        <is>
          <t>#7</t>
        </is>
      </c>
      <c r="C100" s="146" t="inlineStr">
        <is>
          <t>different values</t>
        </is>
      </c>
      <c r="D100" s="144" t="inlineStr">
        <is>
          <t>Conforms | Одговара</t>
        </is>
      </c>
      <c r="E100" s="144" t="inlineStr">
        <is>
          <t>Confirms</t>
        </is>
      </c>
    </row>
    <row r="101">
      <c r="A101" s="144" t="inlineStr">
        <is>
          <t>OPM1024</t>
        </is>
      </c>
      <c r="B101" s="144" t="inlineStr">
        <is>
          <t>#9</t>
        </is>
      </c>
      <c r="C101" s="146" t="inlineStr">
        <is>
          <t>different values</t>
        </is>
      </c>
      <c r="D101" s="144" t="inlineStr">
        <is>
          <t>1.3 × 10⁴; 7 × 10²; &lt; 10² &gt; 10³; Absent | Отсутна; Absent | Отсутна</t>
        </is>
      </c>
      <c r="E101" s="144" t="inlineStr">
        <is>
          <t>1.3·10⁴ CFU/g CFU/g; 7·10² CFU/g CFU/g; &lt;10²&gt;10³CFU/g CFU/g; Absent; Absent</t>
        </is>
      </c>
    </row>
    <row r="102">
      <c r="A102" s="144" t="inlineStr">
        <is>
          <t>OPM1024</t>
        </is>
      </c>
      <c r="B102" s="144" t="inlineStr">
        <is>
          <t>#11</t>
        </is>
      </c>
      <c r="C102" s="147" t="inlineStr">
        <is>
          <t>same values,
other order</t>
        </is>
      </c>
      <c r="D102" s="144" t="inlineStr">
        <is>
          <t>0.031; 0.017; 0.045; 0.005</t>
        </is>
      </c>
      <c r="E102" s="144" t="inlineStr">
        <is>
          <t>0.017 mg/kg mg/kg; 0.031 mg/kg mg/kg; 0.005 mg/kg mg/kg; 0.045 mg/kg mg/kg</t>
        </is>
      </c>
    </row>
    <row r="103">
      <c r="A103" s="144" t="inlineStr">
        <is>
          <t>OPM1024_02</t>
        </is>
      </c>
      <c r="B103" s="144" t="inlineStr">
        <is>
          <t>#1</t>
        </is>
      </c>
      <c r="C103" s="146" t="inlineStr">
        <is>
          <t>different values</t>
        </is>
      </c>
      <c r="D103" s="144" t="inlineStr">
        <is>
          <t>Conforms | Одговара</t>
        </is>
      </c>
      <c r="E103" s="144" t="inlineStr">
        <is>
          <t>Conforms</t>
        </is>
      </c>
    </row>
    <row r="104">
      <c r="A104" s="144" t="inlineStr">
        <is>
          <t>OPM1024_02</t>
        </is>
      </c>
      <c r="B104" s="144" t="inlineStr">
        <is>
          <t>#2</t>
        </is>
      </c>
      <c r="C104" s="146" t="inlineStr">
        <is>
          <t>different values</t>
        </is>
      </c>
      <c r="D104" s="144" t="inlineStr">
        <is>
          <t>Conforms | Одговара</t>
        </is>
      </c>
      <c r="E104" s="144" t="inlineStr">
        <is>
          <t>Conforms</t>
        </is>
      </c>
    </row>
    <row r="105">
      <c r="A105" s="144" t="inlineStr">
        <is>
          <t>OPM1024_02</t>
        </is>
      </c>
      <c r="B105" s="144" t="inlineStr">
        <is>
          <t>#3</t>
        </is>
      </c>
      <c r="C105" s="146" t="inlineStr">
        <is>
          <t>different values</t>
        </is>
      </c>
      <c r="D105" s="144" t="inlineStr">
        <is>
          <t>Conforms | Одговара</t>
        </is>
      </c>
      <c r="E105" s="144" t="inlineStr">
        <is>
          <t>Conforms (ImB spec.)</t>
        </is>
      </c>
    </row>
    <row r="106">
      <c r="A106" s="144" t="inlineStr">
        <is>
          <t>OPM1024_02</t>
        </is>
      </c>
      <c r="B106" s="144" t="inlineStr">
        <is>
          <t>#7</t>
        </is>
      </c>
      <c r="C106" s="146" t="inlineStr">
        <is>
          <t>different values</t>
        </is>
      </c>
      <c r="D106" s="144" t="inlineStr">
        <is>
          <t>Conforms | Одговара</t>
        </is>
      </c>
      <c r="E106" s="144" t="inlineStr">
        <is>
          <t>Conforms</t>
        </is>
      </c>
    </row>
    <row r="107">
      <c r="A107" s="144" t="inlineStr">
        <is>
          <t>OPM1024_02</t>
        </is>
      </c>
      <c r="B107" s="144" t="inlineStr">
        <is>
          <t>#9</t>
        </is>
      </c>
      <c r="C107" s="146" t="inlineStr">
        <is>
          <t>different values</t>
        </is>
      </c>
      <c r="D107" s="144" t="inlineStr">
        <is>
          <t>3.4 × 10³; 3.6 × 10³; &lt; 10; Absent | Отсутна; Absent | Отсутна</t>
        </is>
      </c>
      <c r="E107" s="144" t="inlineStr">
        <is>
          <t>3.4 x 10³; 3.6 x 10³; &lt;10; Одговара; Одговара</t>
        </is>
      </c>
    </row>
    <row r="108">
      <c r="A108" s="144" t="inlineStr">
        <is>
          <t>OPM1024_02</t>
        </is>
      </c>
      <c r="B108" s="144" t="inlineStr">
        <is>
          <t>#12</t>
        </is>
      </c>
      <c r="C108" s="146" t="inlineStr">
        <is>
          <t>different values</t>
        </is>
      </c>
      <c r="D108" s="144" t="inlineStr">
        <is>
          <t>ND</t>
        </is>
      </c>
      <c r="E108" s="144" t="inlineStr">
        <is>
          <t>FINDS: delta HCH &lt;0.01</t>
        </is>
      </c>
    </row>
    <row r="109">
      <c r="A109" s="144" t="inlineStr">
        <is>
          <t>OPM122501</t>
        </is>
      </c>
      <c r="B109" s="144" t="inlineStr">
        <is>
          <t>#1</t>
        </is>
      </c>
      <c r="C109" s="146" t="inlineStr">
        <is>
          <t>different values</t>
        </is>
      </c>
      <c r="D109" s="144" t="inlineStr">
        <is>
          <t>Conforms | Одговара</t>
        </is>
      </c>
      <c r="E109" s="144" t="inlineStr">
        <is>
          <t>Conforms</t>
        </is>
      </c>
    </row>
    <row r="110">
      <c r="A110" s="144" t="inlineStr">
        <is>
          <t>OPM122501</t>
        </is>
      </c>
      <c r="B110" s="144" t="inlineStr">
        <is>
          <t>#2</t>
        </is>
      </c>
      <c r="C110" s="146" t="inlineStr">
        <is>
          <t>different values</t>
        </is>
      </c>
      <c r="D110" s="144" t="inlineStr">
        <is>
          <t>Conforms | Одговара</t>
        </is>
      </c>
      <c r="E110" s="144" t="inlineStr">
        <is>
          <t>Conforms</t>
        </is>
      </c>
    </row>
    <row r="111">
      <c r="A111" s="144" t="inlineStr">
        <is>
          <t>OPM122501</t>
        </is>
      </c>
      <c r="B111" s="144" t="inlineStr">
        <is>
          <t>#3</t>
        </is>
      </c>
      <c r="C111" s="146" t="inlineStr">
        <is>
          <t>different values</t>
        </is>
      </c>
      <c r="D111" s="144" t="inlineStr">
        <is>
          <t>Conforms | Одговара</t>
        </is>
      </c>
      <c r="E111" s="144" t="inlineStr">
        <is>
          <t>Conforms (ImB spec.) ᴿ</t>
        </is>
      </c>
    </row>
    <row r="112">
      <c r="A112" s="144" t="inlineStr">
        <is>
          <t>OPM122501</t>
        </is>
      </c>
      <c r="B112" s="144" t="inlineStr">
        <is>
          <t>#7</t>
        </is>
      </c>
      <c r="C112" s="146" t="inlineStr">
        <is>
          <t>different values</t>
        </is>
      </c>
      <c r="D112" s="144" t="inlineStr">
        <is>
          <t>Conforms | Одговара</t>
        </is>
      </c>
      <c r="E112" s="144" t="inlineStr">
        <is>
          <t>Conforms</t>
        </is>
      </c>
    </row>
    <row r="113">
      <c r="A113" s="144" t="inlineStr">
        <is>
          <t>OPM122501</t>
        </is>
      </c>
      <c r="B113" s="144" t="inlineStr">
        <is>
          <t>#9</t>
        </is>
      </c>
      <c r="C113" s="146" t="inlineStr">
        <is>
          <t>different values</t>
        </is>
      </c>
      <c r="D113" s="144" t="inlineStr">
        <is>
          <t>120; 100; &lt; 10; Absent | Отсутна; Absent | Отсутна</t>
        </is>
      </c>
      <c r="E113" s="144" t="inlineStr">
        <is>
          <t>120; 100; &lt;10; Одговара; Одговара</t>
        </is>
      </c>
    </row>
    <row r="114">
      <c r="A114" s="144" t="inlineStr">
        <is>
          <t>OPM122501</t>
        </is>
      </c>
      <c r="B114" s="144" t="inlineStr">
        <is>
          <t>#12</t>
        </is>
      </c>
      <c r="C114" s="146" t="inlineStr">
        <is>
          <t>different values</t>
        </is>
      </c>
      <c r="D114" s="144" t="inlineStr">
        <is>
          <t>ND</t>
        </is>
      </c>
      <c r="E114" s="144" t="inlineStr">
        <is>
          <t>≤ LOQ (all 25 compounds)</t>
        </is>
      </c>
    </row>
    <row r="115">
      <c r="A115" s="144" t="inlineStr">
        <is>
          <t>PM092501</t>
        </is>
      </c>
      <c r="B115" s="144" t="inlineStr">
        <is>
          <t>#1</t>
        </is>
      </c>
      <c r="C115" s="146" t="inlineStr">
        <is>
          <t>different values</t>
        </is>
      </c>
      <c r="D115" s="144" t="inlineStr">
        <is>
          <t>Conforms | Одговара</t>
        </is>
      </c>
      <c r="E115" s="144" t="inlineStr">
        <is>
          <t>Conforms</t>
        </is>
      </c>
    </row>
    <row r="116">
      <c r="A116" s="144" t="inlineStr">
        <is>
          <t>PM092501</t>
        </is>
      </c>
      <c r="B116" s="144" t="inlineStr">
        <is>
          <t>#2</t>
        </is>
      </c>
      <c r="C116" s="146" t="inlineStr">
        <is>
          <t>different values</t>
        </is>
      </c>
      <c r="D116" s="144" t="inlineStr">
        <is>
          <t>Conforms | Одговара</t>
        </is>
      </c>
      <c r="E116" s="144" t="inlineStr">
        <is>
          <t>Conforms</t>
        </is>
      </c>
    </row>
    <row r="117">
      <c r="A117" s="144" t="inlineStr">
        <is>
          <t>PM092501</t>
        </is>
      </c>
      <c r="B117" s="144" t="inlineStr">
        <is>
          <t>#3</t>
        </is>
      </c>
      <c r="C117" s="146" t="inlineStr">
        <is>
          <t>different values</t>
        </is>
      </c>
      <c r="D117" s="144" t="inlineStr">
        <is>
          <t>Conforms | Одговара</t>
        </is>
      </c>
      <c r="E117" s="144" t="inlineStr">
        <is>
          <t>Conforms (ImB spec.) ᴿ</t>
        </is>
      </c>
    </row>
    <row r="118">
      <c r="A118" s="144" t="inlineStr">
        <is>
          <t>PM092501</t>
        </is>
      </c>
      <c r="B118" s="144" t="inlineStr">
        <is>
          <t>#6</t>
        </is>
      </c>
      <c r="C118" s="146" t="inlineStr">
        <is>
          <t>different values</t>
        </is>
      </c>
      <c r="D118" s="144" t="inlineStr">
        <is>
          <t>&lt; LOQ ᴰ</t>
        </is>
      </c>
      <c r="E118" s="144" t="inlineStr">
        <is>
          <t>BLQ ᴰ</t>
        </is>
      </c>
    </row>
    <row r="119">
      <c r="A119" s="144" t="inlineStr">
        <is>
          <t>PM092501</t>
        </is>
      </c>
      <c r="B119" s="144" t="inlineStr">
        <is>
          <t>#7</t>
        </is>
      </c>
      <c r="C119" s="146" t="inlineStr">
        <is>
          <t>different values</t>
        </is>
      </c>
      <c r="D119" s="144" t="inlineStr">
        <is>
          <t>Conforms | Одговара</t>
        </is>
      </c>
      <c r="E119" s="144" t="inlineStr">
        <is>
          <t>Conforms</t>
        </is>
      </c>
    </row>
    <row r="120">
      <c r="A120" s="144" t="inlineStr">
        <is>
          <t>PM092501</t>
        </is>
      </c>
      <c r="B120" s="144" t="inlineStr">
        <is>
          <t>#9</t>
        </is>
      </c>
      <c r="C120" s="146" t="inlineStr">
        <is>
          <t>different values</t>
        </is>
      </c>
      <c r="D120" s="144" t="inlineStr">
        <is>
          <t>2 × 10³; 2.2 × 10³; &lt; 10; Absent | Отсутна; Absent | Отсутна</t>
        </is>
      </c>
      <c r="E120" s="144" t="inlineStr">
        <is>
          <t>2×10³; 2.2×10³; &lt;10; Одговара; Одговара</t>
        </is>
      </c>
    </row>
    <row r="121">
      <c r="A121" s="144" t="inlineStr">
        <is>
          <t>PM092501</t>
        </is>
      </c>
      <c r="B121" s="144" t="inlineStr">
        <is>
          <t>#12</t>
        </is>
      </c>
      <c r="C121" s="146" t="inlineStr">
        <is>
          <t>different values</t>
        </is>
      </c>
      <c r="D121" s="144" t="inlineStr">
        <is>
          <t>ND</t>
        </is>
      </c>
      <c r="E121" s="144" t="inlineStr">
        <is>
          <t>≤ LOQ (all 28 compounds)</t>
        </is>
      </c>
    </row>
    <row r="122">
      <c r="A122" s="144" t="inlineStr">
        <is>
          <t>BSS052501</t>
        </is>
      </c>
      <c r="B122" s="144" t="inlineStr">
        <is>
          <t>#1</t>
        </is>
      </c>
      <c r="C122" s="146" t="inlineStr">
        <is>
          <t>different values</t>
        </is>
      </c>
      <c r="D122" s="144" t="inlineStr">
        <is>
          <t>Conforms | Одговара</t>
        </is>
      </c>
      <c r="E122" s="144" t="inlineStr">
        <is>
          <t>Conforms</t>
        </is>
      </c>
    </row>
    <row r="123">
      <c r="A123" s="144" t="inlineStr">
        <is>
          <t>BSS052501</t>
        </is>
      </c>
      <c r="B123" s="144" t="inlineStr">
        <is>
          <t>#2</t>
        </is>
      </c>
      <c r="C123" s="146" t="inlineStr">
        <is>
          <t>different values</t>
        </is>
      </c>
      <c r="D123" s="144" t="inlineStr">
        <is>
          <t>Conforms | Одговара</t>
        </is>
      </c>
      <c r="E123" s="144" t="inlineStr">
        <is>
          <t>Conforms</t>
        </is>
      </c>
    </row>
    <row r="124">
      <c r="A124" s="144" t="inlineStr">
        <is>
          <t>BSS052501</t>
        </is>
      </c>
      <c r="B124" s="144" t="inlineStr">
        <is>
          <t>#7</t>
        </is>
      </c>
      <c r="C124" s="146" t="inlineStr">
        <is>
          <t>different values</t>
        </is>
      </c>
      <c r="D124" s="144" t="inlineStr">
        <is>
          <t>Conforms | Одговара</t>
        </is>
      </c>
      <c r="E124" s="144" t="inlineStr">
        <is>
          <t>Conforms</t>
        </is>
      </c>
    </row>
    <row r="125">
      <c r="A125" s="144" t="inlineStr">
        <is>
          <t>BSS052501</t>
        </is>
      </c>
      <c r="B125" s="144" t="inlineStr">
        <is>
          <t>#9</t>
        </is>
      </c>
      <c r="C125" s="146" t="inlineStr">
        <is>
          <t>different values</t>
        </is>
      </c>
      <c r="D125" s="144" t="inlineStr">
        <is>
          <t>200; 200; &lt; 10² and &gt; 10; Absent | Отсутна; Absent | Отсутна</t>
        </is>
      </c>
      <c r="E125" s="144" t="inlineStr">
        <is>
          <t>200 CFU/g CFU/g; 200 CFU/g CFU/g; &lt; 10² и &gt;10 CFU/g CFU/g; Одговара /g; Одговара /25 g</t>
        </is>
      </c>
    </row>
    <row r="126">
      <c r="A126" s="144" t="inlineStr">
        <is>
          <t>BSS052501</t>
        </is>
      </c>
      <c r="B126" s="144" t="inlineStr">
        <is>
          <t>#12</t>
        </is>
      </c>
      <c r="C126" s="146" t="inlineStr">
        <is>
          <t>different values</t>
        </is>
      </c>
      <c r="D126" s="144" t="inlineStr">
        <is>
          <t>Not found any pesticide above LOQ (≤LOQ) — COMPLIES with Ph. Eur.</t>
        </is>
      </c>
      <c r="E126" s="144" t="inlineStr">
        <is>
          <t>≤ LOQ (0.01 mg/kg) mg/kg</t>
        </is>
      </c>
    </row>
    <row r="127">
      <c r="A127" s="144" t="inlineStr">
        <is>
          <t>CJ062501/1</t>
        </is>
      </c>
      <c r="B127" s="144" t="inlineStr">
        <is>
          <t>#1</t>
        </is>
      </c>
      <c r="C127" s="146" t="inlineStr">
        <is>
          <t>different values</t>
        </is>
      </c>
      <c r="D127" s="144" t="inlineStr">
        <is>
          <t>Conforms | Одговара</t>
        </is>
      </c>
      <c r="E127" s="144" t="inlineStr">
        <is>
          <t>Conforms</t>
        </is>
      </c>
    </row>
    <row r="128">
      <c r="A128" s="144" t="inlineStr">
        <is>
          <t>CJ062501/1</t>
        </is>
      </c>
      <c r="B128" s="144" t="inlineStr">
        <is>
          <t>#2</t>
        </is>
      </c>
      <c r="C128" s="146" t="inlineStr">
        <is>
          <t>different values</t>
        </is>
      </c>
      <c r="D128" s="144" t="inlineStr">
        <is>
          <t>Conforms | Одговара</t>
        </is>
      </c>
      <c r="E128" s="144" t="inlineStr">
        <is>
          <t>Conforms</t>
        </is>
      </c>
    </row>
    <row r="129">
      <c r="A129" s="144" t="inlineStr">
        <is>
          <t>CJ062501/1</t>
        </is>
      </c>
      <c r="B129" s="144" t="inlineStr">
        <is>
          <t>#3</t>
        </is>
      </c>
      <c r="C129" s="146" t="inlineStr">
        <is>
          <t>different values</t>
        </is>
      </c>
      <c r="D129" s="144" t="inlineStr">
        <is>
          <t>Conforms | Одговара</t>
        </is>
      </c>
      <c r="E129" s="144" t="inlineStr">
        <is>
          <t>Conforms (ImB spec.)</t>
        </is>
      </c>
    </row>
    <row r="130">
      <c r="A130" s="144" t="inlineStr">
        <is>
          <t>CJ062501/1</t>
        </is>
      </c>
      <c r="B130" s="144" t="inlineStr">
        <is>
          <t>#7</t>
        </is>
      </c>
      <c r="C130" s="146" t="inlineStr">
        <is>
          <t>different values</t>
        </is>
      </c>
      <c r="D130" s="144" t="inlineStr">
        <is>
          <t>Conforms | Одговара</t>
        </is>
      </c>
      <c r="E130" s="144" t="inlineStr">
        <is>
          <t>Conforms</t>
        </is>
      </c>
    </row>
    <row r="131">
      <c r="A131" s="144" t="inlineStr">
        <is>
          <t>CJ062501/1</t>
        </is>
      </c>
      <c r="B131" s="144" t="inlineStr">
        <is>
          <t>#9</t>
        </is>
      </c>
      <c r="C131" s="146" t="inlineStr">
        <is>
          <t>different values</t>
        </is>
      </c>
      <c r="D131" s="144" t="inlineStr">
        <is>
          <t>&lt; 10; 20; &lt; 10; Absent | Отсутна; Absent | Отсутна</t>
        </is>
      </c>
      <c r="E131" s="144" t="inlineStr">
        <is>
          <t>&lt;10; 20; &lt;10; Одговара; Одговара</t>
        </is>
      </c>
    </row>
    <row r="132">
      <c r="A132" s="144" t="inlineStr">
        <is>
          <t>CJ062501/1</t>
        </is>
      </c>
      <c r="B132" s="144" t="inlineStr">
        <is>
          <t>#12</t>
        </is>
      </c>
      <c r="C132" s="146" t="inlineStr">
        <is>
          <t>different values</t>
        </is>
      </c>
      <c r="D132" s="144" t="inlineStr">
        <is>
          <t>ND</t>
        </is>
      </c>
      <c r="E132" s="144" t="inlineStr">
        <is>
          <t>≤ LOQ (all 29 compounds)</t>
        </is>
      </c>
    </row>
    <row r="133">
      <c r="A133" s="144" t="inlineStr">
        <is>
          <t>CJ082501/1</t>
        </is>
      </c>
      <c r="B133" s="144" t="inlineStr">
        <is>
          <t>#1</t>
        </is>
      </c>
      <c r="C133" s="146" t="inlineStr">
        <is>
          <t>different values</t>
        </is>
      </c>
      <c r="D133" s="144" t="inlineStr">
        <is>
          <t>Conforms | Одговара</t>
        </is>
      </c>
      <c r="E133" s="144" t="inlineStr">
        <is>
          <t>Conforms</t>
        </is>
      </c>
    </row>
    <row r="134">
      <c r="A134" s="144" t="inlineStr">
        <is>
          <t>CJ082501/1</t>
        </is>
      </c>
      <c r="B134" s="144" t="inlineStr">
        <is>
          <t>#2</t>
        </is>
      </c>
      <c r="C134" s="146" t="inlineStr">
        <is>
          <t>different values</t>
        </is>
      </c>
      <c r="D134" s="144" t="inlineStr">
        <is>
          <t>Conforms | Одговара</t>
        </is>
      </c>
      <c r="E134" s="144" t="inlineStr">
        <is>
          <t>Conforms</t>
        </is>
      </c>
    </row>
    <row r="135">
      <c r="A135" s="144" t="inlineStr">
        <is>
          <t>CJ082501/1</t>
        </is>
      </c>
      <c r="B135" s="144" t="inlineStr">
        <is>
          <t>#3</t>
        </is>
      </c>
      <c r="C135" s="146" t="inlineStr">
        <is>
          <t>different values</t>
        </is>
      </c>
      <c r="D135" s="144" t="inlineStr">
        <is>
          <t>Conforms | Одговара</t>
        </is>
      </c>
      <c r="E135" s="144" t="inlineStr">
        <is>
          <t>Conforms (ImB spec.)</t>
        </is>
      </c>
    </row>
    <row r="136">
      <c r="A136" s="144" t="inlineStr">
        <is>
          <t>CJ082501/1</t>
        </is>
      </c>
      <c r="B136" s="144" t="inlineStr">
        <is>
          <t>#7</t>
        </is>
      </c>
      <c r="C136" s="146" t="inlineStr">
        <is>
          <t>different values</t>
        </is>
      </c>
      <c r="D136" s="144" t="inlineStr">
        <is>
          <t>Conforms | Одговара</t>
        </is>
      </c>
      <c r="E136" s="144" t="inlineStr">
        <is>
          <t>Conforms</t>
        </is>
      </c>
    </row>
    <row r="137">
      <c r="A137" s="144" t="inlineStr">
        <is>
          <t>CJ082501/1</t>
        </is>
      </c>
      <c r="B137" s="144" t="inlineStr">
        <is>
          <t>#9</t>
        </is>
      </c>
      <c r="C137" s="146" t="inlineStr">
        <is>
          <t>different values</t>
        </is>
      </c>
      <c r="D137" s="144" t="inlineStr">
        <is>
          <t>1.5 × 10²; 1.3 × 10²; &lt; 10; Absent | Отсутна; Absent | Отсутна</t>
        </is>
      </c>
      <c r="E137" s="144" t="inlineStr">
        <is>
          <t>1,5 x 10² CFU/g CFU/g; 1,3 x 10² CFU/g CFU/g; &lt; 10 CFU/g CFU/g; Одговара /g; Одговара /25 g</t>
        </is>
      </c>
    </row>
    <row r="138">
      <c r="A138" s="144" t="inlineStr">
        <is>
          <t>CJ082501/1</t>
        </is>
      </c>
      <c r="B138" s="144" t="inlineStr">
        <is>
          <t>#12</t>
        </is>
      </c>
      <c r="C138" s="146" t="inlineStr">
        <is>
          <t>different values</t>
        </is>
      </c>
      <c r="D138" s="144" t="inlineStr">
        <is>
          <t>ND</t>
        </is>
      </c>
      <c r="E138" s="144" t="inlineStr">
        <is>
          <t>≤ LOQ (all 26 compounds)</t>
        </is>
      </c>
    </row>
    <row r="139">
      <c r="A139" s="144" t="inlineStr">
        <is>
          <t>CJ092501</t>
        </is>
      </c>
      <c r="B139" s="144" t="inlineStr">
        <is>
          <t>#1</t>
        </is>
      </c>
      <c r="C139" s="146" t="inlineStr">
        <is>
          <t>different values</t>
        </is>
      </c>
      <c r="D139" s="144" t="inlineStr">
        <is>
          <t>Conforms | Одговара</t>
        </is>
      </c>
      <c r="E139" s="144" t="inlineStr">
        <is>
          <t>Conforms</t>
        </is>
      </c>
    </row>
    <row r="140">
      <c r="A140" s="144" t="inlineStr">
        <is>
          <t>CJ092501</t>
        </is>
      </c>
      <c r="B140" s="144" t="inlineStr">
        <is>
          <t>#2</t>
        </is>
      </c>
      <c r="C140" s="146" t="inlineStr">
        <is>
          <t>different values</t>
        </is>
      </c>
      <c r="D140" s="144" t="inlineStr">
        <is>
          <t>Conforms | Одговара</t>
        </is>
      </c>
      <c r="E140" s="144" t="inlineStr">
        <is>
          <t>Conforms</t>
        </is>
      </c>
    </row>
    <row r="141">
      <c r="A141" s="144" t="inlineStr">
        <is>
          <t>CJ092501</t>
        </is>
      </c>
      <c r="B141" s="144" t="inlineStr">
        <is>
          <t>#3</t>
        </is>
      </c>
      <c r="C141" s="146" t="inlineStr">
        <is>
          <t>different values</t>
        </is>
      </c>
      <c r="D141" s="144" t="inlineStr">
        <is>
          <t>Conforms | Одговара</t>
        </is>
      </c>
      <c r="E141" s="144" t="inlineStr">
        <is>
          <t>Conforms (ImB spec.)</t>
        </is>
      </c>
    </row>
    <row r="142">
      <c r="A142" s="144" t="inlineStr">
        <is>
          <t>CJ092501</t>
        </is>
      </c>
      <c r="B142" s="144" t="inlineStr">
        <is>
          <t>#7</t>
        </is>
      </c>
      <c r="C142" s="146" t="inlineStr">
        <is>
          <t>different values</t>
        </is>
      </c>
      <c r="D142" s="144" t="inlineStr">
        <is>
          <t>Conforms | Одговара</t>
        </is>
      </c>
      <c r="E142" s="144" t="inlineStr">
        <is>
          <t>Conforms</t>
        </is>
      </c>
    </row>
    <row r="143">
      <c r="A143" s="144" t="inlineStr">
        <is>
          <t>CJ092501</t>
        </is>
      </c>
      <c r="B143" s="144" t="inlineStr">
        <is>
          <t>#9</t>
        </is>
      </c>
      <c r="C143" s="146" t="inlineStr">
        <is>
          <t>different values</t>
        </is>
      </c>
      <c r="D143" s="144" t="inlineStr">
        <is>
          <t>&lt; 10; &lt; 10; &lt; 10; Absent | Отсутна; Absent | Отсутна</t>
        </is>
      </c>
      <c r="E143" s="144" t="inlineStr">
        <is>
          <t>&lt;10; &lt;10; &lt;10; Одговара; Одговара</t>
        </is>
      </c>
    </row>
    <row r="144">
      <c r="A144" s="144" t="inlineStr">
        <is>
          <t>CJ092501</t>
        </is>
      </c>
      <c r="B144" s="144" t="inlineStr">
        <is>
          <t>#12</t>
        </is>
      </c>
      <c r="C144" s="146" t="inlineStr">
        <is>
          <t>different values</t>
        </is>
      </c>
      <c r="D144" s="144" t="inlineStr">
        <is>
          <t>ND</t>
        </is>
      </c>
      <c r="E144" s="144" t="inlineStr">
        <is>
          <t>≤ LOQ (all 29 compounds)</t>
        </is>
      </c>
    </row>
    <row r="145">
      <c r="A145" s="144" t="inlineStr">
        <is>
          <t>CLE072501</t>
        </is>
      </c>
      <c r="B145" s="144" t="inlineStr">
        <is>
          <t>#1</t>
        </is>
      </c>
      <c r="C145" s="146" t="inlineStr">
        <is>
          <t>different values</t>
        </is>
      </c>
      <c r="D145" s="144" t="inlineStr">
        <is>
          <t>Conforms | Одговара</t>
        </is>
      </c>
      <c r="E145" s="144" t="inlineStr">
        <is>
          <t>Conforms</t>
        </is>
      </c>
    </row>
    <row r="146">
      <c r="A146" s="144" t="inlineStr">
        <is>
          <t>CLE072501</t>
        </is>
      </c>
      <c r="B146" s="144" t="inlineStr">
        <is>
          <t>#2</t>
        </is>
      </c>
      <c r="C146" s="146" t="inlineStr">
        <is>
          <t>different values</t>
        </is>
      </c>
      <c r="D146" s="144" t="inlineStr">
        <is>
          <t>Conforms | Одговара</t>
        </is>
      </c>
      <c r="E146" s="144" t="inlineStr">
        <is>
          <t>Conforms</t>
        </is>
      </c>
    </row>
    <row r="147">
      <c r="A147" s="144" t="inlineStr">
        <is>
          <t>CLE072501</t>
        </is>
      </c>
      <c r="B147" s="144" t="inlineStr">
        <is>
          <t>#3</t>
        </is>
      </c>
      <c r="C147" s="146" t="inlineStr">
        <is>
          <t>different values</t>
        </is>
      </c>
      <c r="D147" s="144" t="inlineStr">
        <is>
          <t>Conforms | Одговара</t>
        </is>
      </c>
      <c r="E147" s="144" t="inlineStr">
        <is>
          <t>Conforms (ImB spec.)</t>
        </is>
      </c>
    </row>
    <row r="148">
      <c r="A148" s="144" t="inlineStr">
        <is>
          <t>CLE072501</t>
        </is>
      </c>
      <c r="B148" s="144" t="inlineStr">
        <is>
          <t>#6</t>
        </is>
      </c>
      <c r="C148" s="146" t="inlineStr">
        <is>
          <t>different values</t>
        </is>
      </c>
      <c r="D148" s="144" t="inlineStr">
        <is>
          <t>&lt; LOQ ᴰ</t>
        </is>
      </c>
      <c r="E148" s="144" t="inlineStr">
        <is>
          <t>BLQ ᴰ</t>
        </is>
      </c>
    </row>
    <row r="149">
      <c r="A149" s="144" t="inlineStr">
        <is>
          <t>CLE072501</t>
        </is>
      </c>
      <c r="B149" s="144" t="inlineStr">
        <is>
          <t>#7</t>
        </is>
      </c>
      <c r="C149" s="146" t="inlineStr">
        <is>
          <t>different values</t>
        </is>
      </c>
      <c r="D149" s="144" t="inlineStr">
        <is>
          <t>Conforms | Одговара</t>
        </is>
      </c>
      <c r="E149" s="144" t="inlineStr">
        <is>
          <t>Conforms</t>
        </is>
      </c>
    </row>
    <row r="150">
      <c r="A150" s="144" t="inlineStr">
        <is>
          <t>CLE072501</t>
        </is>
      </c>
      <c r="B150" s="144" t="inlineStr">
        <is>
          <t>#9</t>
        </is>
      </c>
      <c r="C150" s="146" t="inlineStr">
        <is>
          <t>different values</t>
        </is>
      </c>
      <c r="D150" s="144" t="inlineStr">
        <is>
          <t>&lt; 10; &lt; 10; &lt; 10; Absent | Отсутна; Absent | Отсутна</t>
        </is>
      </c>
      <c r="E150" s="144" t="inlineStr">
        <is>
          <t>&lt;10; &lt;10; &lt;10; Одговара; Одговара</t>
        </is>
      </c>
    </row>
    <row r="151">
      <c r="A151" s="144" t="inlineStr">
        <is>
          <t>CLE072501</t>
        </is>
      </c>
      <c r="B151" s="144" t="inlineStr">
        <is>
          <t>#12</t>
        </is>
      </c>
      <c r="C151" s="146" t="inlineStr">
        <is>
          <t>different values</t>
        </is>
      </c>
      <c r="D151" s="144" t="inlineStr">
        <is>
          <t>ND</t>
        </is>
      </c>
      <c r="E151" s="144" t="inlineStr">
        <is>
          <t>≤ LOQ (all 27 compounds)</t>
        </is>
      </c>
    </row>
    <row r="152">
      <c r="A152" s="144" t="inlineStr">
        <is>
          <t>FB012601/1</t>
        </is>
      </c>
      <c r="B152" s="144" t="inlineStr">
        <is>
          <t>#1</t>
        </is>
      </c>
      <c r="C152" s="146" t="inlineStr">
        <is>
          <t>different values</t>
        </is>
      </c>
      <c r="D152" s="144" t="inlineStr">
        <is>
          <t>Conforms | Одговара</t>
        </is>
      </c>
      <c r="E152" s="144" t="inlineStr">
        <is>
          <t>Conforms</t>
        </is>
      </c>
    </row>
    <row r="153">
      <c r="A153" s="144" t="inlineStr">
        <is>
          <t>FB012601/1</t>
        </is>
      </c>
      <c r="B153" s="144" t="inlineStr">
        <is>
          <t>#2</t>
        </is>
      </c>
      <c r="C153" s="146" t="inlineStr">
        <is>
          <t>different values</t>
        </is>
      </c>
      <c r="D153" s="144" t="inlineStr">
        <is>
          <t>Conforms | Одговара</t>
        </is>
      </c>
      <c r="E153" s="144" t="inlineStr">
        <is>
          <t>Conforms</t>
        </is>
      </c>
    </row>
    <row r="154">
      <c r="A154" s="144" t="inlineStr">
        <is>
          <t>FB012601/1</t>
        </is>
      </c>
      <c r="B154" s="144" t="inlineStr">
        <is>
          <t>#6</t>
        </is>
      </c>
      <c r="C154" s="146" t="inlineStr">
        <is>
          <t>different values</t>
        </is>
      </c>
      <c r="D154" s="144" t="inlineStr">
        <is>
          <t>&lt; LOQ %</t>
        </is>
      </c>
      <c r="E154" s="144" t="inlineStr">
        <is>
          <t>BLQ %</t>
        </is>
      </c>
    </row>
    <row r="155">
      <c r="A155" s="144" t="inlineStr">
        <is>
          <t>FB012601/1</t>
        </is>
      </c>
      <c r="B155" s="144" t="inlineStr">
        <is>
          <t>#7</t>
        </is>
      </c>
      <c r="C155" s="146" t="inlineStr">
        <is>
          <t>different values</t>
        </is>
      </c>
      <c r="D155" s="144" t="inlineStr">
        <is>
          <t>Conforms | Одговара</t>
        </is>
      </c>
      <c r="E155" s="144" t="inlineStr">
        <is>
          <t>Conforms</t>
        </is>
      </c>
    </row>
    <row r="156">
      <c r="A156" s="144" t="inlineStr">
        <is>
          <t>GG1024</t>
        </is>
      </c>
      <c r="B156" s="144" t="inlineStr">
        <is>
          <t>#1</t>
        </is>
      </c>
      <c r="C156" s="146" t="inlineStr">
        <is>
          <t>different values</t>
        </is>
      </c>
      <c r="D156" s="144" t="inlineStr">
        <is>
          <t>Conforms | Одговара</t>
        </is>
      </c>
      <c r="E156" s="144" t="inlineStr">
        <is>
          <t>Conforms</t>
        </is>
      </c>
    </row>
    <row r="157">
      <c r="A157" s="144" t="inlineStr">
        <is>
          <t>GG1024</t>
        </is>
      </c>
      <c r="B157" s="144" t="inlineStr">
        <is>
          <t>#4</t>
        </is>
      </c>
      <c r="C157" s="146" t="inlineStr">
        <is>
          <t>different values</t>
        </is>
      </c>
      <c r="D157" s="144" t="inlineStr">
        <is>
          <t>13.34</t>
        </is>
      </c>
      <c r="E157" s="144" t="inlineStr">
        <is>
          <t>15.51 % w/w</t>
        </is>
      </c>
    </row>
    <row r="158">
      <c r="A158" s="144" t="inlineStr">
        <is>
          <t>GG1024</t>
        </is>
      </c>
      <c r="B158" s="144" t="inlineStr">
        <is>
          <t>#5</t>
        </is>
      </c>
      <c r="C158" s="146" t="inlineStr">
        <is>
          <t>different values</t>
        </is>
      </c>
      <c r="D158" s="144" t="inlineStr">
        <is>
          <t>0.03</t>
        </is>
      </c>
      <c r="E158" s="144" t="inlineStr">
        <is>
          <t>&lt; LOQ % w/w</t>
        </is>
      </c>
    </row>
    <row r="159">
      <c r="A159" s="144" t="inlineStr">
        <is>
          <t>GG1024</t>
        </is>
      </c>
      <c r="B159" s="144" t="inlineStr">
        <is>
          <t>#6</t>
        </is>
      </c>
      <c r="C159" s="146" t="inlineStr">
        <is>
          <t>different values</t>
        </is>
      </c>
      <c r="D159" s="144" t="inlineStr">
        <is>
          <t>ND</t>
        </is>
      </c>
      <c r="E159" s="144" t="inlineStr">
        <is>
          <t>&lt; LOQ % w/w</t>
        </is>
      </c>
    </row>
    <row r="160">
      <c r="A160" s="144" t="inlineStr">
        <is>
          <t>GG1024</t>
        </is>
      </c>
      <c r="B160" s="144" t="inlineStr">
        <is>
          <t>#7</t>
        </is>
      </c>
      <c r="C160" s="146" t="inlineStr">
        <is>
          <t>different values</t>
        </is>
      </c>
      <c r="D160" s="144" t="inlineStr">
        <is>
          <t>Conforms | Одговара</t>
        </is>
      </c>
      <c r="E160" s="144" t="inlineStr">
        <is>
          <t>Confirms</t>
        </is>
      </c>
    </row>
    <row r="161">
      <c r="A161" s="144" t="inlineStr">
        <is>
          <t>GG1024</t>
        </is>
      </c>
      <c r="B161" s="144" t="inlineStr">
        <is>
          <t>#9</t>
        </is>
      </c>
      <c r="C161" s="146" t="inlineStr">
        <is>
          <t>different values</t>
        </is>
      </c>
      <c r="D161" s="144" t="inlineStr">
        <is>
          <t>1.1 × 10⁴ CFU/g; &lt; 10 CFU/g; &lt; 10² &gt; 10 CFU/g; Absent | Отсутна; Absent | Отсутна</t>
        </is>
      </c>
      <c r="E161" s="144" t="inlineStr">
        <is>
          <t>1,1 x 10⁴ CFU/g; &lt; 10 CFU/g; &lt; 10² и &gt; 10 CFU/g; Одговара; Одговара</t>
        </is>
      </c>
    </row>
    <row r="162">
      <c r="A162" s="144" t="inlineStr">
        <is>
          <t>GP072501/2</t>
        </is>
      </c>
      <c r="B162" s="144" t="inlineStr">
        <is>
          <t>#1</t>
        </is>
      </c>
      <c r="C162" s="146" t="inlineStr">
        <is>
          <t>different values</t>
        </is>
      </c>
      <c r="D162" s="144" t="inlineStr">
        <is>
          <t>Conforms | Одговара</t>
        </is>
      </c>
      <c r="E162" s="144" t="inlineStr">
        <is>
          <t>Conforms</t>
        </is>
      </c>
    </row>
    <row r="163">
      <c r="A163" s="144" t="inlineStr">
        <is>
          <t>GP072501/2</t>
        </is>
      </c>
      <c r="B163" s="144" t="inlineStr">
        <is>
          <t>#2</t>
        </is>
      </c>
      <c r="C163" s="146" t="inlineStr">
        <is>
          <t>different values</t>
        </is>
      </c>
      <c r="D163" s="144" t="inlineStr">
        <is>
          <t>Conforms | Одговара</t>
        </is>
      </c>
      <c r="E163" s="144" t="inlineStr">
        <is>
          <t>Conforms</t>
        </is>
      </c>
    </row>
    <row r="164">
      <c r="A164" s="144" t="inlineStr">
        <is>
          <t>GP072501/2</t>
        </is>
      </c>
      <c r="B164" s="144" t="inlineStr">
        <is>
          <t>#3</t>
        </is>
      </c>
      <c r="C164" s="146" t="inlineStr">
        <is>
          <t>different values</t>
        </is>
      </c>
      <c r="D164" s="144" t="inlineStr">
        <is>
          <t>Conforms | Одговара</t>
        </is>
      </c>
      <c r="E164" s="144" t="inlineStr">
        <is>
          <t>Conforms (ImB spec.)</t>
        </is>
      </c>
    </row>
    <row r="165">
      <c r="A165" s="144" t="inlineStr">
        <is>
          <t>GP072501/2</t>
        </is>
      </c>
      <c r="B165" s="144" t="inlineStr">
        <is>
          <t>#7</t>
        </is>
      </c>
      <c r="C165" s="146" t="inlineStr">
        <is>
          <t>different values</t>
        </is>
      </c>
      <c r="D165" s="144" t="inlineStr">
        <is>
          <t>Conforms | Одговара</t>
        </is>
      </c>
      <c r="E165" s="144" t="inlineStr">
        <is>
          <t>Conforms</t>
        </is>
      </c>
    </row>
    <row r="166">
      <c r="A166" s="144" t="inlineStr">
        <is>
          <t>GP072501/2</t>
        </is>
      </c>
      <c r="B166" s="144" t="inlineStr">
        <is>
          <t>#9</t>
        </is>
      </c>
      <c r="C166" s="146" t="inlineStr">
        <is>
          <t>different values</t>
        </is>
      </c>
      <c r="D166" s="144" t="inlineStr">
        <is>
          <t>2 × 10²; 3 × 10²; &lt; 10; Absent | Отсутна; Absent | Отсутна</t>
        </is>
      </c>
      <c r="E166" s="144" t="inlineStr">
        <is>
          <t>2 x 10² CFU/g CFU/g; 3 x 10² CFU/g CFU/g; &lt; 10 CFU/g CFU/g; Одговара /g; Одговара /25 g</t>
        </is>
      </c>
    </row>
    <row r="167">
      <c r="A167" s="144" t="inlineStr">
        <is>
          <t>GP072501/2</t>
        </is>
      </c>
      <c r="B167" s="144" t="inlineStr">
        <is>
          <t>#12</t>
        </is>
      </c>
      <c r="C167" s="146" t="inlineStr">
        <is>
          <t>different values</t>
        </is>
      </c>
      <c r="D167" s="144" t="inlineStr">
        <is>
          <t>ND</t>
        </is>
      </c>
      <c r="E167" s="144" t="inlineStr">
        <is>
          <t>≤ LOQ (all 29 compounds)</t>
        </is>
      </c>
    </row>
    <row r="168">
      <c r="A168" s="144" t="inlineStr">
        <is>
          <t>GP0824_03</t>
        </is>
      </c>
      <c r="B168" s="144" t="inlineStr">
        <is>
          <t>#1</t>
        </is>
      </c>
      <c r="C168" s="146" t="inlineStr">
        <is>
          <t>different values</t>
        </is>
      </c>
      <c r="D168" s="144" t="inlineStr">
        <is>
          <t>Conforms | Одговара</t>
        </is>
      </c>
      <c r="E168" s="144" t="inlineStr">
        <is>
          <t>Conforms</t>
        </is>
      </c>
    </row>
    <row r="169">
      <c r="A169" s="144" t="inlineStr">
        <is>
          <t>GP0824_03</t>
        </is>
      </c>
      <c r="B169" s="144" t="inlineStr">
        <is>
          <t>#2</t>
        </is>
      </c>
      <c r="C169" s="146" t="inlineStr">
        <is>
          <t>different values</t>
        </is>
      </c>
      <c r="D169" s="144" t="inlineStr">
        <is>
          <t>Conforms | Одговара</t>
        </is>
      </c>
      <c r="E169" s="144" t="inlineStr">
        <is>
          <t>Conforms</t>
        </is>
      </c>
    </row>
    <row r="170">
      <c r="A170" s="144" t="inlineStr">
        <is>
          <t>GP0824_03</t>
        </is>
      </c>
      <c r="B170" s="144" t="inlineStr">
        <is>
          <t>#3</t>
        </is>
      </c>
      <c r="C170" s="146" t="inlineStr">
        <is>
          <t>different values</t>
        </is>
      </c>
      <c r="D170" s="144" t="inlineStr">
        <is>
          <t>Conforms | Одговара</t>
        </is>
      </c>
      <c r="E170" s="144" t="inlineStr">
        <is>
          <t>Conforms (ImB spec.)</t>
        </is>
      </c>
    </row>
    <row r="171">
      <c r="A171" s="144" t="inlineStr">
        <is>
          <t>GP0824_03</t>
        </is>
      </c>
      <c r="B171" s="144" t="inlineStr">
        <is>
          <t>#6</t>
        </is>
      </c>
      <c r="C171" s="146" t="inlineStr">
        <is>
          <t>different values</t>
        </is>
      </c>
      <c r="D171" s="144" t="inlineStr">
        <is>
          <t>&lt; LOQ ᴰ</t>
        </is>
      </c>
      <c r="E171" s="144" t="inlineStr">
        <is>
          <t>BLQ ᴰ</t>
        </is>
      </c>
    </row>
    <row r="172">
      <c r="A172" s="144" t="inlineStr">
        <is>
          <t>GP0824_03</t>
        </is>
      </c>
      <c r="B172" s="144" t="inlineStr">
        <is>
          <t>#7</t>
        </is>
      </c>
      <c r="C172" s="146" t="inlineStr">
        <is>
          <t>different values</t>
        </is>
      </c>
      <c r="D172" s="144" t="inlineStr">
        <is>
          <t>Conforms | Одговара</t>
        </is>
      </c>
      <c r="E172" s="144" t="inlineStr">
        <is>
          <t>Conforms</t>
        </is>
      </c>
    </row>
    <row r="173">
      <c r="A173" s="144" t="inlineStr">
        <is>
          <t>GP0824_03</t>
        </is>
      </c>
      <c r="B173" s="144" t="inlineStr">
        <is>
          <t>#9</t>
        </is>
      </c>
      <c r="C173" s="146" t="inlineStr">
        <is>
          <t>different values</t>
        </is>
      </c>
      <c r="D173" s="144" t="inlineStr">
        <is>
          <t>1.1 × 10⁴; 1.2 × 10⁴; &lt; 10⁴ and &gt; 10³; Absent | Отсутна; Absent | Отсутна</t>
        </is>
      </c>
      <c r="E173" s="144" t="inlineStr">
        <is>
          <t>1.1 x 10⁴; 1.2 x 10⁴; &lt;10⁴ и &gt;10³; Одговара; Одговара</t>
        </is>
      </c>
    </row>
    <row r="174">
      <c r="A174" s="144" t="inlineStr">
        <is>
          <t>GP0824_03</t>
        </is>
      </c>
      <c r="B174" s="144" t="inlineStr">
        <is>
          <t>#12</t>
        </is>
      </c>
      <c r="C174" s="146" t="inlineStr">
        <is>
          <t>different values</t>
        </is>
      </c>
      <c r="D174" s="144" t="inlineStr">
        <is>
          <t>ND</t>
        </is>
      </c>
      <c r="E174" s="144" t="inlineStr">
        <is>
          <t>≤ LOQ (all 29 compounds)</t>
        </is>
      </c>
    </row>
    <row r="175">
      <c r="A175" s="144" t="inlineStr">
        <is>
          <t>GP082501/1</t>
        </is>
      </c>
      <c r="B175" s="144" t="inlineStr">
        <is>
          <t>#1</t>
        </is>
      </c>
      <c r="C175" s="146" t="inlineStr">
        <is>
          <t>different values</t>
        </is>
      </c>
      <c r="D175" s="144" t="inlineStr">
        <is>
          <t>Conforms | Одговара</t>
        </is>
      </c>
      <c r="E175" s="144" t="inlineStr">
        <is>
          <t>Conforms</t>
        </is>
      </c>
    </row>
    <row r="176">
      <c r="A176" s="144" t="inlineStr">
        <is>
          <t>GP082501/1</t>
        </is>
      </c>
      <c r="B176" s="144" t="inlineStr">
        <is>
          <t>#2</t>
        </is>
      </c>
      <c r="C176" s="146" t="inlineStr">
        <is>
          <t>different values</t>
        </is>
      </c>
      <c r="D176" s="144" t="inlineStr">
        <is>
          <t>Conforms | Одговара</t>
        </is>
      </c>
      <c r="E176" s="144" t="inlineStr">
        <is>
          <t>Conforms</t>
        </is>
      </c>
    </row>
    <row r="177">
      <c r="A177" s="144" t="inlineStr">
        <is>
          <t>GP082501/1</t>
        </is>
      </c>
      <c r="B177" s="144" t="inlineStr">
        <is>
          <t>#3</t>
        </is>
      </c>
      <c r="C177" s="146" t="inlineStr">
        <is>
          <t>different values</t>
        </is>
      </c>
      <c r="D177" s="144" t="inlineStr">
        <is>
          <t>Conforms | Одговара</t>
        </is>
      </c>
      <c r="E177" s="144" t="inlineStr">
        <is>
          <t>Conforms (ImB spec.)</t>
        </is>
      </c>
    </row>
    <row r="178">
      <c r="A178" s="144" t="inlineStr">
        <is>
          <t>GP082501/1</t>
        </is>
      </c>
      <c r="B178" s="144" t="inlineStr">
        <is>
          <t>#7</t>
        </is>
      </c>
      <c r="C178" s="146" t="inlineStr">
        <is>
          <t>different values</t>
        </is>
      </c>
      <c r="D178" s="144" t="inlineStr">
        <is>
          <t>Conforms | Одговара</t>
        </is>
      </c>
      <c r="E178" s="144" t="inlineStr">
        <is>
          <t>Conforms</t>
        </is>
      </c>
    </row>
    <row r="179">
      <c r="A179" s="144" t="inlineStr">
        <is>
          <t>GP082501/1</t>
        </is>
      </c>
      <c r="B179" s="144" t="inlineStr">
        <is>
          <t>#9</t>
        </is>
      </c>
      <c r="C179" s="146" t="inlineStr">
        <is>
          <t>different values</t>
        </is>
      </c>
      <c r="D179" s="144" t="inlineStr">
        <is>
          <t>4.3 × 10²; 1 × 10³; &lt; 10³ and &gt; 10²; Absent | Отсутна; Absent | Отсутна</t>
        </is>
      </c>
      <c r="E179" s="144" t="inlineStr">
        <is>
          <t>4,3 x 10² CFU/g CFU/g; 1 x 10³ CFU/g CFU/g; &lt; 10³ и &gt; 10² CFU/g CFU/g; Одговара /g; Одговара /25 g</t>
        </is>
      </c>
    </row>
    <row r="180">
      <c r="A180" s="144" t="inlineStr">
        <is>
          <t>GP082501/1</t>
        </is>
      </c>
      <c r="B180" s="144" t="inlineStr">
        <is>
          <t>#12</t>
        </is>
      </c>
      <c r="C180" s="146" t="inlineStr">
        <is>
          <t>different values</t>
        </is>
      </c>
      <c r="D180" s="144" t="inlineStr">
        <is>
          <t>ND</t>
        </is>
      </c>
      <c r="E180" s="144" t="inlineStr">
        <is>
          <t>≤ LOQ (all 28 compounds)</t>
        </is>
      </c>
    </row>
    <row r="181">
      <c r="A181" s="144" t="inlineStr">
        <is>
          <t>GP092501</t>
        </is>
      </c>
      <c r="B181" s="144" t="inlineStr">
        <is>
          <t>#1</t>
        </is>
      </c>
      <c r="C181" s="146" t="inlineStr">
        <is>
          <t>different values</t>
        </is>
      </c>
      <c r="D181" s="144" t="inlineStr">
        <is>
          <t>Conforms | Одговара</t>
        </is>
      </c>
      <c r="E181" s="144" t="inlineStr">
        <is>
          <t>Conforms</t>
        </is>
      </c>
    </row>
    <row r="182">
      <c r="A182" s="144" t="inlineStr">
        <is>
          <t>GP092501</t>
        </is>
      </c>
      <c r="B182" s="144" t="inlineStr">
        <is>
          <t>#2</t>
        </is>
      </c>
      <c r="C182" s="146" t="inlineStr">
        <is>
          <t>different values</t>
        </is>
      </c>
      <c r="D182" s="144" t="inlineStr">
        <is>
          <t>Conforms | Одговара</t>
        </is>
      </c>
      <c r="E182" s="144" t="inlineStr">
        <is>
          <t>Conforms</t>
        </is>
      </c>
    </row>
    <row r="183">
      <c r="A183" s="144" t="inlineStr">
        <is>
          <t>GP092501</t>
        </is>
      </c>
      <c r="B183" s="144" t="inlineStr">
        <is>
          <t>#3</t>
        </is>
      </c>
      <c r="C183" s="146" t="inlineStr">
        <is>
          <t>different values</t>
        </is>
      </c>
      <c r="D183" s="144" t="inlineStr">
        <is>
          <t>Conforms | Одговара</t>
        </is>
      </c>
      <c r="E183" s="144" t="inlineStr">
        <is>
          <t>Conforms (ImB spec.)</t>
        </is>
      </c>
    </row>
    <row r="184">
      <c r="A184" s="144" t="inlineStr">
        <is>
          <t>GP092501</t>
        </is>
      </c>
      <c r="B184" s="144" t="inlineStr">
        <is>
          <t>#7</t>
        </is>
      </c>
      <c r="C184" s="146" t="inlineStr">
        <is>
          <t>different values</t>
        </is>
      </c>
      <c r="D184" s="144" t="inlineStr">
        <is>
          <t>Conforms | Одговара</t>
        </is>
      </c>
      <c r="E184" s="144" t="inlineStr">
        <is>
          <t>Conforms</t>
        </is>
      </c>
    </row>
    <row r="185">
      <c r="A185" s="144" t="inlineStr">
        <is>
          <t>GP092501</t>
        </is>
      </c>
      <c r="B185" s="144" t="inlineStr">
        <is>
          <t>#9</t>
        </is>
      </c>
      <c r="C185" s="146" t="inlineStr">
        <is>
          <t>different values</t>
        </is>
      </c>
      <c r="D185" s="144" t="inlineStr">
        <is>
          <t>1 × 10²; &lt; 10; &lt; 10² and &gt; 10; Absent | Отсутна; Absent | Отсутна</t>
        </is>
      </c>
      <c r="E185" s="144" t="inlineStr">
        <is>
          <t>1 x 10² CFU/g CFU/g; &lt; 10 CFU/g CFU/g; &lt; 10² и &gt; 10 CFU/g CFU/g; Одговара /g; Одговара /25 g</t>
        </is>
      </c>
    </row>
    <row r="186">
      <c r="A186" s="144" t="inlineStr">
        <is>
          <t>GP092501</t>
        </is>
      </c>
      <c r="B186" s="144" t="inlineStr">
        <is>
          <t>#12</t>
        </is>
      </c>
      <c r="C186" s="146" t="inlineStr">
        <is>
          <t>different values</t>
        </is>
      </c>
      <c r="D186" s="144" t="inlineStr">
        <is>
          <t>ND</t>
        </is>
      </c>
      <c r="E186" s="144" t="inlineStr">
        <is>
          <t>≤ LOQ (all 29 compounds)</t>
        </is>
      </c>
    </row>
    <row r="187">
      <c r="A187" s="144" t="inlineStr">
        <is>
          <t>HPA052501</t>
        </is>
      </c>
      <c r="B187" s="144" t="inlineStr">
        <is>
          <t>#1</t>
        </is>
      </c>
      <c r="C187" s="146" t="inlineStr">
        <is>
          <t>different values</t>
        </is>
      </c>
      <c r="D187" s="144" t="inlineStr">
        <is>
          <t>Conforms | Одговара</t>
        </is>
      </c>
      <c r="E187" s="144" t="inlineStr">
        <is>
          <t>Conforms</t>
        </is>
      </c>
    </row>
    <row r="188">
      <c r="A188" s="144" t="inlineStr">
        <is>
          <t>HPA052501</t>
        </is>
      </c>
      <c r="B188" s="144" t="inlineStr">
        <is>
          <t>#2</t>
        </is>
      </c>
      <c r="C188" s="146" t="inlineStr">
        <is>
          <t>different values</t>
        </is>
      </c>
      <c r="D188" s="144" t="inlineStr">
        <is>
          <t>Conforms | Одговара</t>
        </is>
      </c>
      <c r="E188" s="144" t="inlineStr">
        <is>
          <t>Conforms</t>
        </is>
      </c>
    </row>
    <row r="189">
      <c r="A189" s="144" t="inlineStr">
        <is>
          <t>HPA052501</t>
        </is>
      </c>
      <c r="B189" s="144" t="inlineStr">
        <is>
          <t>#3</t>
        </is>
      </c>
      <c r="C189" s="146" t="inlineStr">
        <is>
          <t>different values</t>
        </is>
      </c>
      <c r="D189" s="144" t="inlineStr">
        <is>
          <t>Conforms | Одговара</t>
        </is>
      </c>
      <c r="E189" s="144" t="inlineStr">
        <is>
          <t>Conforms (ImB spec.)</t>
        </is>
      </c>
    </row>
    <row r="190">
      <c r="A190" s="144" t="inlineStr">
        <is>
          <t>HPA052501</t>
        </is>
      </c>
      <c r="B190" s="144" t="inlineStr">
        <is>
          <t>#7</t>
        </is>
      </c>
      <c r="C190" s="146" t="inlineStr">
        <is>
          <t>different values</t>
        </is>
      </c>
      <c r="D190" s="144" t="inlineStr">
        <is>
          <t>Conforms | Одговара</t>
        </is>
      </c>
      <c r="E190" s="144" t="inlineStr">
        <is>
          <t>Conforms</t>
        </is>
      </c>
    </row>
    <row r="191">
      <c r="A191" s="144" t="inlineStr">
        <is>
          <t>HPA052501</t>
        </is>
      </c>
      <c r="B191" s="144" t="inlineStr">
        <is>
          <t>#9</t>
        </is>
      </c>
      <c r="C191" s="146" t="inlineStr">
        <is>
          <t>different values</t>
        </is>
      </c>
      <c r="D191" s="144" t="inlineStr">
        <is>
          <t>2.7 × 10⁴; 2.6 × 10⁴; &lt; 10; Absent | Отсутна; Absent | Отсутна</t>
        </is>
      </c>
      <c r="E191" s="144" t="inlineStr">
        <is>
          <t>2,7 x 10⁴ CFU/g CFU/g; 2,6 x 10⁴ CFU/g CFU/g; &lt; 10 CFU/g CFU/g; Одговара /g; Одговара /25 g</t>
        </is>
      </c>
    </row>
    <row r="192">
      <c r="A192" s="144" t="inlineStr">
        <is>
          <t>HPA052501</t>
        </is>
      </c>
      <c r="B192" s="144" t="inlineStr">
        <is>
          <t>#12</t>
        </is>
      </c>
      <c r="C192" s="146" t="inlineStr">
        <is>
          <t>different values</t>
        </is>
      </c>
      <c r="D192" s="144" t="inlineStr">
        <is>
          <t>ND</t>
        </is>
      </c>
      <c r="E192" s="144" t="inlineStr">
        <is>
          <t>≤ LOQ (all 24 compounds)</t>
        </is>
      </c>
    </row>
    <row r="193">
      <c r="A193" s="144" t="inlineStr">
        <is>
          <t>JD012603/02</t>
        </is>
      </c>
      <c r="B193" s="144" t="inlineStr">
        <is>
          <t>#4</t>
        </is>
      </c>
      <c r="C193" s="146" t="inlineStr">
        <is>
          <t>different values</t>
        </is>
      </c>
      <c r="D193" s="144" t="inlineStr">
        <is>
          <t>20.54</t>
        </is>
      </c>
      <c r="E193" s="144" t="inlineStr">
        <is>
          <t>14.43 % w/w</t>
        </is>
      </c>
    </row>
    <row r="194">
      <c r="A194" s="144" t="inlineStr">
        <is>
          <t>JD012603/02</t>
        </is>
      </c>
      <c r="B194" s="144" t="inlineStr">
        <is>
          <t>#5</t>
        </is>
      </c>
      <c r="C194" s="146" t="inlineStr">
        <is>
          <t>different values</t>
        </is>
      </c>
      <c r="D194" s="144" t="inlineStr">
        <is>
          <t>0.05</t>
        </is>
      </c>
      <c r="E194" s="144" t="inlineStr">
        <is>
          <t>&lt; LOQ % w/w</t>
        </is>
      </c>
    </row>
    <row r="195">
      <c r="A195" s="144" t="inlineStr">
        <is>
          <t>JD012603/02</t>
        </is>
      </c>
      <c r="B195" s="144" t="inlineStr">
        <is>
          <t>#6</t>
        </is>
      </c>
      <c r="C195" s="146" t="inlineStr">
        <is>
          <t>different values</t>
        </is>
      </c>
      <c r="D195" s="144" t="inlineStr">
        <is>
          <t>0.05</t>
        </is>
      </c>
      <c r="E195" s="144" t="inlineStr">
        <is>
          <t>&lt; LOQ % w/w</t>
        </is>
      </c>
    </row>
    <row r="196">
      <c r="A196" s="144" t="inlineStr">
        <is>
          <t>JD012603/02V</t>
        </is>
      </c>
      <c r="B196" s="144" t="inlineStr">
        <is>
          <t>#4</t>
        </is>
      </c>
      <c r="C196" s="146" t="inlineStr">
        <is>
          <t>different values</t>
        </is>
      </c>
      <c r="D196" s="144" t="inlineStr">
        <is>
          <t>15.16</t>
        </is>
      </c>
      <c r="E196" s="144" t="inlineStr">
        <is>
          <t>17.09 % w/w</t>
        </is>
      </c>
    </row>
    <row r="197">
      <c r="A197" s="144" t="inlineStr">
        <is>
          <t>JD012603/02V</t>
        </is>
      </c>
      <c r="B197" s="144" t="inlineStr">
        <is>
          <t>#6</t>
        </is>
      </c>
      <c r="C197" s="146" t="inlineStr">
        <is>
          <t>different values</t>
        </is>
      </c>
      <c r="D197" s="144" t="inlineStr">
        <is>
          <t>0.04</t>
        </is>
      </c>
      <c r="E197" s="144" t="inlineStr">
        <is>
          <t>&lt; LOQ % w/w</t>
        </is>
      </c>
    </row>
    <row r="198">
      <c r="A198" s="144" t="inlineStr">
        <is>
          <t>KC102501</t>
        </is>
      </c>
      <c r="B198" s="144" t="inlineStr">
        <is>
          <t>#1</t>
        </is>
      </c>
      <c r="C198" s="146" t="inlineStr">
        <is>
          <t>different values</t>
        </is>
      </c>
      <c r="D198" s="144" t="inlineStr">
        <is>
          <t>Conforms | Одговара</t>
        </is>
      </c>
      <c r="E198" s="144" t="inlineStr">
        <is>
          <t>Conforms</t>
        </is>
      </c>
    </row>
    <row r="199">
      <c r="A199" s="144" t="inlineStr">
        <is>
          <t>KC102501</t>
        </is>
      </c>
      <c r="B199" s="144" t="inlineStr">
        <is>
          <t>#2</t>
        </is>
      </c>
      <c r="C199" s="146" t="inlineStr">
        <is>
          <t>different values</t>
        </is>
      </c>
      <c r="D199" s="144" t="inlineStr">
        <is>
          <t>Conforms | Одговара</t>
        </is>
      </c>
      <c r="E199" s="144" t="inlineStr">
        <is>
          <t>Conforms</t>
        </is>
      </c>
    </row>
    <row r="200">
      <c r="A200" s="144" t="inlineStr">
        <is>
          <t>KC102501</t>
        </is>
      </c>
      <c r="B200" s="144" t="inlineStr">
        <is>
          <t>#7</t>
        </is>
      </c>
      <c r="C200" s="146" t="inlineStr">
        <is>
          <t>different values</t>
        </is>
      </c>
      <c r="D200" s="144" t="inlineStr">
        <is>
          <t>Conforms | Одговара</t>
        </is>
      </c>
      <c r="E200" s="144" t="inlineStr">
        <is>
          <t>Conforms</t>
        </is>
      </c>
    </row>
    <row r="201">
      <c r="A201" s="144" t="inlineStr">
        <is>
          <t>MB0824_05</t>
        </is>
      </c>
      <c r="B201" s="144" t="inlineStr">
        <is>
          <t>#1</t>
        </is>
      </c>
      <c r="C201" s="146" t="inlineStr">
        <is>
          <t>different values</t>
        </is>
      </c>
      <c r="D201" s="144" t="inlineStr">
        <is>
          <t>Conforms | Одговара</t>
        </is>
      </c>
      <c r="E201" s="144" t="inlineStr">
        <is>
          <t>Conforms</t>
        </is>
      </c>
    </row>
    <row r="202">
      <c r="A202" s="144" t="inlineStr">
        <is>
          <t>MB0824_05</t>
        </is>
      </c>
      <c r="B202" s="144" t="inlineStr">
        <is>
          <t>#2</t>
        </is>
      </c>
      <c r="C202" s="146" t="inlineStr">
        <is>
          <t>different values</t>
        </is>
      </c>
      <c r="D202" s="144" t="inlineStr">
        <is>
          <t>Conforms | Одговара</t>
        </is>
      </c>
      <c r="E202" s="144" t="inlineStr">
        <is>
          <t>Conforms</t>
        </is>
      </c>
    </row>
    <row r="203">
      <c r="A203" s="144" t="inlineStr">
        <is>
          <t>MB0824_05</t>
        </is>
      </c>
      <c r="B203" s="144" t="inlineStr">
        <is>
          <t>#3</t>
        </is>
      </c>
      <c r="C203" s="146" t="inlineStr">
        <is>
          <t>different values</t>
        </is>
      </c>
      <c r="D203" s="144" t="inlineStr">
        <is>
          <t>Conforms | Одговара</t>
        </is>
      </c>
      <c r="E203" s="144" t="inlineStr">
        <is>
          <t>Conforms (ImB spec.)</t>
        </is>
      </c>
    </row>
    <row r="204">
      <c r="A204" s="144" t="inlineStr">
        <is>
          <t>MB0824_05</t>
        </is>
      </c>
      <c r="B204" s="144" t="inlineStr">
        <is>
          <t>#7</t>
        </is>
      </c>
      <c r="C204" s="146" t="inlineStr">
        <is>
          <t>different values</t>
        </is>
      </c>
      <c r="D204" s="144" t="inlineStr">
        <is>
          <t>Conforms | Одговара</t>
        </is>
      </c>
      <c r="E204" s="144" t="inlineStr">
        <is>
          <t>Conforms</t>
        </is>
      </c>
    </row>
    <row r="205">
      <c r="A205" s="144" t="inlineStr">
        <is>
          <t>MB0824_05</t>
        </is>
      </c>
      <c r="B205" s="144" t="inlineStr">
        <is>
          <t>#9</t>
        </is>
      </c>
      <c r="C205" s="146" t="inlineStr">
        <is>
          <t>different values</t>
        </is>
      </c>
      <c r="D205" s="144" t="inlineStr">
        <is>
          <t>3.5 × 10³; 1 × 10³; &lt; 10; Absent | Отсутна; Absent | Отсутна</t>
        </is>
      </c>
      <c r="E205" s="144" t="inlineStr">
        <is>
          <t>3,5 x 10³ CFU/g CFU/g; 1 x 10³ CFU/g CFU/g; &lt; 10 CFU/g CFU/g; Одговара /g; Одговара /25 g</t>
        </is>
      </c>
    </row>
    <row r="206">
      <c r="A206" s="144" t="inlineStr">
        <is>
          <t>OMP1024_01</t>
        </is>
      </c>
      <c r="B206" s="144" t="inlineStr">
        <is>
          <t>#9</t>
        </is>
      </c>
      <c r="C206" s="146" t="inlineStr">
        <is>
          <t>different values</t>
        </is>
      </c>
      <c r="D206" s="144" t="inlineStr">
        <is>
          <t>&lt; 10; &lt; 10; &lt; 10² and &gt; 10; Absent | Отсутна; Absent | Отсутна</t>
        </is>
      </c>
      <c r="E206" s="144" t="inlineStr">
        <is>
          <t>10 CFU/g; &lt; 10 CFU/g; &lt; 10² и &gt; 10 CFU/g; Одговара; Одговара</t>
        </is>
      </c>
    </row>
    <row r="207">
      <c r="A207" s="144" t="inlineStr">
        <is>
          <t>OPM092501</t>
        </is>
      </c>
      <c r="B207" s="144" t="inlineStr">
        <is>
          <t>#1</t>
        </is>
      </c>
      <c r="C207" s="146" t="inlineStr">
        <is>
          <t>different values</t>
        </is>
      </c>
      <c r="D207" s="144" t="inlineStr">
        <is>
          <t>Conforms | Одговара</t>
        </is>
      </c>
      <c r="E207" s="144" t="inlineStr">
        <is>
          <t>Conforms</t>
        </is>
      </c>
    </row>
    <row r="208">
      <c r="A208" s="144" t="inlineStr">
        <is>
          <t>OPM092501</t>
        </is>
      </c>
      <c r="B208" s="144" t="inlineStr">
        <is>
          <t>#2</t>
        </is>
      </c>
      <c r="C208" s="146" t="inlineStr">
        <is>
          <t>different values</t>
        </is>
      </c>
      <c r="D208" s="144" t="inlineStr">
        <is>
          <t>Conforms | Одговара</t>
        </is>
      </c>
      <c r="E208" s="144" t="inlineStr">
        <is>
          <t>Conforms</t>
        </is>
      </c>
    </row>
    <row r="209">
      <c r="A209" s="144" t="inlineStr">
        <is>
          <t>OPM092501</t>
        </is>
      </c>
      <c r="B209" s="144" t="inlineStr">
        <is>
          <t>#3</t>
        </is>
      </c>
      <c r="C209" s="146" t="inlineStr">
        <is>
          <t>different values</t>
        </is>
      </c>
      <c r="D209" s="144" t="inlineStr">
        <is>
          <t>Conforms | Одговара</t>
        </is>
      </c>
      <c r="E209" s="144" t="inlineStr">
        <is>
          <t>Conforms (ImB spec.)</t>
        </is>
      </c>
    </row>
    <row r="210">
      <c r="A210" s="144" t="inlineStr">
        <is>
          <t>OPM092501</t>
        </is>
      </c>
      <c r="B210" s="144" t="inlineStr">
        <is>
          <t>#7</t>
        </is>
      </c>
      <c r="C210" s="146" t="inlineStr">
        <is>
          <t>different values</t>
        </is>
      </c>
      <c r="D210" s="144" t="inlineStr">
        <is>
          <t>Conforms | Одговара</t>
        </is>
      </c>
      <c r="E210" s="144" t="inlineStr">
        <is>
          <t>Conforms</t>
        </is>
      </c>
    </row>
    <row r="211">
      <c r="A211" s="144" t="inlineStr">
        <is>
          <t>OPM092501</t>
        </is>
      </c>
      <c r="B211" s="144" t="inlineStr">
        <is>
          <t>#9</t>
        </is>
      </c>
      <c r="C211" s="146" t="inlineStr">
        <is>
          <t>different values</t>
        </is>
      </c>
      <c r="D211" s="144" t="inlineStr">
        <is>
          <t>10; 10; &lt; 10² and &gt; 10; Absent | Отсутна; Absent | Отсутна</t>
        </is>
      </c>
      <c r="E211" s="144" t="inlineStr">
        <is>
          <t>10 CFU/g CFU/g; 10 CFU/g CFU/g; &lt; 10² и &gt; 10 CFU/g CFU/g; Одговара /g; Одговара /25 g</t>
        </is>
      </c>
    </row>
    <row r="212">
      <c r="A212" s="144" t="inlineStr">
        <is>
          <t>OPM092501</t>
        </is>
      </c>
      <c r="B212" s="144" t="inlineStr">
        <is>
          <t>#12</t>
        </is>
      </c>
      <c r="C212" s="146" t="inlineStr">
        <is>
          <t>different values</t>
        </is>
      </c>
      <c r="D212" s="144" t="inlineStr">
        <is>
          <t>ND</t>
        </is>
      </c>
      <c r="E212" s="144" t="inlineStr">
        <is>
          <t>≤ LOQ (all 29 compounds)</t>
        </is>
      </c>
    </row>
    <row r="213">
      <c r="A213" s="144" t="inlineStr">
        <is>
          <t>OPM1024_03</t>
        </is>
      </c>
      <c r="B213" s="144" t="inlineStr">
        <is>
          <t>#1</t>
        </is>
      </c>
      <c r="C213" s="146" t="inlineStr">
        <is>
          <t>different values</t>
        </is>
      </c>
      <c r="D213" s="144" t="inlineStr">
        <is>
          <t>Conforms | Одговара</t>
        </is>
      </c>
      <c r="E213" s="144" t="inlineStr">
        <is>
          <t>Conforms</t>
        </is>
      </c>
    </row>
    <row r="214">
      <c r="A214" s="144" t="inlineStr">
        <is>
          <t>OPM1024_03</t>
        </is>
      </c>
      <c r="B214" s="144" t="inlineStr">
        <is>
          <t>#2</t>
        </is>
      </c>
      <c r="C214" s="146" t="inlineStr">
        <is>
          <t>different values</t>
        </is>
      </c>
      <c r="D214" s="144" t="inlineStr">
        <is>
          <t>Conforms | Одговара</t>
        </is>
      </c>
      <c r="E214" s="144" t="inlineStr">
        <is>
          <t>Conforms</t>
        </is>
      </c>
    </row>
    <row r="215">
      <c r="A215" s="144" t="inlineStr">
        <is>
          <t>OPM1024_03</t>
        </is>
      </c>
      <c r="B215" s="144" t="inlineStr">
        <is>
          <t>#3</t>
        </is>
      </c>
      <c r="C215" s="146" t="inlineStr">
        <is>
          <t>different values</t>
        </is>
      </c>
      <c r="D215" s="144" t="inlineStr">
        <is>
          <t>Conforms | Одговара</t>
        </is>
      </c>
      <c r="E215" s="144" t="inlineStr">
        <is>
          <t>Conforms (ImB spec.)</t>
        </is>
      </c>
    </row>
    <row r="216">
      <c r="A216" s="144" t="inlineStr">
        <is>
          <t>OPM1024_03</t>
        </is>
      </c>
      <c r="B216" s="144" t="inlineStr">
        <is>
          <t>#7</t>
        </is>
      </c>
      <c r="C216" s="146" t="inlineStr">
        <is>
          <t>different values</t>
        </is>
      </c>
      <c r="D216" s="144" t="inlineStr">
        <is>
          <t>Conforms | Одговара</t>
        </is>
      </c>
      <c r="E216" s="144" t="inlineStr">
        <is>
          <t>Conforms</t>
        </is>
      </c>
    </row>
    <row r="217">
      <c r="A217" s="144" t="inlineStr">
        <is>
          <t>OPM1024_03</t>
        </is>
      </c>
      <c r="B217" s="144" t="inlineStr">
        <is>
          <t>#9</t>
        </is>
      </c>
      <c r="C217" s="146" t="inlineStr">
        <is>
          <t>different values</t>
        </is>
      </c>
      <c r="D217" s="144" t="inlineStr">
        <is>
          <t>2 × 10²; 3 × 10²; &lt; 10; Absent | Отсутна; Absent | Отсутна</t>
        </is>
      </c>
      <c r="E217" s="144" t="inlineStr">
        <is>
          <t>2 x 10² CFU/g CFU/g; 3 x 10² CFU/g CFU/g; &lt; 10 CFU/g CFU/g; Одговара /g; Одговара /25 g</t>
        </is>
      </c>
    </row>
    <row r="218">
      <c r="A218" s="144" t="inlineStr">
        <is>
          <t>OPM1024_03</t>
        </is>
      </c>
      <c r="B218" s="144" t="inlineStr">
        <is>
          <t>#12</t>
        </is>
      </c>
      <c r="C218" s="146" t="inlineStr">
        <is>
          <t>different values</t>
        </is>
      </c>
      <c r="D218" s="144" t="inlineStr">
        <is>
          <t>ND</t>
        </is>
      </c>
      <c r="E218" s="144" t="inlineStr">
        <is>
          <t>≤ LOQ (all 26 compounds)</t>
        </is>
      </c>
    </row>
    <row r="219">
      <c r="A219" s="144" t="inlineStr">
        <is>
          <t>PM112501</t>
        </is>
      </c>
      <c r="B219" s="144" t="inlineStr">
        <is>
          <t>#1</t>
        </is>
      </c>
      <c r="C219" s="146" t="inlineStr">
        <is>
          <t>different values</t>
        </is>
      </c>
      <c r="D219" s="144" t="inlineStr">
        <is>
          <t>Conforms | Одговара</t>
        </is>
      </c>
      <c r="E219" s="144" t="inlineStr">
        <is>
          <t>Conforms</t>
        </is>
      </c>
    </row>
    <row r="220">
      <c r="A220" s="144" t="inlineStr">
        <is>
          <t>PM112501</t>
        </is>
      </c>
      <c r="B220" s="144" t="inlineStr">
        <is>
          <t>#2</t>
        </is>
      </c>
      <c r="C220" s="146" t="inlineStr">
        <is>
          <t>different values</t>
        </is>
      </c>
      <c r="D220" s="144" t="inlineStr">
        <is>
          <t>Conforms | Одговара</t>
        </is>
      </c>
      <c r="E220" s="144" t="inlineStr">
        <is>
          <t>Conforms</t>
        </is>
      </c>
    </row>
    <row r="221">
      <c r="A221" s="144" t="inlineStr">
        <is>
          <t>PM112501</t>
        </is>
      </c>
      <c r="B221" s="144" t="inlineStr">
        <is>
          <t>#7</t>
        </is>
      </c>
      <c r="C221" s="146" t="inlineStr">
        <is>
          <t>different values</t>
        </is>
      </c>
      <c r="D221" s="144" t="inlineStr">
        <is>
          <t>Conforms | Одговара</t>
        </is>
      </c>
      <c r="E221" s="144" t="inlineStr">
        <is>
          <t>Conforms</t>
        </is>
      </c>
    </row>
    <row r="222">
      <c r="A222" s="144" t="inlineStr">
        <is>
          <t>SCR112501</t>
        </is>
      </c>
      <c r="B222" s="144" t="inlineStr">
        <is>
          <t>#1</t>
        </is>
      </c>
      <c r="C222" s="146" t="inlineStr">
        <is>
          <t>different values</t>
        </is>
      </c>
      <c r="D222" s="144" t="inlineStr">
        <is>
          <t>Conforms | Одговара</t>
        </is>
      </c>
      <c r="E222" s="144" t="inlineStr">
        <is>
          <t>Conforms</t>
        </is>
      </c>
    </row>
    <row r="223">
      <c r="A223" s="144" t="inlineStr">
        <is>
          <t>SCR112501</t>
        </is>
      </c>
      <c r="B223" s="144" t="inlineStr">
        <is>
          <t>#2</t>
        </is>
      </c>
      <c r="C223" s="146" t="inlineStr">
        <is>
          <t>different values</t>
        </is>
      </c>
      <c r="D223" s="144" t="inlineStr">
        <is>
          <t>Conforms | Одговара</t>
        </is>
      </c>
      <c r="E223" s="144" t="inlineStr">
        <is>
          <t>Conforms</t>
        </is>
      </c>
    </row>
    <row r="224">
      <c r="A224" s="144" t="inlineStr">
        <is>
          <t>SCR112501</t>
        </is>
      </c>
      <c r="B224" s="144" t="inlineStr">
        <is>
          <t>#6</t>
        </is>
      </c>
      <c r="C224" s="146" t="inlineStr">
        <is>
          <t>different values</t>
        </is>
      </c>
      <c r="D224" s="144" t="inlineStr">
        <is>
          <t>&lt; LOQ %</t>
        </is>
      </c>
      <c r="E224" s="144" t="inlineStr">
        <is>
          <t>BLQ %</t>
        </is>
      </c>
    </row>
    <row r="225">
      <c r="A225" s="144" t="inlineStr">
        <is>
          <t>SCR112501</t>
        </is>
      </c>
      <c r="B225" s="144" t="inlineStr">
        <is>
          <t>#7</t>
        </is>
      </c>
      <c r="C225" s="146" t="inlineStr">
        <is>
          <t>different values</t>
        </is>
      </c>
      <c r="D225" s="144" t="inlineStr">
        <is>
          <t>Conforms | Одговара</t>
        </is>
      </c>
      <c r="E225" s="144" t="inlineStr">
        <is>
          <t>Conforms</t>
        </is>
      </c>
    </row>
    <row r="226">
      <c r="A226" s="144" t="inlineStr">
        <is>
          <t>SJ092501</t>
        </is>
      </c>
      <c r="B226" s="144" t="inlineStr">
        <is>
          <t>#6</t>
        </is>
      </c>
      <c r="C226" s="146" t="inlineStr">
        <is>
          <t>different values</t>
        </is>
      </c>
      <c r="D226" s="144" t="inlineStr">
        <is>
          <t>&lt; LOQ</t>
        </is>
      </c>
      <c r="E226" s="144" t="inlineStr">
        <is>
          <t>BLQ</t>
        </is>
      </c>
    </row>
    <row r="227">
      <c r="A227" s="144" t="inlineStr">
        <is>
          <t>SJ092501</t>
        </is>
      </c>
      <c r="B227" s="144" t="inlineStr">
        <is>
          <t>#9</t>
        </is>
      </c>
      <c r="C227" s="146" t="inlineStr">
        <is>
          <t>different values</t>
        </is>
      </c>
      <c r="D227" s="144" t="inlineStr">
        <is>
          <t>&lt; 10; &lt; 10; &lt; 10; Absent | Отсутна; Absent | Отсутна</t>
        </is>
      </c>
      <c r="E227" s="144" t="inlineStr">
        <is>
          <t>&lt; 10 CFU/g CFU/g; &lt; 10 CFU/g CFU/g; &lt; 10 CFU/g CFU/g; Одговара /g; Одговара /25 g</t>
        </is>
      </c>
    </row>
    <row r="228">
      <c r="A228" s="144" t="inlineStr">
        <is>
          <t>WC082501</t>
        </is>
      </c>
      <c r="B228" s="144" t="inlineStr">
        <is>
          <t>#1</t>
        </is>
      </c>
      <c r="C228" s="146" t="inlineStr">
        <is>
          <t>different values</t>
        </is>
      </c>
      <c r="D228" s="144" t="inlineStr">
        <is>
          <t>Conforms | Одговара</t>
        </is>
      </c>
      <c r="E228" s="144" t="inlineStr">
        <is>
          <t>Conforms</t>
        </is>
      </c>
    </row>
    <row r="229">
      <c r="A229" s="144" t="inlineStr">
        <is>
          <t>WC082501</t>
        </is>
      </c>
      <c r="B229" s="144" t="inlineStr">
        <is>
          <t>#2</t>
        </is>
      </c>
      <c r="C229" s="146" t="inlineStr">
        <is>
          <t>different values</t>
        </is>
      </c>
      <c r="D229" s="144" t="inlineStr">
        <is>
          <t>Conforms | Одговара</t>
        </is>
      </c>
      <c r="E229" s="144" t="inlineStr">
        <is>
          <t>Conforms</t>
        </is>
      </c>
    </row>
    <row r="230">
      <c r="A230" s="144" t="inlineStr">
        <is>
          <t>WC082501</t>
        </is>
      </c>
      <c r="B230" s="144" t="inlineStr">
        <is>
          <t>#3</t>
        </is>
      </c>
      <c r="C230" s="146" t="inlineStr">
        <is>
          <t>different values</t>
        </is>
      </c>
      <c r="D230" s="144" t="inlineStr">
        <is>
          <t>Conforms | Одговара</t>
        </is>
      </c>
      <c r="E230" s="144" t="inlineStr">
        <is>
          <t>Conforms (ImB spec.)</t>
        </is>
      </c>
    </row>
    <row r="231">
      <c r="A231" s="144" t="inlineStr">
        <is>
          <t>WC082501</t>
        </is>
      </c>
      <c r="B231" s="144" t="inlineStr">
        <is>
          <t>#7</t>
        </is>
      </c>
      <c r="C231" s="146" t="inlineStr">
        <is>
          <t>different values</t>
        </is>
      </c>
      <c r="D231" s="144" t="inlineStr">
        <is>
          <t>Conforms | Одговара</t>
        </is>
      </c>
      <c r="E231" s="144" t="inlineStr">
        <is>
          <t>Conforms</t>
        </is>
      </c>
    </row>
    <row r="232">
      <c r="A232" s="144" t="inlineStr">
        <is>
          <t>WC082501</t>
        </is>
      </c>
      <c r="B232" s="144" t="inlineStr">
        <is>
          <t>#9</t>
        </is>
      </c>
      <c r="C232" s="146" t="inlineStr">
        <is>
          <t>different values</t>
        </is>
      </c>
      <c r="D232" s="144" t="inlineStr">
        <is>
          <t>10; 30; &lt; 10; Absent | Отсутна; Absent | Отсутна</t>
        </is>
      </c>
      <c r="E232" s="144" t="inlineStr">
        <is>
          <t>10 CFU/g CFU/g; 30 CFU/g CFU/g; &lt; 10 CFU/g CFU/g; Одговара /g; Одговара /25 g</t>
        </is>
      </c>
    </row>
    <row r="233">
      <c r="A233" s="144" t="inlineStr">
        <is>
          <t>WC082501</t>
        </is>
      </c>
      <c r="B233" s="144" t="inlineStr">
        <is>
          <t>#12</t>
        </is>
      </c>
      <c r="C233" s="146" t="inlineStr">
        <is>
          <t>different values</t>
        </is>
      </c>
      <c r="D233" s="144" t="inlineStr">
        <is>
          <t>ND</t>
        </is>
      </c>
      <c r="E233" s="144" t="inlineStr">
        <is>
          <t>≤ LOQ (all 29 compounds)</t>
        </is>
      </c>
    </row>
    <row r="235">
      <c r="A235" s="142" t="inlineStr">
        <is>
          <t>THE IDENTITY DETERMINATIONS ARE NOT A TRANSCRIPTION PROBLEM</t>
        </is>
      </c>
      <c r="B235" s="142" t="inlineStr"/>
      <c r="C235" s="142" t="inlineStr"/>
      <c r="D235" s="142" t="inlineStr"/>
      <c r="E235" s="142" t="inlineStr"/>
    </row>
    <row r="237">
      <c r="A237" s="139"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237" s="148" t="n"/>
      <c r="C237" s="148" t="n"/>
      <c r="D237" s="148" t="n"/>
      <c r="E237" s="149" t="n"/>
    </row>
    <row r="238">
      <c r="A238" s="150" t="n"/>
      <c r="E238" s="151" t="n"/>
    </row>
    <row r="239">
      <c r="A239" s="150" t="n"/>
      <c r="E239" s="151" t="n"/>
    </row>
    <row r="240">
      <c r="A240" s="150" t="n"/>
      <c r="E240" s="151" t="n"/>
    </row>
    <row r="241">
      <c r="A241" s="150" t="n"/>
      <c r="E241" s="151" t="n"/>
    </row>
    <row r="242">
      <c r="A242" s="150" t="n"/>
      <c r="E242" s="151" t="n"/>
    </row>
    <row r="243">
      <c r="A243" s="152" t="n"/>
      <c r="B243" s="153" t="n"/>
      <c r="C243" s="153" t="n"/>
      <c r="D243" s="153" t="n"/>
      <c r="E243" s="154" t="n"/>
    </row>
    <row r="245">
      <c r="A245" s="142" t="inlineStr">
        <is>
          <t>CLOSURES THAT FOUND NO ROW</t>
        </is>
      </c>
      <c r="B245" s="142" t="inlineStr"/>
      <c r="C245" s="142" t="inlineStr"/>
      <c r="D245" s="142" t="inlineStr"/>
      <c r="E245" s="142" t="inlineStr"/>
    </row>
    <row r="247">
      <c r="A247" s="142" t="inlineStr">
        <is>
          <t>CU batch</t>
        </is>
      </c>
      <c r="B247" s="142" t="inlineStr">
        <is>
          <t>P batch</t>
        </is>
      </c>
      <c r="C247" s="142" t="inlineStr"/>
      <c r="D247" s="142" t="inlineStr">
        <is>
          <t>Parameters now covered</t>
        </is>
      </c>
      <c r="E247" s="142" t="inlineStr">
        <is>
          <t>From</t>
        </is>
      </c>
    </row>
    <row r="248">
      <c r="A248" s="144" t="inlineStr">
        <is>
          <t>CC012603</t>
        </is>
      </c>
      <c r="B248" s="144" t="inlineStr">
        <is>
          <t>P060372</t>
        </is>
      </c>
      <c r="D248" s="144" t="inlineStr">
        <is>
          <t>#9 Microbiological purity</t>
        </is>
      </c>
      <c r="E248" s="144" t="inlineStr">
        <is>
          <t>363/0693/26 (01.06.2026) [IJZ-MB]</t>
        </is>
      </c>
    </row>
    <row r="249">
      <c r="A249" s="144" t="inlineStr">
        <is>
          <t>JD032601</t>
        </is>
      </c>
      <c r="B249" s="144" t="inlineStr">
        <is>
          <t>— not assigned —</t>
        </is>
      </c>
      <c r="D249" s="144" t="inlineStr">
        <is>
          <t>#9 Microbiological purity; #10 Mycotoxins; #11 Heavy metals; #12 Pesticide residues</t>
        </is>
      </c>
      <c r="E249" s="144" t="inlineStr">
        <is>
          <t>4374/2026 (11.08.2026) [IJZ]; 477/0929/26 (04.08.2026) [IJZ-MB]</t>
        </is>
      </c>
    </row>
    <row r="250">
      <c r="A250" s="144" t="inlineStr">
        <is>
          <t>CF102501</t>
        </is>
      </c>
      <c r="B250" s="144" t="inlineStr">
        <is>
          <t>P060132</t>
        </is>
      </c>
      <c r="D250" s="144" t="inlineStr">
        <is>
          <t>#3 Identification C; #4 Total Δ⁹-THC; #5 Total CBD; #6 Total CBN; #8 Loss on drying; #9 Microbiological purity; #10 Mycotoxins; #11 Heavy metals; #12 Pesticide residues</t>
        </is>
      </c>
      <c r="E250" s="144" t="inlineStr">
        <is>
          <t>031-4-K/26 (10.02.2026) [FHM]; 031-4-LoD/26 (12.02.2026) [FHM]; 330/2026 (11.02.2026) [IJZ]; 73/0116/26 (09.02.2026) [IJZ-MB]</t>
        </is>
      </c>
    </row>
    <row r="251">
      <c r="A251" s="144" t="inlineStr">
        <is>
          <t>PUM102501</t>
        </is>
      </c>
      <c r="B251" s="144" t="inlineStr">
        <is>
          <t>P060112</t>
        </is>
      </c>
      <c r="D251" s="144" t="inlineStr">
        <is>
          <t>#3 Identification C; #4 Total Δ⁹-THC; #5 Total CBD; #6 Total CBN; #8 Loss on drying; #9 Microbiological purity; #10 Mycotoxins; #11 Heavy metals; #12 Pesticide residues</t>
        </is>
      </c>
      <c r="E251" s="144" t="inlineStr">
        <is>
          <t>031-2-K/26 (10.02.2026) [FHM]; 031-2-LoD/26 (11.02.2026) [FHM]; 327/2026 (11.02.2026) [IJZ]; 74/0117/26 (09.02.2026) [IJZ-MB]</t>
        </is>
      </c>
    </row>
    <row r="252">
      <c r="A252" s="144" t="inlineStr">
        <is>
          <t>ACC102501</t>
        </is>
      </c>
      <c r="B252" s="144" t="inlineStr">
        <is>
          <t>P060122</t>
        </is>
      </c>
      <c r="D252" s="144" t="inlineStr">
        <is>
          <t>#3 Identification C; #4 Total Δ⁹-THC; #5 Total CBD; #6 Total CBN; #8 Loss on drying; #9 Microbiological purity; #10 Mycotoxins; #11 Heavy metals; #12 Pesticide residues</t>
        </is>
      </c>
      <c r="E252" s="144" t="inlineStr">
        <is>
          <t>031-5-K/26 (10.02.2026) [FHM]; 031-5-LoD/26 (12.02.2026) [FHM]; 326/2026 (11.02.2026) [IJZ]; 77/0120/26 (09.02.2026) [IJZ-MB]</t>
        </is>
      </c>
    </row>
    <row r="253">
      <c r="A253" s="139"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253" s="148" t="n"/>
      <c r="C253" s="148" t="n"/>
      <c r="D253" s="148" t="n"/>
      <c r="E253" s="149" t="n"/>
    </row>
    <row r="254">
      <c r="A254" s="150" t="n"/>
      <c r="E254" s="151" t="n"/>
    </row>
    <row r="255">
      <c r="A255" s="150" t="n"/>
      <c r="E255" s="151" t="n"/>
    </row>
    <row r="256">
      <c r="A256" s="152" t="n"/>
      <c r="B256" s="153" t="n"/>
      <c r="C256" s="153" t="n"/>
      <c r="D256" s="153" t="n"/>
      <c r="E256" s="154" t="n"/>
    </row>
  </sheetData>
  <mergeCells count="2">
    <mergeCell ref="A237:E243"/>
    <mergeCell ref="A253:E256"/>
  </mergeCells>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AS33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28" t="inlineStr">
        <is>
          <t>BATCH IDENTIFICATION</t>
        </is>
      </c>
      <c r="B1" s="155" t="n"/>
      <c r="C1" s="156" t="n"/>
      <c r="D1" s="128" t="inlineStr">
        <is>
          <t>IDENTIFICATION  1–3</t>
        </is>
      </c>
      <c r="M1" s="128" t="inlineStr">
        <is>
          <t>CANNABINOID ASSAY  4–6</t>
        </is>
      </c>
      <c r="V1" s="128" t="inlineStr">
        <is>
          <t>PHYSICAL  7–8</t>
        </is>
      </c>
      <c r="AB1" s="128" t="inlineStr">
        <is>
          <t>MICROBIOLOGY  9</t>
        </is>
      </c>
      <c r="AH1" s="128" t="inlineStr">
        <is>
          <t>CONTAMINANTS  10–12</t>
        </is>
      </c>
    </row>
    <row r="2" ht="30" customHeight="1" s="70">
      <c r="A2" s="157" t="inlineStr">
        <is>
          <t>CU Batch</t>
        </is>
      </c>
      <c r="B2" s="157" t="inlineStr">
        <is>
          <t>P Batch</t>
        </is>
      </c>
      <c r="C2" s="157" t="inlineStr">
        <is>
          <t>STATUS</t>
        </is>
      </c>
      <c r="D2" s="128" t="inlineStr">
        <is>
          <t>#1 Identification A
Appearance · Ph. Eur. mon. 3028</t>
        </is>
      </c>
      <c r="G2" s="128" t="inlineStr">
        <is>
          <t>#2 Identification B
Microscopy · Ph. Eur. 2.8.23</t>
        </is>
      </c>
      <c r="J2" s="128" t="inlineStr">
        <is>
          <t>#3 Identification C
HPLC · Ph. Eur. 2.2.29</t>
        </is>
      </c>
      <c r="M2" s="128" t="inlineStr">
        <is>
          <t>#4 Assay — Total Δ⁹-THC*
Ph. Eur. 2.2.29 (HPLC)</t>
        </is>
      </c>
      <c r="P2" s="128" t="inlineStr">
        <is>
          <t>#5 Assay — Total CBD
Ph. Eur. 2.2.29 · CBD + CBDA×0.877</t>
        </is>
      </c>
      <c r="S2" s="128" t="inlineStr">
        <is>
          <t>#6 Total CBN
Ph. Eur. 2.2.29 · CBN + CBNA×0.876</t>
        </is>
      </c>
      <c r="V2" s="128" t="inlineStr">
        <is>
          <t>#7 Foreign Matter
Ph. Eur. 2.8.2 / in-house</t>
        </is>
      </c>
      <c r="Y2" s="128" t="inlineStr">
        <is>
          <t>#8 Loss on Drying
Ph. Eur. 2.2.32 · 40 °C, 24 h, 15–25 mbar</t>
        </is>
      </c>
      <c r="AB2" s="128" t="inlineStr">
        <is>
          <t>#9 Microbiological Purity
Ph. Eur. 2.6.12 / 2.6.13 / 2.6.31 · cat. C</t>
        </is>
      </c>
      <c r="AH2" s="128" t="inlineStr">
        <is>
          <t>#10 Mycotoxins
Ph. Eur. 2.8.18 / 2.8.22 (HPLC-FLD)</t>
        </is>
      </c>
      <c r="AL2" s="128" t="inlineStr">
        <is>
          <t>#11 Heavy Metals
Ph. Eur. 2.4.27 (ICP-MS)</t>
        </is>
      </c>
      <c r="AQ2" s="128" t="inlineStr">
        <is>
          <t>#12 Pesticide Residues
Ph. Eur. 2.8.13 (LC-MS/MS) · CUMCS equivalency</t>
        </is>
      </c>
    </row>
    <row r="3" ht="26" customHeight="1" s="70">
      <c r="D3" s="158" t="inlineStr">
        <is>
          <t>A.C.: Conforms to Ph. Eur. monograph 3028 (Cannabis flos)</t>
        </is>
      </c>
      <c r="E3" s="156" t="n"/>
      <c r="F3" s="158" t="inlineStr"/>
      <c r="G3" s="158" t="inlineStr">
        <is>
          <t>A.C.: Conforms to Ph. Eur. monograph 3028 (Cannabis flos)</t>
        </is>
      </c>
      <c r="H3" s="156" t="n"/>
      <c r="I3" s="158" t="inlineStr"/>
      <c r="J3" s="158" t="inlineStr">
        <is>
          <t>A.C.: Conforms to Ph. Eur. monograph 3028 (Cannabis flos)</t>
        </is>
      </c>
      <c r="K3" s="156" t="n"/>
      <c r="L3" s="158" t="inlineStr"/>
      <c r="M3" s="158" t="inlineStr">
        <is>
          <t>A.C.: Per target grade (CoQ §01)</t>
        </is>
      </c>
      <c r="N3" s="156" t="n"/>
      <c r="O3" s="158" t="inlineStr"/>
      <c r="P3" s="158" t="inlineStr">
        <is>
          <t>A.C.: ≤ 1.0 % w/w</t>
        </is>
      </c>
      <c r="Q3" s="156" t="n"/>
      <c r="R3" s="158" t="inlineStr"/>
      <c r="S3" s="158" t="inlineStr">
        <is>
          <t>A.C.: ≤ 1.0 % w/w</t>
        </is>
      </c>
      <c r="T3" s="156" t="n"/>
      <c r="U3" s="158" t="inlineStr"/>
      <c r="V3" s="158" t="inlineStr">
        <is>
          <t>A.C.: ≤ 2.0 % (25–50 g); leaves &lt; 1 cm; no seeds</t>
        </is>
      </c>
      <c r="W3" s="156" t="n"/>
      <c r="X3" s="158" t="inlineStr"/>
      <c r="Y3" s="158" t="inlineStr">
        <is>
          <t>A.C.: ≤ 12.0 %</t>
        </is>
      </c>
      <c r="Z3" s="156" t="n"/>
      <c r="AA3" s="158" t="inlineStr"/>
      <c r="AB3" s="158" t="inlineStr">
        <is>
          <t>A.C.: ≤ 10⁵ CFU/g</t>
        </is>
      </c>
      <c r="AC3" s="158" t="inlineStr">
        <is>
          <t>A.C.: ≤ 10⁴ CFU/g</t>
        </is>
      </c>
      <c r="AD3" s="158" t="inlineStr">
        <is>
          <t>A.C.: ≤ 10⁴ CFU/g</t>
        </is>
      </c>
      <c r="AE3" s="158" t="inlineStr">
        <is>
          <t>A.C.: Absence / 25 g</t>
        </is>
      </c>
      <c r="AF3" s="158" t="inlineStr">
        <is>
          <t>A.C.: Absence / 1 g</t>
        </is>
      </c>
      <c r="AG3" s="158" t="inlineStr"/>
      <c r="AH3" s="158" t="inlineStr">
        <is>
          <t>A.C.: ≤ 2 µg/kg</t>
        </is>
      </c>
      <c r="AI3" s="158" t="inlineStr">
        <is>
          <t>A.C.: ≤ 4 µg/kg</t>
        </is>
      </c>
      <c r="AJ3" s="158" t="inlineStr">
        <is>
          <t>A.C.: ≤ 20 µg/kg</t>
        </is>
      </c>
      <c r="AK3" s="158" t="inlineStr"/>
      <c r="AL3" s="158" t="inlineStr">
        <is>
          <t>A.C.: ≤ 0.5 mg/kg</t>
        </is>
      </c>
      <c r="AM3" s="158" t="inlineStr">
        <is>
          <t>A.C.: ≤ 0.3 mg/kg</t>
        </is>
      </c>
      <c r="AN3" s="158" t="inlineStr">
        <is>
          <t>A.C.: ≤ 0.2 mg/kg</t>
        </is>
      </c>
      <c r="AO3" s="158" t="inlineStr">
        <is>
          <t>A.C.: ≤ 0.1 mg/kg</t>
        </is>
      </c>
      <c r="AP3" s="158" t="inlineStr"/>
      <c r="AQ3" s="158" t="inlineStr">
        <is>
          <t>A.C.: ≤ LOQ (Ph. Eur. 2.8.13 / CUMCS equivalency)</t>
        </is>
      </c>
      <c r="AR3" s="156" t="n"/>
      <c r="AS3" s="158" t="inlineStr"/>
    </row>
    <row r="4" ht="24" customHeight="1" s="70">
      <c r="D4" s="159" t="inlineStr">
        <is>
          <t>Result</t>
        </is>
      </c>
      <c r="E4" s="159" t="inlineStr">
        <is>
          <t xml:space="preserve">[eCOA code],[date],[Lab] </t>
        </is>
      </c>
      <c r="F4" s="159" t="inlineStr">
        <is>
          <t>✓   ✗</t>
        </is>
      </c>
      <c r="G4" s="159" t="inlineStr">
        <is>
          <t>Result</t>
        </is>
      </c>
      <c r="H4" s="159" t="inlineStr">
        <is>
          <t xml:space="preserve">[eCOA code],[date],[Lab] </t>
        </is>
      </c>
      <c r="I4" s="159" t="inlineStr">
        <is>
          <t>✓   ✗</t>
        </is>
      </c>
      <c r="J4" s="159" t="inlineStr">
        <is>
          <t>Result</t>
        </is>
      </c>
      <c r="K4" s="159" t="inlineStr">
        <is>
          <t xml:space="preserve">[eCOA code],[date],[Lab] </t>
        </is>
      </c>
      <c r="L4" s="159" t="inlineStr">
        <is>
          <t>✓   ✗</t>
        </is>
      </c>
      <c r="M4" s="159" t="inlineStr">
        <is>
          <t>Result</t>
        </is>
      </c>
      <c r="N4" s="159" t="inlineStr">
        <is>
          <t xml:space="preserve">[eCOA code],[date],[Lab] </t>
        </is>
      </c>
      <c r="O4" s="159" t="inlineStr">
        <is>
          <t>✓   ✗</t>
        </is>
      </c>
      <c r="P4" s="159" t="inlineStr">
        <is>
          <t>Result</t>
        </is>
      </c>
      <c r="Q4" s="159" t="inlineStr">
        <is>
          <t xml:space="preserve">[eCOA code],[date],[Lab] </t>
        </is>
      </c>
      <c r="R4" s="159" t="inlineStr">
        <is>
          <t>✓   ✗</t>
        </is>
      </c>
      <c r="S4" s="159" t="inlineStr">
        <is>
          <t>Result</t>
        </is>
      </c>
      <c r="T4" s="159" t="inlineStr">
        <is>
          <t xml:space="preserve">[eCOA code],[date],[Lab] </t>
        </is>
      </c>
      <c r="U4" s="159" t="inlineStr">
        <is>
          <t>✓   ✗</t>
        </is>
      </c>
      <c r="V4" s="159" t="inlineStr">
        <is>
          <t>Result</t>
        </is>
      </c>
      <c r="W4" s="159" t="inlineStr">
        <is>
          <t xml:space="preserve">[eCOA code],[date],[Lab] </t>
        </is>
      </c>
      <c r="X4" s="159" t="inlineStr">
        <is>
          <t>✓   ✗</t>
        </is>
      </c>
      <c r="Y4" s="159" t="inlineStr">
        <is>
          <t>Result</t>
        </is>
      </c>
      <c r="Z4" s="159" t="inlineStr">
        <is>
          <t xml:space="preserve">[eCOA code],[date],[Lab] </t>
        </is>
      </c>
      <c r="AA4" s="159" t="inlineStr">
        <is>
          <t>✓   ✗</t>
        </is>
      </c>
      <c r="AB4" s="159" t="inlineStr">
        <is>
          <t>TAMC</t>
        </is>
      </c>
      <c r="AC4" s="159" t="inlineStr">
        <is>
          <t>TYMC</t>
        </is>
      </c>
      <c r="AD4" s="159" t="inlineStr">
        <is>
          <t>GNB</t>
        </is>
      </c>
      <c r="AE4" s="159" t="inlineStr">
        <is>
          <t>Salm.</t>
        </is>
      </c>
      <c r="AF4" s="159" t="inlineStr">
        <is>
          <t>E. coli</t>
        </is>
      </c>
      <c r="AG4" s="159" t="inlineStr">
        <is>
          <t>✓   ✗</t>
        </is>
      </c>
      <c r="AH4" s="159" t="inlineStr">
        <is>
          <t>AfB₁</t>
        </is>
      </c>
      <c r="AI4" s="159" t="inlineStr">
        <is>
          <t>ΣAf</t>
        </is>
      </c>
      <c r="AJ4" s="159" t="inlineStr">
        <is>
          <t>OTA</t>
        </is>
      </c>
      <c r="AK4" s="159" t="inlineStr">
        <is>
          <t>✓   ✗</t>
        </is>
      </c>
      <c r="AL4" s="159" t="inlineStr">
        <is>
          <t>Pb</t>
        </is>
      </c>
      <c r="AM4" s="159" t="inlineStr">
        <is>
          <t>Cd</t>
        </is>
      </c>
      <c r="AN4" s="159" t="inlineStr">
        <is>
          <t>As</t>
        </is>
      </c>
      <c r="AO4" s="159" t="inlineStr">
        <is>
          <t>Hg</t>
        </is>
      </c>
      <c r="AP4" s="159" t="inlineStr">
        <is>
          <t>✓   ✗</t>
        </is>
      </c>
      <c r="AQ4" s="159" t="inlineStr">
        <is>
          <t>Result</t>
        </is>
      </c>
      <c r="AR4" s="159" t="inlineStr">
        <is>
          <t xml:space="preserve">[eCOA code],[date],[Lab] </t>
        </is>
      </c>
      <c r="AS4" s="159" t="inlineStr">
        <is>
          <t>✓   ✗</t>
        </is>
      </c>
    </row>
    <row r="5" ht="21" customHeight="1" s="70">
      <c r="A5" s="160" t="inlineStr">
        <is>
          <t>BG1024</t>
        </is>
      </c>
      <c r="B5" s="161" t="inlineStr">
        <is>
          <t>N/A — no P batch assigned</t>
        </is>
      </c>
      <c r="C5" s="162" t="inlineStr">
        <is>
          <t>✓ COMPLETE
2 testing instances
• 2 document(s) on file, not credited</t>
        </is>
      </c>
      <c r="D5" s="163" t="inlineStr">
        <is>
          <t>Conforms</t>
        </is>
      </c>
      <c r="E5" s="164">
        <f>IFERROR(INDEX('iCoA Register'!$B:$B,MATCH("BG1024|I",'iCoA Register'!$P:$P,0)),"iCoA — at issue")&amp;", (07.03.2025) [PP]"</f>
        <v/>
      </c>
      <c r="F5" s="165" t="inlineStr">
        <is>
          <t>✓</t>
        </is>
      </c>
      <c r="G5" s="166" t="inlineStr">
        <is>
          <t>not on this certificate</t>
        </is>
      </c>
      <c r="H5" s="167" t="inlineStr">
        <is>
          <t>ППК25050, (26.02.2025) [CNP] · on file, not credited</t>
        </is>
      </c>
      <c r="I5" s="168" t="inlineStr">
        <is>
          <t>•</t>
        </is>
      </c>
      <c r="J5" s="163" t="inlineStr">
        <is>
          <t>Conforms (ImB spec.)</t>
        </is>
      </c>
      <c r="K5" s="164" t="inlineStr">
        <is>
          <t>ППК25050, (26.02.2025) [CNP]</t>
        </is>
      </c>
      <c r="L5" s="165" t="inlineStr">
        <is>
          <t>✓</t>
        </is>
      </c>
      <c r="M5" s="169" t="inlineStr">
        <is>
          <t>21.80</t>
        </is>
      </c>
      <c r="N5" s="164" t="inlineStr">
        <is>
          <t>ППК25050, (26.02.2025) [CNP]</t>
        </is>
      </c>
      <c r="O5" s="165" t="inlineStr">
        <is>
          <t>✓</t>
        </is>
      </c>
      <c r="P5" s="170" t="inlineStr">
        <is>
          <t>0.04</t>
        </is>
      </c>
      <c r="Q5" s="164" t="inlineStr">
        <is>
          <t>ППК25050, (26.02.2025) [CNP]</t>
        </is>
      </c>
      <c r="R5" s="165" t="inlineStr">
        <is>
          <t>✓</t>
        </is>
      </c>
      <c r="S5" s="170" t="inlineStr">
        <is>
          <t>0.02 ᴰ</t>
        </is>
      </c>
      <c r="T5" s="164" t="inlineStr">
        <is>
          <t>ППК25050, (26.02.2025) [CNP]</t>
        </is>
      </c>
      <c r="U5" s="165" t="inlineStr">
        <is>
          <t>✓</t>
        </is>
      </c>
      <c r="V5" s="163" t="inlineStr">
        <is>
          <t>Conforms</t>
        </is>
      </c>
      <c r="W5" s="164">
        <f>IFERROR(INDEX('iCoA Register'!$B:$B,MATCH("BG1024|I",'iCoA Register'!$P:$P,0)),"iCoA — at issue")&amp;", (07.03.2025) [PP]"</f>
        <v/>
      </c>
      <c r="X5" s="165" t="inlineStr">
        <is>
          <t>✓</t>
        </is>
      </c>
      <c r="Y5" s="163" t="inlineStr">
        <is>
          <t>5.73</t>
        </is>
      </c>
      <c r="Z5" s="164" t="inlineStr">
        <is>
          <t>ППК25050, (26.02.2025) [CNP]</t>
        </is>
      </c>
      <c r="AA5" s="165" t="inlineStr">
        <is>
          <t>✓</t>
        </is>
      </c>
      <c r="AB5" s="163" t="inlineStr">
        <is>
          <t>1.6 × 10⁴</t>
        </is>
      </c>
      <c r="AC5" s="171" t="inlineStr">
        <is>
          <t>1 × 10⁴</t>
        </is>
      </c>
      <c r="AD5" s="171" t="inlineStr">
        <is>
          <t>&lt; 10² and &gt; 10</t>
        </is>
      </c>
      <c r="AE5" s="171" t="inlineStr">
        <is>
          <t>Absent</t>
        </is>
      </c>
      <c r="AF5" s="171" t="inlineStr">
        <is>
          <t>Absent</t>
        </is>
      </c>
      <c r="AG5" s="165" t="inlineStr">
        <is>
          <t>✓</t>
        </is>
      </c>
      <c r="AH5" s="163" t="inlineStr">
        <is>
          <t>ND</t>
        </is>
      </c>
      <c r="AI5" s="171" t="inlineStr">
        <is>
          <t>&lt; 2</t>
        </is>
      </c>
      <c r="AJ5" s="171" t="inlineStr">
        <is>
          <t>ND</t>
        </is>
      </c>
      <c r="AK5" s="165" t="inlineStr">
        <is>
          <t>✓</t>
        </is>
      </c>
      <c r="AL5" s="163" t="inlineStr">
        <is>
          <t>0.01</t>
        </is>
      </c>
      <c r="AM5" s="171" t="inlineStr">
        <is>
          <t>0.016</t>
        </is>
      </c>
      <c r="AN5" s="171" t="inlineStr">
        <is>
          <t>0.014</t>
        </is>
      </c>
      <c r="AO5" s="171" t="inlineStr">
        <is>
          <t>0.005</t>
        </is>
      </c>
      <c r="AP5" s="165" t="inlineStr">
        <is>
          <t>✓</t>
        </is>
      </c>
      <c r="AQ5" s="163" t="inlineStr">
        <is>
          <t>≤ LOQ (all 29 compounds)</t>
        </is>
      </c>
      <c r="AR5" s="164" t="inlineStr">
        <is>
          <t>752-2025, (27.02.2025) [IJZ]</t>
        </is>
      </c>
      <c r="AS5" s="172" t="inlineStr">
        <is>
          <t>✓</t>
        </is>
      </c>
    </row>
    <row r="6" ht="13" customHeight="1" s="70">
      <c r="A6" s="173" t="n"/>
      <c r="D6" s="174" t="n"/>
      <c r="F6" s="175" t="n"/>
      <c r="G6" s="174" t="n"/>
      <c r="I6" s="175" t="n"/>
      <c r="J6" s="174" t="n"/>
      <c r="L6" s="175" t="n"/>
      <c r="M6" s="174" t="n"/>
      <c r="O6" s="175" t="n"/>
      <c r="P6" s="174" t="n"/>
      <c r="R6" s="175" t="n"/>
      <c r="S6" s="174" t="n"/>
      <c r="U6" s="175" t="n"/>
      <c r="V6" s="174" t="n"/>
      <c r="X6" s="175" t="n"/>
      <c r="Y6" s="174" t="n"/>
      <c r="AA6" s="175" t="n"/>
      <c r="AB6" s="176" t="inlineStr">
        <is>
          <t>163-0271-25, (24.02.2025) [IJZ-MB]</t>
        </is>
      </c>
      <c r="AG6" s="175" t="n"/>
      <c r="AH6" s="176" t="inlineStr">
        <is>
          <t>752-2025, (27.02.2025) [IJZ]</t>
        </is>
      </c>
      <c r="AK6" s="175" t="n"/>
      <c r="AL6" s="176" t="inlineStr">
        <is>
          <t>752-2025, (27.02.2025) [IJZ]</t>
        </is>
      </c>
      <c r="AP6" s="175" t="n"/>
      <c r="AQ6" s="174" t="n"/>
      <c r="AS6" s="177" t="n"/>
    </row>
    <row r="7" ht="17.625" customHeight="1" s="70">
      <c r="A7" s="178" t="n"/>
      <c r="B7" s="179" t="n"/>
      <c r="D7" s="180" t="n"/>
      <c r="E7" s="179" t="n"/>
      <c r="F7" s="181" t="n"/>
      <c r="G7" s="182" t="inlineStr">
        <is>
          <t>Conforms</t>
        </is>
      </c>
      <c r="H7" s="183">
        <f>IFERROR(INDEX('iCoA Register'!$B:$B,MATCH("BG1024|I",'iCoA Register'!$P:$P,0)),"iCoA — at issue")&amp;", (07.03.2025) [PP]"</f>
        <v/>
      </c>
      <c r="I7" s="184" t="inlineStr">
        <is>
          <t>✓</t>
        </is>
      </c>
      <c r="J7" s="182" t="inlineStr">
        <is>
          <t>Conforms (ImB spec.) ᴿ</t>
        </is>
      </c>
      <c r="K7" s="183" t="inlineStr">
        <is>
          <t>197-1-K-26, (07.08.2026) [FHM-K]</t>
        </is>
      </c>
      <c r="L7" s="184" t="inlineStr">
        <is>
          <t>✓</t>
        </is>
      </c>
      <c r="M7" s="185" t="inlineStr">
        <is>
          <t>26.14</t>
        </is>
      </c>
      <c r="N7" s="183" t="inlineStr">
        <is>
          <t>197-1-K-26, (07.08.2026) [FHM-K]</t>
        </is>
      </c>
      <c r="O7" s="184" t="inlineStr">
        <is>
          <t>✓</t>
        </is>
      </c>
      <c r="P7" s="186" t="inlineStr">
        <is>
          <t>&lt; LOQ</t>
        </is>
      </c>
      <c r="Q7" s="183" t="inlineStr">
        <is>
          <t>197-1-K-26, (07.08.2026) [FHM-K]</t>
        </is>
      </c>
      <c r="R7" s="184" t="inlineStr">
        <is>
          <t>✓</t>
        </is>
      </c>
      <c r="S7" s="186" t="inlineStr">
        <is>
          <t>0.28</t>
        </is>
      </c>
      <c r="T7" s="183" t="inlineStr">
        <is>
          <t>197-1-K-26, (07.08.2026) [FHM-K]</t>
        </is>
      </c>
      <c r="U7" s="184" t="inlineStr">
        <is>
          <t>✓</t>
        </is>
      </c>
      <c r="V7" s="180" t="n"/>
      <c r="W7" s="179" t="n"/>
      <c r="X7" s="181" t="n"/>
      <c r="Y7" s="187" t="inlineStr">
        <is>
          <t>not on this certificate</t>
        </is>
      </c>
      <c r="Z7" s="188" t="inlineStr">
        <is>
          <t>197-1-K-26, (07.08.2026) [FHM-K] · on file, not credited</t>
        </is>
      </c>
      <c r="AA7" s="189" t="inlineStr">
        <is>
          <t>•</t>
        </is>
      </c>
      <c r="AB7" s="180" t="n"/>
      <c r="AC7" s="179" t="n"/>
      <c r="AD7" s="179" t="n"/>
      <c r="AE7" s="179" t="n"/>
      <c r="AF7" s="179" t="n"/>
      <c r="AG7" s="181" t="n"/>
      <c r="AH7" s="190" t="inlineStr">
        <is>
          <t>ND</t>
        </is>
      </c>
      <c r="AI7" s="191" t="inlineStr">
        <is>
          <t>ND</t>
        </is>
      </c>
      <c r="AJ7" s="191" t="inlineStr">
        <is>
          <t>ND</t>
        </is>
      </c>
      <c r="AK7" s="184" t="inlineStr">
        <is>
          <t>✓</t>
        </is>
      </c>
      <c r="AL7" s="180" t="n"/>
      <c r="AM7" s="179" t="n"/>
      <c r="AN7" s="179" t="n"/>
      <c r="AO7" s="179" t="n"/>
      <c r="AP7" s="181" t="n"/>
      <c r="AQ7" s="180" t="n"/>
      <c r="AR7" s="179" t="n"/>
      <c r="AS7" s="192" t="n"/>
    </row>
    <row r="8" ht="15.375" customHeight="1" s="70">
      <c r="A8" s="193" t="n"/>
      <c r="B8" s="194" t="n"/>
      <c r="C8" s="194" t="n"/>
      <c r="D8" s="195" t="n"/>
      <c r="E8" s="194" t="n"/>
      <c r="F8" s="196" t="n"/>
      <c r="G8" s="195" t="n"/>
      <c r="H8" s="194" t="n"/>
      <c r="I8" s="196" t="n"/>
      <c r="J8" s="195" t="n"/>
      <c r="K8" s="194" t="n"/>
      <c r="L8" s="196" t="n"/>
      <c r="M8" s="195" t="n"/>
      <c r="N8" s="194" t="n"/>
      <c r="O8" s="196" t="n"/>
      <c r="P8" s="195" t="n"/>
      <c r="Q8" s="194" t="n"/>
      <c r="R8" s="196" t="n"/>
      <c r="S8" s="195" t="n"/>
      <c r="T8" s="194" t="n"/>
      <c r="U8" s="196" t="n"/>
      <c r="V8" s="195" t="n"/>
      <c r="W8" s="194" t="n"/>
      <c r="X8" s="196" t="n"/>
      <c r="Y8" s="195" t="n"/>
      <c r="Z8" s="194" t="n"/>
      <c r="AA8" s="196" t="n"/>
      <c r="AB8" s="195" t="n"/>
      <c r="AC8" s="194" t="n"/>
      <c r="AD8" s="194" t="n"/>
      <c r="AE8" s="194" t="n"/>
      <c r="AF8" s="194" t="n"/>
      <c r="AG8" s="196" t="n"/>
      <c r="AH8" s="197" t="inlineStr">
        <is>
          <t>197-1-M-26, (10.08.2026) [FHM-M]</t>
        </is>
      </c>
      <c r="AI8" s="194" t="n"/>
      <c r="AJ8" s="194" t="n"/>
      <c r="AK8" s="196" t="n"/>
      <c r="AL8" s="195" t="n"/>
      <c r="AM8" s="194" t="n"/>
      <c r="AN8" s="194" t="n"/>
      <c r="AO8" s="194" t="n"/>
      <c r="AP8" s="196" t="n"/>
      <c r="AQ8" s="195" t="n"/>
      <c r="AR8" s="194" t="n"/>
      <c r="AS8" s="198" t="n"/>
    </row>
    <row r="9" ht="21" customHeight="1" s="70">
      <c r="A9" s="160" t="inlineStr">
        <is>
          <t>BSS1024</t>
        </is>
      </c>
      <c r="B9" s="161" t="inlineStr">
        <is>
          <t>N/A — no P batch assigned</t>
        </is>
      </c>
      <c r="C9" s="162" t="inlineStr">
        <is>
          <t>✓ COMPLETE
2 testing instances
• 2 document(s) on file, not credited</t>
        </is>
      </c>
      <c r="D9" s="163" t="inlineStr">
        <is>
          <t>Conforms</t>
        </is>
      </c>
      <c r="E9" s="164">
        <f>IFERROR(INDEX('iCoA Register'!$B:$B,MATCH("BSS1024|I",'iCoA Register'!$P:$P,0)),"iCoA — at issue")&amp;", (04.03.2025) [PP]"</f>
        <v/>
      </c>
      <c r="F9" s="165" t="inlineStr">
        <is>
          <t>✓</t>
        </is>
      </c>
      <c r="G9" s="166" t="inlineStr">
        <is>
          <t>not on this certificate</t>
        </is>
      </c>
      <c r="H9" s="167" t="inlineStr">
        <is>
          <t>ППК25051, (26.02.2025) [CNP] · on file, not credited</t>
        </is>
      </c>
      <c r="I9" s="168" t="inlineStr">
        <is>
          <t>•</t>
        </is>
      </c>
      <c r="J9" s="163" t="inlineStr">
        <is>
          <t>Conforms (ImB spec.)</t>
        </is>
      </c>
      <c r="K9" s="164" t="inlineStr">
        <is>
          <t>ППК25051, (26.02.2025) [CNP]</t>
        </is>
      </c>
      <c r="L9" s="165" t="inlineStr">
        <is>
          <t>✓</t>
        </is>
      </c>
      <c r="M9" s="169" t="inlineStr">
        <is>
          <t>21.03</t>
        </is>
      </c>
      <c r="N9" s="164" t="inlineStr">
        <is>
          <t>ППК25051, (26.02.2025) [CNP]</t>
        </is>
      </c>
      <c r="O9" s="165" t="inlineStr">
        <is>
          <t>✓</t>
        </is>
      </c>
      <c r="P9" s="170" t="inlineStr">
        <is>
          <t>0.04</t>
        </is>
      </c>
      <c r="Q9" s="164" t="inlineStr">
        <is>
          <t>ППК25051, (26.02.2025) [CNP]</t>
        </is>
      </c>
      <c r="R9" s="165" t="inlineStr">
        <is>
          <t>✓</t>
        </is>
      </c>
      <c r="S9" s="170" t="inlineStr">
        <is>
          <t>0.02 ᴰ</t>
        </is>
      </c>
      <c r="T9" s="164" t="inlineStr">
        <is>
          <t>ППК25051, (26.02.2025) [CNP]</t>
        </is>
      </c>
      <c r="U9" s="165" t="inlineStr">
        <is>
          <t>✓</t>
        </is>
      </c>
      <c r="V9" s="163" t="inlineStr">
        <is>
          <t>Conforms</t>
        </is>
      </c>
      <c r="W9" s="164">
        <f>IFERROR(INDEX('iCoA Register'!$B:$B,MATCH("BSS1024|I",'iCoA Register'!$P:$P,0)),"iCoA — at issue")&amp;", (04.03.2025) [PP]"</f>
        <v/>
      </c>
      <c r="X9" s="165" t="inlineStr">
        <is>
          <t>✓</t>
        </is>
      </c>
      <c r="Y9" s="163" t="inlineStr">
        <is>
          <t>5.99</t>
        </is>
      </c>
      <c r="Z9" s="164" t="inlineStr">
        <is>
          <t>ППК25051, (26.02.2025) [CNP]</t>
        </is>
      </c>
      <c r="AA9" s="165" t="inlineStr">
        <is>
          <t>✓</t>
        </is>
      </c>
      <c r="AB9" s="163" t="inlineStr">
        <is>
          <t>1.5 × 10⁴</t>
        </is>
      </c>
      <c r="AC9" s="171" t="inlineStr">
        <is>
          <t>2.2 × 10³</t>
        </is>
      </c>
      <c r="AD9" s="171" t="inlineStr">
        <is>
          <t>&lt; 10² and &gt; 10</t>
        </is>
      </c>
      <c r="AE9" s="171" t="inlineStr">
        <is>
          <t>Absent</t>
        </is>
      </c>
      <c r="AF9" s="171" t="inlineStr">
        <is>
          <t>Absent</t>
        </is>
      </c>
      <c r="AG9" s="165" t="inlineStr">
        <is>
          <t>✓</t>
        </is>
      </c>
      <c r="AH9" s="163" t="inlineStr">
        <is>
          <t>ND</t>
        </is>
      </c>
      <c r="AI9" s="171" t="inlineStr">
        <is>
          <t>&lt; 2</t>
        </is>
      </c>
      <c r="AJ9" s="171" t="inlineStr">
        <is>
          <t>ND</t>
        </is>
      </c>
      <c r="AK9" s="165" t="inlineStr">
        <is>
          <t>✓</t>
        </is>
      </c>
      <c r="AL9" s="163" t="inlineStr">
        <is>
          <t>0.071</t>
        </is>
      </c>
      <c r="AM9" s="171" t="inlineStr">
        <is>
          <t>0.014</t>
        </is>
      </c>
      <c r="AN9" s="171" t="inlineStr">
        <is>
          <t>0.081</t>
        </is>
      </c>
      <c r="AO9" s="171" t="inlineStr">
        <is>
          <t>0.014</t>
        </is>
      </c>
      <c r="AP9" s="165" t="inlineStr">
        <is>
          <t>✓</t>
        </is>
      </c>
      <c r="AQ9" s="163" t="inlineStr">
        <is>
          <t>≤ LOQ (all 29 compounds)</t>
        </is>
      </c>
      <c r="AR9" s="164" t="inlineStr">
        <is>
          <t>751-2025, (27.02.2025) [IJZ]</t>
        </is>
      </c>
      <c r="AS9" s="172" t="inlineStr">
        <is>
          <t>✓</t>
        </is>
      </c>
    </row>
    <row r="10" ht="13" customHeight="1" s="70">
      <c r="A10" s="173" t="n"/>
      <c r="D10" s="174" t="n"/>
      <c r="F10" s="175" t="n"/>
      <c r="G10" s="174" t="n"/>
      <c r="I10" s="175" t="n"/>
      <c r="J10" s="174" t="n"/>
      <c r="L10" s="175" t="n"/>
      <c r="M10" s="174" t="n"/>
      <c r="O10" s="175" t="n"/>
      <c r="P10" s="174" t="n"/>
      <c r="R10" s="175" t="n"/>
      <c r="S10" s="174" t="n"/>
      <c r="U10" s="175" t="n"/>
      <c r="V10" s="174" t="n"/>
      <c r="X10" s="175" t="n"/>
      <c r="Y10" s="174" t="n"/>
      <c r="AA10" s="175" t="n"/>
      <c r="AB10" s="176" t="inlineStr">
        <is>
          <t>161-0269-25, (24.02.2025) [IJZ-MB]</t>
        </is>
      </c>
      <c r="AG10" s="175" t="n"/>
      <c r="AH10" s="176" t="inlineStr">
        <is>
          <t>751-2025, (27.02.2025) [IJZ]</t>
        </is>
      </c>
      <c r="AK10" s="175" t="n"/>
      <c r="AL10" s="176" t="inlineStr">
        <is>
          <t>751-2025, (27.02.2025) [IJZ]</t>
        </is>
      </c>
      <c r="AP10" s="175" t="n"/>
      <c r="AQ10" s="174" t="n"/>
      <c r="AS10" s="177" t="n"/>
    </row>
    <row r="11" ht="17.625" customHeight="1" s="70">
      <c r="A11" s="178" t="n"/>
      <c r="B11" s="179" t="n"/>
      <c r="D11" s="180" t="n"/>
      <c r="E11" s="179" t="n"/>
      <c r="F11" s="181" t="n"/>
      <c r="G11" s="182" t="inlineStr">
        <is>
          <t>Conforms</t>
        </is>
      </c>
      <c r="H11" s="183">
        <f>IFERROR(INDEX('iCoA Register'!$B:$B,MATCH("BSS1024|I",'iCoA Register'!$P:$P,0)),"iCoA — at issue")&amp;", (04.03.2025) [PP]"</f>
        <v/>
      </c>
      <c r="I11" s="184" t="inlineStr">
        <is>
          <t>✓</t>
        </is>
      </c>
      <c r="J11" s="182" t="inlineStr">
        <is>
          <t>Conforms (ImB spec.)</t>
        </is>
      </c>
      <c r="K11" s="183" t="inlineStr">
        <is>
          <t>197-2-K-26, (07.08.2026) [FHM-K]</t>
        </is>
      </c>
      <c r="L11" s="184" t="inlineStr">
        <is>
          <t>✓</t>
        </is>
      </c>
      <c r="M11" s="185" t="inlineStr">
        <is>
          <t>25.01</t>
        </is>
      </c>
      <c r="N11" s="183" t="inlineStr">
        <is>
          <t>197-2-K-26, (07.08.2026) [FHM-K]</t>
        </is>
      </c>
      <c r="O11" s="184" t="inlineStr">
        <is>
          <t>✓</t>
        </is>
      </c>
      <c r="P11" s="186" t="inlineStr">
        <is>
          <t>&lt; LOQ</t>
        </is>
      </c>
      <c r="Q11" s="183" t="inlineStr">
        <is>
          <t>197-2-K-26, (07.08.2026) [FHM-K]</t>
        </is>
      </c>
      <c r="R11" s="184" t="inlineStr">
        <is>
          <t>✓</t>
        </is>
      </c>
      <c r="S11" s="186" t="inlineStr">
        <is>
          <t>&lt; LOQ</t>
        </is>
      </c>
      <c r="T11" s="183" t="inlineStr">
        <is>
          <t>197-2-K-26, (07.08.2026) [FHM-K]</t>
        </is>
      </c>
      <c r="U11" s="184" t="inlineStr">
        <is>
          <t>✓</t>
        </is>
      </c>
      <c r="V11" s="180" t="n"/>
      <c r="W11" s="179" t="n"/>
      <c r="X11" s="181" t="n"/>
      <c r="Y11" s="187" t="inlineStr">
        <is>
          <t>not on this certificate</t>
        </is>
      </c>
      <c r="Z11" s="188" t="inlineStr">
        <is>
          <t>197-2-K-26, (07.08.2026) [FHM-K] · on file, not credited</t>
        </is>
      </c>
      <c r="AA11" s="189" t="inlineStr">
        <is>
          <t>•</t>
        </is>
      </c>
      <c r="AB11" s="180" t="n"/>
      <c r="AC11" s="179" t="n"/>
      <c r="AD11" s="179" t="n"/>
      <c r="AE11" s="179" t="n"/>
      <c r="AF11" s="179" t="n"/>
      <c r="AG11" s="181" t="n"/>
      <c r="AH11" s="190" t="inlineStr">
        <is>
          <t>ND</t>
        </is>
      </c>
      <c r="AI11" s="191" t="inlineStr">
        <is>
          <t>ND</t>
        </is>
      </c>
      <c r="AJ11" s="191" t="inlineStr">
        <is>
          <t>ND</t>
        </is>
      </c>
      <c r="AK11" s="184" t="inlineStr">
        <is>
          <t>✓</t>
        </is>
      </c>
      <c r="AL11" s="180" t="n"/>
      <c r="AM11" s="179" t="n"/>
      <c r="AN11" s="179" t="n"/>
      <c r="AO11" s="179" t="n"/>
      <c r="AP11" s="181" t="n"/>
      <c r="AQ11" s="180" t="n"/>
      <c r="AR11" s="179" t="n"/>
      <c r="AS11" s="192" t="n"/>
    </row>
    <row r="12" ht="15.375" customHeight="1" s="70">
      <c r="A12" s="193" t="n"/>
      <c r="B12" s="194" t="n"/>
      <c r="C12" s="194" t="n"/>
      <c r="D12" s="195" t="n"/>
      <c r="E12" s="194" t="n"/>
      <c r="F12" s="196" t="n"/>
      <c r="G12" s="195" t="n"/>
      <c r="H12" s="194" t="n"/>
      <c r="I12" s="196" t="n"/>
      <c r="J12" s="195" t="n"/>
      <c r="K12" s="194" t="n"/>
      <c r="L12" s="196" t="n"/>
      <c r="M12" s="195" t="n"/>
      <c r="N12" s="194" t="n"/>
      <c r="O12" s="196" t="n"/>
      <c r="P12" s="195" t="n"/>
      <c r="Q12" s="194" t="n"/>
      <c r="R12" s="196" t="n"/>
      <c r="S12" s="195" t="n"/>
      <c r="T12" s="194" t="n"/>
      <c r="U12" s="196" t="n"/>
      <c r="V12" s="195" t="n"/>
      <c r="W12" s="194" t="n"/>
      <c r="X12" s="196" t="n"/>
      <c r="Y12" s="195" t="n"/>
      <c r="Z12" s="194" t="n"/>
      <c r="AA12" s="196" t="n"/>
      <c r="AB12" s="195" t="n"/>
      <c r="AC12" s="194" t="n"/>
      <c r="AD12" s="194" t="n"/>
      <c r="AE12" s="194" t="n"/>
      <c r="AF12" s="194" t="n"/>
      <c r="AG12" s="196" t="n"/>
      <c r="AH12" s="197" t="inlineStr">
        <is>
          <t>197-2-M-26, (10.08.2026) [FHM-M]</t>
        </is>
      </c>
      <c r="AI12" s="194" t="n"/>
      <c r="AJ12" s="194" t="n"/>
      <c r="AK12" s="196" t="n"/>
      <c r="AL12" s="195" t="n"/>
      <c r="AM12" s="194" t="n"/>
      <c r="AN12" s="194" t="n"/>
      <c r="AO12" s="194" t="n"/>
      <c r="AP12" s="196" t="n"/>
      <c r="AQ12" s="195" t="n"/>
      <c r="AR12" s="194" t="n"/>
      <c r="AS12" s="198" t="n"/>
    </row>
    <row r="13" ht="21" customHeight="1" s="70">
      <c r="A13" s="160" t="inlineStr">
        <is>
          <t>CC112501</t>
        </is>
      </c>
      <c r="B13" s="161" t="inlineStr">
        <is>
          <t>P060272</t>
        </is>
      </c>
      <c r="C13" s="162" t="inlineStr">
        <is>
          <t>✓ COMPLETE
2 testing instances
• 1 document(s) on file, not credited</t>
        </is>
      </c>
      <c r="D13" s="163" t="inlineStr">
        <is>
          <t>Conforms</t>
        </is>
      </c>
      <c r="E13" s="164">
        <f>IFERROR(INDEX('iCoA Register'!$B:$B,MATCH("P060272|I",'iCoA Register'!$P:$P,0)),"iCoA — at issue")&amp;", (18.05.2026) [PP]"</f>
        <v/>
      </c>
      <c r="F13" s="165" t="inlineStr">
        <is>
          <t>✓</t>
        </is>
      </c>
      <c r="G13" s="166" t="inlineStr">
        <is>
          <t>not on this certificate</t>
        </is>
      </c>
      <c r="H13" s="167" t="inlineStr">
        <is>
          <t>ППК26068, (11.05.2026) [CNP] · on file, not credited</t>
        </is>
      </c>
      <c r="I13" s="168" t="inlineStr">
        <is>
          <t>•</t>
        </is>
      </c>
      <c r="J13" s="163" t="inlineStr">
        <is>
          <t>Conforms (ImB spec.)</t>
        </is>
      </c>
      <c r="K13" s="164" t="inlineStr">
        <is>
          <t>ППК26068, (11.05.2026) [CNP]</t>
        </is>
      </c>
      <c r="L13" s="165" t="inlineStr">
        <is>
          <t>✓</t>
        </is>
      </c>
      <c r="M13" s="169" t="inlineStr">
        <is>
          <t>13.35</t>
        </is>
      </c>
      <c r="N13" s="164" t="inlineStr">
        <is>
          <t>ППК26068, (11.05.2026) [CNP]</t>
        </is>
      </c>
      <c r="O13" s="165" t="inlineStr">
        <is>
          <t>✓</t>
        </is>
      </c>
      <c r="P13" s="170" t="inlineStr">
        <is>
          <t>0.04</t>
        </is>
      </c>
      <c r="Q13" s="164" t="inlineStr">
        <is>
          <t>ППК26068, (11.05.2026) [CNP]</t>
        </is>
      </c>
      <c r="R13" s="165" t="inlineStr">
        <is>
          <t>✓</t>
        </is>
      </c>
      <c r="S13" s="170" t="inlineStr">
        <is>
          <t>&lt; LOQ ᴰ</t>
        </is>
      </c>
      <c r="T13" s="164" t="inlineStr">
        <is>
          <t>ППК26068, (11.05.2026) [CNP]</t>
        </is>
      </c>
      <c r="U13" s="165" t="inlineStr">
        <is>
          <t>✓</t>
        </is>
      </c>
      <c r="V13" s="163" t="inlineStr">
        <is>
          <t>Conforms</t>
        </is>
      </c>
      <c r="W13" s="164">
        <f>IFERROR(INDEX('iCoA Register'!$B:$B,MATCH("P060272|I",'iCoA Register'!$P:$P,0)),"iCoA — at issue")&amp;", (18.05.2026) [PP]"</f>
        <v/>
      </c>
      <c r="X13" s="165" t="inlineStr">
        <is>
          <t>✓</t>
        </is>
      </c>
      <c r="Y13" s="163" t="inlineStr">
        <is>
          <t>7.39</t>
        </is>
      </c>
      <c r="Z13" s="164" t="inlineStr">
        <is>
          <t>ППК26068, (11.05.2026) [CNP]</t>
        </is>
      </c>
      <c r="AA13" s="165" t="inlineStr">
        <is>
          <t>✓</t>
        </is>
      </c>
      <c r="AB13" s="163" t="inlineStr">
        <is>
          <t>3.8 × 10³</t>
        </is>
      </c>
      <c r="AC13" s="171" t="inlineStr">
        <is>
          <t>2.7 × 10³</t>
        </is>
      </c>
      <c r="AD13" s="171" t="inlineStr">
        <is>
          <t>&lt; 10³ and &gt; 10²</t>
        </is>
      </c>
      <c r="AE13" s="171" t="inlineStr">
        <is>
          <t>Absent</t>
        </is>
      </c>
      <c r="AF13" s="171" t="inlineStr">
        <is>
          <t>Absent</t>
        </is>
      </c>
      <c r="AG13" s="165" t="inlineStr">
        <is>
          <t>✓</t>
        </is>
      </c>
      <c r="AH13" s="163" t="inlineStr">
        <is>
          <t>ND</t>
        </is>
      </c>
      <c r="AI13" s="171" t="inlineStr">
        <is>
          <t>&lt; 2</t>
        </is>
      </c>
      <c r="AJ13" s="171" t="inlineStr">
        <is>
          <t>ND</t>
        </is>
      </c>
      <c r="AK13" s="165" t="inlineStr">
        <is>
          <t>✓</t>
        </is>
      </c>
      <c r="AL13" s="163" t="inlineStr">
        <is>
          <t>0.0289</t>
        </is>
      </c>
      <c r="AM13" s="171" t="inlineStr">
        <is>
          <t>0.0119</t>
        </is>
      </c>
      <c r="AN13" s="171" t="inlineStr">
        <is>
          <t>0.016</t>
        </is>
      </c>
      <c r="AO13" s="171" t="inlineStr">
        <is>
          <t>0.0102</t>
        </is>
      </c>
      <c r="AP13" s="165" t="inlineStr">
        <is>
          <t>✓</t>
        </is>
      </c>
      <c r="AQ13" s="163" t="inlineStr">
        <is>
          <t>≤ LOQ (all 29 compounds)</t>
        </is>
      </c>
      <c r="AR13" s="164" t="inlineStr">
        <is>
          <t>2359-2026, (29.04.2026) [IJZ]</t>
        </is>
      </c>
      <c r="AS13" s="172" t="inlineStr">
        <is>
          <t>✓</t>
        </is>
      </c>
    </row>
    <row r="14" ht="13" customHeight="1" s="70">
      <c r="A14" s="173" t="n"/>
      <c r="D14" s="174" t="n"/>
      <c r="F14" s="175" t="n"/>
      <c r="G14" s="174" t="n"/>
      <c r="I14" s="175" t="n"/>
      <c r="J14" s="174" t="n"/>
      <c r="L14" s="175" t="n"/>
      <c r="M14" s="174" t="n"/>
      <c r="O14" s="175" t="n"/>
      <c r="P14" s="174" t="n"/>
      <c r="R14" s="175" t="n"/>
      <c r="S14" s="174" t="n"/>
      <c r="U14" s="175" t="n"/>
      <c r="V14" s="174" t="n"/>
      <c r="X14" s="175" t="n"/>
      <c r="Y14" s="174" t="n"/>
      <c r="AA14" s="175" t="n"/>
      <c r="AB14" s="176" t="inlineStr">
        <is>
          <t>311-0555-26, (28.04.2026) [IJZ-MB]</t>
        </is>
      </c>
      <c r="AG14" s="175" t="n"/>
      <c r="AH14" s="176" t="inlineStr">
        <is>
          <t>2359-2026, (29.04.2026) [IJZ]</t>
        </is>
      </c>
      <c r="AK14" s="175" t="n"/>
      <c r="AL14" s="176" t="inlineStr">
        <is>
          <t>2359-2026, (29.04.2026) [IJZ]</t>
        </is>
      </c>
      <c r="AP14" s="175" t="n"/>
      <c r="AQ14" s="174" t="n"/>
      <c r="AS14" s="177" t="n"/>
    </row>
    <row r="15" ht="21" customHeight="1" s="70">
      <c r="A15" s="178" t="n"/>
      <c r="B15" s="179" t="n"/>
      <c r="D15" s="180" t="n"/>
      <c r="E15" s="179" t="n"/>
      <c r="F15" s="181" t="n"/>
      <c r="G15" s="182" t="inlineStr">
        <is>
          <t>Conforms</t>
        </is>
      </c>
      <c r="H15" s="183">
        <f>IFERROR(INDEX('iCoA Register'!$B:$B,MATCH("P060272|I",'iCoA Register'!$P:$P,0)),"iCoA — at issue")&amp;", (18.05.2026) [PP]"</f>
        <v/>
      </c>
      <c r="I15" s="184" t="inlineStr">
        <is>
          <t>✓</t>
        </is>
      </c>
      <c r="J15" s="180" t="n"/>
      <c r="K15" s="179" t="n"/>
      <c r="L15" s="181" t="n"/>
      <c r="M15" s="180" t="n"/>
      <c r="N15" s="179" t="n"/>
      <c r="O15" s="181" t="n"/>
      <c r="P15" s="180" t="n"/>
      <c r="Q15" s="179" t="n"/>
      <c r="R15" s="181" t="n"/>
      <c r="S15" s="180" t="n"/>
      <c r="T15" s="179" t="n"/>
      <c r="U15" s="181" t="n"/>
      <c r="V15" s="180" t="n"/>
      <c r="W15" s="179" t="n"/>
      <c r="X15" s="181" t="n"/>
      <c r="Y15" s="180" t="n"/>
      <c r="Z15" s="179" t="n"/>
      <c r="AA15" s="181" t="n"/>
      <c r="AB15" s="190" t="inlineStr">
        <is>
          <t>1.6 × 10³</t>
        </is>
      </c>
      <c r="AC15" s="191" t="inlineStr">
        <is>
          <t>1 × 10³</t>
        </is>
      </c>
      <c r="AD15" s="191" t="inlineStr">
        <is>
          <t>&lt; 10³ and &gt; 10²</t>
        </is>
      </c>
      <c r="AE15" s="191" t="inlineStr">
        <is>
          <t>Absent</t>
        </is>
      </c>
      <c r="AF15" s="191" t="inlineStr">
        <is>
          <t>Absent</t>
        </is>
      </c>
      <c r="AG15" s="184" t="inlineStr">
        <is>
          <t>✓</t>
        </is>
      </c>
      <c r="AH15" s="180" t="n"/>
      <c r="AI15" s="179" t="n"/>
      <c r="AJ15" s="179" t="n"/>
      <c r="AK15" s="181" t="n"/>
      <c r="AL15" s="180" t="n"/>
      <c r="AM15" s="179" t="n"/>
      <c r="AN15" s="179" t="n"/>
      <c r="AO15" s="179" t="n"/>
      <c r="AP15" s="181" t="n"/>
      <c r="AQ15" s="180" t="n"/>
      <c r="AR15" s="179" t="n"/>
      <c r="AS15" s="192" t="n"/>
    </row>
    <row r="16" ht="13" customHeight="1" s="70">
      <c r="A16" s="193" t="n"/>
      <c r="B16" s="194" t="n"/>
      <c r="C16" s="194" t="n"/>
      <c r="D16" s="195" t="n"/>
      <c r="E16" s="194" t="n"/>
      <c r="F16" s="196" t="n"/>
      <c r="G16" s="195" t="n"/>
      <c r="H16" s="194" t="n"/>
      <c r="I16" s="196" t="n"/>
      <c r="J16" s="195" t="n"/>
      <c r="K16" s="194" t="n"/>
      <c r="L16" s="196" t="n"/>
      <c r="M16" s="195" t="n"/>
      <c r="N16" s="194" t="n"/>
      <c r="O16" s="196" t="n"/>
      <c r="P16" s="195" t="n"/>
      <c r="Q16" s="194" t="n"/>
      <c r="R16" s="196" t="n"/>
      <c r="S16" s="195" t="n"/>
      <c r="T16" s="194" t="n"/>
      <c r="U16" s="196" t="n"/>
      <c r="V16" s="195" t="n"/>
      <c r="W16" s="194" t="n"/>
      <c r="X16" s="196" t="n"/>
      <c r="Y16" s="195" t="n"/>
      <c r="Z16" s="194" t="n"/>
      <c r="AA16" s="196" t="n"/>
      <c r="AB16" s="197" t="inlineStr">
        <is>
          <t>543-1074-26, (31.08.2026) [IJZ-MB]</t>
        </is>
      </c>
      <c r="AC16" s="194" t="n"/>
      <c r="AD16" s="194" t="n"/>
      <c r="AE16" s="194" t="n"/>
      <c r="AF16" s="194" t="n"/>
      <c r="AG16" s="196" t="n"/>
      <c r="AH16" s="195" t="n"/>
      <c r="AI16" s="194" t="n"/>
      <c r="AJ16" s="194" t="n"/>
      <c r="AK16" s="196" t="n"/>
      <c r="AL16" s="195" t="n"/>
      <c r="AM16" s="194" t="n"/>
      <c r="AN16" s="194" t="n"/>
      <c r="AO16" s="194" t="n"/>
      <c r="AP16" s="196" t="n"/>
      <c r="AQ16" s="195" t="n"/>
      <c r="AR16" s="194" t="n"/>
      <c r="AS16" s="198" t="n"/>
    </row>
    <row r="17" ht="17.625" customHeight="1" s="70">
      <c r="A17" s="160" t="inlineStr">
        <is>
          <t>CJ1024</t>
        </is>
      </c>
      <c r="B17" s="161" t="inlineStr">
        <is>
          <t>N/A — no P batch assigned</t>
        </is>
      </c>
      <c r="C17" s="162" t="inlineStr">
        <is>
          <t>✓ COMPLETE
2 testing instances
• 1 document(s) on file, not credited</t>
        </is>
      </c>
      <c r="D17" s="163" t="inlineStr">
        <is>
          <t>Conforms</t>
        </is>
      </c>
      <c r="E17" s="164">
        <f>IFERROR(INDEX('iCoA Register'!$B:$B,MATCH("CJ1024|I",'iCoA Register'!$P:$P,0)),"iCoA — at issue")&amp;", (03.03.2025) [PP]"</f>
        <v/>
      </c>
      <c r="F17" s="165" t="inlineStr">
        <is>
          <t>✓</t>
        </is>
      </c>
      <c r="G17" s="166" t="inlineStr">
        <is>
          <t>not on this certificate</t>
        </is>
      </c>
      <c r="H17" s="167" t="inlineStr">
        <is>
          <t>ППК25052, (26.02.2025) [CNP] · on file, not credited</t>
        </is>
      </c>
      <c r="I17" s="168" t="inlineStr">
        <is>
          <t>•</t>
        </is>
      </c>
      <c r="J17" s="163" t="inlineStr">
        <is>
          <t>Conforms (ImB spec.)</t>
        </is>
      </c>
      <c r="K17" s="164" t="inlineStr">
        <is>
          <t>ППК25052, (26.02.2025) [CNP]</t>
        </is>
      </c>
      <c r="L17" s="165" t="inlineStr">
        <is>
          <t>✓</t>
        </is>
      </c>
      <c r="M17" s="169" t="inlineStr">
        <is>
          <t>23.00</t>
        </is>
      </c>
      <c r="N17" s="164" t="inlineStr">
        <is>
          <t>ППК25052, (26.02.2025) [CNP]</t>
        </is>
      </c>
      <c r="O17" s="165" t="inlineStr">
        <is>
          <t>✓</t>
        </is>
      </c>
      <c r="P17" s="170" t="inlineStr">
        <is>
          <t>0.05</t>
        </is>
      </c>
      <c r="Q17" s="164" t="inlineStr">
        <is>
          <t>ППК25052, (26.02.2025) [CNP]</t>
        </is>
      </c>
      <c r="R17" s="165" t="inlineStr">
        <is>
          <t>✓</t>
        </is>
      </c>
      <c r="S17" s="170" t="inlineStr">
        <is>
          <t>0.02 ᴰ</t>
        </is>
      </c>
      <c r="T17" s="164" t="inlineStr">
        <is>
          <t>ППК25052, (26.02.2025) [CNP]</t>
        </is>
      </c>
      <c r="U17" s="165" t="inlineStr">
        <is>
          <t>✓</t>
        </is>
      </c>
      <c r="V17" s="163" t="inlineStr">
        <is>
          <t>Conforms</t>
        </is>
      </c>
      <c r="W17" s="164">
        <f>IFERROR(INDEX('iCoA Register'!$B:$B,MATCH("CJ1024|I",'iCoA Register'!$P:$P,0)),"iCoA — at issue")&amp;", (03.03.2025) [PP]"</f>
        <v/>
      </c>
      <c r="X17" s="165" t="inlineStr">
        <is>
          <t>✓</t>
        </is>
      </c>
      <c r="Y17" s="163" t="inlineStr">
        <is>
          <t>5.91</t>
        </is>
      </c>
      <c r="Z17" s="164" t="inlineStr">
        <is>
          <t>ППК25052, (26.02.2025) [CNP]</t>
        </is>
      </c>
      <c r="AA17" s="165" t="inlineStr">
        <is>
          <t>✓</t>
        </is>
      </c>
      <c r="AB17" s="163" t="inlineStr">
        <is>
          <t>8.4 × 10³</t>
        </is>
      </c>
      <c r="AC17" s="171" t="inlineStr">
        <is>
          <t>&lt; 10</t>
        </is>
      </c>
      <c r="AD17" s="171" t="inlineStr">
        <is>
          <t>&lt; 10</t>
        </is>
      </c>
      <c r="AE17" s="171" t="inlineStr">
        <is>
          <t>Absent</t>
        </is>
      </c>
      <c r="AF17" s="171" t="inlineStr">
        <is>
          <t>Absent</t>
        </is>
      </c>
      <c r="AG17" s="165" t="inlineStr">
        <is>
          <t>✓</t>
        </is>
      </c>
      <c r="AH17" s="163" t="inlineStr">
        <is>
          <t>ND</t>
        </is>
      </c>
      <c r="AI17" s="171" t="inlineStr">
        <is>
          <t>&lt; 2</t>
        </is>
      </c>
      <c r="AJ17" s="171" t="inlineStr">
        <is>
          <t>ND</t>
        </is>
      </c>
      <c r="AK17" s="165" t="inlineStr">
        <is>
          <t>✓</t>
        </is>
      </c>
      <c r="AL17" s="163" t="inlineStr">
        <is>
          <t>0.036</t>
        </is>
      </c>
      <c r="AM17" s="171" t="inlineStr">
        <is>
          <t>0.013</t>
        </is>
      </c>
      <c r="AN17" s="171" t="inlineStr">
        <is>
          <t>0.063</t>
        </is>
      </c>
      <c r="AO17" s="171" t="inlineStr">
        <is>
          <t>0.006</t>
        </is>
      </c>
      <c r="AP17" s="165" t="inlineStr">
        <is>
          <t>✓</t>
        </is>
      </c>
      <c r="AQ17" s="163" t="inlineStr">
        <is>
          <t>≤ LOQ (all 29 compounds)</t>
        </is>
      </c>
      <c r="AR17" s="164" t="inlineStr">
        <is>
          <t>750-2025, (27.02.2025) [IJZ]</t>
        </is>
      </c>
      <c r="AS17" s="172" t="inlineStr">
        <is>
          <t>✓</t>
        </is>
      </c>
    </row>
    <row r="18" ht="13" customHeight="1" s="70">
      <c r="A18" s="173" t="n"/>
      <c r="D18" s="174" t="n"/>
      <c r="F18" s="175" t="n"/>
      <c r="G18" s="174" t="n"/>
      <c r="I18" s="175" t="n"/>
      <c r="J18" s="174" t="n"/>
      <c r="L18" s="175" t="n"/>
      <c r="M18" s="174" t="n"/>
      <c r="O18" s="175" t="n"/>
      <c r="P18" s="174" t="n"/>
      <c r="R18" s="175" t="n"/>
      <c r="S18" s="174" t="n"/>
      <c r="U18" s="175" t="n"/>
      <c r="V18" s="174" t="n"/>
      <c r="X18" s="175" t="n"/>
      <c r="Y18" s="174" t="n"/>
      <c r="AA18" s="175" t="n"/>
      <c r="AB18" s="176" t="inlineStr">
        <is>
          <t>164-0272-25, (24.02.2025) [IJZ-MB]</t>
        </is>
      </c>
      <c r="AG18" s="175" t="n"/>
      <c r="AH18" s="176" t="inlineStr">
        <is>
          <t>750-2025, (27.02.2025) [IJZ]</t>
        </is>
      </c>
      <c r="AK18" s="175" t="n"/>
      <c r="AL18" s="176" t="inlineStr">
        <is>
          <t>750-2025, (27.02.2025) [IJZ]</t>
        </is>
      </c>
      <c r="AP18" s="175" t="n"/>
      <c r="AQ18" s="174" t="n"/>
      <c r="AS18" s="177" t="n"/>
    </row>
    <row r="19" ht="14" customHeight="1" s="70">
      <c r="A19" s="178" t="n"/>
      <c r="B19" s="179" t="n"/>
      <c r="D19" s="180" t="n"/>
      <c r="E19" s="179" t="n"/>
      <c r="F19" s="181" t="n"/>
      <c r="G19" s="182" t="inlineStr">
        <is>
          <t>Conforms</t>
        </is>
      </c>
      <c r="H19" s="183">
        <f>IFERROR(INDEX('iCoA Register'!$B:$B,MATCH("CJ1024|I",'iCoA Register'!$P:$P,0)),"iCoA — at issue")&amp;", (03.03.2025) [PP]"</f>
        <v/>
      </c>
      <c r="I19" s="184" t="inlineStr">
        <is>
          <t>✓</t>
        </is>
      </c>
      <c r="J19" s="180" t="n"/>
      <c r="K19" s="179" t="n"/>
      <c r="L19" s="181" t="n"/>
      <c r="M19" s="180" t="n"/>
      <c r="N19" s="179" t="n"/>
      <c r="O19" s="181" t="n"/>
      <c r="P19" s="180" t="n"/>
      <c r="Q19" s="179" t="n"/>
      <c r="R19" s="181" t="n"/>
      <c r="S19" s="180" t="n"/>
      <c r="T19" s="179" t="n"/>
      <c r="U19" s="181" t="n"/>
      <c r="V19" s="180" t="n"/>
      <c r="W19" s="179" t="n"/>
      <c r="X19" s="181" t="n"/>
      <c r="Y19" s="180" t="n"/>
      <c r="Z19" s="179" t="n"/>
      <c r="AA19" s="181" t="n"/>
      <c r="AB19" s="190" t="inlineStr">
        <is>
          <t>&lt; 10</t>
        </is>
      </c>
      <c r="AC19" s="191" t="inlineStr">
        <is>
          <t>10</t>
        </is>
      </c>
      <c r="AD19" s="191" t="inlineStr">
        <is>
          <t>&lt; 10</t>
        </is>
      </c>
      <c r="AE19" s="191" t="inlineStr">
        <is>
          <t>Absent</t>
        </is>
      </c>
      <c r="AF19" s="191" t="inlineStr">
        <is>
          <t>Absent</t>
        </is>
      </c>
      <c r="AG19" s="184" t="inlineStr">
        <is>
          <t>✓</t>
        </is>
      </c>
      <c r="AH19" s="180" t="n"/>
      <c r="AI19" s="179" t="n"/>
      <c r="AJ19" s="179" t="n"/>
      <c r="AK19" s="181" t="n"/>
      <c r="AL19" s="180" t="n"/>
      <c r="AM19" s="179" t="n"/>
      <c r="AN19" s="179" t="n"/>
      <c r="AO19" s="179" t="n"/>
      <c r="AP19" s="181" t="n"/>
      <c r="AQ19" s="180" t="n"/>
      <c r="AR19" s="179" t="n"/>
      <c r="AS19" s="192" t="n"/>
    </row>
    <row r="20" ht="13" customHeight="1" s="70">
      <c r="A20" s="193" t="n"/>
      <c r="B20" s="194" t="n"/>
      <c r="C20" s="194" t="n"/>
      <c r="D20" s="195" t="n"/>
      <c r="E20" s="194" t="n"/>
      <c r="F20" s="196" t="n"/>
      <c r="G20" s="195" t="n"/>
      <c r="H20" s="194" t="n"/>
      <c r="I20" s="196" t="n"/>
      <c r="J20" s="195" t="n"/>
      <c r="K20" s="194" t="n"/>
      <c r="L20" s="196" t="n"/>
      <c r="M20" s="195" t="n"/>
      <c r="N20" s="194" t="n"/>
      <c r="O20" s="196" t="n"/>
      <c r="P20" s="195" t="n"/>
      <c r="Q20" s="194" t="n"/>
      <c r="R20" s="196" t="n"/>
      <c r="S20" s="195" t="n"/>
      <c r="T20" s="194" t="n"/>
      <c r="U20" s="196" t="n"/>
      <c r="V20" s="195" t="n"/>
      <c r="W20" s="194" t="n"/>
      <c r="X20" s="196" t="n"/>
      <c r="Y20" s="195" t="n"/>
      <c r="Z20" s="194" t="n"/>
      <c r="AA20" s="196" t="n"/>
      <c r="AB20" s="197" t="inlineStr">
        <is>
          <t>565-1096-26, (01.09.2026) [IJZ-MB]</t>
        </is>
      </c>
      <c r="AC20" s="194" t="n"/>
      <c r="AD20" s="194" t="n"/>
      <c r="AE20" s="194" t="n"/>
      <c r="AF20" s="194" t="n"/>
      <c r="AG20" s="196" t="n"/>
      <c r="AH20" s="195" t="n"/>
      <c r="AI20" s="194" t="n"/>
      <c r="AJ20" s="194" t="n"/>
      <c r="AK20" s="196" t="n"/>
      <c r="AL20" s="195" t="n"/>
      <c r="AM20" s="194" t="n"/>
      <c r="AN20" s="194" t="n"/>
      <c r="AO20" s="194" t="n"/>
      <c r="AP20" s="196" t="n"/>
      <c r="AQ20" s="195" t="n"/>
      <c r="AR20" s="194" t="n"/>
      <c r="AS20" s="198" t="n"/>
    </row>
    <row r="21" ht="17.625" customHeight="1" s="70">
      <c r="A21" s="160" t="inlineStr">
        <is>
          <t>FB012601_1</t>
        </is>
      </c>
      <c r="B21" s="161" t="inlineStr">
        <is>
          <t>P060322</t>
        </is>
      </c>
      <c r="C21" s="162" t="inlineStr">
        <is>
          <t>✓ COMPLETE
2 testing instances
• 1 document(s) on file, not credited</t>
        </is>
      </c>
      <c r="D21" s="163" t="inlineStr">
        <is>
          <t>Conforms</t>
        </is>
      </c>
      <c r="E21" s="164">
        <f>IFERROR(INDEX('iCoA Register'!$B:$B,MATCH("P060322|I",'iCoA Register'!$P:$P,0)),"iCoA — at issue")&amp;", (22.05.2026) [PP]"</f>
        <v/>
      </c>
      <c r="F21" s="165" t="inlineStr">
        <is>
          <t>✓</t>
        </is>
      </c>
      <c r="G21" s="166" t="inlineStr">
        <is>
          <t>not on this certificate</t>
        </is>
      </c>
      <c r="H21" s="167" t="inlineStr">
        <is>
          <t>ППК26067, (11.05.2026) [CNP] · on file, not credited</t>
        </is>
      </c>
      <c r="I21" s="168" t="inlineStr">
        <is>
          <t>•</t>
        </is>
      </c>
      <c r="J21" s="163" t="inlineStr">
        <is>
          <t>Conforms (ImB spec.)</t>
        </is>
      </c>
      <c r="K21" s="164" t="inlineStr">
        <is>
          <t>ППК26067, (11.05.2026) [CNP]</t>
        </is>
      </c>
      <c r="L21" s="165" t="inlineStr">
        <is>
          <t>✓</t>
        </is>
      </c>
      <c r="M21" s="169" t="inlineStr">
        <is>
          <t>14.68</t>
        </is>
      </c>
      <c r="N21" s="164" t="inlineStr">
        <is>
          <t>ППК26067, (11.05.2026) [CNP]</t>
        </is>
      </c>
      <c r="O21" s="165" t="inlineStr">
        <is>
          <t>✓</t>
        </is>
      </c>
      <c r="P21" s="170" t="inlineStr">
        <is>
          <t>0.04</t>
        </is>
      </c>
      <c r="Q21" s="164" t="inlineStr">
        <is>
          <t>ППК26067, (11.05.2026) [CNP]</t>
        </is>
      </c>
      <c r="R21" s="165" t="inlineStr">
        <is>
          <t>✓</t>
        </is>
      </c>
      <c r="S21" s="170" t="inlineStr">
        <is>
          <t>&lt; LOQ ᴰ</t>
        </is>
      </c>
      <c r="T21" s="164" t="inlineStr">
        <is>
          <t>ППК26067, (11.05.2026) [CNP]</t>
        </is>
      </c>
      <c r="U21" s="165" t="inlineStr">
        <is>
          <t>✓</t>
        </is>
      </c>
      <c r="V21" s="163" t="inlineStr">
        <is>
          <t>Conforms</t>
        </is>
      </c>
      <c r="W21" s="164">
        <f>IFERROR(INDEX('iCoA Register'!$B:$B,MATCH("P060322|I",'iCoA Register'!$P:$P,0)),"iCoA — at issue")&amp;", (22.05.2026) [PP]"</f>
        <v/>
      </c>
      <c r="X21" s="165" t="inlineStr">
        <is>
          <t>✓</t>
        </is>
      </c>
      <c r="Y21" s="163" t="inlineStr">
        <is>
          <t>7.67</t>
        </is>
      </c>
      <c r="Z21" s="164" t="inlineStr">
        <is>
          <t>ППК26067, (11.05.2026) [CNP]</t>
        </is>
      </c>
      <c r="AA21" s="165" t="inlineStr">
        <is>
          <t>✓</t>
        </is>
      </c>
      <c r="AB21" s="163" t="inlineStr">
        <is>
          <t>2 × 10³</t>
        </is>
      </c>
      <c r="AC21" s="171" t="inlineStr">
        <is>
          <t>2.1 × 10³</t>
        </is>
      </c>
      <c r="AD21" s="171" t="inlineStr">
        <is>
          <t>&lt; 10</t>
        </is>
      </c>
      <c r="AE21" s="171" t="inlineStr">
        <is>
          <t>Absent</t>
        </is>
      </c>
      <c r="AF21" s="171" t="inlineStr">
        <is>
          <t>Absent</t>
        </is>
      </c>
      <c r="AG21" s="165" t="inlineStr">
        <is>
          <t>✓</t>
        </is>
      </c>
      <c r="AH21" s="163" t="inlineStr">
        <is>
          <t>ND</t>
        </is>
      </c>
      <c r="AI21" s="171" t="inlineStr">
        <is>
          <t>&lt; 2</t>
        </is>
      </c>
      <c r="AJ21" s="171" t="inlineStr">
        <is>
          <t>ND</t>
        </is>
      </c>
      <c r="AK21" s="165" t="inlineStr">
        <is>
          <t>✓</t>
        </is>
      </c>
      <c r="AL21" s="163" t="inlineStr">
        <is>
          <t>0.0114</t>
        </is>
      </c>
      <c r="AM21" s="171" t="inlineStr">
        <is>
          <t>0.017</t>
        </is>
      </c>
      <c r="AN21" s="171" t="inlineStr">
        <is>
          <t>0.0144</t>
        </is>
      </c>
      <c r="AO21" s="171" t="inlineStr">
        <is>
          <t>0.0155</t>
        </is>
      </c>
      <c r="AP21" s="165" t="inlineStr">
        <is>
          <t>✓</t>
        </is>
      </c>
      <c r="AQ21" s="163" t="inlineStr">
        <is>
          <t>≤ LOQ (all 26 compounds)</t>
        </is>
      </c>
      <c r="AR21" s="164" t="inlineStr">
        <is>
          <t>2362-2026, (30.04.2026) [IJZ]</t>
        </is>
      </c>
      <c r="AS21" s="172" t="inlineStr">
        <is>
          <t>✓</t>
        </is>
      </c>
    </row>
    <row r="22" ht="13" customHeight="1" s="70">
      <c r="A22" s="173" t="n"/>
      <c r="D22" s="174" t="n"/>
      <c r="F22" s="175" t="n"/>
      <c r="G22" s="174" t="n"/>
      <c r="I22" s="175" t="n"/>
      <c r="J22" s="174" t="n"/>
      <c r="L22" s="175" t="n"/>
      <c r="M22" s="174" t="n"/>
      <c r="O22" s="175" t="n"/>
      <c r="P22" s="174" t="n"/>
      <c r="R22" s="175" t="n"/>
      <c r="S22" s="174" t="n"/>
      <c r="U22" s="175" t="n"/>
      <c r="V22" s="174" t="n"/>
      <c r="X22" s="175" t="n"/>
      <c r="Y22" s="174" t="n"/>
      <c r="AA22" s="175" t="n"/>
      <c r="AB22" s="176" t="inlineStr">
        <is>
          <t>308-0552-26, (28.04.2026) [IJZ-MB]</t>
        </is>
      </c>
      <c r="AG22" s="175" t="n"/>
      <c r="AH22" s="176" t="inlineStr">
        <is>
          <t>2362-2026, (30.04.2026) [IJZ]</t>
        </is>
      </c>
      <c r="AK22" s="175" t="n"/>
      <c r="AL22" s="176" t="inlineStr">
        <is>
          <t>2362-2026, (30.04.2026) [IJZ]</t>
        </is>
      </c>
      <c r="AP22" s="175" t="n"/>
      <c r="AQ22" s="174" t="n"/>
      <c r="AS22" s="177" t="n"/>
    </row>
    <row r="23" ht="14" customHeight="1" s="70">
      <c r="A23" s="178" t="n"/>
      <c r="B23" s="179" t="n"/>
      <c r="D23" s="180" t="n"/>
      <c r="E23" s="179" t="n"/>
      <c r="F23" s="181" t="n"/>
      <c r="G23" s="182" t="inlineStr">
        <is>
          <t>Conforms</t>
        </is>
      </c>
      <c r="H23" s="183">
        <f>IFERROR(INDEX('iCoA Register'!$B:$B,MATCH("P060322|I",'iCoA Register'!$P:$P,0)),"iCoA — at issue")&amp;", (22.05.2026) [PP]"</f>
        <v/>
      </c>
      <c r="I23" s="184" t="inlineStr">
        <is>
          <t>✓</t>
        </is>
      </c>
      <c r="J23" s="180" t="n"/>
      <c r="K23" s="179" t="n"/>
      <c r="L23" s="181" t="n"/>
      <c r="M23" s="180" t="n"/>
      <c r="N23" s="179" t="n"/>
      <c r="O23" s="181" t="n"/>
      <c r="P23" s="180" t="n"/>
      <c r="Q23" s="179" t="n"/>
      <c r="R23" s="181" t="n"/>
      <c r="S23" s="180" t="n"/>
      <c r="T23" s="179" t="n"/>
      <c r="U23" s="181" t="n"/>
      <c r="V23" s="180" t="n"/>
      <c r="W23" s="179" t="n"/>
      <c r="X23" s="181" t="n"/>
      <c r="Y23" s="180" t="n"/>
      <c r="Z23" s="179" t="n"/>
      <c r="AA23" s="181" t="n"/>
      <c r="AB23" s="180" t="n"/>
      <c r="AC23" s="179" t="n"/>
      <c r="AD23" s="179" t="n"/>
      <c r="AE23" s="179" t="n"/>
      <c r="AF23" s="179" t="n"/>
      <c r="AG23" s="181" t="n"/>
      <c r="AH23" s="180" t="n"/>
      <c r="AI23" s="179" t="n"/>
      <c r="AJ23" s="179" t="n"/>
      <c r="AK23" s="181" t="n"/>
      <c r="AL23" s="180" t="n"/>
      <c r="AM23" s="179" t="n"/>
      <c r="AN23" s="179" t="n"/>
      <c r="AO23" s="179" t="n"/>
      <c r="AP23" s="181" t="n"/>
      <c r="AQ23" s="180" t="n"/>
      <c r="AR23" s="179" t="n"/>
      <c r="AS23" s="192" t="n"/>
    </row>
    <row r="24" ht="13" customHeight="1" s="70">
      <c r="A24" s="193" t="n"/>
      <c r="B24" s="194" t="n"/>
      <c r="C24" s="194" t="n"/>
      <c r="D24" s="195" t="n"/>
      <c r="E24" s="194" t="n"/>
      <c r="F24" s="196" t="n"/>
      <c r="G24" s="195" t="n"/>
      <c r="H24" s="194" t="n"/>
      <c r="I24" s="196" t="n"/>
      <c r="J24" s="195" t="n"/>
      <c r="K24" s="194" t="n"/>
      <c r="L24" s="196" t="n"/>
      <c r="M24" s="195" t="n"/>
      <c r="N24" s="194" t="n"/>
      <c r="O24" s="196" t="n"/>
      <c r="P24" s="195" t="n"/>
      <c r="Q24" s="194" t="n"/>
      <c r="R24" s="196" t="n"/>
      <c r="S24" s="195" t="n"/>
      <c r="T24" s="194" t="n"/>
      <c r="U24" s="196" t="n"/>
      <c r="V24" s="195" t="n"/>
      <c r="W24" s="194" t="n"/>
      <c r="X24" s="196" t="n"/>
      <c r="Y24" s="195" t="n"/>
      <c r="Z24" s="194" t="n"/>
      <c r="AA24" s="196" t="n"/>
      <c r="AB24" s="195" t="n"/>
      <c r="AC24" s="194" t="n"/>
      <c r="AD24" s="194" t="n"/>
      <c r="AE24" s="194" t="n"/>
      <c r="AF24" s="194" t="n"/>
      <c r="AG24" s="196" t="n"/>
      <c r="AH24" s="195" t="n"/>
      <c r="AI24" s="194" t="n"/>
      <c r="AJ24" s="194" t="n"/>
      <c r="AK24" s="196" t="n"/>
      <c r="AL24" s="195" t="n"/>
      <c r="AM24" s="194" t="n"/>
      <c r="AN24" s="194" t="n"/>
      <c r="AO24" s="194" t="n"/>
      <c r="AP24" s="196" t="n"/>
      <c r="AQ24" s="195" t="n"/>
      <c r="AR24" s="194" t="n"/>
      <c r="AS24" s="198" t="n"/>
    </row>
    <row r="25" ht="21" customHeight="1" s="70">
      <c r="A25" s="160" t="inlineStr">
        <is>
          <t>FB012603</t>
        </is>
      </c>
      <c r="B25" s="161" t="inlineStr">
        <is>
          <t>P060432</t>
        </is>
      </c>
      <c r="C25" s="199" t="inlineStr">
        <is>
          <t>⚠ 3 NO RESULT
(3 no cert / 0 cert w/o result)</t>
        </is>
      </c>
      <c r="D25" s="200" t="inlineStr">
        <is>
          <t>Conforms</t>
        </is>
      </c>
      <c r="E25" s="201" t="inlineStr">
        <is>
          <t>ППК26112, (30.06.2026) [CNP]</t>
        </is>
      </c>
      <c r="F25" s="202" t="inlineStr">
        <is>
          <t>✓</t>
        </is>
      </c>
      <c r="G25" s="200" t="inlineStr">
        <is>
          <t>Conforms</t>
        </is>
      </c>
      <c r="H25" s="201" t="inlineStr">
        <is>
          <t>ППК26112, (30.06.2026) [CNP]</t>
        </is>
      </c>
      <c r="I25" s="202" t="inlineStr">
        <is>
          <t>✓</t>
        </is>
      </c>
      <c r="J25" s="200" t="inlineStr">
        <is>
          <t>Conforms (ImB spec.)</t>
        </is>
      </c>
      <c r="K25" s="201" t="inlineStr">
        <is>
          <t>ППК26112, (30.06.2026) [CNP]</t>
        </is>
      </c>
      <c r="L25" s="202" t="inlineStr">
        <is>
          <t>✓</t>
        </is>
      </c>
      <c r="M25" s="203" t="inlineStr">
        <is>
          <t>20.83</t>
        </is>
      </c>
      <c r="N25" s="201" t="inlineStr">
        <is>
          <t>ППК26112, (30.06.2026) [CNP]</t>
        </is>
      </c>
      <c r="O25" s="202" t="inlineStr">
        <is>
          <t>✓</t>
        </is>
      </c>
      <c r="P25" s="204" t="inlineStr">
        <is>
          <t>0.21</t>
        </is>
      </c>
      <c r="Q25" s="201" t="inlineStr">
        <is>
          <t>ППК26112, (30.06.2026) [CNP]</t>
        </is>
      </c>
      <c r="R25" s="202" t="inlineStr">
        <is>
          <t>✓</t>
        </is>
      </c>
      <c r="S25" s="204" t="inlineStr">
        <is>
          <t>0.06</t>
        </is>
      </c>
      <c r="T25" s="201" t="inlineStr">
        <is>
          <t>ППК26112, (30.06.2026) [CNP]</t>
        </is>
      </c>
      <c r="U25" s="202" t="inlineStr">
        <is>
          <t>✓</t>
        </is>
      </c>
      <c r="V25" s="200" t="inlineStr">
        <is>
          <t>Conforms (no value printed)</t>
        </is>
      </c>
      <c r="W25" s="201" t="inlineStr">
        <is>
          <t>ППК26112, (30.06.2026) [CNP]</t>
        </is>
      </c>
      <c r="X25" s="202" t="inlineStr">
        <is>
          <t>✓</t>
        </is>
      </c>
      <c r="Y25" s="200" t="inlineStr">
        <is>
          <t>7.04</t>
        </is>
      </c>
      <c r="Z25" s="201" t="inlineStr">
        <is>
          <t>ППК26112, (30.06.2026) [CNP]</t>
        </is>
      </c>
      <c r="AA25" s="202" t="inlineStr">
        <is>
          <t>✓</t>
        </is>
      </c>
      <c r="AB25" s="163" t="inlineStr">
        <is>
          <t>9.8 × 10³</t>
        </is>
      </c>
      <c r="AC25" s="171" t="inlineStr">
        <is>
          <t>2.5 × 10³</t>
        </is>
      </c>
      <c r="AD25" s="171" t="inlineStr">
        <is>
          <t>&lt; 10² and &gt; 10</t>
        </is>
      </c>
      <c r="AE25" s="171" t="inlineStr">
        <is>
          <t>Absent</t>
        </is>
      </c>
      <c r="AF25" s="171" t="inlineStr">
        <is>
          <t>Absent</t>
        </is>
      </c>
      <c r="AG25" s="202" t="inlineStr">
        <is>
          <t>✓</t>
        </is>
      </c>
      <c r="AH25" s="205" t="inlineStr">
        <is>
          <t>— MISSING —</t>
        </is>
      </c>
      <c r="AI25" s="206" t="inlineStr">
        <is>
          <t>— MISSING —</t>
        </is>
      </c>
      <c r="AJ25" s="206" t="inlineStr">
        <is>
          <t>— MISSING —</t>
        </is>
      </c>
      <c r="AK25" s="207" t="inlineStr">
        <is>
          <t>✗</t>
        </is>
      </c>
      <c r="AL25" s="205" t="inlineStr">
        <is>
          <t>— MISSING —</t>
        </is>
      </c>
      <c r="AM25" s="206" t="inlineStr">
        <is>
          <t>— MISSING —</t>
        </is>
      </c>
      <c r="AN25" s="206" t="inlineStr">
        <is>
          <t>— MISSING —</t>
        </is>
      </c>
      <c r="AO25" s="206" t="inlineStr">
        <is>
          <t>— MISSING —</t>
        </is>
      </c>
      <c r="AP25" s="207" t="inlineStr">
        <is>
          <t>✗</t>
        </is>
      </c>
      <c r="AQ25" s="208" t="inlineStr">
        <is>
          <t>— MISSING —</t>
        </is>
      </c>
      <c r="AR25" s="209" t="inlineStr">
        <is>
          <t>— no certificate —</t>
        </is>
      </c>
      <c r="AS25" s="210" t="inlineStr">
        <is>
          <t>✗</t>
        </is>
      </c>
    </row>
    <row r="26" ht="15.375" customHeight="1" s="70">
      <c r="A26" s="193" t="n"/>
      <c r="B26" s="194" t="n"/>
      <c r="C26" s="194" t="n"/>
      <c r="D26" s="195" t="n"/>
      <c r="E26" s="194" t="n"/>
      <c r="F26" s="196" t="n"/>
      <c r="G26" s="195" t="n"/>
      <c r="H26" s="194" t="n"/>
      <c r="I26" s="196" t="n"/>
      <c r="J26" s="195" t="n"/>
      <c r="K26" s="194" t="n"/>
      <c r="L26" s="196" t="n"/>
      <c r="M26" s="195" t="n"/>
      <c r="N26" s="194" t="n"/>
      <c r="O26" s="196" t="n"/>
      <c r="P26" s="195" t="n"/>
      <c r="Q26" s="194" t="n"/>
      <c r="R26" s="196" t="n"/>
      <c r="S26" s="195" t="n"/>
      <c r="T26" s="194" t="n"/>
      <c r="U26" s="196" t="n"/>
      <c r="V26" s="195" t="n"/>
      <c r="W26" s="194" t="n"/>
      <c r="X26" s="196" t="n"/>
      <c r="Y26" s="195" t="n"/>
      <c r="Z26" s="194" t="n"/>
      <c r="AA26" s="196" t="n"/>
      <c r="AB26" s="197" t="inlineStr">
        <is>
          <t>537-1068-26, (31.08.2026) [IJZ-MB]</t>
        </is>
      </c>
      <c r="AC26" s="194" t="n"/>
      <c r="AD26" s="194" t="n"/>
      <c r="AE26" s="194" t="n"/>
      <c r="AF26" s="194" t="n"/>
      <c r="AG26" s="196" t="n"/>
      <c r="AH26" s="211" t="inlineStr">
        <is>
          <t>— no certificate —</t>
        </is>
      </c>
      <c r="AI26" s="194" t="n"/>
      <c r="AJ26" s="194" t="n"/>
      <c r="AK26" s="196" t="n"/>
      <c r="AL26" s="211" t="inlineStr">
        <is>
          <t>— no certificate —</t>
        </is>
      </c>
      <c r="AM26" s="194" t="n"/>
      <c r="AN26" s="194" t="n"/>
      <c r="AO26" s="194" t="n"/>
      <c r="AP26" s="196" t="n"/>
      <c r="AQ26" s="195" t="n"/>
      <c r="AR26" s="194" t="n"/>
      <c r="AS26" s="198" t="n"/>
    </row>
    <row r="27" ht="21" customHeight="1" s="70">
      <c r="A27" s="160" t="inlineStr">
        <is>
          <t>FB012603V</t>
        </is>
      </c>
      <c r="B27" s="161" t="inlineStr">
        <is>
          <t>P060392</t>
        </is>
      </c>
      <c r="C27" s="199" t="inlineStr">
        <is>
          <t>⚠ 3 NO RESULT
(3 no cert / 0 cert w/o result)</t>
        </is>
      </c>
      <c r="D27" s="200" t="inlineStr">
        <is>
          <t>Conforms</t>
        </is>
      </c>
      <c r="E27" s="201" t="inlineStr">
        <is>
          <t>ППК26110, (30.06.2026) [CNP]</t>
        </is>
      </c>
      <c r="F27" s="202" t="inlineStr">
        <is>
          <t>✓</t>
        </is>
      </c>
      <c r="G27" s="200" t="inlineStr">
        <is>
          <t>Conforms</t>
        </is>
      </c>
      <c r="H27" s="201" t="inlineStr">
        <is>
          <t>ППК26110, (30.06.2026) [CNP]</t>
        </is>
      </c>
      <c r="I27" s="202" t="inlineStr">
        <is>
          <t>✓</t>
        </is>
      </c>
      <c r="J27" s="200" t="inlineStr">
        <is>
          <t>Conforms (ImB spec.)</t>
        </is>
      </c>
      <c r="K27" s="201" t="inlineStr">
        <is>
          <t>ППК26110, (30.06.2026) [CNP]</t>
        </is>
      </c>
      <c r="L27" s="202" t="inlineStr">
        <is>
          <t>✓</t>
        </is>
      </c>
      <c r="M27" s="203" t="inlineStr">
        <is>
          <t>18.29</t>
        </is>
      </c>
      <c r="N27" s="201" t="inlineStr">
        <is>
          <t>ППК26110, (30.06.2026) [CNP]</t>
        </is>
      </c>
      <c r="O27" s="202" t="inlineStr">
        <is>
          <t>✓</t>
        </is>
      </c>
      <c r="P27" s="204" t="inlineStr">
        <is>
          <t>0.16</t>
        </is>
      </c>
      <c r="Q27" s="201" t="inlineStr">
        <is>
          <t>ППК26110, (30.06.2026) [CNP]</t>
        </is>
      </c>
      <c r="R27" s="202" t="inlineStr">
        <is>
          <t>✓</t>
        </is>
      </c>
      <c r="S27" s="204" t="inlineStr">
        <is>
          <t>0.06</t>
        </is>
      </c>
      <c r="T27" s="201" t="inlineStr">
        <is>
          <t>ППК26110, (30.06.2026) [CNP]</t>
        </is>
      </c>
      <c r="U27" s="202" t="inlineStr">
        <is>
          <t>✓</t>
        </is>
      </c>
      <c r="V27" s="200" t="inlineStr">
        <is>
          <t>Conforms (no value printed)</t>
        </is>
      </c>
      <c r="W27" s="201" t="inlineStr">
        <is>
          <t>ППК26110, (30.06.2026) [CNP]</t>
        </is>
      </c>
      <c r="X27" s="202" t="inlineStr">
        <is>
          <t>✓</t>
        </is>
      </c>
      <c r="Y27" s="200" t="inlineStr">
        <is>
          <t>6.36</t>
        </is>
      </c>
      <c r="Z27" s="201" t="inlineStr">
        <is>
          <t>ППК26110, (30.06.2026) [CNP]</t>
        </is>
      </c>
      <c r="AA27" s="202" t="inlineStr">
        <is>
          <t>✓</t>
        </is>
      </c>
      <c r="AB27" s="163" t="inlineStr">
        <is>
          <t>2.9 × 10³</t>
        </is>
      </c>
      <c r="AC27" s="171" t="inlineStr">
        <is>
          <t>2.5 × 10³</t>
        </is>
      </c>
      <c r="AD27" s="171" t="inlineStr">
        <is>
          <t>&lt; 10</t>
        </is>
      </c>
      <c r="AE27" s="171" t="inlineStr">
        <is>
          <t>Absent</t>
        </is>
      </c>
      <c r="AF27" s="171" t="inlineStr">
        <is>
          <t>Absent</t>
        </is>
      </c>
      <c r="AG27" s="202" t="inlineStr">
        <is>
          <t>✓</t>
        </is>
      </c>
      <c r="AH27" s="205" t="inlineStr">
        <is>
          <t>— MISSING —</t>
        </is>
      </c>
      <c r="AI27" s="206" t="inlineStr">
        <is>
          <t>— MISSING —</t>
        </is>
      </c>
      <c r="AJ27" s="206" t="inlineStr">
        <is>
          <t>— MISSING —</t>
        </is>
      </c>
      <c r="AK27" s="207" t="inlineStr">
        <is>
          <t>✗</t>
        </is>
      </c>
      <c r="AL27" s="205" t="inlineStr">
        <is>
          <t>— MISSING —</t>
        </is>
      </c>
      <c r="AM27" s="206" t="inlineStr">
        <is>
          <t>— MISSING —</t>
        </is>
      </c>
      <c r="AN27" s="206" t="inlineStr">
        <is>
          <t>— MISSING —</t>
        </is>
      </c>
      <c r="AO27" s="206" t="inlineStr">
        <is>
          <t>— MISSING —</t>
        </is>
      </c>
      <c r="AP27" s="207" t="inlineStr">
        <is>
          <t>✗</t>
        </is>
      </c>
      <c r="AQ27" s="208" t="inlineStr">
        <is>
          <t>— MISSING —</t>
        </is>
      </c>
      <c r="AR27" s="209" t="inlineStr">
        <is>
          <t>— no certificate —</t>
        </is>
      </c>
      <c r="AS27" s="210" t="inlineStr">
        <is>
          <t>✗</t>
        </is>
      </c>
    </row>
    <row r="28" ht="15.375" customHeight="1" s="70">
      <c r="A28" s="193" t="n"/>
      <c r="B28" s="194" t="n"/>
      <c r="C28" s="194" t="n"/>
      <c r="D28" s="195" t="n"/>
      <c r="E28" s="194" t="n"/>
      <c r="F28" s="196" t="n"/>
      <c r="G28" s="195" t="n"/>
      <c r="H28" s="194" t="n"/>
      <c r="I28" s="196" t="n"/>
      <c r="J28" s="195" t="n"/>
      <c r="K28" s="194" t="n"/>
      <c r="L28" s="196" t="n"/>
      <c r="M28" s="195" t="n"/>
      <c r="N28" s="194" t="n"/>
      <c r="O28" s="196" t="n"/>
      <c r="P28" s="195" t="n"/>
      <c r="Q28" s="194" t="n"/>
      <c r="R28" s="196" t="n"/>
      <c r="S28" s="195" t="n"/>
      <c r="T28" s="194" t="n"/>
      <c r="U28" s="196" t="n"/>
      <c r="V28" s="195" t="n"/>
      <c r="W28" s="194" t="n"/>
      <c r="X28" s="196" t="n"/>
      <c r="Y28" s="195" t="n"/>
      <c r="Z28" s="194" t="n"/>
      <c r="AA28" s="196" t="n"/>
      <c r="AB28" s="197" t="inlineStr">
        <is>
          <t>538-1069-26, (31.08.2026) [IJZ-MB]</t>
        </is>
      </c>
      <c r="AC28" s="194" t="n"/>
      <c r="AD28" s="194" t="n"/>
      <c r="AE28" s="194" t="n"/>
      <c r="AF28" s="194" t="n"/>
      <c r="AG28" s="196" t="n"/>
      <c r="AH28" s="211" t="inlineStr">
        <is>
          <t>— no certificate —</t>
        </is>
      </c>
      <c r="AI28" s="194" t="n"/>
      <c r="AJ28" s="194" t="n"/>
      <c r="AK28" s="196" t="n"/>
      <c r="AL28" s="211" t="inlineStr">
        <is>
          <t>— no certificate —</t>
        </is>
      </c>
      <c r="AM28" s="194" t="n"/>
      <c r="AN28" s="194" t="n"/>
      <c r="AO28" s="194" t="n"/>
      <c r="AP28" s="196" t="n"/>
      <c r="AQ28" s="195" t="n"/>
      <c r="AR28" s="194" t="n"/>
      <c r="AS28" s="198" t="n"/>
    </row>
    <row r="29" ht="21" customHeight="1" s="70">
      <c r="A29" s="160" t="inlineStr">
        <is>
          <t>FB032601</t>
        </is>
      </c>
      <c r="B29" s="161" t="inlineStr">
        <is>
          <t>P060452</t>
        </is>
      </c>
      <c r="C29" s="212" t="inlineStr">
        <is>
          <t>✗ 4 NO RESULT
(4 no cert / 0 cert w/o result)
✗ OUT OF SPECIFICATION: #7</t>
        </is>
      </c>
      <c r="D29" s="200" t="inlineStr">
        <is>
          <t>Conforms</t>
        </is>
      </c>
      <c r="E29" s="201" t="inlineStr">
        <is>
          <t>ППК26127, (21.07.2026) [CNP]</t>
        </is>
      </c>
      <c r="F29" s="202" t="inlineStr">
        <is>
          <t>✓</t>
        </is>
      </c>
      <c r="G29" s="200" t="inlineStr">
        <is>
          <t>Conforms</t>
        </is>
      </c>
      <c r="H29" s="201" t="inlineStr">
        <is>
          <t>ППК26127, (21.07.2026) [CNP]</t>
        </is>
      </c>
      <c r="I29" s="202" t="inlineStr">
        <is>
          <t>✓</t>
        </is>
      </c>
      <c r="J29" s="200" t="inlineStr">
        <is>
          <t>Conforms (ImB spec.)</t>
        </is>
      </c>
      <c r="K29" s="201" t="inlineStr">
        <is>
          <t>ППК26127, (21.07.2026) [CNP]</t>
        </is>
      </c>
      <c r="L29" s="202" t="inlineStr">
        <is>
          <t>✓</t>
        </is>
      </c>
      <c r="M29" s="203" t="inlineStr">
        <is>
          <t>12.39</t>
        </is>
      </c>
      <c r="N29" s="201" t="inlineStr">
        <is>
          <t>ППК26127, (21.07.2026) [CNP]</t>
        </is>
      </c>
      <c r="O29" s="202" t="inlineStr">
        <is>
          <t>✓</t>
        </is>
      </c>
      <c r="P29" s="204" t="inlineStr">
        <is>
          <t>0.06</t>
        </is>
      </c>
      <c r="Q29" s="201" t="inlineStr">
        <is>
          <t>ППК26127, (21.07.2026) [CNP]</t>
        </is>
      </c>
      <c r="R29" s="202" t="inlineStr">
        <is>
          <t>✓</t>
        </is>
      </c>
      <c r="S29" s="204" t="inlineStr">
        <is>
          <t>0.04</t>
        </is>
      </c>
      <c r="T29" s="201" t="inlineStr">
        <is>
          <t>ППК26127, (21.07.2026) [CNP]</t>
        </is>
      </c>
      <c r="U29" s="202" t="inlineStr">
        <is>
          <t>✓</t>
        </is>
      </c>
      <c r="V29" s="213" t="inlineStr">
        <is>
          <t>0.08 % (Does not conform)</t>
        </is>
      </c>
      <c r="W29" s="201" t="inlineStr">
        <is>
          <t>ППК26127, (21.07.2026) [CNP]</t>
        </is>
      </c>
      <c r="X29" s="202" t="inlineStr">
        <is>
          <t>✓</t>
        </is>
      </c>
      <c r="Y29" s="200" t="inlineStr">
        <is>
          <t>7.77</t>
        </is>
      </c>
      <c r="Z29" s="201" t="inlineStr">
        <is>
          <t>ППК26127, (21.07.2026) [CNP]</t>
        </is>
      </c>
      <c r="AA29" s="202" t="inlineStr">
        <is>
          <t>✓</t>
        </is>
      </c>
      <c r="AB29" s="205" t="inlineStr">
        <is>
          <t>— MISSING —</t>
        </is>
      </c>
      <c r="AC29" s="206" t="inlineStr">
        <is>
          <t>— MISSING —</t>
        </is>
      </c>
      <c r="AD29" s="206" t="inlineStr">
        <is>
          <t>— MISSING —</t>
        </is>
      </c>
      <c r="AE29" s="206" t="inlineStr">
        <is>
          <t>— MISSING —</t>
        </is>
      </c>
      <c r="AF29" s="206" t="inlineStr">
        <is>
          <t>— MISSING —</t>
        </is>
      </c>
      <c r="AG29" s="207" t="inlineStr">
        <is>
          <t>✗</t>
        </is>
      </c>
      <c r="AH29" s="205" t="inlineStr">
        <is>
          <t>— MISSING —</t>
        </is>
      </c>
      <c r="AI29" s="206" t="inlineStr">
        <is>
          <t>— MISSING —</t>
        </is>
      </c>
      <c r="AJ29" s="206" t="inlineStr">
        <is>
          <t>— MISSING —</t>
        </is>
      </c>
      <c r="AK29" s="207" t="inlineStr">
        <is>
          <t>✗</t>
        </is>
      </c>
      <c r="AL29" s="205" t="inlineStr">
        <is>
          <t>— MISSING —</t>
        </is>
      </c>
      <c r="AM29" s="206" t="inlineStr">
        <is>
          <t>— MISSING —</t>
        </is>
      </c>
      <c r="AN29" s="206" t="inlineStr">
        <is>
          <t>— MISSING —</t>
        </is>
      </c>
      <c r="AO29" s="206" t="inlineStr">
        <is>
          <t>— MISSING —</t>
        </is>
      </c>
      <c r="AP29" s="207" t="inlineStr">
        <is>
          <t>✗</t>
        </is>
      </c>
      <c r="AQ29" s="208" t="inlineStr">
        <is>
          <t>— MISSING —</t>
        </is>
      </c>
      <c r="AR29" s="209" t="inlineStr">
        <is>
          <t>— no certificate —</t>
        </is>
      </c>
      <c r="AS29" s="210" t="inlineStr">
        <is>
          <t>✗</t>
        </is>
      </c>
    </row>
    <row r="30" ht="15.375" customHeight="1" s="70">
      <c r="A30" s="193" t="n"/>
      <c r="B30" s="194" t="n"/>
      <c r="C30" s="194" t="n"/>
      <c r="D30" s="195" t="n"/>
      <c r="E30" s="194" t="n"/>
      <c r="F30" s="196" t="n"/>
      <c r="G30" s="195" t="n"/>
      <c r="H30" s="194" t="n"/>
      <c r="I30" s="196" t="n"/>
      <c r="J30" s="195" t="n"/>
      <c r="K30" s="194" t="n"/>
      <c r="L30" s="196" t="n"/>
      <c r="M30" s="195" t="n"/>
      <c r="N30" s="194" t="n"/>
      <c r="O30" s="196" t="n"/>
      <c r="P30" s="195" t="n"/>
      <c r="Q30" s="194" t="n"/>
      <c r="R30" s="196" t="n"/>
      <c r="S30" s="195" t="n"/>
      <c r="T30" s="194" t="n"/>
      <c r="U30" s="196" t="n"/>
      <c r="V30" s="195" t="n"/>
      <c r="W30" s="194" t="n"/>
      <c r="X30" s="196" t="n"/>
      <c r="Y30" s="195" t="n"/>
      <c r="Z30" s="194" t="n"/>
      <c r="AA30" s="196" t="n"/>
      <c r="AB30" s="211" t="inlineStr">
        <is>
          <t>— no certificate —</t>
        </is>
      </c>
      <c r="AC30" s="194" t="n"/>
      <c r="AD30" s="194" t="n"/>
      <c r="AE30" s="194" t="n"/>
      <c r="AF30" s="194" t="n"/>
      <c r="AG30" s="196" t="n"/>
      <c r="AH30" s="211" t="inlineStr">
        <is>
          <t>— no certificate —</t>
        </is>
      </c>
      <c r="AI30" s="194" t="n"/>
      <c r="AJ30" s="194" t="n"/>
      <c r="AK30" s="196" t="n"/>
      <c r="AL30" s="211" t="inlineStr">
        <is>
          <t>— no certificate —</t>
        </is>
      </c>
      <c r="AM30" s="194" t="n"/>
      <c r="AN30" s="194" t="n"/>
      <c r="AO30" s="194" t="n"/>
      <c r="AP30" s="196" t="n"/>
      <c r="AQ30" s="195" t="n"/>
      <c r="AR30" s="194" t="n"/>
      <c r="AS30" s="198" t="n"/>
    </row>
    <row r="31" ht="17.625" customHeight="1" s="70">
      <c r="A31" s="160" t="inlineStr">
        <is>
          <t>FB112501</t>
        </is>
      </c>
      <c r="B31" s="161" t="inlineStr">
        <is>
          <t>P060292</t>
        </is>
      </c>
      <c r="C31" s="162" t="inlineStr">
        <is>
          <t>✓ COMPLETE
2 testing instances
• 1 document(s) on file, not credited</t>
        </is>
      </c>
      <c r="D31" s="163" t="inlineStr">
        <is>
          <t>Conforms</t>
        </is>
      </c>
      <c r="E31" s="164">
        <f>IFERROR(INDEX('iCoA Register'!$B:$B,MATCH("P060292|I",'iCoA Register'!$P:$P,0)),"iCoA — at issue")&amp;", (19.05.2026) [PP]"</f>
        <v/>
      </c>
      <c r="F31" s="165" t="inlineStr">
        <is>
          <t>✓</t>
        </is>
      </c>
      <c r="G31" s="166" t="inlineStr">
        <is>
          <t>not on this certificate</t>
        </is>
      </c>
      <c r="H31" s="167" t="inlineStr">
        <is>
          <t>ППК26066, (11.05.2026) [CNP] · on file, not credited</t>
        </is>
      </c>
      <c r="I31" s="168" t="inlineStr">
        <is>
          <t>•</t>
        </is>
      </c>
      <c r="J31" s="163" t="inlineStr">
        <is>
          <t>Conforms (ImB spec.)</t>
        </is>
      </c>
      <c r="K31" s="164" t="inlineStr">
        <is>
          <t>ППК26066, (11.05.2026) [CNP]</t>
        </is>
      </c>
      <c r="L31" s="165" t="inlineStr">
        <is>
          <t>✓</t>
        </is>
      </c>
      <c r="M31" s="169" t="inlineStr">
        <is>
          <t>16.69</t>
        </is>
      </c>
      <c r="N31" s="164" t="inlineStr">
        <is>
          <t>ППК26066, (11.05.2026) [CNP]</t>
        </is>
      </c>
      <c r="O31" s="165" t="inlineStr">
        <is>
          <t>✓</t>
        </is>
      </c>
      <c r="P31" s="170" t="inlineStr">
        <is>
          <t>0.05</t>
        </is>
      </c>
      <c r="Q31" s="164" t="inlineStr">
        <is>
          <t>ППК26066, (11.05.2026) [CNP]</t>
        </is>
      </c>
      <c r="R31" s="165" t="inlineStr">
        <is>
          <t>✓</t>
        </is>
      </c>
      <c r="S31" s="170" t="inlineStr">
        <is>
          <t>&lt; LOQ ᴰ</t>
        </is>
      </c>
      <c r="T31" s="164" t="inlineStr">
        <is>
          <t>ППК26066, (11.05.2026) [CNP]</t>
        </is>
      </c>
      <c r="U31" s="165" t="inlineStr">
        <is>
          <t>✓</t>
        </is>
      </c>
      <c r="V31" s="163" t="inlineStr">
        <is>
          <t>Conforms</t>
        </is>
      </c>
      <c r="W31" s="164">
        <f>IFERROR(INDEX('iCoA Register'!$B:$B,MATCH("P060292|I",'iCoA Register'!$P:$P,0)),"iCoA — at issue")&amp;", (19.05.2026) [PP]"</f>
        <v/>
      </c>
      <c r="X31" s="165" t="inlineStr">
        <is>
          <t>✓</t>
        </is>
      </c>
      <c r="Y31" s="163" t="inlineStr">
        <is>
          <t>6.09</t>
        </is>
      </c>
      <c r="Z31" s="164" t="inlineStr">
        <is>
          <t>ППК26066, (11.05.2026) [CNP]</t>
        </is>
      </c>
      <c r="AA31" s="165" t="inlineStr">
        <is>
          <t>✓</t>
        </is>
      </c>
      <c r="AB31" s="163" t="inlineStr">
        <is>
          <t>3.9 × 10³</t>
        </is>
      </c>
      <c r="AC31" s="171" t="inlineStr">
        <is>
          <t>2.4 × 10³</t>
        </is>
      </c>
      <c r="AD31" s="171" t="inlineStr">
        <is>
          <t>&lt; 10</t>
        </is>
      </c>
      <c r="AE31" s="171" t="inlineStr">
        <is>
          <t>Absent</t>
        </is>
      </c>
      <c r="AF31" s="171" t="inlineStr">
        <is>
          <t>Absent</t>
        </is>
      </c>
      <c r="AG31" s="165" t="inlineStr">
        <is>
          <t>✓</t>
        </is>
      </c>
      <c r="AH31" s="163" t="inlineStr">
        <is>
          <t>ND</t>
        </is>
      </c>
      <c r="AI31" s="171" t="inlineStr">
        <is>
          <t>&lt; 2</t>
        </is>
      </c>
      <c r="AJ31" s="171" t="inlineStr">
        <is>
          <t>ND</t>
        </is>
      </c>
      <c r="AK31" s="165" t="inlineStr">
        <is>
          <t>✓</t>
        </is>
      </c>
      <c r="AL31" s="163" t="inlineStr">
        <is>
          <t>0.0215</t>
        </is>
      </c>
      <c r="AM31" s="171" t="inlineStr">
        <is>
          <t>0.0108</t>
        </is>
      </c>
      <c r="AN31" s="171" t="inlineStr">
        <is>
          <t>0.0199</t>
        </is>
      </c>
      <c r="AO31" s="171" t="inlineStr">
        <is>
          <t>0.0078</t>
        </is>
      </c>
      <c r="AP31" s="165" t="inlineStr">
        <is>
          <t>✓</t>
        </is>
      </c>
      <c r="AQ31" s="163" t="inlineStr">
        <is>
          <t>≤ LOQ (all 29 compounds)</t>
        </is>
      </c>
      <c r="AR31" s="164" t="inlineStr">
        <is>
          <t>2357-2026, (29.04.2026) [IJZ]</t>
        </is>
      </c>
      <c r="AS31" s="172" t="inlineStr">
        <is>
          <t>✓</t>
        </is>
      </c>
    </row>
    <row r="32" ht="13" customHeight="1" s="70">
      <c r="A32" s="173" t="n"/>
      <c r="D32" s="174" t="n"/>
      <c r="F32" s="175" t="n"/>
      <c r="G32" s="174" t="n"/>
      <c r="I32" s="175" t="n"/>
      <c r="J32" s="174" t="n"/>
      <c r="L32" s="175" t="n"/>
      <c r="M32" s="174" t="n"/>
      <c r="O32" s="175" t="n"/>
      <c r="P32" s="174" t="n"/>
      <c r="R32" s="175" t="n"/>
      <c r="S32" s="174" t="n"/>
      <c r="U32" s="175" t="n"/>
      <c r="V32" s="174" t="n"/>
      <c r="X32" s="175" t="n"/>
      <c r="Y32" s="174" t="n"/>
      <c r="AA32" s="175" t="n"/>
      <c r="AB32" s="176" t="inlineStr">
        <is>
          <t>312-0556-26, (28.04.2026) [IJZ-MB]</t>
        </is>
      </c>
      <c r="AG32" s="175" t="n"/>
      <c r="AH32" s="176" t="inlineStr">
        <is>
          <t>2357-2026, (29.04.2026) [IJZ]</t>
        </is>
      </c>
      <c r="AK32" s="175" t="n"/>
      <c r="AL32" s="176" t="inlineStr">
        <is>
          <t>2357-2026, (29.04.2026) [IJZ]</t>
        </is>
      </c>
      <c r="AP32" s="175" t="n"/>
      <c r="AQ32" s="174" t="n"/>
      <c r="AS32" s="177" t="n"/>
    </row>
    <row r="33" ht="21" customHeight="1" s="70">
      <c r="A33" s="178" t="n"/>
      <c r="B33" s="179" t="n"/>
      <c r="D33" s="180" t="n"/>
      <c r="E33" s="179" t="n"/>
      <c r="F33" s="181" t="n"/>
      <c r="G33" s="182" t="inlineStr">
        <is>
          <t>Conforms</t>
        </is>
      </c>
      <c r="H33" s="183">
        <f>IFERROR(INDEX('iCoA Register'!$B:$B,MATCH("P060292|I",'iCoA Register'!$P:$P,0)),"iCoA — at issue")&amp;", (19.05.2026) [PP]"</f>
        <v/>
      </c>
      <c r="I33" s="184" t="inlineStr">
        <is>
          <t>✓</t>
        </is>
      </c>
      <c r="J33" s="180" t="n"/>
      <c r="K33" s="179" t="n"/>
      <c r="L33" s="181" t="n"/>
      <c r="M33" s="180" t="n"/>
      <c r="N33" s="179" t="n"/>
      <c r="O33" s="181" t="n"/>
      <c r="P33" s="180" t="n"/>
      <c r="Q33" s="179" t="n"/>
      <c r="R33" s="181" t="n"/>
      <c r="S33" s="180" t="n"/>
      <c r="T33" s="179" t="n"/>
      <c r="U33" s="181" t="n"/>
      <c r="V33" s="180" t="n"/>
      <c r="W33" s="179" t="n"/>
      <c r="X33" s="181" t="n"/>
      <c r="Y33" s="180" t="n"/>
      <c r="Z33" s="179" t="n"/>
      <c r="AA33" s="181" t="n"/>
      <c r="AB33" s="190" t="inlineStr">
        <is>
          <t>3 × 10³</t>
        </is>
      </c>
      <c r="AC33" s="191" t="inlineStr">
        <is>
          <t>5.2 × 10²</t>
        </is>
      </c>
      <c r="AD33" s="191" t="inlineStr">
        <is>
          <t>&lt; 10² and &gt; 10</t>
        </is>
      </c>
      <c r="AE33" s="191" t="inlineStr">
        <is>
          <t>Absent</t>
        </is>
      </c>
      <c r="AF33" s="191" t="inlineStr">
        <is>
          <t>Absent</t>
        </is>
      </c>
      <c r="AG33" s="184" t="inlineStr">
        <is>
          <t>✓</t>
        </is>
      </c>
      <c r="AH33" s="180" t="n"/>
      <c r="AI33" s="179" t="n"/>
      <c r="AJ33" s="179" t="n"/>
      <c r="AK33" s="181" t="n"/>
      <c r="AL33" s="180" t="n"/>
      <c r="AM33" s="179" t="n"/>
      <c r="AN33" s="179" t="n"/>
      <c r="AO33" s="179" t="n"/>
      <c r="AP33" s="181" t="n"/>
      <c r="AQ33" s="180" t="n"/>
      <c r="AR33" s="179" t="n"/>
      <c r="AS33" s="192" t="n"/>
    </row>
    <row r="34" ht="13" customHeight="1" s="70">
      <c r="A34" s="193" t="n"/>
      <c r="B34" s="194" t="n"/>
      <c r="C34" s="194" t="n"/>
      <c r="D34" s="195" t="n"/>
      <c r="E34" s="194" t="n"/>
      <c r="F34" s="196" t="n"/>
      <c r="G34" s="195" t="n"/>
      <c r="H34" s="194" t="n"/>
      <c r="I34" s="196" t="n"/>
      <c r="J34" s="195" t="n"/>
      <c r="K34" s="194" t="n"/>
      <c r="L34" s="196" t="n"/>
      <c r="M34" s="195" t="n"/>
      <c r="N34" s="194" t="n"/>
      <c r="O34" s="196" t="n"/>
      <c r="P34" s="195" t="n"/>
      <c r="Q34" s="194" t="n"/>
      <c r="R34" s="196" t="n"/>
      <c r="S34" s="195" t="n"/>
      <c r="T34" s="194" t="n"/>
      <c r="U34" s="196" t="n"/>
      <c r="V34" s="195" t="n"/>
      <c r="W34" s="194" t="n"/>
      <c r="X34" s="196" t="n"/>
      <c r="Y34" s="195" t="n"/>
      <c r="Z34" s="194" t="n"/>
      <c r="AA34" s="196" t="n"/>
      <c r="AB34" s="197" t="inlineStr">
        <is>
          <t>542-1073-26, (31.08.2026) [IJZ-MB]</t>
        </is>
      </c>
      <c r="AC34" s="194" t="n"/>
      <c r="AD34" s="194" t="n"/>
      <c r="AE34" s="194" t="n"/>
      <c r="AF34" s="194" t="n"/>
      <c r="AG34" s="196" t="n"/>
      <c r="AH34" s="195" t="n"/>
      <c r="AI34" s="194" t="n"/>
      <c r="AJ34" s="194" t="n"/>
      <c r="AK34" s="196" t="n"/>
      <c r="AL34" s="195" t="n"/>
      <c r="AM34" s="194" t="n"/>
      <c r="AN34" s="194" t="n"/>
      <c r="AO34" s="194" t="n"/>
      <c r="AP34" s="196" t="n"/>
      <c r="AQ34" s="195" t="n"/>
      <c r="AR34" s="194" t="n"/>
      <c r="AS34" s="198" t="n"/>
    </row>
    <row r="35" ht="17.625" customHeight="1" s="70">
      <c r="A35" s="160" t="inlineStr">
        <is>
          <t>GG012601＊</t>
        </is>
      </c>
      <c r="B35" s="161" t="inlineStr">
        <is>
          <t>P060302</t>
        </is>
      </c>
      <c r="C35" s="162" t="inlineStr">
        <is>
          <t>✓ COMPLETE
2 testing instances
• 1 document(s) on file, not credited</t>
        </is>
      </c>
      <c r="D35" s="163" t="inlineStr">
        <is>
          <t>Conforms</t>
        </is>
      </c>
      <c r="E35" s="164">
        <f>IFERROR(INDEX('iCoA Register'!$B:$B,MATCH("P060342|I",'iCoA Register'!$P:$P,0)),"iCoA — at issue")&amp;", (20.05.2026) [PP]"</f>
        <v/>
      </c>
      <c r="F35" s="165" t="inlineStr">
        <is>
          <t>✓</t>
        </is>
      </c>
      <c r="G35" s="166" t="inlineStr">
        <is>
          <t>not on this certificate</t>
        </is>
      </c>
      <c r="H35" s="167" t="inlineStr">
        <is>
          <t>ППК26062, (11.05.2026) [CNP] · on file, not credited</t>
        </is>
      </c>
      <c r="I35" s="168" t="inlineStr">
        <is>
          <t>•</t>
        </is>
      </c>
      <c r="J35" s="163" t="inlineStr">
        <is>
          <t>Conforms (ImB spec.)</t>
        </is>
      </c>
      <c r="K35" s="164" t="inlineStr">
        <is>
          <t>ППК26062, (11.05.2026) [CNP]</t>
        </is>
      </c>
      <c r="L35" s="165" t="inlineStr">
        <is>
          <t>✓</t>
        </is>
      </c>
      <c r="M35" s="169" t="inlineStr">
        <is>
          <t>15.35</t>
        </is>
      </c>
      <c r="N35" s="164" t="inlineStr">
        <is>
          <t>ППК26062, (11.05.2026) [CNP]</t>
        </is>
      </c>
      <c r="O35" s="165" t="inlineStr">
        <is>
          <t>✓</t>
        </is>
      </c>
      <c r="P35" s="170" t="inlineStr">
        <is>
          <t>0.06</t>
        </is>
      </c>
      <c r="Q35" s="164" t="inlineStr">
        <is>
          <t>ППК26062, (11.05.2026) [CNP]</t>
        </is>
      </c>
      <c r="R35" s="165" t="inlineStr">
        <is>
          <t>✓</t>
        </is>
      </c>
      <c r="S35" s="170" t="inlineStr">
        <is>
          <t>&lt; LOQ ᴰ</t>
        </is>
      </c>
      <c r="T35" s="164" t="inlineStr">
        <is>
          <t>ППК26062, (11.05.2026) [CNP]</t>
        </is>
      </c>
      <c r="U35" s="165" t="inlineStr">
        <is>
          <t>✓</t>
        </is>
      </c>
      <c r="V35" s="163" t="inlineStr">
        <is>
          <t>Conforms</t>
        </is>
      </c>
      <c r="W35" s="164">
        <f>IFERROR(INDEX('iCoA Register'!$B:$B,MATCH("P060342|I",'iCoA Register'!$P:$P,0)),"iCoA — at issue")&amp;", (20.05.2026) [PP]"</f>
        <v/>
      </c>
      <c r="X35" s="165" t="inlineStr">
        <is>
          <t>✓</t>
        </is>
      </c>
      <c r="Y35" s="163" t="inlineStr">
        <is>
          <t>6.13</t>
        </is>
      </c>
      <c r="Z35" s="164" t="inlineStr">
        <is>
          <t>ППК26062, (11.05.2026) [CNP]</t>
        </is>
      </c>
      <c r="AA35" s="165" t="inlineStr">
        <is>
          <t>✓</t>
        </is>
      </c>
      <c r="AB35" s="163" t="inlineStr">
        <is>
          <t>1 × 10⁴</t>
        </is>
      </c>
      <c r="AC35" s="171" t="inlineStr">
        <is>
          <t>1 × 10⁴</t>
        </is>
      </c>
      <c r="AD35" s="171" t="inlineStr">
        <is>
          <t>&lt; 10</t>
        </is>
      </c>
      <c r="AE35" s="171" t="inlineStr">
        <is>
          <t>Absent</t>
        </is>
      </c>
      <c r="AF35" s="171" t="inlineStr">
        <is>
          <t>Absent</t>
        </is>
      </c>
      <c r="AG35" s="165" t="inlineStr">
        <is>
          <t>✓</t>
        </is>
      </c>
      <c r="AH35" s="163" t="inlineStr">
        <is>
          <t>ND</t>
        </is>
      </c>
      <c r="AI35" s="171" t="inlineStr">
        <is>
          <t>&lt; 2</t>
        </is>
      </c>
      <c r="AJ35" s="171" t="inlineStr">
        <is>
          <t>ND</t>
        </is>
      </c>
      <c r="AK35" s="165" t="inlineStr">
        <is>
          <t>✓</t>
        </is>
      </c>
      <c r="AL35" s="163" t="inlineStr">
        <is>
          <t>0.0227</t>
        </is>
      </c>
      <c r="AM35" s="171" t="inlineStr">
        <is>
          <t>0.0179</t>
        </is>
      </c>
      <c r="AN35" s="171" t="inlineStr">
        <is>
          <t>0.0163</t>
        </is>
      </c>
      <c r="AO35" s="171" t="inlineStr">
        <is>
          <t>0.031</t>
        </is>
      </c>
      <c r="AP35" s="165" t="inlineStr">
        <is>
          <t>✓</t>
        </is>
      </c>
      <c r="AQ35" s="163" t="inlineStr">
        <is>
          <t>≤ LOQ (all 29 compounds)</t>
        </is>
      </c>
      <c r="AR35" s="164" t="inlineStr">
        <is>
          <t>2364-2026, (30.04.2026) [IJZ]</t>
        </is>
      </c>
      <c r="AS35" s="172" t="inlineStr">
        <is>
          <t>✓</t>
        </is>
      </c>
    </row>
    <row r="36" ht="13" customHeight="1" s="70">
      <c r="A36" s="173" t="n"/>
      <c r="D36" s="174" t="n"/>
      <c r="F36" s="175" t="n"/>
      <c r="G36" s="174" t="n"/>
      <c r="I36" s="175" t="n"/>
      <c r="J36" s="174" t="n"/>
      <c r="L36" s="175" t="n"/>
      <c r="M36" s="174" t="n"/>
      <c r="O36" s="175" t="n"/>
      <c r="P36" s="174" t="n"/>
      <c r="R36" s="175" t="n"/>
      <c r="S36" s="174" t="n"/>
      <c r="U36" s="175" t="n"/>
      <c r="V36" s="174" t="n"/>
      <c r="X36" s="175" t="n"/>
      <c r="Y36" s="174" t="n"/>
      <c r="AA36" s="175" t="n"/>
      <c r="AB36" s="176" t="inlineStr">
        <is>
          <t>310-0554-26, (28.04.2026) [IJZ-MB]</t>
        </is>
      </c>
      <c r="AG36" s="175" t="n"/>
      <c r="AH36" s="176" t="inlineStr">
        <is>
          <t>2364-2026, (30.04.2026) [IJZ]</t>
        </is>
      </c>
      <c r="AK36" s="175" t="n"/>
      <c r="AL36" s="176" t="inlineStr">
        <is>
          <t>2364-2026, (30.04.2026) [IJZ]</t>
        </is>
      </c>
      <c r="AP36" s="175" t="n"/>
      <c r="AQ36" s="174" t="n"/>
      <c r="AS36" s="177" t="n"/>
    </row>
    <row r="37" ht="14" customHeight="1" s="70">
      <c r="A37" s="178" t="n"/>
      <c r="B37" s="179" t="n"/>
      <c r="D37" s="180" t="n"/>
      <c r="E37" s="179" t="n"/>
      <c r="F37" s="181" t="n"/>
      <c r="G37" s="182" t="inlineStr">
        <is>
          <t>Conforms</t>
        </is>
      </c>
      <c r="H37" s="183">
        <f>IFERROR(INDEX('iCoA Register'!$B:$B,MATCH("P060342|I",'iCoA Register'!$P:$P,0)),"iCoA — at issue")&amp;", (20.05.2026) [PP]"</f>
        <v/>
      </c>
      <c r="I37" s="184" t="inlineStr">
        <is>
          <t>✓</t>
        </is>
      </c>
      <c r="J37" s="180" t="n"/>
      <c r="K37" s="179" t="n"/>
      <c r="L37" s="181" t="n"/>
      <c r="M37" s="180" t="n"/>
      <c r="N37" s="179" t="n"/>
      <c r="O37" s="181" t="n"/>
      <c r="P37" s="180" t="n"/>
      <c r="Q37" s="179" t="n"/>
      <c r="R37" s="181" t="n"/>
      <c r="S37" s="180" t="n"/>
      <c r="T37" s="179" t="n"/>
      <c r="U37" s="181" t="n"/>
      <c r="V37" s="180" t="n"/>
      <c r="W37" s="179" t="n"/>
      <c r="X37" s="181" t="n"/>
      <c r="Y37" s="180" t="n"/>
      <c r="Z37" s="179" t="n"/>
      <c r="AA37" s="181" t="n"/>
      <c r="AB37" s="190" t="inlineStr">
        <is>
          <t>2.2 × 10³</t>
        </is>
      </c>
      <c r="AC37" s="191" t="inlineStr">
        <is>
          <t>2.1 × 10³</t>
        </is>
      </c>
      <c r="AD37" s="191" t="inlineStr">
        <is>
          <t>&lt; 10</t>
        </is>
      </c>
      <c r="AE37" s="191" t="inlineStr">
        <is>
          <t>Absent</t>
        </is>
      </c>
      <c r="AF37" s="191" t="inlineStr">
        <is>
          <t>Absent</t>
        </is>
      </c>
      <c r="AG37" s="184" t="inlineStr">
        <is>
          <t>✓</t>
        </is>
      </c>
      <c r="AH37" s="180" t="n"/>
      <c r="AI37" s="179" t="n"/>
      <c r="AJ37" s="179" t="n"/>
      <c r="AK37" s="181" t="n"/>
      <c r="AL37" s="180" t="n"/>
      <c r="AM37" s="179" t="n"/>
      <c r="AN37" s="179" t="n"/>
      <c r="AO37" s="179" t="n"/>
      <c r="AP37" s="181" t="n"/>
      <c r="AQ37" s="180" t="n"/>
      <c r="AR37" s="179" t="n"/>
      <c r="AS37" s="192" t="n"/>
    </row>
    <row r="38" ht="13" customHeight="1" s="70">
      <c r="A38" s="193" t="n"/>
      <c r="B38" s="194" t="n"/>
      <c r="C38" s="194" t="n"/>
      <c r="D38" s="195" t="n"/>
      <c r="E38" s="194" t="n"/>
      <c r="F38" s="196" t="n"/>
      <c r="G38" s="195" t="n"/>
      <c r="H38" s="194" t="n"/>
      <c r="I38" s="196" t="n"/>
      <c r="J38" s="195" t="n"/>
      <c r="K38" s="194" t="n"/>
      <c r="L38" s="196" t="n"/>
      <c r="M38" s="195" t="n"/>
      <c r="N38" s="194" t="n"/>
      <c r="O38" s="196" t="n"/>
      <c r="P38" s="195" t="n"/>
      <c r="Q38" s="194" t="n"/>
      <c r="R38" s="196" t="n"/>
      <c r="S38" s="195" t="n"/>
      <c r="T38" s="194" t="n"/>
      <c r="U38" s="196" t="n"/>
      <c r="V38" s="195" t="n"/>
      <c r="W38" s="194" t="n"/>
      <c r="X38" s="196" t="n"/>
      <c r="Y38" s="195" t="n"/>
      <c r="Z38" s="194" t="n"/>
      <c r="AA38" s="196" t="n"/>
      <c r="AB38" s="197" t="inlineStr">
        <is>
          <t>541-1072-26, (31.08.2026) [IJZ-MB]</t>
        </is>
      </c>
      <c r="AC38" s="194" t="n"/>
      <c r="AD38" s="194" t="n"/>
      <c r="AE38" s="194" t="n"/>
      <c r="AF38" s="194" t="n"/>
      <c r="AG38" s="196" t="n"/>
      <c r="AH38" s="195" t="n"/>
      <c r="AI38" s="194" t="n"/>
      <c r="AJ38" s="194" t="n"/>
      <c r="AK38" s="196" t="n"/>
      <c r="AL38" s="195" t="n"/>
      <c r="AM38" s="194" t="n"/>
      <c r="AN38" s="194" t="n"/>
      <c r="AO38" s="194" t="n"/>
      <c r="AP38" s="196" t="n"/>
      <c r="AQ38" s="195" t="n"/>
      <c r="AR38" s="194" t="n"/>
      <c r="AS38" s="198" t="n"/>
    </row>
    <row r="39" ht="21" customHeight="1" s="70">
      <c r="A39" s="160" t="inlineStr">
        <is>
          <t>GG012603</t>
        </is>
      </c>
      <c r="B39" s="161" t="inlineStr">
        <is>
          <t>P060402</t>
        </is>
      </c>
      <c r="C39" s="199" t="inlineStr">
        <is>
          <t>⚠ 3 NO RESULT
(3 no cert / 0 cert w/o result)
2 testing instances
• 1 document(s) on file, not credited</t>
        </is>
      </c>
      <c r="D39" s="163" t="inlineStr">
        <is>
          <t>Conforms</t>
        </is>
      </c>
      <c r="E39" s="164" t="inlineStr">
        <is>
          <t>ППК26114, (30.06.2026) [CNP]</t>
        </is>
      </c>
      <c r="F39" s="165" t="inlineStr">
        <is>
          <t>✓</t>
        </is>
      </c>
      <c r="G39" s="163" t="inlineStr">
        <is>
          <t>Conforms</t>
        </is>
      </c>
      <c r="H39" s="164" t="inlineStr">
        <is>
          <t>ППК26114, (30.06.2026) [CNP]</t>
        </is>
      </c>
      <c r="I39" s="165" t="inlineStr">
        <is>
          <t>✓</t>
        </is>
      </c>
      <c r="J39" s="163" t="inlineStr">
        <is>
          <t>Conforms (ImB spec.)</t>
        </is>
      </c>
      <c r="K39" s="164" t="inlineStr">
        <is>
          <t>ППК26114, (30.06.2026) [CNP]</t>
        </is>
      </c>
      <c r="L39" s="165" t="inlineStr">
        <is>
          <t>✓</t>
        </is>
      </c>
      <c r="M39" s="169" t="inlineStr">
        <is>
          <t>17.59</t>
        </is>
      </c>
      <c r="N39" s="164" t="inlineStr">
        <is>
          <t>ППК26114, (30.06.2026) [CNP]</t>
        </is>
      </c>
      <c r="O39" s="165" t="inlineStr">
        <is>
          <t>✓</t>
        </is>
      </c>
      <c r="P39" s="170" t="inlineStr">
        <is>
          <t>0.05</t>
        </is>
      </c>
      <c r="Q39" s="164" t="inlineStr">
        <is>
          <t>ППК26114, (30.06.2026) [CNP]</t>
        </is>
      </c>
      <c r="R39" s="165" t="inlineStr">
        <is>
          <t>✓</t>
        </is>
      </c>
      <c r="S39" s="170" t="inlineStr">
        <is>
          <t>0.15</t>
        </is>
      </c>
      <c r="T39" s="164" t="inlineStr">
        <is>
          <t>ППК26114, (30.06.2026) [CNP]</t>
        </is>
      </c>
      <c r="U39" s="165" t="inlineStr">
        <is>
          <t>✓</t>
        </is>
      </c>
      <c r="V39" s="163" t="inlineStr">
        <is>
          <t>0.09 % (Conforms)</t>
        </is>
      </c>
      <c r="W39" s="164" t="inlineStr">
        <is>
          <t>ППК26114, (30.06.2026) [CNP]</t>
        </is>
      </c>
      <c r="X39" s="165" t="inlineStr">
        <is>
          <t>✓</t>
        </is>
      </c>
      <c r="Y39" s="163" t="inlineStr">
        <is>
          <t>6.48</t>
        </is>
      </c>
      <c r="Z39" s="164" t="inlineStr">
        <is>
          <t>ППК26114, (30.06.2026) [CNP]</t>
        </is>
      </c>
      <c r="AA39" s="165" t="inlineStr">
        <is>
          <t>✓</t>
        </is>
      </c>
      <c r="AB39" s="205" t="inlineStr">
        <is>
          <t>— MISSING —</t>
        </is>
      </c>
      <c r="AC39" s="206" t="inlineStr">
        <is>
          <t>— MISSING —</t>
        </is>
      </c>
      <c r="AD39" s="206" t="inlineStr">
        <is>
          <t>— MISSING —</t>
        </is>
      </c>
      <c r="AE39" s="206" t="inlineStr">
        <is>
          <t>— MISSING —</t>
        </is>
      </c>
      <c r="AF39" s="206" t="inlineStr">
        <is>
          <t>— MISSING —</t>
        </is>
      </c>
      <c r="AG39" s="214" t="inlineStr">
        <is>
          <t>✗</t>
        </is>
      </c>
      <c r="AH39" s="163" t="inlineStr">
        <is>
          <t>ND</t>
        </is>
      </c>
      <c r="AI39" s="171" t="inlineStr">
        <is>
          <t>ND</t>
        </is>
      </c>
      <c r="AJ39" s="171" t="inlineStr">
        <is>
          <t>ND</t>
        </is>
      </c>
      <c r="AK39" s="165" t="inlineStr">
        <is>
          <t>✓</t>
        </is>
      </c>
      <c r="AL39" s="205" t="inlineStr">
        <is>
          <t>— MISSING —</t>
        </is>
      </c>
      <c r="AM39" s="206" t="inlineStr">
        <is>
          <t>— MISSING —</t>
        </is>
      </c>
      <c r="AN39" s="206" t="inlineStr">
        <is>
          <t>— MISSING —</t>
        </is>
      </c>
      <c r="AO39" s="206" t="inlineStr">
        <is>
          <t>— MISSING —</t>
        </is>
      </c>
      <c r="AP39" s="214" t="inlineStr">
        <is>
          <t>✗</t>
        </is>
      </c>
      <c r="AQ39" s="205" t="inlineStr">
        <is>
          <t>— MISSING —</t>
        </is>
      </c>
      <c r="AR39" s="215" t="inlineStr">
        <is>
          <t>— no certificate —</t>
        </is>
      </c>
      <c r="AS39" s="216" t="inlineStr">
        <is>
          <t>✗</t>
        </is>
      </c>
    </row>
    <row r="40" ht="13" customHeight="1" s="70">
      <c r="A40" s="173" t="n"/>
      <c r="D40" s="174" t="n"/>
      <c r="F40" s="175" t="n"/>
      <c r="G40" s="174" t="n"/>
      <c r="I40" s="175" t="n"/>
      <c r="J40" s="174" t="n"/>
      <c r="L40" s="175" t="n"/>
      <c r="M40" s="174" t="n"/>
      <c r="O40" s="175" t="n"/>
      <c r="P40" s="174" t="n"/>
      <c r="R40" s="175" t="n"/>
      <c r="S40" s="174" t="n"/>
      <c r="U40" s="175" t="n"/>
      <c r="V40" s="174" t="n"/>
      <c r="X40" s="175" t="n"/>
      <c r="Y40" s="174" t="n"/>
      <c r="AA40" s="175" t="n"/>
      <c r="AB40" s="217" t="inlineStr">
        <is>
          <t>— no certificate —</t>
        </is>
      </c>
      <c r="AG40" s="175" t="n"/>
      <c r="AH40" s="176" t="inlineStr">
        <is>
          <t>197-8-M-26, (10.08.2026) [FHM-M]</t>
        </is>
      </c>
      <c r="AK40" s="175" t="n"/>
      <c r="AL40" s="217" t="inlineStr">
        <is>
          <t>— no certificate —</t>
        </is>
      </c>
      <c r="AP40" s="175" t="n"/>
      <c r="AQ40" s="174" t="n"/>
      <c r="AS40" s="177" t="n"/>
    </row>
    <row r="41" ht="17.625" customHeight="1" s="70">
      <c r="A41" s="178" t="n"/>
      <c r="B41" s="179" t="n"/>
      <c r="D41" s="180" t="n"/>
      <c r="E41" s="179" t="n"/>
      <c r="F41" s="181" t="n"/>
      <c r="G41" s="180" t="n"/>
      <c r="H41" s="179" t="n"/>
      <c r="I41" s="181" t="n"/>
      <c r="J41" s="182" t="inlineStr">
        <is>
          <t>Conforms (ImB spec.) ᴿ</t>
        </is>
      </c>
      <c r="K41" s="183" t="inlineStr">
        <is>
          <t>197-8-K-26, (07.08.2026) [FHM-K]</t>
        </is>
      </c>
      <c r="L41" s="184" t="inlineStr">
        <is>
          <t>✓</t>
        </is>
      </c>
      <c r="M41" s="185" t="inlineStr">
        <is>
          <t>16.70</t>
        </is>
      </c>
      <c r="N41" s="183" t="inlineStr">
        <is>
          <t>197-8-K-26, (07.08.2026) [FHM-K]</t>
        </is>
      </c>
      <c r="O41" s="184" t="inlineStr">
        <is>
          <t>✓</t>
        </is>
      </c>
      <c r="P41" s="186" t="inlineStr">
        <is>
          <t>&lt; LOQ</t>
        </is>
      </c>
      <c r="Q41" s="183" t="inlineStr">
        <is>
          <t>197-8-K-26, (07.08.2026) [FHM-K]</t>
        </is>
      </c>
      <c r="R41" s="184" t="inlineStr">
        <is>
          <t>✓</t>
        </is>
      </c>
      <c r="S41" s="186" t="inlineStr">
        <is>
          <t>&lt; LOQ</t>
        </is>
      </c>
      <c r="T41" s="183" t="inlineStr">
        <is>
          <t>197-8-K-26, (07.08.2026) [FHM-K]</t>
        </is>
      </c>
      <c r="U41" s="184" t="inlineStr">
        <is>
          <t>✓</t>
        </is>
      </c>
      <c r="V41" s="180" t="n"/>
      <c r="W41" s="179" t="n"/>
      <c r="X41" s="181" t="n"/>
      <c r="Y41" s="187" t="inlineStr">
        <is>
          <t>not on this certificate</t>
        </is>
      </c>
      <c r="Z41" s="188" t="inlineStr">
        <is>
          <t>197-8-K-26, (07.08.2026) [FHM-K] · on file, not credited</t>
        </is>
      </c>
      <c r="AA41" s="189" t="inlineStr">
        <is>
          <t>•</t>
        </is>
      </c>
      <c r="AB41" s="180" t="n"/>
      <c r="AC41" s="179" t="n"/>
      <c r="AD41" s="179" t="n"/>
      <c r="AE41" s="179" t="n"/>
      <c r="AF41" s="179" t="n"/>
      <c r="AG41" s="181" t="n"/>
      <c r="AH41" s="180" t="n"/>
      <c r="AI41" s="179" t="n"/>
      <c r="AJ41" s="179" t="n"/>
      <c r="AK41" s="181" t="n"/>
      <c r="AL41" s="180" t="n"/>
      <c r="AM41" s="179" t="n"/>
      <c r="AN41" s="179" t="n"/>
      <c r="AO41" s="179" t="n"/>
      <c r="AP41" s="181" t="n"/>
      <c r="AQ41" s="180" t="n"/>
      <c r="AR41" s="179" t="n"/>
      <c r="AS41" s="192" t="n"/>
    </row>
    <row r="42" ht="15.375" customHeight="1" s="70">
      <c r="A42" s="193" t="n"/>
      <c r="B42" s="194" t="n"/>
      <c r="C42" s="194" t="n"/>
      <c r="D42" s="195" t="n"/>
      <c r="E42" s="194" t="n"/>
      <c r="F42" s="196" t="n"/>
      <c r="G42" s="195" t="n"/>
      <c r="H42" s="194" t="n"/>
      <c r="I42" s="196" t="n"/>
      <c r="J42" s="195" t="n"/>
      <c r="K42" s="194" t="n"/>
      <c r="L42" s="196" t="n"/>
      <c r="M42" s="195" t="n"/>
      <c r="N42" s="194" t="n"/>
      <c r="O42" s="196" t="n"/>
      <c r="P42" s="195" t="n"/>
      <c r="Q42" s="194" t="n"/>
      <c r="R42" s="196" t="n"/>
      <c r="S42" s="195" t="n"/>
      <c r="T42" s="194" t="n"/>
      <c r="U42" s="196" t="n"/>
      <c r="V42" s="195" t="n"/>
      <c r="W42" s="194" t="n"/>
      <c r="X42" s="196" t="n"/>
      <c r="Y42" s="195" t="n"/>
      <c r="Z42" s="194" t="n"/>
      <c r="AA42" s="196" t="n"/>
      <c r="AB42" s="195" t="n"/>
      <c r="AC42" s="194" t="n"/>
      <c r="AD42" s="194" t="n"/>
      <c r="AE42" s="194" t="n"/>
      <c r="AF42" s="194" t="n"/>
      <c r="AG42" s="196" t="n"/>
      <c r="AH42" s="195" t="n"/>
      <c r="AI42" s="194" t="n"/>
      <c r="AJ42" s="194" t="n"/>
      <c r="AK42" s="196" t="n"/>
      <c r="AL42" s="195" t="n"/>
      <c r="AM42" s="194" t="n"/>
      <c r="AN42" s="194" t="n"/>
      <c r="AO42" s="194" t="n"/>
      <c r="AP42" s="196" t="n"/>
      <c r="AQ42" s="195" t="n"/>
      <c r="AR42" s="194" t="n"/>
      <c r="AS42" s="198" t="n"/>
    </row>
    <row r="43" ht="21" customHeight="1" s="70">
      <c r="A43" s="160" t="inlineStr">
        <is>
          <t>GG032601</t>
        </is>
      </c>
      <c r="B43" s="161" t="inlineStr">
        <is>
          <t>P060462</t>
        </is>
      </c>
      <c r="C43" s="212" t="inlineStr">
        <is>
          <t>✗ 4 NO RESULT
(4 no cert / 0 cert w/o result)</t>
        </is>
      </c>
      <c r="D43" s="200" t="inlineStr">
        <is>
          <t>Conforms</t>
        </is>
      </c>
      <c r="E43" s="201" t="inlineStr">
        <is>
          <t>ППК26128, (21.07.2026) [CNP]</t>
        </is>
      </c>
      <c r="F43" s="202" t="inlineStr">
        <is>
          <t>✓</t>
        </is>
      </c>
      <c r="G43" s="200" t="inlineStr">
        <is>
          <t>Conforms</t>
        </is>
      </c>
      <c r="H43" s="201" t="inlineStr">
        <is>
          <t>ППК26128, (21.07.2026) [CNP]</t>
        </is>
      </c>
      <c r="I43" s="202" t="inlineStr">
        <is>
          <t>✓</t>
        </is>
      </c>
      <c r="J43" s="200" t="inlineStr">
        <is>
          <t>Conforms (ImB spec.)</t>
        </is>
      </c>
      <c r="K43" s="201" t="inlineStr">
        <is>
          <t>ППК26128, (21.07.2026) [CNP]</t>
        </is>
      </c>
      <c r="L43" s="202" t="inlineStr">
        <is>
          <t>✓</t>
        </is>
      </c>
      <c r="M43" s="203" t="inlineStr">
        <is>
          <t>18.98</t>
        </is>
      </c>
      <c r="N43" s="201" t="inlineStr">
        <is>
          <t>ППК26128, (21.07.2026) [CNP]</t>
        </is>
      </c>
      <c r="O43" s="202" t="inlineStr">
        <is>
          <t>✓</t>
        </is>
      </c>
      <c r="P43" s="204" t="inlineStr">
        <is>
          <t>0.25</t>
        </is>
      </c>
      <c r="Q43" s="201" t="inlineStr">
        <is>
          <t>ППК26128, (21.07.2026) [CNP]</t>
        </is>
      </c>
      <c r="R43" s="202" t="inlineStr">
        <is>
          <t>✓</t>
        </is>
      </c>
      <c r="S43" s="204" t="inlineStr">
        <is>
          <t>0.04</t>
        </is>
      </c>
      <c r="T43" s="201" t="inlineStr">
        <is>
          <t>ППК26128, (21.07.2026) [CNP]</t>
        </is>
      </c>
      <c r="U43" s="202" t="inlineStr">
        <is>
          <t>✓</t>
        </is>
      </c>
      <c r="V43" s="200" t="inlineStr">
        <is>
          <t>Conforms (no value printed)</t>
        </is>
      </c>
      <c r="W43" s="201" t="inlineStr">
        <is>
          <t>ППК26128, (21.07.2026) [CNP]</t>
        </is>
      </c>
      <c r="X43" s="202" t="inlineStr">
        <is>
          <t>✓</t>
        </is>
      </c>
      <c r="Y43" s="200" t="inlineStr">
        <is>
          <t>7.88</t>
        </is>
      </c>
      <c r="Z43" s="201" t="inlineStr">
        <is>
          <t>ППК26128, (21.07.2026) [CNP]</t>
        </is>
      </c>
      <c r="AA43" s="202" t="inlineStr">
        <is>
          <t>✓</t>
        </is>
      </c>
      <c r="AB43" s="205" t="inlineStr">
        <is>
          <t>— MISSING —</t>
        </is>
      </c>
      <c r="AC43" s="206" t="inlineStr">
        <is>
          <t>— MISSING —</t>
        </is>
      </c>
      <c r="AD43" s="206" t="inlineStr">
        <is>
          <t>— MISSING —</t>
        </is>
      </c>
      <c r="AE43" s="206" t="inlineStr">
        <is>
          <t>— MISSING —</t>
        </is>
      </c>
      <c r="AF43" s="206" t="inlineStr">
        <is>
          <t>— MISSING —</t>
        </is>
      </c>
      <c r="AG43" s="207" t="inlineStr">
        <is>
          <t>✗</t>
        </is>
      </c>
      <c r="AH43" s="205" t="inlineStr">
        <is>
          <t>— MISSING —</t>
        </is>
      </c>
      <c r="AI43" s="206" t="inlineStr">
        <is>
          <t>— MISSING —</t>
        </is>
      </c>
      <c r="AJ43" s="206" t="inlineStr">
        <is>
          <t>— MISSING —</t>
        </is>
      </c>
      <c r="AK43" s="207" t="inlineStr">
        <is>
          <t>✗</t>
        </is>
      </c>
      <c r="AL43" s="205" t="inlineStr">
        <is>
          <t>— MISSING —</t>
        </is>
      </c>
      <c r="AM43" s="206" t="inlineStr">
        <is>
          <t>— MISSING —</t>
        </is>
      </c>
      <c r="AN43" s="206" t="inlineStr">
        <is>
          <t>— MISSING —</t>
        </is>
      </c>
      <c r="AO43" s="206" t="inlineStr">
        <is>
          <t>— MISSING —</t>
        </is>
      </c>
      <c r="AP43" s="207" t="inlineStr">
        <is>
          <t>✗</t>
        </is>
      </c>
      <c r="AQ43" s="208" t="inlineStr">
        <is>
          <t>— MISSING —</t>
        </is>
      </c>
      <c r="AR43" s="209" t="inlineStr">
        <is>
          <t>— no certificate —</t>
        </is>
      </c>
      <c r="AS43" s="210" t="inlineStr">
        <is>
          <t>✗</t>
        </is>
      </c>
    </row>
    <row r="44" ht="15.375" customHeight="1" s="70">
      <c r="A44" s="193" t="n"/>
      <c r="B44" s="194" t="n"/>
      <c r="C44" s="194" t="n"/>
      <c r="D44" s="195" t="n"/>
      <c r="E44" s="194" t="n"/>
      <c r="F44" s="196" t="n"/>
      <c r="G44" s="195" t="n"/>
      <c r="H44" s="194" t="n"/>
      <c r="I44" s="196" t="n"/>
      <c r="J44" s="195" t="n"/>
      <c r="K44" s="194" t="n"/>
      <c r="L44" s="196" t="n"/>
      <c r="M44" s="195" t="n"/>
      <c r="N44" s="194" t="n"/>
      <c r="O44" s="196" t="n"/>
      <c r="P44" s="195" t="n"/>
      <c r="Q44" s="194" t="n"/>
      <c r="R44" s="196" t="n"/>
      <c r="S44" s="195" t="n"/>
      <c r="T44" s="194" t="n"/>
      <c r="U44" s="196" t="n"/>
      <c r="V44" s="195" t="n"/>
      <c r="W44" s="194" t="n"/>
      <c r="X44" s="196" t="n"/>
      <c r="Y44" s="195" t="n"/>
      <c r="Z44" s="194" t="n"/>
      <c r="AA44" s="196" t="n"/>
      <c r="AB44" s="211" t="inlineStr">
        <is>
          <t>— no certificate —</t>
        </is>
      </c>
      <c r="AC44" s="194" t="n"/>
      <c r="AD44" s="194" t="n"/>
      <c r="AE44" s="194" t="n"/>
      <c r="AF44" s="194" t="n"/>
      <c r="AG44" s="196" t="n"/>
      <c r="AH44" s="211" t="inlineStr">
        <is>
          <t>— no certificate —</t>
        </is>
      </c>
      <c r="AI44" s="194" t="n"/>
      <c r="AJ44" s="194" t="n"/>
      <c r="AK44" s="196" t="n"/>
      <c r="AL44" s="211" t="inlineStr">
        <is>
          <t>— no certificate —</t>
        </is>
      </c>
      <c r="AM44" s="194" t="n"/>
      <c r="AN44" s="194" t="n"/>
      <c r="AO44" s="194" t="n"/>
      <c r="AP44" s="196" t="n"/>
      <c r="AQ44" s="195" t="n"/>
      <c r="AR44" s="194" t="n"/>
      <c r="AS44" s="198" t="n"/>
    </row>
    <row r="45" ht="21" customHeight="1" s="70">
      <c r="A45" s="160" t="inlineStr">
        <is>
          <t>GG1024</t>
        </is>
      </c>
      <c r="B45" s="161" t="inlineStr">
        <is>
          <t>N/A — no P batch assigned</t>
        </is>
      </c>
      <c r="C45" s="212" t="inlineStr">
        <is>
          <t>✗ 9 NO RESULT
(9 no cert / 0 cert w/o result)
2 testing instances</t>
        </is>
      </c>
      <c r="D45" s="163" t="inlineStr">
        <is>
          <t>Conforms</t>
        </is>
      </c>
      <c r="E45" s="164">
        <f>IFERROR(INDEX('iCoA Register'!$B:$B,MATCH("P060342|I",'iCoA Register'!$P:$P,0)),"iCoA — at issue")&amp;", (11.03.2025) [PP]"</f>
        <v/>
      </c>
      <c r="F45" s="165" t="inlineStr">
        <is>
          <t>✓</t>
        </is>
      </c>
      <c r="G45" s="163" t="inlineStr">
        <is>
          <t>Conforms</t>
        </is>
      </c>
      <c r="H45" s="164">
        <f>IFERROR(INDEX('iCoA Register'!$B:$B,MATCH("P060342|I",'iCoA Register'!$P:$P,0)),"iCoA — at issue")&amp;", (11.03.2025) [PP]"</f>
        <v/>
      </c>
      <c r="I45" s="165" t="inlineStr">
        <is>
          <t>✓</t>
        </is>
      </c>
      <c r="J45" s="205" t="inlineStr">
        <is>
          <t>— MISSING —</t>
        </is>
      </c>
      <c r="K45" s="215" t="inlineStr">
        <is>
          <t>— no certificate —</t>
        </is>
      </c>
      <c r="L45" s="214" t="inlineStr">
        <is>
          <t>✗</t>
        </is>
      </c>
      <c r="M45" s="205" t="inlineStr">
        <is>
          <t>— MISSING —</t>
        </is>
      </c>
      <c r="N45" s="215" t="inlineStr">
        <is>
          <t>— no certificate —</t>
        </is>
      </c>
      <c r="O45" s="214" t="inlineStr">
        <is>
          <t>✗</t>
        </is>
      </c>
      <c r="P45" s="205" t="inlineStr">
        <is>
          <t>— MISSING —</t>
        </is>
      </c>
      <c r="Q45" s="215" t="inlineStr">
        <is>
          <t>— no certificate —</t>
        </is>
      </c>
      <c r="R45" s="214" t="inlineStr">
        <is>
          <t>✗</t>
        </is>
      </c>
      <c r="S45" s="205" t="inlineStr">
        <is>
          <t>— MISSING —</t>
        </is>
      </c>
      <c r="T45" s="215" t="inlineStr">
        <is>
          <t>— no certificate —</t>
        </is>
      </c>
      <c r="U45" s="214" t="inlineStr">
        <is>
          <t>✗</t>
        </is>
      </c>
      <c r="V45" s="163" t="inlineStr">
        <is>
          <t>Conforms</t>
        </is>
      </c>
      <c r="W45" s="164">
        <f>IFERROR(INDEX('iCoA Register'!$B:$B,MATCH("P060342|I",'iCoA Register'!$P:$P,0)),"iCoA — at issue")&amp;", (11.03.2025) [PP]"</f>
        <v/>
      </c>
      <c r="X45" s="165" t="inlineStr">
        <is>
          <t>✓</t>
        </is>
      </c>
      <c r="Y45" s="205" t="inlineStr">
        <is>
          <t>— MISSING —</t>
        </is>
      </c>
      <c r="Z45" s="215" t="inlineStr">
        <is>
          <t>— no certificate —</t>
        </is>
      </c>
      <c r="AA45" s="214" t="inlineStr">
        <is>
          <t>✗</t>
        </is>
      </c>
      <c r="AB45" s="205" t="inlineStr">
        <is>
          <t>— MISSING —</t>
        </is>
      </c>
      <c r="AC45" s="206" t="inlineStr">
        <is>
          <t>— MISSING —</t>
        </is>
      </c>
      <c r="AD45" s="206" t="inlineStr">
        <is>
          <t>— MISSING —</t>
        </is>
      </c>
      <c r="AE45" s="206" t="inlineStr">
        <is>
          <t>— MISSING —</t>
        </is>
      </c>
      <c r="AF45" s="206" t="inlineStr">
        <is>
          <t>— MISSING —</t>
        </is>
      </c>
      <c r="AG45" s="214" t="inlineStr">
        <is>
          <t>✗</t>
        </is>
      </c>
      <c r="AH45" s="205" t="inlineStr">
        <is>
          <t>— MISSING —</t>
        </is>
      </c>
      <c r="AI45" s="206" t="inlineStr">
        <is>
          <t>— MISSING —</t>
        </is>
      </c>
      <c r="AJ45" s="206" t="inlineStr">
        <is>
          <t>— MISSING —</t>
        </is>
      </c>
      <c r="AK45" s="214" t="inlineStr">
        <is>
          <t>✗</t>
        </is>
      </c>
      <c r="AL45" s="205" t="inlineStr">
        <is>
          <t>— MISSING —</t>
        </is>
      </c>
      <c r="AM45" s="206" t="inlineStr">
        <is>
          <t>— MISSING —</t>
        </is>
      </c>
      <c r="AN45" s="206" t="inlineStr">
        <is>
          <t>— MISSING —</t>
        </is>
      </c>
      <c r="AO45" s="206" t="inlineStr">
        <is>
          <t>— MISSING —</t>
        </is>
      </c>
      <c r="AP45" s="214" t="inlineStr">
        <is>
          <t>✗</t>
        </is>
      </c>
      <c r="AQ45" s="205" t="inlineStr">
        <is>
          <t>— MISSING —</t>
        </is>
      </c>
      <c r="AR45" s="215" t="inlineStr">
        <is>
          <t>— no certificate —</t>
        </is>
      </c>
      <c r="AS45" s="216" t="inlineStr">
        <is>
          <t>✗</t>
        </is>
      </c>
    </row>
    <row r="46" ht="13" customHeight="1" s="70">
      <c r="A46" s="173" t="n"/>
      <c r="D46" s="174" t="n"/>
      <c r="F46" s="175" t="n"/>
      <c r="G46" s="174" t="n"/>
      <c r="I46" s="175" t="n"/>
      <c r="J46" s="174" t="n"/>
      <c r="L46" s="175" t="n"/>
      <c r="M46" s="174" t="n"/>
      <c r="O46" s="175" t="n"/>
      <c r="P46" s="174" t="n"/>
      <c r="R46" s="175" t="n"/>
      <c r="S46" s="174" t="n"/>
      <c r="U46" s="175" t="n"/>
      <c r="V46" s="174" t="n"/>
      <c r="X46" s="175" t="n"/>
      <c r="Y46" s="174" t="n"/>
      <c r="AA46" s="175" t="n"/>
      <c r="AB46" s="217" t="inlineStr">
        <is>
          <t>— no certificate —</t>
        </is>
      </c>
      <c r="AG46" s="175" t="n"/>
      <c r="AH46" s="217" t="inlineStr">
        <is>
          <t>— no certificate —</t>
        </is>
      </c>
      <c r="AK46" s="175" t="n"/>
      <c r="AL46" s="217" t="inlineStr">
        <is>
          <t>— no certificate —</t>
        </is>
      </c>
      <c r="AP46" s="175" t="n"/>
      <c r="AQ46" s="174" t="n"/>
      <c r="AS46" s="177" t="n"/>
    </row>
    <row r="47" ht="14" customHeight="1" s="70">
      <c r="A47" s="178" t="n"/>
      <c r="B47" s="179" t="n"/>
      <c r="D47" s="182" t="inlineStr">
        <is>
          <t>Conforms</t>
        </is>
      </c>
      <c r="E47" s="183" t="inlineStr">
        <is>
          <t>iCoA — at issue (GG1024), (23.04.2025) [PP]</t>
        </is>
      </c>
      <c r="F47" s="184" t="inlineStr">
        <is>
          <t>✓</t>
        </is>
      </c>
      <c r="G47" s="180" t="n"/>
      <c r="H47" s="179" t="n"/>
      <c r="I47" s="181" t="n"/>
      <c r="J47" s="180" t="n"/>
      <c r="K47" s="179" t="n"/>
      <c r="L47" s="181" t="n"/>
      <c r="M47" s="180" t="n"/>
      <c r="N47" s="179" t="n"/>
      <c r="O47" s="181" t="n"/>
      <c r="P47" s="180" t="n"/>
      <c r="Q47" s="179" t="n"/>
      <c r="R47" s="181" t="n"/>
      <c r="S47" s="180" t="n"/>
      <c r="T47" s="179" t="n"/>
      <c r="U47" s="181" t="n"/>
      <c r="V47" s="182" t="inlineStr">
        <is>
          <t>Conforms</t>
        </is>
      </c>
      <c r="W47" s="183" t="inlineStr">
        <is>
          <t>iCoA — at issue (GG1024), (23.04.2025) [PP]</t>
        </is>
      </c>
      <c r="X47" s="184" t="inlineStr">
        <is>
          <t>✓</t>
        </is>
      </c>
      <c r="Y47" s="180" t="n"/>
      <c r="Z47" s="179" t="n"/>
      <c r="AA47" s="181" t="n"/>
      <c r="AB47" s="180" t="n"/>
      <c r="AC47" s="179" t="n"/>
      <c r="AD47" s="179" t="n"/>
      <c r="AE47" s="179" t="n"/>
      <c r="AF47" s="179" t="n"/>
      <c r="AG47" s="181" t="n"/>
      <c r="AH47" s="180" t="n"/>
      <c r="AI47" s="179" t="n"/>
      <c r="AJ47" s="179" t="n"/>
      <c r="AK47" s="181" t="n"/>
      <c r="AL47" s="180" t="n"/>
      <c r="AM47" s="179" t="n"/>
      <c r="AN47" s="179" t="n"/>
      <c r="AO47" s="179" t="n"/>
      <c r="AP47" s="181" t="n"/>
      <c r="AQ47" s="180" t="n"/>
      <c r="AR47" s="179" t="n"/>
      <c r="AS47" s="192" t="n"/>
    </row>
    <row r="48" ht="13" customHeight="1" s="70">
      <c r="A48" s="193" t="n"/>
      <c r="B48" s="194" t="n"/>
      <c r="C48" s="194" t="n"/>
      <c r="D48" s="195" t="n"/>
      <c r="E48" s="194" t="n"/>
      <c r="F48" s="196" t="n"/>
      <c r="G48" s="195" t="n"/>
      <c r="H48" s="194" t="n"/>
      <c r="I48" s="196" t="n"/>
      <c r="J48" s="195" t="n"/>
      <c r="K48" s="194" t="n"/>
      <c r="L48" s="196" t="n"/>
      <c r="M48" s="195" t="n"/>
      <c r="N48" s="194" t="n"/>
      <c r="O48" s="196" t="n"/>
      <c r="P48" s="195" t="n"/>
      <c r="Q48" s="194" t="n"/>
      <c r="R48" s="196" t="n"/>
      <c r="S48" s="195" t="n"/>
      <c r="T48" s="194" t="n"/>
      <c r="U48" s="196" t="n"/>
      <c r="V48" s="195" t="n"/>
      <c r="W48" s="194" t="n"/>
      <c r="X48" s="196" t="n"/>
      <c r="Y48" s="195" t="n"/>
      <c r="Z48" s="194" t="n"/>
      <c r="AA48" s="196" t="n"/>
      <c r="AB48" s="195" t="n"/>
      <c r="AC48" s="194" t="n"/>
      <c r="AD48" s="194" t="n"/>
      <c r="AE48" s="194" t="n"/>
      <c r="AF48" s="194" t="n"/>
      <c r="AG48" s="196" t="n"/>
      <c r="AH48" s="195" t="n"/>
      <c r="AI48" s="194" t="n"/>
      <c r="AJ48" s="194" t="n"/>
      <c r="AK48" s="196" t="n"/>
      <c r="AL48" s="195" t="n"/>
      <c r="AM48" s="194" t="n"/>
      <c r="AN48" s="194" t="n"/>
      <c r="AO48" s="194" t="n"/>
      <c r="AP48" s="196" t="n"/>
      <c r="AQ48" s="195" t="n"/>
      <c r="AR48" s="194" t="n"/>
      <c r="AS48" s="198" t="n"/>
    </row>
    <row r="49" ht="17.625" customHeight="1" s="70">
      <c r="A49" s="160" t="inlineStr">
        <is>
          <t>GG112501</t>
        </is>
      </c>
      <c r="B49" s="161" t="inlineStr">
        <is>
          <t>P060252</t>
        </is>
      </c>
      <c r="C49" s="162" t="inlineStr">
        <is>
          <t>✓ COMPLETE
2 testing instances
• 1 document(s) on file, not credited</t>
        </is>
      </c>
      <c r="D49" s="163" t="inlineStr">
        <is>
          <t>Conforms</t>
        </is>
      </c>
      <c r="E49" s="164">
        <f>IFERROR(INDEX('iCoA Register'!$B:$B,MATCH("P060252|I",'iCoA Register'!$P:$P,0)),"iCoA — at issue")&amp;", (05.05.2026) [PP]"</f>
        <v/>
      </c>
      <c r="F49" s="165" t="inlineStr">
        <is>
          <t>✓</t>
        </is>
      </c>
      <c r="G49" s="163" t="inlineStr">
        <is>
          <t>Conforms</t>
        </is>
      </c>
      <c r="H49" s="164">
        <f>IFERROR(INDEX('iCoA Register'!$B:$B,MATCH("P060252|I",'iCoA Register'!$P:$P,0)),"iCoA — at issue")&amp;", (05.05.2026) [PP]"</f>
        <v/>
      </c>
      <c r="I49" s="165" t="inlineStr">
        <is>
          <t>✓</t>
        </is>
      </c>
      <c r="J49" s="163" t="inlineStr">
        <is>
          <t>Conforms (ImB spec.)</t>
        </is>
      </c>
      <c r="K49" s="164" t="inlineStr">
        <is>
          <t>ППК26061, (11.05.2026) [CNP]</t>
        </is>
      </c>
      <c r="L49" s="165" t="inlineStr">
        <is>
          <t>✓</t>
        </is>
      </c>
      <c r="M49" s="169" t="inlineStr">
        <is>
          <t>17.94</t>
        </is>
      </c>
      <c r="N49" s="164" t="inlineStr">
        <is>
          <t>ППК26061, (11.05.2026) [CNP]</t>
        </is>
      </c>
      <c r="O49" s="165" t="inlineStr">
        <is>
          <t>✓</t>
        </is>
      </c>
      <c r="P49" s="170" t="inlineStr">
        <is>
          <t>0.08</t>
        </is>
      </c>
      <c r="Q49" s="164" t="inlineStr">
        <is>
          <t>ППК26061, (11.05.2026) [CNP]</t>
        </is>
      </c>
      <c r="R49" s="165" t="inlineStr">
        <is>
          <t>✓</t>
        </is>
      </c>
      <c r="S49" s="170" t="inlineStr">
        <is>
          <t>&lt; LOQ ᴰ</t>
        </is>
      </c>
      <c r="T49" s="164" t="inlineStr">
        <is>
          <t>ППК26061, (11.05.2026) [CNP]</t>
        </is>
      </c>
      <c r="U49" s="165" t="inlineStr">
        <is>
          <t>✓</t>
        </is>
      </c>
      <c r="V49" s="163" t="inlineStr">
        <is>
          <t>Conforms</t>
        </is>
      </c>
      <c r="W49" s="164">
        <f>IFERROR(INDEX('iCoA Register'!$B:$B,MATCH("P060252|I",'iCoA Register'!$P:$P,0)),"iCoA — at issue")&amp;", (05.05.2026) [PP]"</f>
        <v/>
      </c>
      <c r="X49" s="165" t="inlineStr">
        <is>
          <t>✓</t>
        </is>
      </c>
      <c r="Y49" s="163" t="inlineStr">
        <is>
          <t>6.31</t>
        </is>
      </c>
      <c r="Z49" s="164" t="inlineStr">
        <is>
          <t>ППК26061, (11.05.2026) [CNP]</t>
        </is>
      </c>
      <c r="AA49" s="165" t="inlineStr">
        <is>
          <t>✓</t>
        </is>
      </c>
      <c r="AB49" s="163" t="inlineStr">
        <is>
          <t>5.1 × 10³</t>
        </is>
      </c>
      <c r="AC49" s="171" t="inlineStr">
        <is>
          <t>4.5 × 10³</t>
        </is>
      </c>
      <c r="AD49" s="171" t="inlineStr">
        <is>
          <t>&lt; 10²</t>
        </is>
      </c>
      <c r="AE49" s="171" t="inlineStr">
        <is>
          <t>Absent</t>
        </is>
      </c>
      <c r="AF49" s="171" t="inlineStr">
        <is>
          <t>Absent</t>
        </is>
      </c>
      <c r="AG49" s="165" t="inlineStr">
        <is>
          <t>✓</t>
        </is>
      </c>
      <c r="AH49" s="163" t="inlineStr">
        <is>
          <t>ND</t>
        </is>
      </c>
      <c r="AI49" s="171" t="inlineStr">
        <is>
          <t>&lt; 2</t>
        </is>
      </c>
      <c r="AJ49" s="171" t="inlineStr">
        <is>
          <t>ND</t>
        </is>
      </c>
      <c r="AK49" s="165" t="inlineStr">
        <is>
          <t>✓</t>
        </is>
      </c>
      <c r="AL49" s="163" t="inlineStr">
        <is>
          <t>0.033</t>
        </is>
      </c>
      <c r="AM49" s="171" t="inlineStr">
        <is>
          <t>0.0154</t>
        </is>
      </c>
      <c r="AN49" s="171" t="inlineStr">
        <is>
          <t>0.0272</t>
        </is>
      </c>
      <c r="AO49" s="171" t="inlineStr">
        <is>
          <t>0.0146</t>
        </is>
      </c>
      <c r="AP49" s="165" t="inlineStr">
        <is>
          <t>✓</t>
        </is>
      </c>
      <c r="AQ49" s="163" t="inlineStr">
        <is>
          <t>≤ LOQ (all 26 compounds)</t>
        </is>
      </c>
      <c r="AR49" s="164" t="inlineStr">
        <is>
          <t>2358-2026, (29.04.2026) [IJZ]</t>
        </is>
      </c>
      <c r="AS49" s="172" t="inlineStr">
        <is>
          <t>✓</t>
        </is>
      </c>
    </row>
    <row r="50" ht="13" customHeight="1" s="70">
      <c r="A50" s="173" t="n"/>
      <c r="D50" s="174" t="n"/>
      <c r="F50" s="175" t="n"/>
      <c r="G50" s="174" t="n"/>
      <c r="I50" s="175" t="n"/>
      <c r="J50" s="174" t="n"/>
      <c r="L50" s="175" t="n"/>
      <c r="M50" s="174" t="n"/>
      <c r="O50" s="175" t="n"/>
      <c r="P50" s="174" t="n"/>
      <c r="R50" s="175" t="n"/>
      <c r="S50" s="174" t="n"/>
      <c r="U50" s="175" t="n"/>
      <c r="V50" s="174" t="n"/>
      <c r="X50" s="175" t="n"/>
      <c r="Y50" s="174" t="n"/>
      <c r="AA50" s="175" t="n"/>
      <c r="AB50" s="176" t="inlineStr">
        <is>
          <t>304-0548-26, (28.04.2026) [IJZ-MB]</t>
        </is>
      </c>
      <c r="AG50" s="175" t="n"/>
      <c r="AH50" s="176" t="inlineStr">
        <is>
          <t>2358-2026, (29.04.2026) [IJZ]</t>
        </is>
      </c>
      <c r="AK50" s="175" t="n"/>
      <c r="AL50" s="176" t="inlineStr">
        <is>
          <t>2358-2026, (29.04.2026) [IJZ]</t>
        </is>
      </c>
      <c r="AP50" s="175" t="n"/>
      <c r="AQ50" s="174" t="n"/>
      <c r="AS50" s="177" t="n"/>
    </row>
    <row r="51" ht="21" customHeight="1" s="70">
      <c r="A51" s="178" t="n"/>
      <c r="B51" s="179" t="n"/>
      <c r="D51" s="180" t="n"/>
      <c r="E51" s="179" t="n"/>
      <c r="F51" s="181" t="n"/>
      <c r="G51" s="187" t="inlineStr">
        <is>
          <t>not on this certificate</t>
        </is>
      </c>
      <c r="H51" s="188" t="inlineStr">
        <is>
          <t>ППК26061, (11.05.2026) [CNP] · on file, not credited</t>
        </is>
      </c>
      <c r="I51" s="189" t="inlineStr">
        <is>
          <t>•</t>
        </is>
      </c>
      <c r="J51" s="180" t="n"/>
      <c r="K51" s="179" t="n"/>
      <c r="L51" s="181" t="n"/>
      <c r="M51" s="180" t="n"/>
      <c r="N51" s="179" t="n"/>
      <c r="O51" s="181" t="n"/>
      <c r="P51" s="180" t="n"/>
      <c r="Q51" s="179" t="n"/>
      <c r="R51" s="181" t="n"/>
      <c r="S51" s="180" t="n"/>
      <c r="T51" s="179" t="n"/>
      <c r="U51" s="181" t="n"/>
      <c r="V51" s="180" t="n"/>
      <c r="W51" s="179" t="n"/>
      <c r="X51" s="181" t="n"/>
      <c r="Y51" s="180" t="n"/>
      <c r="Z51" s="179" t="n"/>
      <c r="AA51" s="181" t="n"/>
      <c r="AB51" s="190" t="inlineStr">
        <is>
          <t>5 × 10³</t>
        </is>
      </c>
      <c r="AC51" s="191" t="inlineStr">
        <is>
          <t>1.1 × 10³</t>
        </is>
      </c>
      <c r="AD51" s="191" t="inlineStr">
        <is>
          <t>&lt; 10³ and &gt; 10²</t>
        </is>
      </c>
      <c r="AE51" s="191" t="inlineStr">
        <is>
          <t>Absent</t>
        </is>
      </c>
      <c r="AF51" s="191" t="inlineStr">
        <is>
          <t>Absent</t>
        </is>
      </c>
      <c r="AG51" s="184" t="inlineStr">
        <is>
          <t>✓</t>
        </is>
      </c>
      <c r="AH51" s="180" t="n"/>
      <c r="AI51" s="179" t="n"/>
      <c r="AJ51" s="179" t="n"/>
      <c r="AK51" s="181" t="n"/>
      <c r="AL51" s="180" t="n"/>
      <c r="AM51" s="179" t="n"/>
      <c r="AN51" s="179" t="n"/>
      <c r="AO51" s="179" t="n"/>
      <c r="AP51" s="181" t="n"/>
      <c r="AQ51" s="180" t="n"/>
      <c r="AR51" s="179" t="n"/>
      <c r="AS51" s="192" t="n"/>
    </row>
    <row r="52" ht="13" customHeight="1" s="70">
      <c r="A52" s="193" t="n"/>
      <c r="B52" s="194" t="n"/>
      <c r="C52" s="194" t="n"/>
      <c r="D52" s="195" t="n"/>
      <c r="E52" s="194" t="n"/>
      <c r="F52" s="196" t="n"/>
      <c r="G52" s="195" t="n"/>
      <c r="H52" s="194" t="n"/>
      <c r="I52" s="196" t="n"/>
      <c r="J52" s="195" t="n"/>
      <c r="K52" s="194" t="n"/>
      <c r="L52" s="196" t="n"/>
      <c r="M52" s="195" t="n"/>
      <c r="N52" s="194" t="n"/>
      <c r="O52" s="196" t="n"/>
      <c r="P52" s="195" t="n"/>
      <c r="Q52" s="194" t="n"/>
      <c r="R52" s="196" t="n"/>
      <c r="S52" s="195" t="n"/>
      <c r="T52" s="194" t="n"/>
      <c r="U52" s="196" t="n"/>
      <c r="V52" s="195" t="n"/>
      <c r="W52" s="194" t="n"/>
      <c r="X52" s="196" t="n"/>
      <c r="Y52" s="195" t="n"/>
      <c r="Z52" s="194" t="n"/>
      <c r="AA52" s="196" t="n"/>
      <c r="AB52" s="197" t="inlineStr">
        <is>
          <t>545-1076-26, (31.08.2026) [IJZ-MB]</t>
        </is>
      </c>
      <c r="AC52" s="194" t="n"/>
      <c r="AD52" s="194" t="n"/>
      <c r="AE52" s="194" t="n"/>
      <c r="AF52" s="194" t="n"/>
      <c r="AG52" s="196" t="n"/>
      <c r="AH52" s="195" t="n"/>
      <c r="AI52" s="194" t="n"/>
      <c r="AJ52" s="194" t="n"/>
      <c r="AK52" s="196" t="n"/>
      <c r="AL52" s="195" t="n"/>
      <c r="AM52" s="194" t="n"/>
      <c r="AN52" s="194" t="n"/>
      <c r="AO52" s="194" t="n"/>
      <c r="AP52" s="196" t="n"/>
      <c r="AQ52" s="195" t="n"/>
      <c r="AR52" s="194" t="n"/>
      <c r="AS52" s="198" t="n"/>
    </row>
    <row r="53" ht="21" customHeight="1" s="70">
      <c r="A53" s="160" t="inlineStr">
        <is>
          <t>GRC102501</t>
        </is>
      </c>
      <c r="B53" s="161" t="inlineStr">
        <is>
          <t>P060142 / P060182</t>
        </is>
      </c>
      <c r="C53" s="199" t="inlineStr">
        <is>
          <t>⚠ 3 NO RESULT
(3 no cert / 0 cert w/o result)
2 testing instances
• 2 document(s) on file, not credited</t>
        </is>
      </c>
      <c r="D53" s="163" t="inlineStr">
        <is>
          <t>Conforms</t>
        </is>
      </c>
      <c r="E53" s="164">
        <f>IFERROR(INDEX('iCoA Register'!$B:$B,MATCH("P060342|I",'iCoA Register'!$P:$P,0)),"iCoA — at issue")&amp;", (23.02.2026) [PP]"</f>
        <v/>
      </c>
      <c r="F53" s="165" t="inlineStr">
        <is>
          <t>✓</t>
        </is>
      </c>
      <c r="G53" s="163" t="inlineStr">
        <is>
          <t>Conforms</t>
        </is>
      </c>
      <c r="H53" s="164">
        <f>IFERROR(INDEX('iCoA Register'!$B:$B,MATCH("P060342|I",'iCoA Register'!$P:$P,0)),"iCoA — at issue")&amp;", (23.02.2026) [PP]"</f>
        <v/>
      </c>
      <c r="I53" s="165" t="inlineStr">
        <is>
          <t>✓</t>
        </is>
      </c>
      <c r="J53" s="166" t="inlineStr">
        <is>
          <t>not on this certificate</t>
        </is>
      </c>
      <c r="K53" s="167" t="inlineStr">
        <is>
          <t>051-6-LoD-26, (02.03.2026) [FHM-K] · on file, not credited</t>
        </is>
      </c>
      <c r="L53" s="168" t="inlineStr">
        <is>
          <t>•</t>
        </is>
      </c>
      <c r="M53" s="218" t="inlineStr">
        <is>
          <t>not on this certificate</t>
        </is>
      </c>
      <c r="N53" s="167" t="inlineStr">
        <is>
          <t>051-6-LoD-26, (02.03.2026) [FHM-K] · on file, not credited</t>
        </is>
      </c>
      <c r="O53" s="168" t="inlineStr">
        <is>
          <t>•</t>
        </is>
      </c>
      <c r="P53" s="219" t="inlineStr">
        <is>
          <t>not on this certificate</t>
        </is>
      </c>
      <c r="Q53" s="167" t="inlineStr">
        <is>
          <t>051-6-LoD-26, (02.03.2026) [FHM-K] · on file, not credited</t>
        </is>
      </c>
      <c r="R53" s="168" t="inlineStr">
        <is>
          <t>•</t>
        </is>
      </c>
      <c r="S53" s="219" t="inlineStr">
        <is>
          <t>not on this certificate</t>
        </is>
      </c>
      <c r="T53" s="167" t="inlineStr">
        <is>
          <t>051-6-LoD-26, (02.03.2026) [FHM-K] · on file, not credited</t>
        </is>
      </c>
      <c r="U53" s="168" t="inlineStr">
        <is>
          <t>•</t>
        </is>
      </c>
      <c r="V53" s="163" t="inlineStr">
        <is>
          <t>Conforms</t>
        </is>
      </c>
      <c r="W53" s="164">
        <f>IFERROR(INDEX('iCoA Register'!$B:$B,MATCH("P060342|I",'iCoA Register'!$P:$P,0)),"iCoA — at issue")&amp;", (23.02.2026) [PP]"</f>
        <v/>
      </c>
      <c r="X53" s="165" t="inlineStr">
        <is>
          <t>✓</t>
        </is>
      </c>
      <c r="Y53" s="163" t="inlineStr">
        <is>
          <t>7.7</t>
        </is>
      </c>
      <c r="Z53" s="164" t="inlineStr">
        <is>
          <t>051-6-LoD-26, (02.03.2026) [FHM-K]</t>
        </is>
      </c>
      <c r="AA53" s="165" t="inlineStr">
        <is>
          <t>✓</t>
        </is>
      </c>
      <c r="AB53" s="163" t="inlineStr">
        <is>
          <t>10</t>
        </is>
      </c>
      <c r="AC53" s="171" t="inlineStr">
        <is>
          <t>&lt; 10</t>
        </is>
      </c>
      <c r="AD53" s="171" t="inlineStr">
        <is>
          <t>&lt; 10</t>
        </is>
      </c>
      <c r="AE53" s="171" t="inlineStr">
        <is>
          <t>Absent</t>
        </is>
      </c>
      <c r="AF53" s="171" t="inlineStr">
        <is>
          <t>Absent</t>
        </is>
      </c>
      <c r="AG53" s="165" t="inlineStr">
        <is>
          <t>✓</t>
        </is>
      </c>
      <c r="AH53" s="205" t="inlineStr">
        <is>
          <t>— MISSING —</t>
        </is>
      </c>
      <c r="AI53" s="206" t="inlineStr">
        <is>
          <t>— MISSING —</t>
        </is>
      </c>
      <c r="AJ53" s="206" t="inlineStr">
        <is>
          <t>— MISSING —</t>
        </is>
      </c>
      <c r="AK53" s="214" t="inlineStr">
        <is>
          <t>✗</t>
        </is>
      </c>
      <c r="AL53" s="205" t="inlineStr">
        <is>
          <t>— MISSING —</t>
        </is>
      </c>
      <c r="AM53" s="206" t="inlineStr">
        <is>
          <t>— MISSING —</t>
        </is>
      </c>
      <c r="AN53" s="206" t="inlineStr">
        <is>
          <t>— MISSING —</t>
        </is>
      </c>
      <c r="AO53" s="206" t="inlineStr">
        <is>
          <t>— MISSING —</t>
        </is>
      </c>
      <c r="AP53" s="214" t="inlineStr">
        <is>
          <t>✗</t>
        </is>
      </c>
      <c r="AQ53" s="205" t="inlineStr">
        <is>
          <t>— MISSING —</t>
        </is>
      </c>
      <c r="AR53" s="215" t="inlineStr">
        <is>
          <t>— no certificate —</t>
        </is>
      </c>
      <c r="AS53" s="216" t="inlineStr">
        <is>
          <t>✗</t>
        </is>
      </c>
    </row>
    <row r="54" ht="21" customHeight="1" s="70">
      <c r="A54" s="173" t="n"/>
      <c r="D54" s="174" t="n"/>
      <c r="F54" s="175" t="n"/>
      <c r="G54" s="174" t="n"/>
      <c r="I54" s="175" t="n"/>
      <c r="J54" s="174" t="n"/>
      <c r="L54" s="175" t="n"/>
      <c r="M54" s="174" t="n"/>
      <c r="O54" s="175" t="n"/>
      <c r="P54" s="174" t="n"/>
      <c r="R54" s="175" t="n"/>
      <c r="S54" s="174" t="n"/>
      <c r="U54" s="175" t="n"/>
      <c r="V54" s="174" t="n"/>
      <c r="X54" s="175" t="n"/>
      <c r="Y54" s="174" t="n"/>
      <c r="AA54" s="175" t="n"/>
      <c r="AB54" s="176" t="inlineStr">
        <is>
          <t>550-1081-26, (01.09.2026) [IJZ-MB]</t>
        </is>
      </c>
      <c r="AG54" s="175" t="n"/>
      <c r="AH54" s="217" t="inlineStr">
        <is>
          <t>— no certificate —</t>
        </is>
      </c>
      <c r="AK54" s="175" t="n"/>
      <c r="AL54" s="217" t="inlineStr">
        <is>
          <t>— no certificate —</t>
        </is>
      </c>
      <c r="AP54" s="175" t="n"/>
      <c r="AQ54" s="174" t="n"/>
      <c r="AS54" s="177" t="n"/>
    </row>
    <row r="55" ht="17.625" customHeight="1" s="70">
      <c r="A55" s="178" t="n"/>
      <c r="B55" s="179" t="n"/>
      <c r="D55" s="182" t="inlineStr">
        <is>
          <t>Conforms</t>
        </is>
      </c>
      <c r="E55" s="183">
        <f>IFERROR(INDEX('iCoA Register'!$B:$B,MATCH("P060182|I",'iCoA Register'!$P:$P,0)),"iCoA — at issue")&amp;", (14.03.2026) [PP]"</f>
        <v/>
      </c>
      <c r="F55" s="184" t="inlineStr">
        <is>
          <t>✓</t>
        </is>
      </c>
      <c r="G55" s="182" t="inlineStr">
        <is>
          <t>Conforms</t>
        </is>
      </c>
      <c r="H55" s="183">
        <f>IFERROR(INDEX('iCoA Register'!$B:$B,MATCH("P060182|I",'iCoA Register'!$P:$P,0)),"iCoA — at issue")&amp;", (14.03.2026) [PP]"</f>
        <v/>
      </c>
      <c r="I55" s="184" t="inlineStr">
        <is>
          <t>✓</t>
        </is>
      </c>
      <c r="J55" s="182" t="inlineStr">
        <is>
          <t>Conforms (ImB spec.) ᴿ</t>
        </is>
      </c>
      <c r="K55" s="183" t="inlineStr">
        <is>
          <t>051-6-K-26, (04.03.2026) [FHM-K]</t>
        </is>
      </c>
      <c r="L55" s="184" t="inlineStr">
        <is>
          <t>✓</t>
        </is>
      </c>
      <c r="M55" s="185" t="inlineStr">
        <is>
          <t>11.53</t>
        </is>
      </c>
      <c r="N55" s="183" t="inlineStr">
        <is>
          <t>051-6-K-26, (04.03.2026) [FHM-K]</t>
        </is>
      </c>
      <c r="O55" s="184" t="inlineStr">
        <is>
          <t>✓</t>
        </is>
      </c>
      <c r="P55" s="186" t="inlineStr">
        <is>
          <t>&lt; LOQ**</t>
        </is>
      </c>
      <c r="Q55" s="183" t="inlineStr">
        <is>
          <t>051-6-K-26, (04.03.2026) [FHM-K]</t>
        </is>
      </c>
      <c r="R55" s="184" t="inlineStr">
        <is>
          <t>✓</t>
        </is>
      </c>
      <c r="S55" s="186" t="inlineStr">
        <is>
          <t>&lt; LOQ**</t>
        </is>
      </c>
      <c r="T55" s="183" t="inlineStr">
        <is>
          <t>051-6-K-26, (04.03.2026) [FHM-K]</t>
        </is>
      </c>
      <c r="U55" s="184" t="inlineStr">
        <is>
          <t>✓</t>
        </is>
      </c>
      <c r="V55" s="182" t="inlineStr">
        <is>
          <t>Conforms</t>
        </is>
      </c>
      <c r="W55" s="183">
        <f>IFERROR(INDEX('iCoA Register'!$B:$B,MATCH("P060182|I",'iCoA Register'!$P:$P,0)),"iCoA — at issue")&amp;", (14.03.2026) [PP]"</f>
        <v/>
      </c>
      <c r="X55" s="184" t="inlineStr">
        <is>
          <t>✓</t>
        </is>
      </c>
      <c r="Y55" s="187" t="inlineStr">
        <is>
          <t>not on this certificate</t>
        </is>
      </c>
      <c r="Z55" s="188" t="inlineStr">
        <is>
          <t>051-6-K-26, (04.03.2026) [FHM-K] · on file, not credited</t>
        </is>
      </c>
      <c r="AA55" s="189" t="inlineStr">
        <is>
          <t>•</t>
        </is>
      </c>
      <c r="AB55" s="180" t="n"/>
      <c r="AC55" s="179" t="n"/>
      <c r="AD55" s="179" t="n"/>
      <c r="AE55" s="179" t="n"/>
      <c r="AF55" s="179" t="n"/>
      <c r="AG55" s="181" t="n"/>
      <c r="AH55" s="180" t="n"/>
      <c r="AI55" s="179" t="n"/>
      <c r="AJ55" s="179" t="n"/>
      <c r="AK55" s="181" t="n"/>
      <c r="AL55" s="180" t="n"/>
      <c r="AM55" s="179" t="n"/>
      <c r="AN55" s="179" t="n"/>
      <c r="AO55" s="179" t="n"/>
      <c r="AP55" s="181" t="n"/>
      <c r="AQ55" s="180" t="n"/>
      <c r="AR55" s="179" t="n"/>
      <c r="AS55" s="192" t="n"/>
    </row>
    <row r="56" ht="15.375" customHeight="1" s="70">
      <c r="A56" s="193" t="n"/>
      <c r="B56" s="194" t="n"/>
      <c r="C56" s="194" t="n"/>
      <c r="D56" s="195" t="n"/>
      <c r="E56" s="194" t="n"/>
      <c r="F56" s="196" t="n"/>
      <c r="G56" s="195" t="n"/>
      <c r="H56" s="194" t="n"/>
      <c r="I56" s="196" t="n"/>
      <c r="J56" s="195" t="n"/>
      <c r="K56" s="194" t="n"/>
      <c r="L56" s="196" t="n"/>
      <c r="M56" s="195" t="n"/>
      <c r="N56" s="194" t="n"/>
      <c r="O56" s="196" t="n"/>
      <c r="P56" s="195" t="n"/>
      <c r="Q56" s="194" t="n"/>
      <c r="R56" s="196" t="n"/>
      <c r="S56" s="195" t="n"/>
      <c r="T56" s="194" t="n"/>
      <c r="U56" s="196" t="n"/>
      <c r="V56" s="195" t="n"/>
      <c r="W56" s="194" t="n"/>
      <c r="X56" s="196" t="n"/>
      <c r="Y56" s="195" t="n"/>
      <c r="Z56" s="194" t="n"/>
      <c r="AA56" s="196" t="n"/>
      <c r="AB56" s="195" t="n"/>
      <c r="AC56" s="194" t="n"/>
      <c r="AD56" s="194" t="n"/>
      <c r="AE56" s="194" t="n"/>
      <c r="AF56" s="194" t="n"/>
      <c r="AG56" s="196" t="n"/>
      <c r="AH56" s="195" t="n"/>
      <c r="AI56" s="194" t="n"/>
      <c r="AJ56" s="194" t="n"/>
      <c r="AK56" s="196" t="n"/>
      <c r="AL56" s="195" t="n"/>
      <c r="AM56" s="194" t="n"/>
      <c r="AN56" s="194" t="n"/>
      <c r="AO56" s="194" t="n"/>
      <c r="AP56" s="196" t="n"/>
      <c r="AQ56" s="195" t="n"/>
      <c r="AR56" s="194" t="n"/>
      <c r="AS56" s="198" t="n"/>
    </row>
    <row r="57" ht="21" customHeight="1" s="70">
      <c r="A57" s="160" t="inlineStr">
        <is>
          <t>HPA1024</t>
        </is>
      </c>
      <c r="B57" s="161" t="inlineStr">
        <is>
          <t>N/A — no P batch assigned</t>
        </is>
      </c>
      <c r="C57" s="212" t="inlineStr">
        <is>
          <t>✗ 4 NO RESULT
(4 no cert / 0 cert w/o result)
2 testing instances
• 2 document(s) on file, not credited</t>
        </is>
      </c>
      <c r="D57" s="163" t="inlineStr">
        <is>
          <t>Conforms</t>
        </is>
      </c>
      <c r="E57" s="164">
        <f>IFERROR(INDEX('iCoA Register'!$B:$B,MATCH("HPA1024|I",'iCoA Register'!$P:$P,0)),"iCoA — at issue")&amp;", (11.04.2025) [PP]"</f>
        <v/>
      </c>
      <c r="F57" s="165" t="inlineStr">
        <is>
          <t>✓</t>
        </is>
      </c>
      <c r="G57" s="163" t="inlineStr">
        <is>
          <t>Conforms</t>
        </is>
      </c>
      <c r="H57" s="164">
        <f>IFERROR(INDEX('iCoA Register'!$B:$B,MATCH("HPA1024|I",'iCoA Register'!$P:$P,0)),"iCoA — at issue")&amp;", (11.04.2025) [PP]"</f>
        <v/>
      </c>
      <c r="I57" s="165" t="inlineStr">
        <is>
          <t>✓</t>
        </is>
      </c>
      <c r="J57" s="163" t="inlineStr">
        <is>
          <t>Conforms (ImB spec.) ᴿ</t>
        </is>
      </c>
      <c r="K57" s="164" t="inlineStr">
        <is>
          <t>197-13-K-26, (07.08.2026) [FHM-K]</t>
        </is>
      </c>
      <c r="L57" s="165" t="inlineStr">
        <is>
          <t>✓</t>
        </is>
      </c>
      <c r="M57" s="218" t="inlineStr">
        <is>
          <t>14.97 ᴿ</t>
        </is>
      </c>
      <c r="N57" s="167">
        <f>IFERROR(INDEX('iCoA Register'!$B:$B,MATCH("HPA1024|I",'iCoA Register'!$P:$P,0)),"iCoA — at issue")&amp;", (11.04.2025) [PP]"</f>
        <v/>
      </c>
      <c r="O57" s="168" t="inlineStr">
        <is>
          <t>•</t>
        </is>
      </c>
      <c r="P57" s="219" t="inlineStr">
        <is>
          <t>0.04 ᴿ</t>
        </is>
      </c>
      <c r="Q57" s="167">
        <f>IFERROR(INDEX('iCoA Register'!$B:$B,MATCH("HPA1024|I",'iCoA Register'!$P:$P,0)),"iCoA — at issue")&amp;", (11.04.2025) [PP]"</f>
        <v/>
      </c>
      <c r="R57" s="168" t="inlineStr">
        <is>
          <t>•</t>
        </is>
      </c>
      <c r="S57" s="170" t="inlineStr">
        <is>
          <t>0.36</t>
        </is>
      </c>
      <c r="T57" s="164" t="inlineStr">
        <is>
          <t>197-13-K-26, (07.08.2026) [FHM-K]</t>
        </is>
      </c>
      <c r="U57" s="165" t="inlineStr">
        <is>
          <t>✓</t>
        </is>
      </c>
      <c r="V57" s="163" t="inlineStr">
        <is>
          <t>Conforms</t>
        </is>
      </c>
      <c r="W57" s="164">
        <f>IFERROR(INDEX('iCoA Register'!$B:$B,MATCH("HPA1024|I",'iCoA Register'!$P:$P,0)),"iCoA — at issue")&amp;", (11.04.2025) [PP]"</f>
        <v/>
      </c>
      <c r="X57" s="165" t="inlineStr">
        <is>
          <t>✓</t>
        </is>
      </c>
      <c r="Y57" s="166" t="inlineStr">
        <is>
          <t>not on this certificate</t>
        </is>
      </c>
      <c r="Z57" s="167" t="inlineStr">
        <is>
          <t>197-13-K-26, (07.08.2026) [FHM-K] · on file, not credited</t>
        </is>
      </c>
      <c r="AA57" s="168" t="inlineStr">
        <is>
          <t>•</t>
        </is>
      </c>
      <c r="AB57" s="166" t="inlineStr">
        <is>
          <t>5.2 × 10⁴ ᴿ</t>
        </is>
      </c>
      <c r="AC57" s="220" t="inlineStr">
        <is>
          <t>7 × 10² ᴿ</t>
        </is>
      </c>
      <c r="AD57" s="220" t="inlineStr">
        <is>
          <t>&lt; 10 ᴿ</t>
        </is>
      </c>
      <c r="AE57" s="220" t="inlineStr">
        <is>
          <t>Absent ᴿ</t>
        </is>
      </c>
      <c r="AF57" s="220" t="inlineStr">
        <is>
          <t>Absent ᴿ</t>
        </is>
      </c>
      <c r="AG57" s="168" t="inlineStr">
        <is>
          <t>•</t>
        </is>
      </c>
      <c r="AH57" s="166" t="inlineStr">
        <is>
          <t>not reported</t>
        </is>
      </c>
      <c r="AI57" s="220" t="inlineStr">
        <is>
          <t>&lt; 2 ᴿ</t>
        </is>
      </c>
      <c r="AJ57" s="220" t="inlineStr">
        <is>
          <t>not reported</t>
        </is>
      </c>
      <c r="AK57" s="168" t="inlineStr">
        <is>
          <t>•</t>
        </is>
      </c>
      <c r="AL57" s="166" t="inlineStr">
        <is>
          <t>0.02 ᴿ</t>
        </is>
      </c>
      <c r="AM57" s="220" t="inlineStr">
        <is>
          <t>0.013 ᴿ</t>
        </is>
      </c>
      <c r="AN57" s="220" t="inlineStr">
        <is>
          <t>0.017 ᴿ</t>
        </is>
      </c>
      <c r="AO57" s="220" t="inlineStr">
        <is>
          <t>0.0026 ᴿ</t>
        </is>
      </c>
      <c r="AP57" s="168" t="inlineStr">
        <is>
          <t>•</t>
        </is>
      </c>
      <c r="AQ57" s="166" t="inlineStr">
        <is>
          <t>ND ᴿ</t>
        </is>
      </c>
      <c r="AR57" s="167">
        <f>IFERROR(INDEX('iCoA Register'!$B:$B,MATCH("HPA1024|I",'iCoA Register'!$P:$P,0)),"iCoA — at issue")&amp;", (11.04.2025) [PP]"</f>
        <v/>
      </c>
      <c r="AS57" s="221" t="inlineStr">
        <is>
          <t>•</t>
        </is>
      </c>
    </row>
    <row r="58" ht="21" customHeight="1" s="70">
      <c r="A58" s="173" t="n"/>
      <c r="D58" s="174" t="n"/>
      <c r="F58" s="175" t="n"/>
      <c r="G58" s="174" t="n"/>
      <c r="I58" s="175" t="n"/>
      <c r="J58" s="174" t="n"/>
      <c r="L58" s="175" t="n"/>
      <c r="M58" s="174" t="n"/>
      <c r="O58" s="175" t="n"/>
      <c r="P58" s="174" t="n"/>
      <c r="R58" s="175" t="n"/>
      <c r="S58" s="174" t="n"/>
      <c r="U58" s="175" t="n"/>
      <c r="V58" s="174" t="n"/>
      <c r="X58" s="175" t="n"/>
      <c r="Y58" s="174" t="n"/>
      <c r="AA58" s="175" t="n"/>
      <c r="AB58" s="222">
        <f>IFERROR(INDEX('iCoA Register'!$B:$B,MATCH("HPA1024|I",'iCoA Register'!$P:$P,0)),"iCoA — at issue")&amp;", (11.04.2025) [PP]"</f>
        <v/>
      </c>
      <c r="AG58" s="175" t="n"/>
      <c r="AH58" s="222">
        <f>IFERROR(INDEX('iCoA Register'!$B:$B,MATCH("HPA1024|I",'iCoA Register'!$P:$P,0)),"iCoA — at issue")&amp;", (11.04.2025) [PP]"</f>
        <v/>
      </c>
      <c r="AK58" s="175" t="n"/>
      <c r="AL58" s="222">
        <f>IFERROR(INDEX('iCoA Register'!$B:$B,MATCH("HPA1024|I",'iCoA Register'!$P:$P,0)),"iCoA — at issue")&amp;", (11.04.2025) [PP]"</f>
        <v/>
      </c>
      <c r="AP58" s="175" t="n"/>
      <c r="AQ58" s="174" t="n"/>
      <c r="AS58" s="177" t="n"/>
    </row>
    <row r="59" ht="17.625" customHeight="1" s="70">
      <c r="A59" s="178" t="n"/>
      <c r="B59" s="179" t="n"/>
      <c r="D59" s="182" t="inlineStr">
        <is>
          <t>Conforms</t>
        </is>
      </c>
      <c r="E59" s="183" t="inlineStr">
        <is>
          <t>iCoA — at issue (HPA1024), (23.04.2025) [PP]</t>
        </is>
      </c>
      <c r="F59" s="184" t="inlineStr">
        <is>
          <t>✓</t>
        </is>
      </c>
      <c r="G59" s="180" t="n"/>
      <c r="H59" s="179" t="n"/>
      <c r="I59" s="181" t="n"/>
      <c r="J59" s="180" t="n"/>
      <c r="K59" s="179" t="n"/>
      <c r="L59" s="181" t="n"/>
      <c r="M59" s="185" t="inlineStr">
        <is>
          <t>17.31</t>
        </is>
      </c>
      <c r="N59" s="183" t="inlineStr">
        <is>
          <t>197-13-K-26, (07.08.2026) [FHM-K]</t>
        </is>
      </c>
      <c r="O59" s="184" t="inlineStr">
        <is>
          <t>✓</t>
        </is>
      </c>
      <c r="P59" s="186" t="inlineStr">
        <is>
          <t>&lt; LOQ</t>
        </is>
      </c>
      <c r="Q59" s="183" t="inlineStr">
        <is>
          <t>197-13-K-26, (07.08.2026) [FHM-K]</t>
        </is>
      </c>
      <c r="R59" s="184" t="inlineStr">
        <is>
          <t>✓</t>
        </is>
      </c>
      <c r="S59" s="180" t="n"/>
      <c r="T59" s="179" t="n"/>
      <c r="U59" s="181" t="n"/>
      <c r="V59" s="182" t="inlineStr">
        <is>
          <t>Conforms</t>
        </is>
      </c>
      <c r="W59" s="183" t="inlineStr">
        <is>
          <t>iCoA — at issue (HPA1024), (23.04.2025) [PP]</t>
        </is>
      </c>
      <c r="X59" s="184" t="inlineStr">
        <is>
          <t>✓</t>
        </is>
      </c>
      <c r="Y59" s="180" t="n"/>
      <c r="Z59" s="179" t="n"/>
      <c r="AA59" s="181" t="n"/>
      <c r="AB59" s="180" t="n"/>
      <c r="AC59" s="179" t="n"/>
      <c r="AD59" s="179" t="n"/>
      <c r="AE59" s="179" t="n"/>
      <c r="AF59" s="179" t="n"/>
      <c r="AG59" s="181" t="n"/>
      <c r="AH59" s="190" t="inlineStr">
        <is>
          <t>ND</t>
        </is>
      </c>
      <c r="AI59" s="191" t="inlineStr">
        <is>
          <t>ND</t>
        </is>
      </c>
      <c r="AJ59" s="191" t="inlineStr">
        <is>
          <t>&lt; LOQ</t>
        </is>
      </c>
      <c r="AK59" s="184" t="inlineStr">
        <is>
          <t>✓</t>
        </is>
      </c>
      <c r="AL59" s="180" t="n"/>
      <c r="AM59" s="179" t="n"/>
      <c r="AN59" s="179" t="n"/>
      <c r="AO59" s="179" t="n"/>
      <c r="AP59" s="181" t="n"/>
      <c r="AQ59" s="180" t="n"/>
      <c r="AR59" s="179" t="n"/>
      <c r="AS59" s="192" t="n"/>
    </row>
    <row r="60" ht="13" customHeight="1" s="70">
      <c r="A60" s="193" t="n"/>
      <c r="B60" s="194" t="n"/>
      <c r="C60" s="194" t="n"/>
      <c r="D60" s="195" t="n"/>
      <c r="E60" s="194" t="n"/>
      <c r="F60" s="196" t="n"/>
      <c r="G60" s="195" t="n"/>
      <c r="H60" s="194" t="n"/>
      <c r="I60" s="196" t="n"/>
      <c r="J60" s="195" t="n"/>
      <c r="K60" s="194" t="n"/>
      <c r="L60" s="196" t="n"/>
      <c r="M60" s="195" t="n"/>
      <c r="N60" s="194" t="n"/>
      <c r="O60" s="196" t="n"/>
      <c r="P60" s="195" t="n"/>
      <c r="Q60" s="194" t="n"/>
      <c r="R60" s="196" t="n"/>
      <c r="S60" s="195" t="n"/>
      <c r="T60" s="194" t="n"/>
      <c r="U60" s="196" t="n"/>
      <c r="V60" s="195" t="n"/>
      <c r="W60" s="194" t="n"/>
      <c r="X60" s="196" t="n"/>
      <c r="Y60" s="195" t="n"/>
      <c r="Z60" s="194" t="n"/>
      <c r="AA60" s="196" t="n"/>
      <c r="AB60" s="195" t="n"/>
      <c r="AC60" s="194" t="n"/>
      <c r="AD60" s="194" t="n"/>
      <c r="AE60" s="194" t="n"/>
      <c r="AF60" s="194" t="n"/>
      <c r="AG60" s="196" t="n"/>
      <c r="AH60" s="197" t="inlineStr">
        <is>
          <t>197-13-M-26, (10.08.2026) [FHM-M]</t>
        </is>
      </c>
      <c r="AI60" s="194" t="n"/>
      <c r="AJ60" s="194" t="n"/>
      <c r="AK60" s="196" t="n"/>
      <c r="AL60" s="195" t="n"/>
      <c r="AM60" s="194" t="n"/>
      <c r="AN60" s="194" t="n"/>
      <c r="AO60" s="194" t="n"/>
      <c r="AP60" s="196" t="n"/>
      <c r="AQ60" s="195" t="n"/>
      <c r="AR60" s="194" t="n"/>
      <c r="AS60" s="198" t="n"/>
    </row>
    <row r="61" ht="21" customHeight="1" s="70">
      <c r="A61" s="160" t="inlineStr">
        <is>
          <t>J31102501</t>
        </is>
      </c>
      <c r="B61" s="161" t="inlineStr">
        <is>
          <t>P060152</t>
        </is>
      </c>
      <c r="C61" s="199" t="inlineStr">
        <is>
          <t>⚠ 3 NO RESULT
(3 no cert / 0 cert w/o result)
3 testing instances
• 3 document(s) on file, not credited</t>
        </is>
      </c>
      <c r="D61" s="163" t="inlineStr">
        <is>
          <t>Conforms</t>
        </is>
      </c>
      <c r="E61" s="164">
        <f>IFERROR(INDEX('iCoA Register'!$B:$B,MATCH("P060152|I",'iCoA Register'!$P:$P,0)),"iCoA — at issue")&amp;", (05.03.2026) [PP]"</f>
        <v/>
      </c>
      <c r="F61" s="165" t="inlineStr">
        <is>
          <t>✓</t>
        </is>
      </c>
      <c r="G61" s="163" t="inlineStr">
        <is>
          <t>Conforms</t>
        </is>
      </c>
      <c r="H61" s="164">
        <f>IFERROR(INDEX('iCoA Register'!$B:$B,MATCH("P060152|I",'iCoA Register'!$P:$P,0)),"iCoA — at issue")&amp;", (05.03.2026) [PP]"</f>
        <v/>
      </c>
      <c r="I61" s="165" t="inlineStr">
        <is>
          <t>✓</t>
        </is>
      </c>
      <c r="J61" s="166" t="inlineStr">
        <is>
          <t>not on this certificate</t>
        </is>
      </c>
      <c r="K61" s="167" t="inlineStr">
        <is>
          <t>051-1-LoD-26, (02.03.2026) [FHM-K] · on file, not credited</t>
        </is>
      </c>
      <c r="L61" s="168" t="inlineStr">
        <is>
          <t>•</t>
        </is>
      </c>
      <c r="M61" s="218" t="inlineStr">
        <is>
          <t>not on this certificate</t>
        </is>
      </c>
      <c r="N61" s="167" t="inlineStr">
        <is>
          <t>051-1-LoD-26, (02.03.2026) [FHM-K] · on file, not credited</t>
        </is>
      </c>
      <c r="O61" s="168" t="inlineStr">
        <is>
          <t>•</t>
        </is>
      </c>
      <c r="P61" s="219" t="inlineStr">
        <is>
          <t>not on this certificate</t>
        </is>
      </c>
      <c r="Q61" s="167" t="inlineStr">
        <is>
          <t>051-1-LoD-26, (02.03.2026) [FHM-K] · on file, not credited</t>
        </is>
      </c>
      <c r="R61" s="168" t="inlineStr">
        <is>
          <t>•</t>
        </is>
      </c>
      <c r="S61" s="219" t="inlineStr">
        <is>
          <t>not on this certificate</t>
        </is>
      </c>
      <c r="T61" s="167" t="inlineStr">
        <is>
          <t>051-1-LoD-26, (02.03.2026) [FHM-K] · on file, not credited</t>
        </is>
      </c>
      <c r="U61" s="168" t="inlineStr">
        <is>
          <t>•</t>
        </is>
      </c>
      <c r="V61" s="163" t="inlineStr">
        <is>
          <t>Conforms</t>
        </is>
      </c>
      <c r="W61" s="164">
        <f>IFERROR(INDEX('iCoA Register'!$B:$B,MATCH("P060152|I",'iCoA Register'!$P:$P,0)),"iCoA — at issue")&amp;", (05.03.2026) [PP]"</f>
        <v/>
      </c>
      <c r="X61" s="165" t="inlineStr">
        <is>
          <t>✓</t>
        </is>
      </c>
      <c r="Y61" s="163" t="inlineStr">
        <is>
          <t>6.3</t>
        </is>
      </c>
      <c r="Z61" s="164" t="inlineStr">
        <is>
          <t>051-1-LoD-26, (02.03.2026) [FHM-K]</t>
        </is>
      </c>
      <c r="AA61" s="165" t="inlineStr">
        <is>
          <t>✓</t>
        </is>
      </c>
      <c r="AB61" s="205" t="inlineStr">
        <is>
          <t>— MISSING —</t>
        </is>
      </c>
      <c r="AC61" s="206" t="inlineStr">
        <is>
          <t>— MISSING —</t>
        </is>
      </c>
      <c r="AD61" s="206" t="inlineStr">
        <is>
          <t>— MISSING —</t>
        </is>
      </c>
      <c r="AE61" s="206" t="inlineStr">
        <is>
          <t>— MISSING —</t>
        </is>
      </c>
      <c r="AF61" s="206" t="inlineStr">
        <is>
          <t>— MISSING —</t>
        </is>
      </c>
      <c r="AG61" s="214" t="inlineStr">
        <is>
          <t>✗</t>
        </is>
      </c>
      <c r="AH61" s="163" t="inlineStr">
        <is>
          <t>ND</t>
        </is>
      </c>
      <c r="AI61" s="171" t="inlineStr">
        <is>
          <t>ND</t>
        </is>
      </c>
      <c r="AJ61" s="171" t="inlineStr">
        <is>
          <t>ND</t>
        </is>
      </c>
      <c r="AK61" s="165" t="inlineStr">
        <is>
          <t>✓</t>
        </is>
      </c>
      <c r="AL61" s="205" t="inlineStr">
        <is>
          <t>— MISSING —</t>
        </is>
      </c>
      <c r="AM61" s="206" t="inlineStr">
        <is>
          <t>— MISSING —</t>
        </is>
      </c>
      <c r="AN61" s="206" t="inlineStr">
        <is>
          <t>— MISSING —</t>
        </is>
      </c>
      <c r="AO61" s="206" t="inlineStr">
        <is>
          <t>— MISSING —</t>
        </is>
      </c>
      <c r="AP61" s="214" t="inlineStr">
        <is>
          <t>✗</t>
        </is>
      </c>
      <c r="AQ61" s="205" t="inlineStr">
        <is>
          <t>— MISSING —</t>
        </is>
      </c>
      <c r="AR61" s="215" t="inlineStr">
        <is>
          <t>— no certificate —</t>
        </is>
      </c>
      <c r="AS61" s="216" t="inlineStr">
        <is>
          <t>✗</t>
        </is>
      </c>
    </row>
    <row r="62" ht="21" customHeight="1" s="70">
      <c r="A62" s="173" t="n"/>
      <c r="D62" s="174" t="n"/>
      <c r="F62" s="175" t="n"/>
      <c r="G62" s="174" t="n"/>
      <c r="I62" s="175" t="n"/>
      <c r="J62" s="174" t="n"/>
      <c r="L62" s="175" t="n"/>
      <c r="M62" s="174" t="n"/>
      <c r="O62" s="175" t="n"/>
      <c r="P62" s="174" t="n"/>
      <c r="R62" s="175" t="n"/>
      <c r="S62" s="174" t="n"/>
      <c r="U62" s="175" t="n"/>
      <c r="V62" s="174" t="n"/>
      <c r="X62" s="175" t="n"/>
      <c r="Y62" s="174" t="n"/>
      <c r="AA62" s="175" t="n"/>
      <c r="AB62" s="217" t="inlineStr">
        <is>
          <t>— no certificate —</t>
        </is>
      </c>
      <c r="AG62" s="175" t="n"/>
      <c r="AH62" s="176" t="inlineStr">
        <is>
          <t>197-16-M-26, (10.08.2026) [FHM-M]</t>
        </is>
      </c>
      <c r="AK62" s="175" t="n"/>
      <c r="AL62" s="217" t="inlineStr">
        <is>
          <t>— no certificate —</t>
        </is>
      </c>
      <c r="AP62" s="175" t="n"/>
      <c r="AQ62" s="174" t="n"/>
      <c r="AS62" s="177" t="n"/>
    </row>
    <row r="63" ht="17.625" customHeight="1" s="70">
      <c r="A63" s="178" t="n"/>
      <c r="B63" s="179" t="n"/>
      <c r="D63" s="180" t="n"/>
      <c r="E63" s="179" t="n"/>
      <c r="F63" s="181" t="n"/>
      <c r="G63" s="180" t="n"/>
      <c r="H63" s="179" t="n"/>
      <c r="I63" s="181" t="n"/>
      <c r="J63" s="190" t="inlineStr">
        <is>
          <t>Conforms (ImB spec.) ᴿ</t>
        </is>
      </c>
      <c r="K63" s="223" t="inlineStr">
        <is>
          <t>051-1-K-26, (04.03.2026) [FHM-K]</t>
        </is>
      </c>
      <c r="L63" s="224" t="inlineStr">
        <is>
          <t>✓</t>
        </is>
      </c>
      <c r="M63" s="225" t="inlineStr">
        <is>
          <t>19.14</t>
        </is>
      </c>
      <c r="N63" s="223" t="inlineStr">
        <is>
          <t>051-1-K-26, (04.03.2026) [FHM-K]</t>
        </is>
      </c>
      <c r="O63" s="224" t="inlineStr">
        <is>
          <t>✓</t>
        </is>
      </c>
      <c r="P63" s="226" t="inlineStr">
        <is>
          <t>&lt; LOQ**</t>
        </is>
      </c>
      <c r="Q63" s="223" t="inlineStr">
        <is>
          <t>051-1-K-26, (04.03.2026) [FHM-K]</t>
        </is>
      </c>
      <c r="R63" s="224" t="inlineStr">
        <is>
          <t>✓</t>
        </is>
      </c>
      <c r="S63" s="226" t="inlineStr">
        <is>
          <t>&lt; LOQ**</t>
        </is>
      </c>
      <c r="T63" s="223" t="inlineStr">
        <is>
          <t>051-1-K-26, (04.03.2026) [FHM-K]</t>
        </is>
      </c>
      <c r="U63" s="224" t="inlineStr">
        <is>
          <t>✓</t>
        </is>
      </c>
      <c r="V63" s="180" t="n"/>
      <c r="W63" s="179" t="n"/>
      <c r="X63" s="181" t="n"/>
      <c r="Y63" s="227" t="inlineStr">
        <is>
          <t>not on this certificate</t>
        </is>
      </c>
      <c r="Z63" s="228" t="inlineStr">
        <is>
          <t>051-1-K-26, (04.03.2026) [FHM-K] · on file, not credited</t>
        </is>
      </c>
      <c r="AA63" s="229" t="inlineStr">
        <is>
          <t>•</t>
        </is>
      </c>
      <c r="AB63" s="180" t="n"/>
      <c r="AC63" s="179" t="n"/>
      <c r="AD63" s="179" t="n"/>
      <c r="AE63" s="179" t="n"/>
      <c r="AF63" s="179" t="n"/>
      <c r="AG63" s="181" t="n"/>
      <c r="AH63" s="180" t="n"/>
      <c r="AI63" s="179" t="n"/>
      <c r="AJ63" s="179" t="n"/>
      <c r="AK63" s="181" t="n"/>
      <c r="AL63" s="180" t="n"/>
      <c r="AM63" s="179" t="n"/>
      <c r="AN63" s="179" t="n"/>
      <c r="AO63" s="179" t="n"/>
      <c r="AP63" s="181" t="n"/>
      <c r="AQ63" s="180" t="n"/>
      <c r="AR63" s="179" t="n"/>
      <c r="AS63" s="192" t="n"/>
    </row>
    <row r="64" ht="15.375" customHeight="1" s="70">
      <c r="A64" s="230" t="n"/>
      <c r="B64" s="231" t="n"/>
      <c r="D64" s="232" t="n"/>
      <c r="E64" s="231" t="n"/>
      <c r="F64" s="233" t="n"/>
      <c r="G64" s="232" t="n"/>
      <c r="H64" s="231" t="n"/>
      <c r="I64" s="233" t="n"/>
      <c r="J64" s="232" t="n"/>
      <c r="K64" s="231" t="n"/>
      <c r="L64" s="233" t="n"/>
      <c r="M64" s="232" t="n"/>
      <c r="N64" s="231" t="n"/>
      <c r="O64" s="233" t="n"/>
      <c r="P64" s="232" t="n"/>
      <c r="Q64" s="231" t="n"/>
      <c r="R64" s="233" t="n"/>
      <c r="S64" s="232" t="n"/>
      <c r="T64" s="231" t="n"/>
      <c r="U64" s="233" t="n"/>
      <c r="V64" s="232" t="n"/>
      <c r="W64" s="231" t="n"/>
      <c r="X64" s="233" t="n"/>
      <c r="Y64" s="232" t="n"/>
      <c r="Z64" s="231" t="n"/>
      <c r="AA64" s="233" t="n"/>
      <c r="AB64" s="232" t="n"/>
      <c r="AC64" s="231" t="n"/>
      <c r="AD64" s="231" t="n"/>
      <c r="AE64" s="231" t="n"/>
      <c r="AF64" s="231" t="n"/>
      <c r="AG64" s="233" t="n"/>
      <c r="AH64" s="232" t="n"/>
      <c r="AI64" s="231" t="n"/>
      <c r="AJ64" s="231" t="n"/>
      <c r="AK64" s="233" t="n"/>
      <c r="AL64" s="232" t="n"/>
      <c r="AM64" s="231" t="n"/>
      <c r="AN64" s="231" t="n"/>
      <c r="AO64" s="231" t="n"/>
      <c r="AP64" s="233" t="n"/>
      <c r="AQ64" s="232" t="n"/>
      <c r="AR64" s="231" t="n"/>
      <c r="AS64" s="234" t="n"/>
    </row>
    <row r="65" ht="17.625" customHeight="1" s="70">
      <c r="A65" s="178" t="n"/>
      <c r="B65" s="179" t="n"/>
      <c r="D65" s="180" t="n"/>
      <c r="E65" s="179" t="n"/>
      <c r="F65" s="181" t="n"/>
      <c r="G65" s="180" t="n"/>
      <c r="H65" s="179" t="n"/>
      <c r="I65" s="181" t="n"/>
      <c r="J65" s="182" t="inlineStr">
        <is>
          <t>Conforms (ImB spec.)</t>
        </is>
      </c>
      <c r="K65" s="183" t="inlineStr">
        <is>
          <t>197-16-K-26, (07.08.2026) [FHM-K]</t>
        </is>
      </c>
      <c r="L65" s="184" t="inlineStr">
        <is>
          <t>✓</t>
        </is>
      </c>
      <c r="M65" s="185" t="inlineStr">
        <is>
          <t>17.32</t>
        </is>
      </c>
      <c r="N65" s="183" t="inlineStr">
        <is>
          <t>197-16-K-26, (07.08.2026) [FHM-K]</t>
        </is>
      </c>
      <c r="O65" s="184" t="inlineStr">
        <is>
          <t>✓</t>
        </is>
      </c>
      <c r="P65" s="186" t="inlineStr">
        <is>
          <t>&lt; LOQ</t>
        </is>
      </c>
      <c r="Q65" s="183" t="inlineStr">
        <is>
          <t>197-16-K-26, (07.08.2026) [FHM-K]</t>
        </is>
      </c>
      <c r="R65" s="184" t="inlineStr">
        <is>
          <t>✓</t>
        </is>
      </c>
      <c r="S65" s="186" t="inlineStr">
        <is>
          <t>&lt; LOQ</t>
        </is>
      </c>
      <c r="T65" s="183" t="inlineStr">
        <is>
          <t>197-16-K-26, (07.08.2026) [FHM-K]</t>
        </is>
      </c>
      <c r="U65" s="184" t="inlineStr">
        <is>
          <t>✓</t>
        </is>
      </c>
      <c r="V65" s="180" t="n"/>
      <c r="W65" s="179" t="n"/>
      <c r="X65" s="181" t="n"/>
      <c r="Y65" s="187" t="inlineStr">
        <is>
          <t>not on this certificate</t>
        </is>
      </c>
      <c r="Z65" s="188" t="inlineStr">
        <is>
          <t>197-16-K-26, (07.08.2026) [FHM-K] · on file, not credited</t>
        </is>
      </c>
      <c r="AA65" s="189" t="inlineStr">
        <is>
          <t>•</t>
        </is>
      </c>
      <c r="AB65" s="180" t="n"/>
      <c r="AC65" s="179" t="n"/>
      <c r="AD65" s="179" t="n"/>
      <c r="AE65" s="179" t="n"/>
      <c r="AF65" s="179" t="n"/>
      <c r="AG65" s="181" t="n"/>
      <c r="AH65" s="180" t="n"/>
      <c r="AI65" s="179" t="n"/>
      <c r="AJ65" s="179" t="n"/>
      <c r="AK65" s="181" t="n"/>
      <c r="AL65" s="180" t="n"/>
      <c r="AM65" s="179" t="n"/>
      <c r="AN65" s="179" t="n"/>
      <c r="AO65" s="179" t="n"/>
      <c r="AP65" s="181" t="n"/>
      <c r="AQ65" s="180" t="n"/>
      <c r="AR65" s="179" t="n"/>
      <c r="AS65" s="192" t="n"/>
    </row>
    <row r="66" ht="15.375" customHeight="1" s="70">
      <c r="A66" s="193" t="n"/>
      <c r="B66" s="194" t="n"/>
      <c r="C66" s="194" t="n"/>
      <c r="D66" s="195" t="n"/>
      <c r="E66" s="194" t="n"/>
      <c r="F66" s="196" t="n"/>
      <c r="G66" s="195" t="n"/>
      <c r="H66" s="194" t="n"/>
      <c r="I66" s="196" t="n"/>
      <c r="J66" s="195" t="n"/>
      <c r="K66" s="194" t="n"/>
      <c r="L66" s="196" t="n"/>
      <c r="M66" s="195" t="n"/>
      <c r="N66" s="194" t="n"/>
      <c r="O66" s="196" t="n"/>
      <c r="P66" s="195" t="n"/>
      <c r="Q66" s="194" t="n"/>
      <c r="R66" s="196" t="n"/>
      <c r="S66" s="195" t="n"/>
      <c r="T66" s="194" t="n"/>
      <c r="U66" s="196" t="n"/>
      <c r="V66" s="195" t="n"/>
      <c r="W66" s="194" t="n"/>
      <c r="X66" s="196" t="n"/>
      <c r="Y66" s="195" t="n"/>
      <c r="Z66" s="194" t="n"/>
      <c r="AA66" s="196" t="n"/>
      <c r="AB66" s="195" t="n"/>
      <c r="AC66" s="194" t="n"/>
      <c r="AD66" s="194" t="n"/>
      <c r="AE66" s="194" t="n"/>
      <c r="AF66" s="194" t="n"/>
      <c r="AG66" s="196" t="n"/>
      <c r="AH66" s="195" t="n"/>
      <c r="AI66" s="194" t="n"/>
      <c r="AJ66" s="194" t="n"/>
      <c r="AK66" s="196" t="n"/>
      <c r="AL66" s="195" t="n"/>
      <c r="AM66" s="194" t="n"/>
      <c r="AN66" s="194" t="n"/>
      <c r="AO66" s="194" t="n"/>
      <c r="AP66" s="196" t="n"/>
      <c r="AQ66" s="195" t="n"/>
      <c r="AR66" s="194" t="n"/>
      <c r="AS66" s="198" t="n"/>
    </row>
    <row r="67" ht="21" customHeight="1" s="70">
      <c r="A67" s="160" t="inlineStr">
        <is>
          <t>J31112501</t>
        </is>
      </c>
      <c r="B67" s="161" t="inlineStr">
        <is>
          <t>P060202</t>
        </is>
      </c>
      <c r="C67" s="199" t="inlineStr">
        <is>
          <t>⚠ 3 NO RESULT
(3 no cert / 0 cert w/o result)
6 testing instances
• 6 document(s) on file, not credited</t>
        </is>
      </c>
      <c r="D67" s="163" t="inlineStr">
        <is>
          <t>Conforms</t>
        </is>
      </c>
      <c r="E67" s="164">
        <f>IFERROR(INDEX('iCoA Register'!$B:$B,MATCH("P060202|I",'iCoA Register'!$P:$P,0)),"iCoA — at issue")&amp;", (17.04.2026) [PP]"</f>
        <v/>
      </c>
      <c r="F67" s="165" t="inlineStr">
        <is>
          <t>✓</t>
        </is>
      </c>
      <c r="G67" s="163" t="inlineStr">
        <is>
          <t>Conforms</t>
        </is>
      </c>
      <c r="H67" s="164">
        <f>IFERROR(INDEX('iCoA Register'!$B:$B,MATCH("P060202|I",'iCoA Register'!$P:$P,0)),"iCoA — at issue")&amp;", (17.04.2026) [PP]"</f>
        <v/>
      </c>
      <c r="I67" s="165" t="inlineStr">
        <is>
          <t>✓</t>
        </is>
      </c>
      <c r="J67" s="166" t="inlineStr">
        <is>
          <t>not on this certificate</t>
        </is>
      </c>
      <c r="K67" s="167" t="inlineStr">
        <is>
          <t>051-5-LoD-26, (02.03.2026) [FHM-K] · on file, not credited</t>
        </is>
      </c>
      <c r="L67" s="168" t="inlineStr">
        <is>
          <t>•</t>
        </is>
      </c>
      <c r="M67" s="218" t="inlineStr">
        <is>
          <t>not on this certificate</t>
        </is>
      </c>
      <c r="N67" s="167" t="inlineStr">
        <is>
          <t>051-5-LoD-26, (02.03.2026) [FHM-K] · on file, not credited</t>
        </is>
      </c>
      <c r="O67" s="168" t="inlineStr">
        <is>
          <t>•</t>
        </is>
      </c>
      <c r="P67" s="219" t="inlineStr">
        <is>
          <t>not on this certificate</t>
        </is>
      </c>
      <c r="Q67" s="167" t="inlineStr">
        <is>
          <t>051-5-LoD-26, (02.03.2026) [FHM-K] · on file, not credited</t>
        </is>
      </c>
      <c r="R67" s="168" t="inlineStr">
        <is>
          <t>•</t>
        </is>
      </c>
      <c r="S67" s="219" t="inlineStr">
        <is>
          <t>not on this certificate</t>
        </is>
      </c>
      <c r="T67" s="167" t="inlineStr">
        <is>
          <t>051-5-LoD-26, (02.03.2026) [FHM-K] · on file, not credited</t>
        </is>
      </c>
      <c r="U67" s="168" t="inlineStr">
        <is>
          <t>•</t>
        </is>
      </c>
      <c r="V67" s="163" t="inlineStr">
        <is>
          <t>Conforms</t>
        </is>
      </c>
      <c r="W67" s="164">
        <f>IFERROR(INDEX('iCoA Register'!$B:$B,MATCH("P060202|I",'iCoA Register'!$P:$P,0)),"iCoA — at issue")&amp;", (17.04.2026) [PP]"</f>
        <v/>
      </c>
      <c r="X67" s="165" t="inlineStr">
        <is>
          <t>✓</t>
        </is>
      </c>
      <c r="Y67" s="163" t="inlineStr">
        <is>
          <t>8.4</t>
        </is>
      </c>
      <c r="Z67" s="164" t="inlineStr">
        <is>
          <t>051-5-LoD-26, (02.03.2026) [FHM-K]</t>
        </is>
      </c>
      <c r="AA67" s="165" t="inlineStr">
        <is>
          <t>✓</t>
        </is>
      </c>
      <c r="AB67" s="163" t="inlineStr">
        <is>
          <t>4.4 × 10²</t>
        </is>
      </c>
      <c r="AC67" s="171" t="inlineStr">
        <is>
          <t>8.6 × 10²</t>
        </is>
      </c>
      <c r="AD67" s="171" t="inlineStr">
        <is>
          <t>&lt; 10² and &gt; 10</t>
        </is>
      </c>
      <c r="AE67" s="171" t="inlineStr">
        <is>
          <t>Absent</t>
        </is>
      </c>
      <c r="AF67" s="171" t="inlineStr">
        <is>
          <t>Absent</t>
        </is>
      </c>
      <c r="AG67" s="165" t="inlineStr">
        <is>
          <t>✓</t>
        </is>
      </c>
      <c r="AH67" s="205" t="inlineStr">
        <is>
          <t>— MISSING —</t>
        </is>
      </c>
      <c r="AI67" s="206" t="inlineStr">
        <is>
          <t>— MISSING —</t>
        </is>
      </c>
      <c r="AJ67" s="206" t="inlineStr">
        <is>
          <t>— MISSING —</t>
        </is>
      </c>
      <c r="AK67" s="214" t="inlineStr">
        <is>
          <t>✗</t>
        </is>
      </c>
      <c r="AL67" s="205" t="inlineStr">
        <is>
          <t>— MISSING —</t>
        </is>
      </c>
      <c r="AM67" s="206" t="inlineStr">
        <is>
          <t>— MISSING —</t>
        </is>
      </c>
      <c r="AN67" s="206" t="inlineStr">
        <is>
          <t>— MISSING —</t>
        </is>
      </c>
      <c r="AO67" s="206" t="inlineStr">
        <is>
          <t>— MISSING —</t>
        </is>
      </c>
      <c r="AP67" s="214" t="inlineStr">
        <is>
          <t>✗</t>
        </is>
      </c>
      <c r="AQ67" s="205" t="inlineStr">
        <is>
          <t>— MISSING —</t>
        </is>
      </c>
      <c r="AR67" s="215" t="inlineStr">
        <is>
          <t>— no certificate —</t>
        </is>
      </c>
      <c r="AS67" s="216" t="inlineStr">
        <is>
          <t>✗</t>
        </is>
      </c>
    </row>
    <row r="68" ht="21" customHeight="1" s="70">
      <c r="A68" s="173" t="n"/>
      <c r="D68" s="174" t="n"/>
      <c r="F68" s="175" t="n"/>
      <c r="G68" s="174" t="n"/>
      <c r="I68" s="175" t="n"/>
      <c r="J68" s="174" t="n"/>
      <c r="L68" s="175" t="n"/>
      <c r="M68" s="174" t="n"/>
      <c r="O68" s="175" t="n"/>
      <c r="P68" s="174" t="n"/>
      <c r="R68" s="175" t="n"/>
      <c r="S68" s="174" t="n"/>
      <c r="U68" s="175" t="n"/>
      <c r="V68" s="174" t="n"/>
      <c r="X68" s="175" t="n"/>
      <c r="Y68" s="174" t="n"/>
      <c r="AA68" s="175" t="n"/>
      <c r="AB68" s="176" t="inlineStr">
        <is>
          <t>547-1078-26, (31.08.2026) [IJZ-MB]</t>
        </is>
      </c>
      <c r="AG68" s="175" t="n"/>
      <c r="AH68" s="217" t="inlineStr">
        <is>
          <t>— no certificate —</t>
        </is>
      </c>
      <c r="AK68" s="175" t="n"/>
      <c r="AL68" s="217" t="inlineStr">
        <is>
          <t>— no certificate —</t>
        </is>
      </c>
      <c r="AP68" s="175" t="n"/>
      <c r="AQ68" s="174" t="n"/>
      <c r="AS68" s="177" t="n"/>
    </row>
    <row r="69" ht="17.625" customHeight="1" s="70">
      <c r="A69" s="178" t="n"/>
      <c r="B69" s="179" t="n"/>
      <c r="D69" s="180" t="n"/>
      <c r="E69" s="179" t="n"/>
      <c r="F69" s="181" t="n"/>
      <c r="G69" s="180" t="n"/>
      <c r="H69" s="179" t="n"/>
      <c r="I69" s="181" t="n"/>
      <c r="J69" s="190" t="inlineStr">
        <is>
          <t>Conforms (ImB spec.) ᴿ</t>
        </is>
      </c>
      <c r="K69" s="223" t="inlineStr">
        <is>
          <t>051-5-K-26, (04.03.2026) [FHM-K]</t>
        </is>
      </c>
      <c r="L69" s="224" t="inlineStr">
        <is>
          <t>✓</t>
        </is>
      </c>
      <c r="M69" s="225" t="inlineStr">
        <is>
          <t>25.27</t>
        </is>
      </c>
      <c r="N69" s="223" t="inlineStr">
        <is>
          <t>051-5-K-26, (04.03.2026) [FHM-K]</t>
        </is>
      </c>
      <c r="O69" s="224" t="inlineStr">
        <is>
          <t>✓</t>
        </is>
      </c>
      <c r="P69" s="226" t="inlineStr">
        <is>
          <t>&lt; LOQ**</t>
        </is>
      </c>
      <c r="Q69" s="223" t="inlineStr">
        <is>
          <t>051-5-K-26, (04.03.2026) [FHM-K]</t>
        </is>
      </c>
      <c r="R69" s="224" t="inlineStr">
        <is>
          <t>✓</t>
        </is>
      </c>
      <c r="S69" s="226" t="inlineStr">
        <is>
          <t>&lt; LOQ**</t>
        </is>
      </c>
      <c r="T69" s="223" t="inlineStr">
        <is>
          <t>051-5-K-26, (04.03.2026) [FHM-K]</t>
        </is>
      </c>
      <c r="U69" s="224" t="inlineStr">
        <is>
          <t>✓</t>
        </is>
      </c>
      <c r="V69" s="180" t="n"/>
      <c r="W69" s="179" t="n"/>
      <c r="X69" s="181" t="n"/>
      <c r="Y69" s="227" t="inlineStr">
        <is>
          <t>not on this certificate</t>
        </is>
      </c>
      <c r="Z69" s="228" t="inlineStr">
        <is>
          <t>051-5-K-26, (04.03.2026) [FHM-K] · on file, not credited</t>
        </is>
      </c>
      <c r="AA69" s="229" t="inlineStr">
        <is>
          <t>•</t>
        </is>
      </c>
      <c r="AB69" s="180" t="n"/>
      <c r="AC69" s="179" t="n"/>
      <c r="AD69" s="179" t="n"/>
      <c r="AE69" s="179" t="n"/>
      <c r="AF69" s="179" t="n"/>
      <c r="AG69" s="181" t="n"/>
      <c r="AH69" s="180" t="n"/>
      <c r="AI69" s="179" t="n"/>
      <c r="AJ69" s="179" t="n"/>
      <c r="AK69" s="181" t="n"/>
      <c r="AL69" s="180" t="n"/>
      <c r="AM69" s="179" t="n"/>
      <c r="AN69" s="179" t="n"/>
      <c r="AO69" s="179" t="n"/>
      <c r="AP69" s="181" t="n"/>
      <c r="AQ69" s="180" t="n"/>
      <c r="AR69" s="179" t="n"/>
      <c r="AS69" s="192" t="n"/>
    </row>
    <row r="70" ht="15.375" customHeight="1" s="70">
      <c r="A70" s="230" t="n"/>
      <c r="B70" s="231" t="n"/>
      <c r="D70" s="232" t="n"/>
      <c r="E70" s="231" t="n"/>
      <c r="F70" s="233" t="n"/>
      <c r="G70" s="232" t="n"/>
      <c r="H70" s="231" t="n"/>
      <c r="I70" s="233" t="n"/>
      <c r="J70" s="232" t="n"/>
      <c r="K70" s="231" t="n"/>
      <c r="L70" s="233" t="n"/>
      <c r="M70" s="232" t="n"/>
      <c r="N70" s="231" t="n"/>
      <c r="O70" s="233" t="n"/>
      <c r="P70" s="232" t="n"/>
      <c r="Q70" s="231" t="n"/>
      <c r="R70" s="233" t="n"/>
      <c r="S70" s="232" t="n"/>
      <c r="T70" s="231" t="n"/>
      <c r="U70" s="233" t="n"/>
      <c r="V70" s="232" t="n"/>
      <c r="W70" s="231" t="n"/>
      <c r="X70" s="233" t="n"/>
      <c r="Y70" s="232" t="n"/>
      <c r="Z70" s="231" t="n"/>
      <c r="AA70" s="233" t="n"/>
      <c r="AB70" s="232" t="n"/>
      <c r="AC70" s="231" t="n"/>
      <c r="AD70" s="231" t="n"/>
      <c r="AE70" s="231" t="n"/>
      <c r="AF70" s="231" t="n"/>
      <c r="AG70" s="233" t="n"/>
      <c r="AH70" s="232" t="n"/>
      <c r="AI70" s="231" t="n"/>
      <c r="AJ70" s="231" t="n"/>
      <c r="AK70" s="233" t="n"/>
      <c r="AL70" s="232" t="n"/>
      <c r="AM70" s="231" t="n"/>
      <c r="AN70" s="231" t="n"/>
      <c r="AO70" s="231" t="n"/>
      <c r="AP70" s="233" t="n"/>
      <c r="AQ70" s="232" t="n"/>
      <c r="AR70" s="231" t="n"/>
      <c r="AS70" s="234" t="n"/>
    </row>
    <row r="71" ht="17.625" customHeight="1" s="70">
      <c r="A71" s="178" t="n"/>
      <c r="B71" s="179" t="n"/>
      <c r="D71" s="180" t="n"/>
      <c r="E71" s="179" t="n"/>
      <c r="F71" s="181" t="n"/>
      <c r="G71" s="180" t="n"/>
      <c r="H71" s="179" t="n"/>
      <c r="I71" s="181" t="n"/>
      <c r="J71" s="235" t="inlineStr">
        <is>
          <t>held for review</t>
        </is>
      </c>
      <c r="K71" s="236" t="inlineStr">
        <is>
          <t>100-1-K-26, (09.04.2026) [FHM-K]</t>
        </is>
      </c>
      <c r="L71" s="237" t="inlineStr">
        <is>
          <t>✗</t>
        </is>
      </c>
      <c r="M71" s="225" t="inlineStr">
        <is>
          <t>20.21</t>
        </is>
      </c>
      <c r="N71" s="223" t="inlineStr">
        <is>
          <t>100-1-K-26, (09.04.2026) [FHM-K]</t>
        </is>
      </c>
      <c r="O71" s="224" t="inlineStr">
        <is>
          <t>✓</t>
        </is>
      </c>
      <c r="P71" s="226" t="inlineStr">
        <is>
          <t>&lt; LOQ</t>
        </is>
      </c>
      <c r="Q71" s="223" t="inlineStr">
        <is>
          <t>100-1-K-26, (09.04.2026) [FHM-K]</t>
        </is>
      </c>
      <c r="R71" s="224" t="inlineStr">
        <is>
          <t>✓</t>
        </is>
      </c>
      <c r="S71" s="226" t="inlineStr">
        <is>
          <t>&lt; LOQ</t>
        </is>
      </c>
      <c r="T71" s="223" t="inlineStr">
        <is>
          <t>100-1-K-26, (09.04.2026) [FHM-K]</t>
        </is>
      </c>
      <c r="U71" s="224" t="inlineStr">
        <is>
          <t>✓</t>
        </is>
      </c>
      <c r="V71" s="180" t="n"/>
      <c r="W71" s="179" t="n"/>
      <c r="X71" s="181" t="n"/>
      <c r="Y71" s="227" t="inlineStr">
        <is>
          <t>not on this certificate</t>
        </is>
      </c>
      <c r="Z71" s="228" t="inlineStr">
        <is>
          <t>100-1-K-26, (09.04.2026) [FHM-K] · on file, not credited</t>
        </is>
      </c>
      <c r="AA71" s="229" t="inlineStr">
        <is>
          <t>•</t>
        </is>
      </c>
      <c r="AB71" s="180" t="n"/>
      <c r="AC71" s="179" t="n"/>
      <c r="AD71" s="179" t="n"/>
      <c r="AE71" s="179" t="n"/>
      <c r="AF71" s="179" t="n"/>
      <c r="AG71" s="181" t="n"/>
      <c r="AH71" s="180" t="n"/>
      <c r="AI71" s="179" t="n"/>
      <c r="AJ71" s="179" t="n"/>
      <c r="AK71" s="181" t="n"/>
      <c r="AL71" s="180" t="n"/>
      <c r="AM71" s="179" t="n"/>
      <c r="AN71" s="179" t="n"/>
      <c r="AO71" s="179" t="n"/>
      <c r="AP71" s="181" t="n"/>
      <c r="AQ71" s="180" t="n"/>
      <c r="AR71" s="179" t="n"/>
      <c r="AS71" s="192" t="n"/>
    </row>
    <row r="72" ht="15.375" customHeight="1" s="70">
      <c r="A72" s="230" t="n"/>
      <c r="B72" s="231" t="n"/>
      <c r="D72" s="232" t="n"/>
      <c r="E72" s="231" t="n"/>
      <c r="F72" s="233" t="n"/>
      <c r="G72" s="232" t="n"/>
      <c r="H72" s="231" t="n"/>
      <c r="I72" s="233" t="n"/>
      <c r="J72" s="232" t="n"/>
      <c r="K72" s="231" t="n"/>
      <c r="L72" s="233" t="n"/>
      <c r="M72" s="232" t="n"/>
      <c r="N72" s="231" t="n"/>
      <c r="O72" s="233" t="n"/>
      <c r="P72" s="232" t="n"/>
      <c r="Q72" s="231" t="n"/>
      <c r="R72" s="233" t="n"/>
      <c r="S72" s="232" t="n"/>
      <c r="T72" s="231" t="n"/>
      <c r="U72" s="233" t="n"/>
      <c r="V72" s="232" t="n"/>
      <c r="W72" s="231" t="n"/>
      <c r="X72" s="233" t="n"/>
      <c r="Y72" s="232" t="n"/>
      <c r="Z72" s="231" t="n"/>
      <c r="AA72" s="233" t="n"/>
      <c r="AB72" s="232" t="n"/>
      <c r="AC72" s="231" t="n"/>
      <c r="AD72" s="231" t="n"/>
      <c r="AE72" s="231" t="n"/>
      <c r="AF72" s="231" t="n"/>
      <c r="AG72" s="233" t="n"/>
      <c r="AH72" s="232" t="n"/>
      <c r="AI72" s="231" t="n"/>
      <c r="AJ72" s="231" t="n"/>
      <c r="AK72" s="233" t="n"/>
      <c r="AL72" s="232" t="n"/>
      <c r="AM72" s="231" t="n"/>
      <c r="AN72" s="231" t="n"/>
      <c r="AO72" s="231" t="n"/>
      <c r="AP72" s="233" t="n"/>
      <c r="AQ72" s="232" t="n"/>
      <c r="AR72" s="231" t="n"/>
      <c r="AS72" s="234" t="n"/>
    </row>
    <row r="73" ht="17.625" customHeight="1" s="70">
      <c r="A73" s="178" t="n"/>
      <c r="B73" s="179" t="n"/>
      <c r="D73" s="180" t="n"/>
      <c r="E73" s="179" t="n"/>
      <c r="F73" s="181" t="n"/>
      <c r="G73" s="180" t="n"/>
      <c r="H73" s="179" t="n"/>
      <c r="I73" s="181" t="n"/>
      <c r="J73" s="227" t="inlineStr">
        <is>
          <t>not on this certificate</t>
        </is>
      </c>
      <c r="K73" s="228" t="inlineStr">
        <is>
          <t>100-1-LoD-26, (09.04.2026) [FHM-K] · on file, not credited</t>
        </is>
      </c>
      <c r="L73" s="229" t="inlineStr">
        <is>
          <t>•</t>
        </is>
      </c>
      <c r="M73" s="238" t="inlineStr">
        <is>
          <t>not on this certificate</t>
        </is>
      </c>
      <c r="N73" s="228" t="inlineStr">
        <is>
          <t>100-1-LoD-26, (09.04.2026) [FHM-K] · on file, not credited</t>
        </is>
      </c>
      <c r="O73" s="229" t="inlineStr">
        <is>
          <t>•</t>
        </is>
      </c>
      <c r="P73" s="239" t="inlineStr">
        <is>
          <t>not on this certificate</t>
        </is>
      </c>
      <c r="Q73" s="228" t="inlineStr">
        <is>
          <t>100-1-LoD-26, (09.04.2026) [FHM-K] · on file, not credited</t>
        </is>
      </c>
      <c r="R73" s="229" t="inlineStr">
        <is>
          <t>•</t>
        </is>
      </c>
      <c r="S73" s="239" t="inlineStr">
        <is>
          <t>not on this certificate</t>
        </is>
      </c>
      <c r="T73" s="228" t="inlineStr">
        <is>
          <t>100-1-LoD-26, (09.04.2026) [FHM-K] · on file, not credited</t>
        </is>
      </c>
      <c r="U73" s="229" t="inlineStr">
        <is>
          <t>•</t>
        </is>
      </c>
      <c r="V73" s="180" t="n"/>
      <c r="W73" s="179" t="n"/>
      <c r="X73" s="181" t="n"/>
      <c r="Y73" s="190" t="inlineStr">
        <is>
          <t>7.6</t>
        </is>
      </c>
      <c r="Z73" s="223" t="inlineStr">
        <is>
          <t>100-1-LoD-26, (09.04.2026) [FHM-K]</t>
        </is>
      </c>
      <c r="AA73" s="224" t="inlineStr">
        <is>
          <t>✓</t>
        </is>
      </c>
      <c r="AB73" s="180" t="n"/>
      <c r="AC73" s="179" t="n"/>
      <c r="AD73" s="179" t="n"/>
      <c r="AE73" s="179" t="n"/>
      <c r="AF73" s="179" t="n"/>
      <c r="AG73" s="181" t="n"/>
      <c r="AH73" s="180" t="n"/>
      <c r="AI73" s="179" t="n"/>
      <c r="AJ73" s="179" t="n"/>
      <c r="AK73" s="181" t="n"/>
      <c r="AL73" s="180" t="n"/>
      <c r="AM73" s="179" t="n"/>
      <c r="AN73" s="179" t="n"/>
      <c r="AO73" s="179" t="n"/>
      <c r="AP73" s="181" t="n"/>
      <c r="AQ73" s="180" t="n"/>
      <c r="AR73" s="179" t="n"/>
      <c r="AS73" s="192" t="n"/>
    </row>
    <row r="74" ht="21" customHeight="1" s="70">
      <c r="A74" s="230" t="n"/>
      <c r="B74" s="231" t="n"/>
      <c r="D74" s="232" t="n"/>
      <c r="E74" s="231" t="n"/>
      <c r="F74" s="233" t="n"/>
      <c r="G74" s="232" t="n"/>
      <c r="H74" s="231" t="n"/>
      <c r="I74" s="233" t="n"/>
      <c r="J74" s="232" t="n"/>
      <c r="K74" s="231" t="n"/>
      <c r="L74" s="233" t="n"/>
      <c r="M74" s="232" t="n"/>
      <c r="N74" s="231" t="n"/>
      <c r="O74" s="233" t="n"/>
      <c r="P74" s="232" t="n"/>
      <c r="Q74" s="231" t="n"/>
      <c r="R74" s="233" t="n"/>
      <c r="S74" s="232" t="n"/>
      <c r="T74" s="231" t="n"/>
      <c r="U74" s="233" t="n"/>
      <c r="V74" s="232" t="n"/>
      <c r="W74" s="231" t="n"/>
      <c r="X74" s="233" t="n"/>
      <c r="Y74" s="232" t="n"/>
      <c r="Z74" s="231" t="n"/>
      <c r="AA74" s="233" t="n"/>
      <c r="AB74" s="232" t="n"/>
      <c r="AC74" s="231" t="n"/>
      <c r="AD74" s="231" t="n"/>
      <c r="AE74" s="231" t="n"/>
      <c r="AF74" s="231" t="n"/>
      <c r="AG74" s="233" t="n"/>
      <c r="AH74" s="232" t="n"/>
      <c r="AI74" s="231" t="n"/>
      <c r="AJ74" s="231" t="n"/>
      <c r="AK74" s="233" t="n"/>
      <c r="AL74" s="232" t="n"/>
      <c r="AM74" s="231" t="n"/>
      <c r="AN74" s="231" t="n"/>
      <c r="AO74" s="231" t="n"/>
      <c r="AP74" s="233" t="n"/>
      <c r="AQ74" s="232" t="n"/>
      <c r="AR74" s="231" t="n"/>
      <c r="AS74" s="234" t="n"/>
    </row>
    <row r="75" ht="17.625" customHeight="1" s="70">
      <c r="A75" s="178" t="n"/>
      <c r="B75" s="179" t="n"/>
      <c r="D75" s="180" t="n"/>
      <c r="E75" s="179" t="n"/>
      <c r="F75" s="181" t="n"/>
      <c r="G75" s="180" t="n"/>
      <c r="H75" s="179" t="n"/>
      <c r="I75" s="181" t="n"/>
      <c r="J75" s="227" t="inlineStr">
        <is>
          <t>not on this certificate</t>
        </is>
      </c>
      <c r="K75" s="228" t="inlineStr">
        <is>
          <t>100-2-LoD-26, (09.04.2026) [FHM-K] · on file, not credited</t>
        </is>
      </c>
      <c r="L75" s="229" t="inlineStr">
        <is>
          <t>•</t>
        </is>
      </c>
      <c r="M75" s="238" t="inlineStr">
        <is>
          <t>not on this certificate</t>
        </is>
      </c>
      <c r="N75" s="228" t="inlineStr">
        <is>
          <t>100-2-LoD-26, (09.04.2026) [FHM-K] · on file, not credited</t>
        </is>
      </c>
      <c r="O75" s="229" t="inlineStr">
        <is>
          <t>•</t>
        </is>
      </c>
      <c r="P75" s="239" t="inlineStr">
        <is>
          <t>not on this certificate</t>
        </is>
      </c>
      <c r="Q75" s="228" t="inlineStr">
        <is>
          <t>100-2-LoD-26, (09.04.2026) [FHM-K] · on file, not credited</t>
        </is>
      </c>
      <c r="R75" s="229" t="inlineStr">
        <is>
          <t>•</t>
        </is>
      </c>
      <c r="S75" s="239" t="inlineStr">
        <is>
          <t>not on this certificate</t>
        </is>
      </c>
      <c r="T75" s="228" t="inlineStr">
        <is>
          <t>100-2-LoD-26, (09.04.2026) [FHM-K] · on file, not credited</t>
        </is>
      </c>
      <c r="U75" s="229" t="inlineStr">
        <is>
          <t>•</t>
        </is>
      </c>
      <c r="V75" s="180" t="n"/>
      <c r="W75" s="179" t="n"/>
      <c r="X75" s="181" t="n"/>
      <c r="Y75" s="190" t="inlineStr">
        <is>
          <t>10.3 ± 0.2</t>
        </is>
      </c>
      <c r="Z75" s="223" t="inlineStr">
        <is>
          <t>100-2-LoD-26, (09.04.2026) [FHM-K]</t>
        </is>
      </c>
      <c r="AA75" s="224" t="inlineStr">
        <is>
          <t>✓</t>
        </is>
      </c>
      <c r="AB75" s="180" t="n"/>
      <c r="AC75" s="179" t="n"/>
      <c r="AD75" s="179" t="n"/>
      <c r="AE75" s="179" t="n"/>
      <c r="AF75" s="179" t="n"/>
      <c r="AG75" s="181" t="n"/>
      <c r="AH75" s="180" t="n"/>
      <c r="AI75" s="179" t="n"/>
      <c r="AJ75" s="179" t="n"/>
      <c r="AK75" s="181" t="n"/>
      <c r="AL75" s="180" t="n"/>
      <c r="AM75" s="179" t="n"/>
      <c r="AN75" s="179" t="n"/>
      <c r="AO75" s="179" t="n"/>
      <c r="AP75" s="181" t="n"/>
      <c r="AQ75" s="180" t="n"/>
      <c r="AR75" s="179" t="n"/>
      <c r="AS75" s="192" t="n"/>
    </row>
    <row r="76" ht="21" customHeight="1" s="70">
      <c r="A76" s="230" t="n"/>
      <c r="B76" s="231" t="n"/>
      <c r="D76" s="232" t="n"/>
      <c r="E76" s="231" t="n"/>
      <c r="F76" s="233" t="n"/>
      <c r="G76" s="232" t="n"/>
      <c r="H76" s="231" t="n"/>
      <c r="I76" s="233" t="n"/>
      <c r="J76" s="232" t="n"/>
      <c r="K76" s="231" t="n"/>
      <c r="L76" s="233" t="n"/>
      <c r="M76" s="232" t="n"/>
      <c r="N76" s="231" t="n"/>
      <c r="O76" s="233" t="n"/>
      <c r="P76" s="232" t="n"/>
      <c r="Q76" s="231" t="n"/>
      <c r="R76" s="233" t="n"/>
      <c r="S76" s="232" t="n"/>
      <c r="T76" s="231" t="n"/>
      <c r="U76" s="233" t="n"/>
      <c r="V76" s="232" t="n"/>
      <c r="W76" s="231" t="n"/>
      <c r="X76" s="233" t="n"/>
      <c r="Y76" s="232" t="n"/>
      <c r="Z76" s="231" t="n"/>
      <c r="AA76" s="233" t="n"/>
      <c r="AB76" s="232" t="n"/>
      <c r="AC76" s="231" t="n"/>
      <c r="AD76" s="231" t="n"/>
      <c r="AE76" s="231" t="n"/>
      <c r="AF76" s="231" t="n"/>
      <c r="AG76" s="233" t="n"/>
      <c r="AH76" s="232" t="n"/>
      <c r="AI76" s="231" t="n"/>
      <c r="AJ76" s="231" t="n"/>
      <c r="AK76" s="233" t="n"/>
      <c r="AL76" s="232" t="n"/>
      <c r="AM76" s="231" t="n"/>
      <c r="AN76" s="231" t="n"/>
      <c r="AO76" s="231" t="n"/>
      <c r="AP76" s="233" t="n"/>
      <c r="AQ76" s="232" t="n"/>
      <c r="AR76" s="231" t="n"/>
      <c r="AS76" s="234" t="n"/>
    </row>
    <row r="77" ht="17.625" customHeight="1" s="70">
      <c r="A77" s="178" t="n"/>
      <c r="B77" s="179" t="n"/>
      <c r="D77" s="180" t="n"/>
      <c r="E77" s="179" t="n"/>
      <c r="F77" s="181" t="n"/>
      <c r="G77" s="180" t="n"/>
      <c r="H77" s="179" t="n"/>
      <c r="I77" s="181" t="n"/>
      <c r="J77" s="187" t="inlineStr">
        <is>
          <t>not on this certificate</t>
        </is>
      </c>
      <c r="K77" s="188" t="inlineStr">
        <is>
          <t>100-3-LoD-26, (09.04.2026) [FHM-K] · on file, not credited</t>
        </is>
      </c>
      <c r="L77" s="189" t="inlineStr">
        <is>
          <t>•</t>
        </is>
      </c>
      <c r="M77" s="240" t="inlineStr">
        <is>
          <t>not on this certificate</t>
        </is>
      </c>
      <c r="N77" s="188" t="inlineStr">
        <is>
          <t>100-3-LoD-26, (09.04.2026) [FHM-K] · on file, not credited</t>
        </is>
      </c>
      <c r="O77" s="189" t="inlineStr">
        <is>
          <t>•</t>
        </is>
      </c>
      <c r="P77" s="241" t="inlineStr">
        <is>
          <t>not on this certificate</t>
        </is>
      </c>
      <c r="Q77" s="188" t="inlineStr">
        <is>
          <t>100-3-LoD-26, (09.04.2026) [FHM-K] · on file, not credited</t>
        </is>
      </c>
      <c r="R77" s="189" t="inlineStr">
        <is>
          <t>•</t>
        </is>
      </c>
      <c r="S77" s="241" t="inlineStr">
        <is>
          <t>not on this certificate</t>
        </is>
      </c>
      <c r="T77" s="188" t="inlineStr">
        <is>
          <t>100-3-LoD-26, (09.04.2026) [FHM-K] · on file, not credited</t>
        </is>
      </c>
      <c r="U77" s="189" t="inlineStr">
        <is>
          <t>•</t>
        </is>
      </c>
      <c r="V77" s="180" t="n"/>
      <c r="W77" s="179" t="n"/>
      <c r="X77" s="181" t="n"/>
      <c r="Y77" s="182" t="inlineStr">
        <is>
          <t>10.3</t>
        </is>
      </c>
      <c r="Z77" s="183" t="inlineStr">
        <is>
          <t>100-3-LoD-26, (09.04.2026) [FHM-K]</t>
        </is>
      </c>
      <c r="AA77" s="184" t="inlineStr">
        <is>
          <t>✓</t>
        </is>
      </c>
      <c r="AB77" s="180" t="n"/>
      <c r="AC77" s="179" t="n"/>
      <c r="AD77" s="179" t="n"/>
      <c r="AE77" s="179" t="n"/>
      <c r="AF77" s="179" t="n"/>
      <c r="AG77" s="181" t="n"/>
      <c r="AH77" s="180" t="n"/>
      <c r="AI77" s="179" t="n"/>
      <c r="AJ77" s="179" t="n"/>
      <c r="AK77" s="181" t="n"/>
      <c r="AL77" s="180" t="n"/>
      <c r="AM77" s="179" t="n"/>
      <c r="AN77" s="179" t="n"/>
      <c r="AO77" s="179" t="n"/>
      <c r="AP77" s="181" t="n"/>
      <c r="AQ77" s="180" t="n"/>
      <c r="AR77" s="179" t="n"/>
      <c r="AS77" s="192" t="n"/>
    </row>
    <row r="78" ht="21" customHeight="1" s="70">
      <c r="A78" s="193" t="n"/>
      <c r="B78" s="194" t="n"/>
      <c r="C78" s="194" t="n"/>
      <c r="D78" s="195" t="n"/>
      <c r="E78" s="194" t="n"/>
      <c r="F78" s="196" t="n"/>
      <c r="G78" s="195" t="n"/>
      <c r="H78" s="194" t="n"/>
      <c r="I78" s="196" t="n"/>
      <c r="J78" s="195" t="n"/>
      <c r="K78" s="194" t="n"/>
      <c r="L78" s="196" t="n"/>
      <c r="M78" s="195" t="n"/>
      <c r="N78" s="194" t="n"/>
      <c r="O78" s="196" t="n"/>
      <c r="P78" s="195" t="n"/>
      <c r="Q78" s="194" t="n"/>
      <c r="R78" s="196" t="n"/>
      <c r="S78" s="195" t="n"/>
      <c r="T78" s="194" t="n"/>
      <c r="U78" s="196" t="n"/>
      <c r="V78" s="195" t="n"/>
      <c r="W78" s="194" t="n"/>
      <c r="X78" s="196" t="n"/>
      <c r="Y78" s="195" t="n"/>
      <c r="Z78" s="194" t="n"/>
      <c r="AA78" s="196" t="n"/>
      <c r="AB78" s="195" t="n"/>
      <c r="AC78" s="194" t="n"/>
      <c r="AD78" s="194" t="n"/>
      <c r="AE78" s="194" t="n"/>
      <c r="AF78" s="194" t="n"/>
      <c r="AG78" s="196" t="n"/>
      <c r="AH78" s="195" t="n"/>
      <c r="AI78" s="194" t="n"/>
      <c r="AJ78" s="194" t="n"/>
      <c r="AK78" s="196" t="n"/>
      <c r="AL78" s="195" t="n"/>
      <c r="AM78" s="194" t="n"/>
      <c r="AN78" s="194" t="n"/>
      <c r="AO78" s="194" t="n"/>
      <c r="AP78" s="196" t="n"/>
      <c r="AQ78" s="195" t="n"/>
      <c r="AR78" s="194" t="n"/>
      <c r="AS78" s="198" t="n"/>
    </row>
    <row r="79" ht="21" customHeight="1" s="70">
      <c r="A79" s="160" t="inlineStr">
        <is>
          <t>J31122501</t>
        </is>
      </c>
      <c r="B79" s="161" t="inlineStr">
        <is>
          <t>P060262</t>
        </is>
      </c>
      <c r="C79" s="199" t="inlineStr">
        <is>
          <t>⚠ 1 NO RESULT
(1 no cert / 0 cert w/o result)
3 testing instances
• 2 document(s) on file, not credited</t>
        </is>
      </c>
      <c r="D79" s="163" t="inlineStr">
        <is>
          <t>Conforms</t>
        </is>
      </c>
      <c r="E79" s="164">
        <f>IFERROR(INDEX('iCoA Register'!$B:$B,MATCH("P060262|I",'iCoA Register'!$P:$P,0)),"iCoA — at issue")&amp;", (14.05.2026) [PP]"</f>
        <v/>
      </c>
      <c r="F79" s="165" t="inlineStr">
        <is>
          <t>✓</t>
        </is>
      </c>
      <c r="G79" s="163" t="inlineStr">
        <is>
          <t>Conforms</t>
        </is>
      </c>
      <c r="H79" s="164">
        <f>IFERROR(INDEX('iCoA Register'!$B:$B,MATCH("P060262|I",'iCoA Register'!$P:$P,0)),"iCoA — at issue")&amp;", (14.05.2026) [PP]"</f>
        <v/>
      </c>
      <c r="I79" s="165" t="inlineStr">
        <is>
          <t>✓</t>
        </is>
      </c>
      <c r="J79" s="163" t="inlineStr">
        <is>
          <t>Conforms (ImB spec.) ᴿ</t>
        </is>
      </c>
      <c r="K79" s="164" t="inlineStr">
        <is>
          <t>100-2-K-26, (09.04.2026) [FHM-K]</t>
        </is>
      </c>
      <c r="L79" s="165" t="inlineStr">
        <is>
          <t>✓</t>
        </is>
      </c>
      <c r="M79" s="169" t="inlineStr">
        <is>
          <t>19.84 ᴿ</t>
        </is>
      </c>
      <c r="N79" s="164" t="inlineStr">
        <is>
          <t>100-2-K-26, (09.04.2026) [FHM-K]</t>
        </is>
      </c>
      <c r="O79" s="165" t="inlineStr">
        <is>
          <t>✓</t>
        </is>
      </c>
      <c r="P79" s="170" t="inlineStr">
        <is>
          <t>&lt; LOQ (&lt;0.20) ᴿ</t>
        </is>
      </c>
      <c r="Q79" s="164" t="inlineStr">
        <is>
          <t>100-2-K-26, (09.04.2026) [FHM-K]</t>
        </is>
      </c>
      <c r="R79" s="165" t="inlineStr">
        <is>
          <t>✓</t>
        </is>
      </c>
      <c r="S79" s="170" t="inlineStr">
        <is>
          <t>&lt; LOQ ᴿ</t>
        </is>
      </c>
      <c r="T79" s="164" t="inlineStr">
        <is>
          <t>100-2-K-26, (09.04.2026) [FHM-K]</t>
        </is>
      </c>
      <c r="U79" s="165" t="inlineStr">
        <is>
          <t>✓</t>
        </is>
      </c>
      <c r="V79" s="163" t="inlineStr">
        <is>
          <t>Conforms</t>
        </is>
      </c>
      <c r="W79" s="164">
        <f>IFERROR(INDEX('iCoA Register'!$B:$B,MATCH("P060262|I",'iCoA Register'!$P:$P,0)),"iCoA — at issue")&amp;", (14.05.2026) [PP]"</f>
        <v/>
      </c>
      <c r="X79" s="165" t="inlineStr">
        <is>
          <t>✓</t>
        </is>
      </c>
      <c r="Y79" s="166" t="inlineStr">
        <is>
          <t>not ingested</t>
        </is>
      </c>
      <c r="Z79" s="167" t="inlineStr">
        <is>
          <t>100-2-K-26, (09.04.2026) [FHM-K] · on file, not credited</t>
        </is>
      </c>
      <c r="AA79" s="168" t="inlineStr">
        <is>
          <t>•</t>
        </is>
      </c>
      <c r="AB79" s="163" t="inlineStr">
        <is>
          <t>1900 ᴿ</t>
        </is>
      </c>
      <c r="AC79" s="171" t="inlineStr">
        <is>
          <t>840 ᴿ</t>
        </is>
      </c>
      <c r="AD79" s="171" t="inlineStr">
        <is>
          <t>&lt; 10³ and &gt; 10² ᴿ</t>
        </is>
      </c>
      <c r="AE79" s="171" t="inlineStr">
        <is>
          <t>Absent ᴿ</t>
        </is>
      </c>
      <c r="AF79" s="171" t="inlineStr">
        <is>
          <t>Absent ᴿ</t>
        </is>
      </c>
      <c r="AG79" s="165" t="inlineStr">
        <is>
          <t>✓</t>
        </is>
      </c>
      <c r="AH79" s="163" t="inlineStr">
        <is>
          <t>not reported</t>
        </is>
      </c>
      <c r="AI79" s="171" t="inlineStr">
        <is>
          <t>Complies ᴿ</t>
        </is>
      </c>
      <c r="AJ79" s="171" t="inlineStr">
        <is>
          <t>not reported</t>
        </is>
      </c>
      <c r="AK79" s="165" t="inlineStr">
        <is>
          <t>✓</t>
        </is>
      </c>
      <c r="AL79" s="242" t="inlineStr">
        <is>
          <t>not ingested</t>
        </is>
      </c>
      <c r="AM79" s="243" t="inlineStr"/>
      <c r="AN79" s="243" t="inlineStr"/>
      <c r="AO79" s="243" t="inlineStr"/>
      <c r="AP79" s="244" t="inlineStr">
        <is>
          <t>✗</t>
        </is>
      </c>
      <c r="AQ79" s="163" t="inlineStr">
        <is>
          <t>ND ᴿ</t>
        </is>
      </c>
      <c r="AR79" s="164" t="inlineStr">
        <is>
          <t>1625-2026, (23.04.2026) [IJZ]</t>
        </is>
      </c>
      <c r="AS79" s="172" t="inlineStr">
        <is>
          <t>✓</t>
        </is>
      </c>
    </row>
    <row r="80" ht="15.375" customHeight="1" s="70">
      <c r="A80" s="173" t="n"/>
      <c r="D80" s="174" t="n"/>
      <c r="F80" s="175" t="n"/>
      <c r="G80" s="174" t="n"/>
      <c r="I80" s="175" t="n"/>
      <c r="J80" s="174" t="n"/>
      <c r="L80" s="175" t="n"/>
      <c r="M80" s="174" t="n"/>
      <c r="O80" s="175" t="n"/>
      <c r="P80" s="174" t="n"/>
      <c r="R80" s="175" t="n"/>
      <c r="S80" s="174" t="n"/>
      <c r="U80" s="175" t="n"/>
      <c r="V80" s="174" t="n"/>
      <c r="X80" s="175" t="n"/>
      <c r="Y80" s="174" t="n"/>
      <c r="AA80" s="175" t="n"/>
      <c r="AB80" s="176" t="inlineStr">
        <is>
          <t>230-0393-26, (07.04.2026) [IJZ-MB]</t>
        </is>
      </c>
      <c r="AG80" s="175" t="n"/>
      <c r="AH80" s="176" t="inlineStr">
        <is>
          <t>1625-2026, (23.04.2026) [IJZ]</t>
        </is>
      </c>
      <c r="AK80" s="175" t="n"/>
      <c r="AL80" s="245" t="inlineStr">
        <is>
          <t>1625-2026, (23.04.2026) [IJZ]</t>
        </is>
      </c>
      <c r="AP80" s="175" t="n"/>
      <c r="AQ80" s="174" t="n"/>
      <c r="AS80" s="177" t="n"/>
    </row>
    <row r="81" ht="21" customHeight="1" s="70">
      <c r="A81" s="178" t="n"/>
      <c r="B81" s="179" t="n"/>
      <c r="D81" s="180" t="n"/>
      <c r="E81" s="179" t="n"/>
      <c r="F81" s="181" t="n"/>
      <c r="G81" s="180" t="n"/>
      <c r="H81" s="179" t="n"/>
      <c r="I81" s="181" t="n"/>
      <c r="J81" s="235" t="inlineStr">
        <is>
          <t>not ingested</t>
        </is>
      </c>
      <c r="K81" s="236" t="inlineStr">
        <is>
          <t>100-3-K-26, (09.04.2026) [FHM-K]</t>
        </is>
      </c>
      <c r="L81" s="237" t="inlineStr">
        <is>
          <t>✗</t>
        </is>
      </c>
      <c r="M81" s="225" t="inlineStr">
        <is>
          <t>21.84 ᴿ</t>
        </is>
      </c>
      <c r="N81" s="223" t="inlineStr">
        <is>
          <t>100-3-K-26, (09.04.2026) [FHM-K]</t>
        </is>
      </c>
      <c r="O81" s="224" t="inlineStr">
        <is>
          <t>✓</t>
        </is>
      </c>
      <c r="P81" s="226" t="inlineStr">
        <is>
          <t>&lt; LOQ (&lt;0.20) ᴿ</t>
        </is>
      </c>
      <c r="Q81" s="223" t="inlineStr">
        <is>
          <t>100-3-K-26, (09.04.2026) [FHM-K]</t>
        </is>
      </c>
      <c r="R81" s="224" t="inlineStr">
        <is>
          <t>✓</t>
        </is>
      </c>
      <c r="S81" s="226" t="inlineStr">
        <is>
          <t>&lt; LOQ ᴿ</t>
        </is>
      </c>
      <c r="T81" s="223" t="inlineStr">
        <is>
          <t>100-3-K-26, (09.04.2026) [FHM-K]</t>
        </is>
      </c>
      <c r="U81" s="224" t="inlineStr">
        <is>
          <t>✓</t>
        </is>
      </c>
      <c r="V81" s="180" t="n"/>
      <c r="W81" s="179" t="n"/>
      <c r="X81" s="181" t="n"/>
      <c r="Y81" s="227" t="inlineStr">
        <is>
          <t>not ingested</t>
        </is>
      </c>
      <c r="Z81" s="228" t="inlineStr">
        <is>
          <t>100-3-K-26, (09.04.2026) [FHM-K] · on file, not credited</t>
        </is>
      </c>
      <c r="AA81" s="229" t="inlineStr">
        <is>
          <t>•</t>
        </is>
      </c>
      <c r="AB81" s="190" t="inlineStr">
        <is>
          <t>850 ᴿ</t>
        </is>
      </c>
      <c r="AC81" s="191" t="inlineStr">
        <is>
          <t>370 ᴿ</t>
        </is>
      </c>
      <c r="AD81" s="191" t="inlineStr">
        <is>
          <t>&lt; 10² and &gt; 10 ᴿ</t>
        </is>
      </c>
      <c r="AE81" s="191" t="inlineStr">
        <is>
          <t>Absent ᴿ</t>
        </is>
      </c>
      <c r="AF81" s="191" t="inlineStr">
        <is>
          <t>Absent ᴿ</t>
        </is>
      </c>
      <c r="AG81" s="224" t="inlineStr">
        <is>
          <t>✓</t>
        </is>
      </c>
      <c r="AH81" s="190" t="inlineStr">
        <is>
          <t>not reported</t>
        </is>
      </c>
      <c r="AI81" s="191" t="inlineStr">
        <is>
          <t>2.5 ᴿ</t>
        </is>
      </c>
      <c r="AJ81" s="191" t="inlineStr">
        <is>
          <t>not reported</t>
        </is>
      </c>
      <c r="AK81" s="224" t="inlineStr">
        <is>
          <t>✓</t>
        </is>
      </c>
      <c r="AL81" s="190" t="inlineStr">
        <is>
          <t>ND ᴿ</t>
        </is>
      </c>
      <c r="AM81" s="191" t="inlineStr">
        <is>
          <t>ND ᴿ</t>
        </is>
      </c>
      <c r="AN81" s="191" t="inlineStr">
        <is>
          <t>ND ᴿ</t>
        </is>
      </c>
      <c r="AO81" s="191" t="inlineStr">
        <is>
          <t>ND ᴿ</t>
        </is>
      </c>
      <c r="AP81" s="224" t="inlineStr">
        <is>
          <t>✓</t>
        </is>
      </c>
      <c r="AQ81" s="190" t="inlineStr">
        <is>
          <t>ND ᴿ</t>
        </is>
      </c>
      <c r="AR81" s="223" t="inlineStr">
        <is>
          <t>1628-2026, (23.04.2026) [IJZ]</t>
        </is>
      </c>
      <c r="AS81" s="246" t="inlineStr">
        <is>
          <t>✓</t>
        </is>
      </c>
    </row>
    <row r="82" ht="15.375" customHeight="1" s="70">
      <c r="A82" s="230" t="n"/>
      <c r="B82" s="231" t="n"/>
      <c r="D82" s="232" t="n"/>
      <c r="E82" s="231" t="n"/>
      <c r="F82" s="233" t="n"/>
      <c r="G82" s="232" t="n"/>
      <c r="H82" s="231" t="n"/>
      <c r="I82" s="233" t="n"/>
      <c r="J82" s="232" t="n"/>
      <c r="K82" s="231" t="n"/>
      <c r="L82" s="233" t="n"/>
      <c r="M82" s="232" t="n"/>
      <c r="N82" s="231" t="n"/>
      <c r="O82" s="233" t="n"/>
      <c r="P82" s="232" t="n"/>
      <c r="Q82" s="231" t="n"/>
      <c r="R82" s="233" t="n"/>
      <c r="S82" s="232" t="n"/>
      <c r="T82" s="231" t="n"/>
      <c r="U82" s="233" t="n"/>
      <c r="V82" s="232" t="n"/>
      <c r="W82" s="231" t="n"/>
      <c r="X82" s="233" t="n"/>
      <c r="Y82" s="232" t="n"/>
      <c r="Z82" s="231" t="n"/>
      <c r="AA82" s="233" t="n"/>
      <c r="AB82" s="247" t="inlineStr">
        <is>
          <t>231-0394-26, (07.04.2026) [IJZ-MB]</t>
        </is>
      </c>
      <c r="AC82" s="231" t="n"/>
      <c r="AD82" s="231" t="n"/>
      <c r="AE82" s="231" t="n"/>
      <c r="AF82" s="231" t="n"/>
      <c r="AG82" s="233" t="n"/>
      <c r="AH82" s="247" t="inlineStr">
        <is>
          <t>1628-2026, (23.04.2026) [IJZ]</t>
        </is>
      </c>
      <c r="AI82" s="231" t="n"/>
      <c r="AJ82" s="231" t="n"/>
      <c r="AK82" s="233" t="n"/>
      <c r="AL82" s="247" t="inlineStr">
        <is>
          <t>1628-2026, (23.04.2026) [IJZ]</t>
        </is>
      </c>
      <c r="AM82" s="231" t="n"/>
      <c r="AN82" s="231" t="n"/>
      <c r="AO82" s="231" t="n"/>
      <c r="AP82" s="233" t="n"/>
      <c r="AQ82" s="232" t="n"/>
      <c r="AR82" s="231" t="n"/>
      <c r="AS82" s="234" t="n"/>
    </row>
    <row r="83" ht="21" customHeight="1" s="70">
      <c r="A83" s="178" t="n"/>
      <c r="B83" s="179" t="n"/>
      <c r="D83" s="180" t="n"/>
      <c r="E83" s="179" t="n"/>
      <c r="F83" s="181" t="n"/>
      <c r="G83" s="180" t="n"/>
      <c r="H83" s="179" t="n"/>
      <c r="I83" s="181" t="n"/>
      <c r="J83" s="180" t="n"/>
      <c r="K83" s="179" t="n"/>
      <c r="L83" s="181" t="n"/>
      <c r="M83" s="180" t="n"/>
      <c r="N83" s="179" t="n"/>
      <c r="O83" s="181" t="n"/>
      <c r="P83" s="180" t="n"/>
      <c r="Q83" s="179" t="n"/>
      <c r="R83" s="181" t="n"/>
      <c r="S83" s="180" t="n"/>
      <c r="T83" s="179" t="n"/>
      <c r="U83" s="181" t="n"/>
      <c r="V83" s="180" t="n"/>
      <c r="W83" s="179" t="n"/>
      <c r="X83" s="181" t="n"/>
      <c r="Y83" s="180" t="n"/>
      <c r="Z83" s="179" t="n"/>
      <c r="AA83" s="181" t="n"/>
      <c r="AB83" s="190" t="inlineStr">
        <is>
          <t>1 × 10³</t>
        </is>
      </c>
      <c r="AC83" s="191" t="inlineStr">
        <is>
          <t>1.7 × 10²</t>
        </is>
      </c>
      <c r="AD83" s="191" t="inlineStr">
        <is>
          <t>&lt; 10³ and &gt; 10²</t>
        </is>
      </c>
      <c r="AE83" s="191" t="inlineStr">
        <is>
          <t>Absent</t>
        </is>
      </c>
      <c r="AF83" s="191" t="inlineStr">
        <is>
          <t>Absent</t>
        </is>
      </c>
      <c r="AG83" s="184" t="inlineStr">
        <is>
          <t>✓</t>
        </is>
      </c>
      <c r="AH83" s="180" t="n"/>
      <c r="AI83" s="179" t="n"/>
      <c r="AJ83" s="179" t="n"/>
      <c r="AK83" s="181" t="n"/>
      <c r="AL83" s="180" t="n"/>
      <c r="AM83" s="179" t="n"/>
      <c r="AN83" s="179" t="n"/>
      <c r="AO83" s="179" t="n"/>
      <c r="AP83" s="181" t="n"/>
      <c r="AQ83" s="180" t="n"/>
      <c r="AR83" s="179" t="n"/>
      <c r="AS83" s="192" t="n"/>
    </row>
    <row r="84" ht="13" customHeight="1" s="70">
      <c r="A84" s="193" t="n"/>
      <c r="B84" s="194" t="n"/>
      <c r="C84" s="194" t="n"/>
      <c r="D84" s="195" t="n"/>
      <c r="E84" s="194" t="n"/>
      <c r="F84" s="196" t="n"/>
      <c r="G84" s="195" t="n"/>
      <c r="H84" s="194" t="n"/>
      <c r="I84" s="196" t="n"/>
      <c r="J84" s="195" t="n"/>
      <c r="K84" s="194" t="n"/>
      <c r="L84" s="196" t="n"/>
      <c r="M84" s="195" t="n"/>
      <c r="N84" s="194" t="n"/>
      <c r="O84" s="196" t="n"/>
      <c r="P84" s="195" t="n"/>
      <c r="Q84" s="194" t="n"/>
      <c r="R84" s="196" t="n"/>
      <c r="S84" s="195" t="n"/>
      <c r="T84" s="194" t="n"/>
      <c r="U84" s="196" t="n"/>
      <c r="V84" s="195" t="n"/>
      <c r="W84" s="194" t="n"/>
      <c r="X84" s="196" t="n"/>
      <c r="Y84" s="195" t="n"/>
      <c r="Z84" s="194" t="n"/>
      <c r="AA84" s="196" t="n"/>
      <c r="AB84" s="197" t="inlineStr">
        <is>
          <t>544-1075-26, (31.08.2026) [IJZ-MB]</t>
        </is>
      </c>
      <c r="AC84" s="194" t="n"/>
      <c r="AD84" s="194" t="n"/>
      <c r="AE84" s="194" t="n"/>
      <c r="AF84" s="194" t="n"/>
      <c r="AG84" s="196" t="n"/>
      <c r="AH84" s="195" t="n"/>
      <c r="AI84" s="194" t="n"/>
      <c r="AJ84" s="194" t="n"/>
      <c r="AK84" s="196" t="n"/>
      <c r="AL84" s="195" t="n"/>
      <c r="AM84" s="194" t="n"/>
      <c r="AN84" s="194" t="n"/>
      <c r="AO84" s="194" t="n"/>
      <c r="AP84" s="196" t="n"/>
      <c r="AQ84" s="195" t="n"/>
      <c r="AR84" s="194" t="n"/>
      <c r="AS84" s="198" t="n"/>
    </row>
    <row r="85" ht="17.625" customHeight="1" s="70">
      <c r="A85" s="160" t="inlineStr">
        <is>
          <t>JD012601＊</t>
        </is>
      </c>
      <c r="B85" s="161" t="inlineStr">
        <is>
          <t>P060312</t>
        </is>
      </c>
      <c r="C85" s="162" t="inlineStr">
        <is>
          <t>✓ COMPLETE
2 testing instances
• 1 document(s) on file, not credited</t>
        </is>
      </c>
      <c r="D85" s="163" t="inlineStr">
        <is>
          <t>Conforms</t>
        </is>
      </c>
      <c r="E85" s="164">
        <f>IFERROR(INDEX('iCoA Register'!$B:$B,MATCH("P060342|I",'iCoA Register'!$P:$P,0)),"iCoA — at issue")&amp;", (21.05.2026) [PP]"</f>
        <v/>
      </c>
      <c r="F85" s="165" t="inlineStr">
        <is>
          <t>✓</t>
        </is>
      </c>
      <c r="G85" s="166" t="inlineStr">
        <is>
          <t>not on this certificate</t>
        </is>
      </c>
      <c r="H85" s="167" t="inlineStr">
        <is>
          <t>ППК26064, (11.05.2026) [CNP] · on file, not credited</t>
        </is>
      </c>
      <c r="I85" s="168" t="inlineStr">
        <is>
          <t>•</t>
        </is>
      </c>
      <c r="J85" s="163" t="inlineStr">
        <is>
          <t>Conforms (ImB spec.)</t>
        </is>
      </c>
      <c r="K85" s="164" t="inlineStr">
        <is>
          <t>ППК26064, (11.05.2026) [CNP]</t>
        </is>
      </c>
      <c r="L85" s="165" t="inlineStr">
        <is>
          <t>✓</t>
        </is>
      </c>
      <c r="M85" s="169" t="inlineStr">
        <is>
          <t>18.16</t>
        </is>
      </c>
      <c r="N85" s="164" t="inlineStr">
        <is>
          <t>ППК26064, (11.05.2026) [CNP]</t>
        </is>
      </c>
      <c r="O85" s="165" t="inlineStr">
        <is>
          <t>✓</t>
        </is>
      </c>
      <c r="P85" s="170" t="inlineStr">
        <is>
          <t>0.06</t>
        </is>
      </c>
      <c r="Q85" s="164" t="inlineStr">
        <is>
          <t>ППК26064, (11.05.2026) [CNP]</t>
        </is>
      </c>
      <c r="R85" s="165" t="inlineStr">
        <is>
          <t>✓</t>
        </is>
      </c>
      <c r="S85" s="170" t="inlineStr">
        <is>
          <t>&lt; LOQ ᴰ</t>
        </is>
      </c>
      <c r="T85" s="164" t="inlineStr">
        <is>
          <t>ППК26064, (11.05.2026) [CNP]</t>
        </is>
      </c>
      <c r="U85" s="165" t="inlineStr">
        <is>
          <t>✓</t>
        </is>
      </c>
      <c r="V85" s="163" t="inlineStr">
        <is>
          <t>Conforms</t>
        </is>
      </c>
      <c r="W85" s="164">
        <f>IFERROR(INDEX('iCoA Register'!$B:$B,MATCH("P060342|I",'iCoA Register'!$P:$P,0)),"iCoA — at issue")&amp;", (21.05.2026) [PP]"</f>
        <v/>
      </c>
      <c r="X85" s="165" t="inlineStr">
        <is>
          <t>✓</t>
        </is>
      </c>
      <c r="Y85" s="163" t="inlineStr">
        <is>
          <t>6.68</t>
        </is>
      </c>
      <c r="Z85" s="164" t="inlineStr">
        <is>
          <t>ППК26064, (11.05.2026) [CNP]</t>
        </is>
      </c>
      <c r="AA85" s="165" t="inlineStr">
        <is>
          <t>✓</t>
        </is>
      </c>
      <c r="AB85" s="163" t="inlineStr">
        <is>
          <t>1.9 × 10³</t>
        </is>
      </c>
      <c r="AC85" s="171" t="inlineStr">
        <is>
          <t>2.4 × 10³</t>
        </is>
      </c>
      <c r="AD85" s="171" t="inlineStr">
        <is>
          <t>&lt; 10</t>
        </is>
      </c>
      <c r="AE85" s="171" t="inlineStr">
        <is>
          <t>Absent</t>
        </is>
      </c>
      <c r="AF85" s="171" t="inlineStr">
        <is>
          <t>Absent</t>
        </is>
      </c>
      <c r="AG85" s="165" t="inlineStr">
        <is>
          <t>✓</t>
        </is>
      </c>
      <c r="AH85" s="163" t="inlineStr">
        <is>
          <t>ND</t>
        </is>
      </c>
      <c r="AI85" s="171" t="inlineStr">
        <is>
          <t>&lt; 2</t>
        </is>
      </c>
      <c r="AJ85" s="171" t="inlineStr">
        <is>
          <t>ND</t>
        </is>
      </c>
      <c r="AK85" s="165" t="inlineStr">
        <is>
          <t>✓</t>
        </is>
      </c>
      <c r="AL85" s="163" t="inlineStr">
        <is>
          <t>0.0739</t>
        </is>
      </c>
      <c r="AM85" s="171" t="inlineStr">
        <is>
          <t>0.0166</t>
        </is>
      </c>
      <c r="AN85" s="171" t="inlineStr">
        <is>
          <t>0.0136</t>
        </is>
      </c>
      <c r="AO85" s="171" t="inlineStr">
        <is>
          <t>0.0322</t>
        </is>
      </c>
      <c r="AP85" s="165" t="inlineStr">
        <is>
          <t>✓</t>
        </is>
      </c>
      <c r="AQ85" s="163" t="inlineStr">
        <is>
          <t>≤ LOQ (all 28 compounds)</t>
        </is>
      </c>
      <c r="AR85" s="164" t="inlineStr">
        <is>
          <t>2363-2026, (30.04.2026) [IJZ]</t>
        </is>
      </c>
      <c r="AS85" s="172" t="inlineStr">
        <is>
          <t>✓</t>
        </is>
      </c>
    </row>
    <row r="86" ht="13" customHeight="1" s="70">
      <c r="A86" s="173" t="n"/>
      <c r="D86" s="174" t="n"/>
      <c r="F86" s="175" t="n"/>
      <c r="G86" s="174" t="n"/>
      <c r="I86" s="175" t="n"/>
      <c r="J86" s="174" t="n"/>
      <c r="L86" s="175" t="n"/>
      <c r="M86" s="174" t="n"/>
      <c r="O86" s="175" t="n"/>
      <c r="P86" s="174" t="n"/>
      <c r="R86" s="175" t="n"/>
      <c r="S86" s="174" t="n"/>
      <c r="U86" s="175" t="n"/>
      <c r="V86" s="174" t="n"/>
      <c r="X86" s="175" t="n"/>
      <c r="Y86" s="174" t="n"/>
      <c r="AA86" s="175" t="n"/>
      <c r="AB86" s="176" t="inlineStr">
        <is>
          <t>309-0553-26, (28.04.2026) [IJZ-MB]</t>
        </is>
      </c>
      <c r="AG86" s="175" t="n"/>
      <c r="AH86" s="176" t="inlineStr">
        <is>
          <t>2363-2026, (30.04.2026) [IJZ]</t>
        </is>
      </c>
      <c r="AK86" s="175" t="n"/>
      <c r="AL86" s="176" t="inlineStr">
        <is>
          <t>2363-2026, (30.04.2026) [IJZ]</t>
        </is>
      </c>
      <c r="AP86" s="175" t="n"/>
      <c r="AQ86" s="174" t="n"/>
      <c r="AS86" s="177" t="n"/>
    </row>
    <row r="87" ht="14" customHeight="1" s="70">
      <c r="A87" s="178" t="n"/>
      <c r="B87" s="179" t="n"/>
      <c r="D87" s="180" t="n"/>
      <c r="E87" s="179" t="n"/>
      <c r="F87" s="181" t="n"/>
      <c r="G87" s="182" t="inlineStr">
        <is>
          <t>Conforms</t>
        </is>
      </c>
      <c r="H87" s="183">
        <f>IFERROR(INDEX('iCoA Register'!$B:$B,MATCH("P060342|I",'iCoA Register'!$P:$P,0)),"iCoA — at issue")&amp;", (21.05.2026) [PP]"</f>
        <v/>
      </c>
      <c r="I87" s="184" t="inlineStr">
        <is>
          <t>✓</t>
        </is>
      </c>
      <c r="J87" s="180" t="n"/>
      <c r="K87" s="179" t="n"/>
      <c r="L87" s="181" t="n"/>
      <c r="M87" s="180" t="n"/>
      <c r="N87" s="179" t="n"/>
      <c r="O87" s="181" t="n"/>
      <c r="P87" s="180" t="n"/>
      <c r="Q87" s="179" t="n"/>
      <c r="R87" s="181" t="n"/>
      <c r="S87" s="180" t="n"/>
      <c r="T87" s="179" t="n"/>
      <c r="U87" s="181" t="n"/>
      <c r="V87" s="180" t="n"/>
      <c r="W87" s="179" t="n"/>
      <c r="X87" s="181" t="n"/>
      <c r="Y87" s="180" t="n"/>
      <c r="Z87" s="179" t="n"/>
      <c r="AA87" s="181" t="n"/>
      <c r="AB87" s="190" t="inlineStr">
        <is>
          <t>2.2 × 10³</t>
        </is>
      </c>
      <c r="AC87" s="191" t="inlineStr">
        <is>
          <t>1.7 × 10³</t>
        </is>
      </c>
      <c r="AD87" s="191" t="inlineStr">
        <is>
          <t>&lt; 10</t>
        </is>
      </c>
      <c r="AE87" s="191" t="inlineStr">
        <is>
          <t>Absent</t>
        </is>
      </c>
      <c r="AF87" s="191" t="inlineStr">
        <is>
          <t>Absent</t>
        </is>
      </c>
      <c r="AG87" s="184" t="inlineStr">
        <is>
          <t>✓</t>
        </is>
      </c>
      <c r="AH87" s="180" t="n"/>
      <c r="AI87" s="179" t="n"/>
      <c r="AJ87" s="179" t="n"/>
      <c r="AK87" s="181" t="n"/>
      <c r="AL87" s="180" t="n"/>
      <c r="AM87" s="179" t="n"/>
      <c r="AN87" s="179" t="n"/>
      <c r="AO87" s="179" t="n"/>
      <c r="AP87" s="181" t="n"/>
      <c r="AQ87" s="180" t="n"/>
      <c r="AR87" s="179" t="n"/>
      <c r="AS87" s="192" t="n"/>
    </row>
    <row r="88" ht="13" customHeight="1" s="70">
      <c r="A88" s="193" t="n"/>
      <c r="B88" s="194" t="n"/>
      <c r="C88" s="194" t="n"/>
      <c r="D88" s="195" t="n"/>
      <c r="E88" s="194" t="n"/>
      <c r="F88" s="196" t="n"/>
      <c r="G88" s="195" t="n"/>
      <c r="H88" s="194" t="n"/>
      <c r="I88" s="196" t="n"/>
      <c r="J88" s="195" t="n"/>
      <c r="K88" s="194" t="n"/>
      <c r="L88" s="196" t="n"/>
      <c r="M88" s="195" t="n"/>
      <c r="N88" s="194" t="n"/>
      <c r="O88" s="196" t="n"/>
      <c r="P88" s="195" t="n"/>
      <c r="Q88" s="194" t="n"/>
      <c r="R88" s="196" t="n"/>
      <c r="S88" s="195" t="n"/>
      <c r="T88" s="194" t="n"/>
      <c r="U88" s="196" t="n"/>
      <c r="V88" s="195" t="n"/>
      <c r="W88" s="194" t="n"/>
      <c r="X88" s="196" t="n"/>
      <c r="Y88" s="195" t="n"/>
      <c r="Z88" s="194" t="n"/>
      <c r="AA88" s="196" t="n"/>
      <c r="AB88" s="197" t="inlineStr">
        <is>
          <t>540-1071-26, (31.08.2026) [IJZ-MB]</t>
        </is>
      </c>
      <c r="AC88" s="194" t="n"/>
      <c r="AD88" s="194" t="n"/>
      <c r="AE88" s="194" t="n"/>
      <c r="AF88" s="194" t="n"/>
      <c r="AG88" s="196" t="n"/>
      <c r="AH88" s="195" t="n"/>
      <c r="AI88" s="194" t="n"/>
      <c r="AJ88" s="194" t="n"/>
      <c r="AK88" s="196" t="n"/>
      <c r="AL88" s="195" t="n"/>
      <c r="AM88" s="194" t="n"/>
      <c r="AN88" s="194" t="n"/>
      <c r="AO88" s="194" t="n"/>
      <c r="AP88" s="196" t="n"/>
      <c r="AQ88" s="195" t="n"/>
      <c r="AR88" s="194" t="n"/>
      <c r="AS88" s="198" t="n"/>
    </row>
    <row r="89" ht="21" customHeight="1" s="70">
      <c r="A89" s="160" t="inlineStr">
        <is>
          <t>JD012603</t>
        </is>
      </c>
      <c r="B89" s="161" t="inlineStr">
        <is>
          <t>P060362 / P060412 / P060422</t>
        </is>
      </c>
      <c r="C89" s="212" t="inlineStr">
        <is>
          <t>✗ 4 NO RESULT
(4 no cert / 0 cert w/o result)
2 testing instances
• 1 document(s) on file, not credited</t>
        </is>
      </c>
      <c r="D89" s="163" t="inlineStr">
        <is>
          <t>Conforms</t>
        </is>
      </c>
      <c r="E89" s="164" t="inlineStr">
        <is>
          <t>ППК26111, (30.06.2026) [CNP]</t>
        </is>
      </c>
      <c r="F89" s="165" t="inlineStr">
        <is>
          <t>✓</t>
        </is>
      </c>
      <c r="G89" s="163" t="inlineStr">
        <is>
          <t>Conforms</t>
        </is>
      </c>
      <c r="H89" s="164" t="inlineStr">
        <is>
          <t>ППК26111, (30.06.2026) [CNP]</t>
        </is>
      </c>
      <c r="I89" s="165" t="inlineStr">
        <is>
          <t>✓</t>
        </is>
      </c>
      <c r="J89" s="163" t="inlineStr">
        <is>
          <t>Conforms (ImB spec.)</t>
        </is>
      </c>
      <c r="K89" s="164" t="inlineStr">
        <is>
          <t>ППК26111, (30.06.2026) [CNP]</t>
        </is>
      </c>
      <c r="L89" s="165" t="inlineStr">
        <is>
          <t>✓</t>
        </is>
      </c>
      <c r="M89" s="169" t="inlineStr">
        <is>
          <t>15.16</t>
        </is>
      </c>
      <c r="N89" s="164" t="inlineStr">
        <is>
          <t>ППК26111, (30.06.2026) [CNP]</t>
        </is>
      </c>
      <c r="O89" s="165" t="inlineStr">
        <is>
          <t>✓</t>
        </is>
      </c>
      <c r="P89" s="170" t="inlineStr">
        <is>
          <t>&lt; LOQ</t>
        </is>
      </c>
      <c r="Q89" s="164" t="inlineStr">
        <is>
          <t>ППК26111, (30.06.2026) [CNP]</t>
        </is>
      </c>
      <c r="R89" s="165" t="inlineStr">
        <is>
          <t>✓</t>
        </is>
      </c>
      <c r="S89" s="170" t="inlineStr">
        <is>
          <t>0.04</t>
        </is>
      </c>
      <c r="T89" s="164" t="inlineStr">
        <is>
          <t>ППК26111, (30.06.2026) [CNP]</t>
        </is>
      </c>
      <c r="U89" s="165" t="inlineStr">
        <is>
          <t>✓</t>
        </is>
      </c>
      <c r="V89" s="163" t="inlineStr">
        <is>
          <t>Conforms (no value printed)</t>
        </is>
      </c>
      <c r="W89" s="164" t="inlineStr">
        <is>
          <t>ППК26111, (30.06.2026) [CNP]</t>
        </is>
      </c>
      <c r="X89" s="165" t="inlineStr">
        <is>
          <t>✓</t>
        </is>
      </c>
      <c r="Y89" s="163" t="inlineStr">
        <is>
          <t>7.04</t>
        </is>
      </c>
      <c r="Z89" s="164" t="inlineStr">
        <is>
          <t>ППК26111, (30.06.2026) [CNP]</t>
        </is>
      </c>
      <c r="AA89" s="165" t="inlineStr">
        <is>
          <t>✓</t>
        </is>
      </c>
      <c r="AB89" s="205" t="inlineStr">
        <is>
          <t>— MISSING —</t>
        </is>
      </c>
      <c r="AC89" s="206" t="inlineStr">
        <is>
          <t>— MISSING —</t>
        </is>
      </c>
      <c r="AD89" s="206" t="inlineStr">
        <is>
          <t>— MISSING —</t>
        </is>
      </c>
      <c r="AE89" s="206" t="inlineStr">
        <is>
          <t>— MISSING —</t>
        </is>
      </c>
      <c r="AF89" s="206" t="inlineStr">
        <is>
          <t>— MISSING —</t>
        </is>
      </c>
      <c r="AG89" s="214" t="inlineStr">
        <is>
          <t>✗</t>
        </is>
      </c>
      <c r="AH89" s="205" t="inlineStr">
        <is>
          <t>— MISSING —</t>
        </is>
      </c>
      <c r="AI89" s="206" t="inlineStr">
        <is>
          <t>— MISSING —</t>
        </is>
      </c>
      <c r="AJ89" s="206" t="inlineStr">
        <is>
          <t>— MISSING —</t>
        </is>
      </c>
      <c r="AK89" s="214" t="inlineStr">
        <is>
          <t>✗</t>
        </is>
      </c>
      <c r="AL89" s="205" t="inlineStr">
        <is>
          <t>— MISSING —</t>
        </is>
      </c>
      <c r="AM89" s="206" t="inlineStr">
        <is>
          <t>— MISSING —</t>
        </is>
      </c>
      <c r="AN89" s="206" t="inlineStr">
        <is>
          <t>— MISSING —</t>
        </is>
      </c>
      <c r="AO89" s="206" t="inlineStr">
        <is>
          <t>— MISSING —</t>
        </is>
      </c>
      <c r="AP89" s="214" t="inlineStr">
        <is>
          <t>✗</t>
        </is>
      </c>
      <c r="AQ89" s="205" t="inlineStr">
        <is>
          <t>— MISSING —</t>
        </is>
      </c>
      <c r="AR89" s="215" t="inlineStr">
        <is>
          <t>— no certificate —</t>
        </is>
      </c>
      <c r="AS89" s="216" t="inlineStr">
        <is>
          <t>✗</t>
        </is>
      </c>
    </row>
    <row r="90" ht="15.375" customHeight="1" s="70">
      <c r="A90" s="173" t="n"/>
      <c r="D90" s="174" t="n"/>
      <c r="F90" s="175" t="n"/>
      <c r="G90" s="174" t="n"/>
      <c r="I90" s="175" t="n"/>
      <c r="J90" s="174" t="n"/>
      <c r="L90" s="175" t="n"/>
      <c r="M90" s="174" t="n"/>
      <c r="O90" s="175" t="n"/>
      <c r="P90" s="174" t="n"/>
      <c r="R90" s="175" t="n"/>
      <c r="S90" s="174" t="n"/>
      <c r="U90" s="175" t="n"/>
      <c r="V90" s="174" t="n"/>
      <c r="X90" s="175" t="n"/>
      <c r="Y90" s="174" t="n"/>
      <c r="AA90" s="175" t="n"/>
      <c r="AB90" s="217" t="inlineStr">
        <is>
          <t>— no certificate —</t>
        </is>
      </c>
      <c r="AG90" s="175" t="n"/>
      <c r="AH90" s="217" t="inlineStr">
        <is>
          <t>— no certificate —</t>
        </is>
      </c>
      <c r="AK90" s="175" t="n"/>
      <c r="AL90" s="217" t="inlineStr">
        <is>
          <t>— no certificate —</t>
        </is>
      </c>
      <c r="AP90" s="175" t="n"/>
      <c r="AQ90" s="174" t="n"/>
      <c r="AS90" s="177" t="n"/>
    </row>
    <row r="91" ht="17.625" customHeight="1" s="70">
      <c r="A91" s="178" t="n"/>
      <c r="B91" s="179" t="n"/>
      <c r="D91" s="187" t="inlineStr">
        <is>
          <t>Conforms</t>
        </is>
      </c>
      <c r="E91" s="188" t="inlineStr">
        <is>
          <t>ППК26113, (30.06.2026) [CNP] · on file, not credited</t>
        </is>
      </c>
      <c r="F91" s="189" t="inlineStr">
        <is>
          <t>•</t>
        </is>
      </c>
      <c r="G91" s="182" t="inlineStr">
        <is>
          <t>Conforms</t>
        </is>
      </c>
      <c r="H91" s="183" t="inlineStr">
        <is>
          <t>ППК26113, (30.06.2026) [CNP]</t>
        </is>
      </c>
      <c r="I91" s="184" t="inlineStr">
        <is>
          <t>✓</t>
        </is>
      </c>
      <c r="J91" s="182" t="inlineStr">
        <is>
          <t>Conforms (ImB spec.)</t>
        </is>
      </c>
      <c r="K91" s="183" t="inlineStr">
        <is>
          <t>ППК26113, (30.06.2026) [CNP]</t>
        </is>
      </c>
      <c r="L91" s="184" t="inlineStr">
        <is>
          <t>✓</t>
        </is>
      </c>
      <c r="M91" s="185" t="inlineStr">
        <is>
          <t>20.54</t>
        </is>
      </c>
      <c r="N91" s="183" t="inlineStr">
        <is>
          <t>ППК26113, (30.06.2026) [CNP]</t>
        </is>
      </c>
      <c r="O91" s="184" t="inlineStr">
        <is>
          <t>✓</t>
        </is>
      </c>
      <c r="P91" s="186" t="inlineStr">
        <is>
          <t>0.05</t>
        </is>
      </c>
      <c r="Q91" s="183" t="inlineStr">
        <is>
          <t>ППК26113, (30.06.2026) [CNP]</t>
        </is>
      </c>
      <c r="R91" s="184" t="inlineStr">
        <is>
          <t>✓</t>
        </is>
      </c>
      <c r="S91" s="186" t="inlineStr">
        <is>
          <t>0.05</t>
        </is>
      </c>
      <c r="T91" s="183" t="inlineStr">
        <is>
          <t>ППК26113, (30.06.2026) [CNP]</t>
        </is>
      </c>
      <c r="U91" s="184" t="inlineStr">
        <is>
          <t>✓</t>
        </is>
      </c>
      <c r="V91" s="187" t="inlineStr">
        <is>
          <t>Conforms (no value printed)</t>
        </is>
      </c>
      <c r="W91" s="188" t="inlineStr">
        <is>
          <t>ППК26113, (30.06.2026) [CNP] · on file, not credited</t>
        </is>
      </c>
      <c r="X91" s="189" t="inlineStr">
        <is>
          <t>•</t>
        </is>
      </c>
      <c r="Y91" s="182" t="inlineStr">
        <is>
          <t>7.52</t>
        </is>
      </c>
      <c r="Z91" s="183" t="inlineStr">
        <is>
          <t>ППК26113, (30.06.2026) [CNP]</t>
        </is>
      </c>
      <c r="AA91" s="184" t="inlineStr">
        <is>
          <t>✓</t>
        </is>
      </c>
      <c r="AB91" s="180" t="n"/>
      <c r="AC91" s="179" t="n"/>
      <c r="AD91" s="179" t="n"/>
      <c r="AE91" s="179" t="n"/>
      <c r="AF91" s="179" t="n"/>
      <c r="AG91" s="181" t="n"/>
      <c r="AH91" s="180" t="n"/>
      <c r="AI91" s="179" t="n"/>
      <c r="AJ91" s="179" t="n"/>
      <c r="AK91" s="181" t="n"/>
      <c r="AL91" s="180" t="n"/>
      <c r="AM91" s="179" t="n"/>
      <c r="AN91" s="179" t="n"/>
      <c r="AO91" s="179" t="n"/>
      <c r="AP91" s="181" t="n"/>
      <c r="AQ91" s="180" t="n"/>
      <c r="AR91" s="179" t="n"/>
      <c r="AS91" s="192" t="n"/>
    </row>
    <row r="92" ht="15.375" customHeight="1" s="70">
      <c r="A92" s="193" t="n"/>
      <c r="B92" s="194" t="n"/>
      <c r="C92" s="194" t="n"/>
      <c r="D92" s="195" t="n"/>
      <c r="E92" s="194" t="n"/>
      <c r="F92" s="196" t="n"/>
      <c r="G92" s="195" t="n"/>
      <c r="H92" s="194" t="n"/>
      <c r="I92" s="196" t="n"/>
      <c r="J92" s="195" t="n"/>
      <c r="K92" s="194" t="n"/>
      <c r="L92" s="196" t="n"/>
      <c r="M92" s="195" t="n"/>
      <c r="N92" s="194" t="n"/>
      <c r="O92" s="196" t="n"/>
      <c r="P92" s="195" t="n"/>
      <c r="Q92" s="194" t="n"/>
      <c r="R92" s="196" t="n"/>
      <c r="S92" s="195" t="n"/>
      <c r="T92" s="194" t="n"/>
      <c r="U92" s="196" t="n"/>
      <c r="V92" s="195" t="n"/>
      <c r="W92" s="194" t="n"/>
      <c r="X92" s="196" t="n"/>
      <c r="Y92" s="195" t="n"/>
      <c r="Z92" s="194" t="n"/>
      <c r="AA92" s="196" t="n"/>
      <c r="AB92" s="195" t="n"/>
      <c r="AC92" s="194" t="n"/>
      <c r="AD92" s="194" t="n"/>
      <c r="AE92" s="194" t="n"/>
      <c r="AF92" s="194" t="n"/>
      <c r="AG92" s="196" t="n"/>
      <c r="AH92" s="195" t="n"/>
      <c r="AI92" s="194" t="n"/>
      <c r="AJ92" s="194" t="n"/>
      <c r="AK92" s="196" t="n"/>
      <c r="AL92" s="195" t="n"/>
      <c r="AM92" s="194" t="n"/>
      <c r="AN92" s="194" t="n"/>
      <c r="AO92" s="194" t="n"/>
      <c r="AP92" s="196" t="n"/>
      <c r="AQ92" s="195" t="n"/>
      <c r="AR92" s="194" t="n"/>
      <c r="AS92" s="198" t="n"/>
    </row>
    <row r="93" ht="21" customHeight="1" s="70">
      <c r="A93" s="160" t="inlineStr">
        <is>
          <t>JD022601</t>
        </is>
      </c>
      <c r="B93" s="161" t="inlineStr">
        <is>
          <t>P060482</t>
        </is>
      </c>
      <c r="C93" s="212" t="inlineStr">
        <is>
          <t>✗ 4 NO RESULT
(4 no cert / 0 cert w/o result)</t>
        </is>
      </c>
      <c r="D93" s="200" t="inlineStr">
        <is>
          <t>Conforms</t>
        </is>
      </c>
      <c r="E93" s="201" t="inlineStr">
        <is>
          <t>ППК26115, (30.06.2026) [CNP]</t>
        </is>
      </c>
      <c r="F93" s="202" t="inlineStr">
        <is>
          <t>✓</t>
        </is>
      </c>
      <c r="G93" s="200" t="inlineStr">
        <is>
          <t>Conforms</t>
        </is>
      </c>
      <c r="H93" s="201" t="inlineStr">
        <is>
          <t>ППК26115, (30.06.2026) [CNP]</t>
        </is>
      </c>
      <c r="I93" s="202" t="inlineStr">
        <is>
          <t>✓</t>
        </is>
      </c>
      <c r="J93" s="200" t="inlineStr">
        <is>
          <t>Conforms (ImB spec.)</t>
        </is>
      </c>
      <c r="K93" s="201" t="inlineStr">
        <is>
          <t>ППК26115, (30.06.2026) [CNP]</t>
        </is>
      </c>
      <c r="L93" s="202" t="inlineStr">
        <is>
          <t>✓</t>
        </is>
      </c>
      <c r="M93" s="203" t="inlineStr">
        <is>
          <t>18.58</t>
        </is>
      </c>
      <c r="N93" s="201" t="inlineStr">
        <is>
          <t>ППК26115, (30.06.2026) [CNP]</t>
        </is>
      </c>
      <c r="O93" s="202" t="inlineStr">
        <is>
          <t>✓</t>
        </is>
      </c>
      <c r="P93" s="204" t="inlineStr">
        <is>
          <t>&lt; LOQ</t>
        </is>
      </c>
      <c r="Q93" s="201" t="inlineStr">
        <is>
          <t>ППК26115, (30.06.2026) [CNP]</t>
        </is>
      </c>
      <c r="R93" s="202" t="inlineStr">
        <is>
          <t>✓</t>
        </is>
      </c>
      <c r="S93" s="204" t="inlineStr">
        <is>
          <t>0.05</t>
        </is>
      </c>
      <c r="T93" s="201" t="inlineStr">
        <is>
          <t>ППК26115, (30.06.2026) [CNP]</t>
        </is>
      </c>
      <c r="U93" s="202" t="inlineStr">
        <is>
          <t>✓</t>
        </is>
      </c>
      <c r="V93" s="200" t="inlineStr">
        <is>
          <t>Conforms (no value printed)</t>
        </is>
      </c>
      <c r="W93" s="201" t="inlineStr">
        <is>
          <t>ППК26115, (30.06.2026) [CNP]</t>
        </is>
      </c>
      <c r="X93" s="202" t="inlineStr">
        <is>
          <t>✓</t>
        </is>
      </c>
      <c r="Y93" s="200" t="inlineStr">
        <is>
          <t>7.73</t>
        </is>
      </c>
      <c r="Z93" s="201" t="inlineStr">
        <is>
          <t>ППК26115, (30.06.2026) [CNP]</t>
        </is>
      </c>
      <c r="AA93" s="202" t="inlineStr">
        <is>
          <t>✓</t>
        </is>
      </c>
      <c r="AB93" s="205" t="inlineStr">
        <is>
          <t>— MISSING —</t>
        </is>
      </c>
      <c r="AC93" s="206" t="inlineStr">
        <is>
          <t>— MISSING —</t>
        </is>
      </c>
      <c r="AD93" s="206" t="inlineStr">
        <is>
          <t>— MISSING —</t>
        </is>
      </c>
      <c r="AE93" s="206" t="inlineStr">
        <is>
          <t>— MISSING —</t>
        </is>
      </c>
      <c r="AF93" s="206" t="inlineStr">
        <is>
          <t>— MISSING —</t>
        </is>
      </c>
      <c r="AG93" s="207" t="inlineStr">
        <is>
          <t>✗</t>
        </is>
      </c>
      <c r="AH93" s="205" t="inlineStr">
        <is>
          <t>— MISSING —</t>
        </is>
      </c>
      <c r="AI93" s="206" t="inlineStr">
        <is>
          <t>— MISSING —</t>
        </is>
      </c>
      <c r="AJ93" s="206" t="inlineStr">
        <is>
          <t>— MISSING —</t>
        </is>
      </c>
      <c r="AK93" s="207" t="inlineStr">
        <is>
          <t>✗</t>
        </is>
      </c>
      <c r="AL93" s="205" t="inlineStr">
        <is>
          <t>— MISSING —</t>
        </is>
      </c>
      <c r="AM93" s="206" t="inlineStr">
        <is>
          <t>— MISSING —</t>
        </is>
      </c>
      <c r="AN93" s="206" t="inlineStr">
        <is>
          <t>— MISSING —</t>
        </is>
      </c>
      <c r="AO93" s="206" t="inlineStr">
        <is>
          <t>— MISSING —</t>
        </is>
      </c>
      <c r="AP93" s="207" t="inlineStr">
        <is>
          <t>✗</t>
        </is>
      </c>
      <c r="AQ93" s="208" t="inlineStr">
        <is>
          <t>— MISSING —</t>
        </is>
      </c>
      <c r="AR93" s="209" t="inlineStr">
        <is>
          <t>— no certificate —</t>
        </is>
      </c>
      <c r="AS93" s="210" t="inlineStr">
        <is>
          <t>✗</t>
        </is>
      </c>
    </row>
    <row r="94" ht="15.375" customHeight="1" s="70">
      <c r="A94" s="193" t="n"/>
      <c r="B94" s="194" t="n"/>
      <c r="C94" s="194" t="n"/>
      <c r="D94" s="195" t="n"/>
      <c r="E94" s="194" t="n"/>
      <c r="F94" s="196" t="n"/>
      <c r="G94" s="195" t="n"/>
      <c r="H94" s="194" t="n"/>
      <c r="I94" s="196" t="n"/>
      <c r="J94" s="195" t="n"/>
      <c r="K94" s="194" t="n"/>
      <c r="L94" s="196" t="n"/>
      <c r="M94" s="195" t="n"/>
      <c r="N94" s="194" t="n"/>
      <c r="O94" s="196" t="n"/>
      <c r="P94" s="195" t="n"/>
      <c r="Q94" s="194" t="n"/>
      <c r="R94" s="196" t="n"/>
      <c r="S94" s="195" t="n"/>
      <c r="T94" s="194" t="n"/>
      <c r="U94" s="196" t="n"/>
      <c r="V94" s="195" t="n"/>
      <c r="W94" s="194" t="n"/>
      <c r="X94" s="196" t="n"/>
      <c r="Y94" s="195" t="n"/>
      <c r="Z94" s="194" t="n"/>
      <c r="AA94" s="196" t="n"/>
      <c r="AB94" s="211" t="inlineStr">
        <is>
          <t>— no certificate —</t>
        </is>
      </c>
      <c r="AC94" s="194" t="n"/>
      <c r="AD94" s="194" t="n"/>
      <c r="AE94" s="194" t="n"/>
      <c r="AF94" s="194" t="n"/>
      <c r="AG94" s="196" t="n"/>
      <c r="AH94" s="211" t="inlineStr">
        <is>
          <t>— no certificate —</t>
        </is>
      </c>
      <c r="AI94" s="194" t="n"/>
      <c r="AJ94" s="194" t="n"/>
      <c r="AK94" s="196" t="n"/>
      <c r="AL94" s="211" t="inlineStr">
        <is>
          <t>— no certificate —</t>
        </is>
      </c>
      <c r="AM94" s="194" t="n"/>
      <c r="AN94" s="194" t="n"/>
      <c r="AO94" s="194" t="n"/>
      <c r="AP94" s="196" t="n"/>
      <c r="AQ94" s="195" t="n"/>
      <c r="AR94" s="194" t="n"/>
      <c r="AS94" s="198" t="n"/>
    </row>
    <row r="95" ht="21" customHeight="1" s="70">
      <c r="A95" s="160" t="inlineStr">
        <is>
          <t>JD112501</t>
        </is>
      </c>
      <c r="B95" s="161" t="inlineStr">
        <is>
          <t>P060212</t>
        </is>
      </c>
      <c r="C95" s="162" t="inlineStr">
        <is>
          <t>✓ COMPLETE
3 testing instances
• 5 document(s) on file, not credited</t>
        </is>
      </c>
      <c r="D95" s="163" t="inlineStr">
        <is>
          <t>Conforms</t>
        </is>
      </c>
      <c r="E95" s="164">
        <f>IFERROR(INDEX('iCoA Register'!$B:$B,MATCH("P060212|I",'iCoA Register'!$P:$P,0)),"iCoA — at issue")&amp;", (21.04.2026) [PP]"</f>
        <v/>
      </c>
      <c r="F95" s="165" t="inlineStr">
        <is>
          <t>✓</t>
        </is>
      </c>
      <c r="G95" s="163" t="inlineStr">
        <is>
          <t>Conforms</t>
        </is>
      </c>
      <c r="H95" s="164">
        <f>IFERROR(INDEX('iCoA Register'!$B:$B,MATCH("P060212|I",'iCoA Register'!$P:$P,0)),"iCoA — at issue")&amp;", (21.04.2026) [PP]"</f>
        <v/>
      </c>
      <c r="I95" s="165" t="inlineStr">
        <is>
          <t>✓</t>
        </is>
      </c>
      <c r="J95" s="163" t="inlineStr">
        <is>
          <t>Conforms (ImB spec.)</t>
        </is>
      </c>
      <c r="K95" s="164" t="inlineStr">
        <is>
          <t>ППК26063, (11.05.2026) [CNP]</t>
        </is>
      </c>
      <c r="L95" s="165" t="inlineStr">
        <is>
          <t>✓</t>
        </is>
      </c>
      <c r="M95" s="169" t="inlineStr">
        <is>
          <t>19.64</t>
        </is>
      </c>
      <c r="N95" s="164" t="inlineStr">
        <is>
          <t>ППК26063, (11.05.2026) [CNP]</t>
        </is>
      </c>
      <c r="O95" s="165" t="inlineStr">
        <is>
          <t>✓</t>
        </is>
      </c>
      <c r="P95" s="170" t="inlineStr">
        <is>
          <t>0.06</t>
        </is>
      </c>
      <c r="Q95" s="164" t="inlineStr">
        <is>
          <t>ППК26063, (11.05.2026) [CNP]</t>
        </is>
      </c>
      <c r="R95" s="165" t="inlineStr">
        <is>
          <t>✓</t>
        </is>
      </c>
      <c r="S95" s="170" t="inlineStr">
        <is>
          <t>&lt; LOQ ᴰ</t>
        </is>
      </c>
      <c r="T95" s="164" t="inlineStr">
        <is>
          <t>ППК26063, (11.05.2026) [CNP]</t>
        </is>
      </c>
      <c r="U95" s="165" t="inlineStr">
        <is>
          <t>✓</t>
        </is>
      </c>
      <c r="V95" s="163" t="inlineStr">
        <is>
          <t>Conforms</t>
        </is>
      </c>
      <c r="W95" s="164">
        <f>IFERROR(INDEX('iCoA Register'!$B:$B,MATCH("P060212|I",'iCoA Register'!$P:$P,0)),"iCoA — at issue")&amp;", (21.04.2026) [PP]"</f>
        <v/>
      </c>
      <c r="X95" s="165" t="inlineStr">
        <is>
          <t>✓</t>
        </is>
      </c>
      <c r="Y95" s="163" t="inlineStr">
        <is>
          <t>6.69</t>
        </is>
      </c>
      <c r="Z95" s="164" t="inlineStr">
        <is>
          <t>ППК26063, (11.05.2026) [CNP]</t>
        </is>
      </c>
      <c r="AA95" s="165" t="inlineStr">
        <is>
          <t>✓</t>
        </is>
      </c>
      <c r="AB95" s="166" t="inlineStr">
        <is>
          <t>1 × 10⁴</t>
        </is>
      </c>
      <c r="AC95" s="220" t="inlineStr">
        <is>
          <t>6.7 × 10³</t>
        </is>
      </c>
      <c r="AD95" s="220" t="inlineStr">
        <is>
          <t>&lt; 10³ and &gt; 10²</t>
        </is>
      </c>
      <c r="AE95" s="220" t="inlineStr">
        <is>
          <t>Absent</t>
        </is>
      </c>
      <c r="AF95" s="220" t="inlineStr">
        <is>
          <t>Absent</t>
        </is>
      </c>
      <c r="AG95" s="168" t="inlineStr">
        <is>
          <t>•</t>
        </is>
      </c>
      <c r="AH95" s="163" t="inlineStr">
        <is>
          <t>ND</t>
        </is>
      </c>
      <c r="AI95" s="171" t="inlineStr">
        <is>
          <t>&lt; 2</t>
        </is>
      </c>
      <c r="AJ95" s="171" t="inlineStr">
        <is>
          <t>ND</t>
        </is>
      </c>
      <c r="AK95" s="165" t="inlineStr">
        <is>
          <t>✓</t>
        </is>
      </c>
      <c r="AL95" s="163" t="inlineStr">
        <is>
          <t>0.022</t>
        </is>
      </c>
      <c r="AM95" s="171" t="inlineStr">
        <is>
          <t>0.0149</t>
        </is>
      </c>
      <c r="AN95" s="171" t="inlineStr">
        <is>
          <t>0.02</t>
        </is>
      </c>
      <c r="AO95" s="171" t="inlineStr">
        <is>
          <t>0.0166</t>
        </is>
      </c>
      <c r="AP95" s="165" t="inlineStr">
        <is>
          <t>✓</t>
        </is>
      </c>
      <c r="AQ95" s="163" t="inlineStr">
        <is>
          <t>≤ LOQ (all 26 compounds)</t>
        </is>
      </c>
      <c r="AR95" s="164" t="inlineStr">
        <is>
          <t>2361-2026, (30.04.2026) [IJZ]</t>
        </is>
      </c>
      <c r="AS95" s="172" t="inlineStr">
        <is>
          <t>✓</t>
        </is>
      </c>
    </row>
    <row r="96" ht="13" customHeight="1" s="70">
      <c r="A96" s="173" t="n"/>
      <c r="D96" s="174" t="n"/>
      <c r="F96" s="175" t="n"/>
      <c r="G96" s="174" t="n"/>
      <c r="I96" s="175" t="n"/>
      <c r="J96" s="174" t="n"/>
      <c r="L96" s="175" t="n"/>
      <c r="M96" s="174" t="n"/>
      <c r="O96" s="175" t="n"/>
      <c r="P96" s="174" t="n"/>
      <c r="R96" s="175" t="n"/>
      <c r="S96" s="174" t="n"/>
      <c r="U96" s="175" t="n"/>
      <c r="V96" s="174" t="n"/>
      <c r="X96" s="175" t="n"/>
      <c r="Y96" s="174" t="n"/>
      <c r="AA96" s="175" t="n"/>
      <c r="AB96" s="222" t="inlineStr">
        <is>
          <t>306-0550-26, (28.04.2026) [IJZ-MB] · on file, not credited</t>
        </is>
      </c>
      <c r="AG96" s="175" t="n"/>
      <c r="AH96" s="176" t="inlineStr">
        <is>
          <t>2361-2026, (30.04.2026) [IJZ]</t>
        </is>
      </c>
      <c r="AK96" s="175" t="n"/>
      <c r="AL96" s="176" t="inlineStr">
        <is>
          <t>2361-2026, (30.04.2026) [IJZ]</t>
        </is>
      </c>
      <c r="AP96" s="175" t="n"/>
      <c r="AQ96" s="174" t="n"/>
      <c r="AS96" s="177" t="n"/>
    </row>
    <row r="97" ht="21" customHeight="1" s="70">
      <c r="A97" s="178" t="n"/>
      <c r="B97" s="179" t="n"/>
      <c r="D97" s="180" t="n"/>
      <c r="E97" s="179" t="n"/>
      <c r="F97" s="181" t="n"/>
      <c r="G97" s="227" t="inlineStr">
        <is>
          <t>not on this certificate</t>
        </is>
      </c>
      <c r="H97" s="228" t="inlineStr">
        <is>
          <t>ППК26063, (11.05.2026) [CNP] · on file, not credited</t>
        </is>
      </c>
      <c r="I97" s="229" t="inlineStr">
        <is>
          <t>•</t>
        </is>
      </c>
      <c r="J97" s="227" t="inlineStr">
        <is>
          <t>Conforms (ImB spec.)</t>
        </is>
      </c>
      <c r="K97" s="228" t="inlineStr">
        <is>
          <t>ППК26065, (11.05.2026) [CNP] · on file, not credited</t>
        </is>
      </c>
      <c r="L97" s="229" t="inlineStr">
        <is>
          <t>•</t>
        </is>
      </c>
      <c r="M97" s="238" t="inlineStr">
        <is>
          <t>13.93</t>
        </is>
      </c>
      <c r="N97" s="228" t="inlineStr">
        <is>
          <t>ППК26065, (11.05.2026) [CNP] · on file, not credited</t>
        </is>
      </c>
      <c r="O97" s="229" t="inlineStr">
        <is>
          <t>•</t>
        </is>
      </c>
      <c r="P97" s="239" t="inlineStr">
        <is>
          <t>0.04</t>
        </is>
      </c>
      <c r="Q97" s="228" t="inlineStr">
        <is>
          <t>ППК26065, (11.05.2026) [CNP] · on file, not credited</t>
        </is>
      </c>
      <c r="R97" s="229" t="inlineStr">
        <is>
          <t>•</t>
        </is>
      </c>
      <c r="S97" s="239" t="inlineStr">
        <is>
          <t>&lt; LOQ ᴰ</t>
        </is>
      </c>
      <c r="T97" s="228" t="inlineStr">
        <is>
          <t>ППК26065, (11.05.2026) [CNP] · on file, not credited</t>
        </is>
      </c>
      <c r="U97" s="229" t="inlineStr">
        <is>
          <t>•</t>
        </is>
      </c>
      <c r="V97" s="180" t="n"/>
      <c r="W97" s="179" t="n"/>
      <c r="X97" s="181" t="n"/>
      <c r="Y97" s="227" t="inlineStr">
        <is>
          <t>6.38</t>
        </is>
      </c>
      <c r="Z97" s="228" t="inlineStr">
        <is>
          <t>ППК26065, (11.05.2026) [CNP] · on file, not credited</t>
        </is>
      </c>
      <c r="AA97" s="229" t="inlineStr">
        <is>
          <t>•</t>
        </is>
      </c>
      <c r="AB97" s="190" t="inlineStr">
        <is>
          <t>2.6 × 10³</t>
        </is>
      </c>
      <c r="AC97" s="191" t="inlineStr">
        <is>
          <t>3.3 × 10³</t>
        </is>
      </c>
      <c r="AD97" s="191" t="inlineStr">
        <is>
          <t>not reported</t>
        </is>
      </c>
      <c r="AE97" s="191" t="inlineStr">
        <is>
          <t>Absent</t>
        </is>
      </c>
      <c r="AF97" s="191" t="inlineStr">
        <is>
          <t>Absent</t>
        </is>
      </c>
      <c r="AG97" s="224" t="inlineStr">
        <is>
          <t>✓</t>
        </is>
      </c>
      <c r="AH97" s="227" t="inlineStr">
        <is>
          <t>ND</t>
        </is>
      </c>
      <c r="AI97" s="248" t="inlineStr">
        <is>
          <t>&lt; 2</t>
        </is>
      </c>
      <c r="AJ97" s="248" t="inlineStr">
        <is>
          <t>ND</t>
        </is>
      </c>
      <c r="AK97" s="229" t="inlineStr">
        <is>
          <t>•</t>
        </is>
      </c>
      <c r="AL97" s="227" t="inlineStr">
        <is>
          <t>0.0109</t>
        </is>
      </c>
      <c r="AM97" s="248" t="inlineStr">
        <is>
          <t>0.01287</t>
        </is>
      </c>
      <c r="AN97" s="248" t="inlineStr">
        <is>
          <t>0.0175</t>
        </is>
      </c>
      <c r="AO97" s="248" t="inlineStr">
        <is>
          <t>0.0165</t>
        </is>
      </c>
      <c r="AP97" s="229" t="inlineStr">
        <is>
          <t>•</t>
        </is>
      </c>
      <c r="AQ97" s="227" t="inlineStr">
        <is>
          <t>≤ LOQ (all 27 compounds)</t>
        </is>
      </c>
      <c r="AR97" s="228" t="inlineStr">
        <is>
          <t>2365-2026, (30.04.2026) [IJZ] · on file, not credited</t>
        </is>
      </c>
      <c r="AS97" s="249" t="inlineStr">
        <is>
          <t>•</t>
        </is>
      </c>
    </row>
    <row r="98" ht="21" customHeight="1" s="70">
      <c r="A98" s="230" t="n"/>
      <c r="B98" s="231" t="n"/>
      <c r="D98" s="232" t="n"/>
      <c r="E98" s="231" t="n"/>
      <c r="F98" s="233" t="n"/>
      <c r="G98" s="232" t="n"/>
      <c r="H98" s="231" t="n"/>
      <c r="I98" s="233" t="n"/>
      <c r="J98" s="232" t="n"/>
      <c r="K98" s="231" t="n"/>
      <c r="L98" s="233" t="n"/>
      <c r="M98" s="232" t="n"/>
      <c r="N98" s="231" t="n"/>
      <c r="O98" s="233" t="n"/>
      <c r="P98" s="232" t="n"/>
      <c r="Q98" s="231" t="n"/>
      <c r="R98" s="233" t="n"/>
      <c r="S98" s="232" t="n"/>
      <c r="T98" s="231" t="n"/>
      <c r="U98" s="233" t="n"/>
      <c r="V98" s="232" t="n"/>
      <c r="W98" s="231" t="n"/>
      <c r="X98" s="233" t="n"/>
      <c r="Y98" s="232" t="n"/>
      <c r="Z98" s="231" t="n"/>
      <c r="AA98" s="233" t="n"/>
      <c r="AB98" s="247" t="inlineStr">
        <is>
          <t>307-0551-26, (28.04.2026) [IJZ-MB]</t>
        </is>
      </c>
      <c r="AC98" s="231" t="n"/>
      <c r="AD98" s="231" t="n"/>
      <c r="AE98" s="231" t="n"/>
      <c r="AF98" s="231" t="n"/>
      <c r="AG98" s="233" t="n"/>
      <c r="AH98" s="250" t="inlineStr">
        <is>
          <t>2365-2026, (30.04.2026) [IJZ] · on file, not credited</t>
        </is>
      </c>
      <c r="AI98" s="231" t="n"/>
      <c r="AJ98" s="231" t="n"/>
      <c r="AK98" s="233" t="n"/>
      <c r="AL98" s="250" t="inlineStr">
        <is>
          <t>2365-2026, (30.04.2026) [IJZ] · on file, not credited</t>
        </is>
      </c>
      <c r="AM98" s="231" t="n"/>
      <c r="AN98" s="231" t="n"/>
      <c r="AO98" s="231" t="n"/>
      <c r="AP98" s="233" t="n"/>
      <c r="AQ98" s="232" t="n"/>
      <c r="AR98" s="231" t="n"/>
      <c r="AS98" s="234" t="n"/>
    </row>
    <row r="99" ht="17.625" customHeight="1" s="70">
      <c r="A99" s="178" t="n"/>
      <c r="B99" s="179" t="n"/>
      <c r="D99" s="180" t="n"/>
      <c r="E99" s="179" t="n"/>
      <c r="F99" s="181" t="n"/>
      <c r="G99" s="187" t="inlineStr">
        <is>
          <t>not on this certificate</t>
        </is>
      </c>
      <c r="H99" s="188" t="inlineStr">
        <is>
          <t>ППК26065, (11.05.2026) [CNP] · on file, not credited</t>
        </is>
      </c>
      <c r="I99" s="189" t="inlineStr">
        <is>
          <t>•</t>
        </is>
      </c>
      <c r="J99" s="182" t="inlineStr">
        <is>
          <t>Conforms (ImB spec.) ᴿ</t>
        </is>
      </c>
      <c r="K99" s="183" t="inlineStr">
        <is>
          <t>197-15-K-26, (07.08.2026) [FHM-K]</t>
        </is>
      </c>
      <c r="L99" s="184" t="inlineStr">
        <is>
          <t>✓</t>
        </is>
      </c>
      <c r="M99" s="185" t="inlineStr">
        <is>
          <t>20.32</t>
        </is>
      </c>
      <c r="N99" s="183" t="inlineStr">
        <is>
          <t>197-15-K-26, (07.08.2026) [FHM-K]</t>
        </is>
      </c>
      <c r="O99" s="184" t="inlineStr">
        <is>
          <t>✓</t>
        </is>
      </c>
      <c r="P99" s="186" t="inlineStr">
        <is>
          <t>&lt; LOQ</t>
        </is>
      </c>
      <c r="Q99" s="183" t="inlineStr">
        <is>
          <t>197-15-K-26, (07.08.2026) [FHM-K]</t>
        </is>
      </c>
      <c r="R99" s="184" t="inlineStr">
        <is>
          <t>✓</t>
        </is>
      </c>
      <c r="S99" s="186" t="inlineStr">
        <is>
          <t>&lt; LOQ</t>
        </is>
      </c>
      <c r="T99" s="183" t="inlineStr">
        <is>
          <t>197-15-K-26, (07.08.2026) [FHM-K]</t>
        </is>
      </c>
      <c r="U99" s="184" t="inlineStr">
        <is>
          <t>✓</t>
        </is>
      </c>
      <c r="V99" s="180" t="n"/>
      <c r="W99" s="179" t="n"/>
      <c r="X99" s="181" t="n"/>
      <c r="Y99" s="187" t="inlineStr">
        <is>
          <t>not on this certificate</t>
        </is>
      </c>
      <c r="Z99" s="188" t="inlineStr">
        <is>
          <t>197-15-K-26, (07.08.2026) [FHM-K] · on file, not credited</t>
        </is>
      </c>
      <c r="AA99" s="189" t="inlineStr">
        <is>
          <t>•</t>
        </is>
      </c>
      <c r="AB99" s="180" t="n"/>
      <c r="AC99" s="179" t="n"/>
      <c r="AD99" s="179" t="n"/>
      <c r="AE99" s="179" t="n"/>
      <c r="AF99" s="179" t="n"/>
      <c r="AG99" s="181" t="n"/>
      <c r="AH99" s="190" t="inlineStr">
        <is>
          <t>ND</t>
        </is>
      </c>
      <c r="AI99" s="191" t="inlineStr">
        <is>
          <t>ND</t>
        </is>
      </c>
      <c r="AJ99" s="191" t="inlineStr">
        <is>
          <t>ND</t>
        </is>
      </c>
      <c r="AK99" s="184" t="inlineStr">
        <is>
          <t>✓</t>
        </is>
      </c>
      <c r="AL99" s="180" t="n"/>
      <c r="AM99" s="179" t="n"/>
      <c r="AN99" s="179" t="n"/>
      <c r="AO99" s="179" t="n"/>
      <c r="AP99" s="181" t="n"/>
      <c r="AQ99" s="180" t="n"/>
      <c r="AR99" s="179" t="n"/>
      <c r="AS99" s="192" t="n"/>
    </row>
    <row r="100" ht="15.375" customHeight="1" s="70">
      <c r="A100" s="193" t="n"/>
      <c r="B100" s="194" t="n"/>
      <c r="C100" s="194" t="n"/>
      <c r="D100" s="195" t="n"/>
      <c r="E100" s="194" t="n"/>
      <c r="F100" s="196" t="n"/>
      <c r="G100" s="195" t="n"/>
      <c r="H100" s="194" t="n"/>
      <c r="I100" s="196" t="n"/>
      <c r="J100" s="195" t="n"/>
      <c r="K100" s="194" t="n"/>
      <c r="L100" s="196" t="n"/>
      <c r="M100" s="195" t="n"/>
      <c r="N100" s="194" t="n"/>
      <c r="O100" s="196" t="n"/>
      <c r="P100" s="195" t="n"/>
      <c r="Q100" s="194" t="n"/>
      <c r="R100" s="196" t="n"/>
      <c r="S100" s="195" t="n"/>
      <c r="T100" s="194" t="n"/>
      <c r="U100" s="196" t="n"/>
      <c r="V100" s="195" t="n"/>
      <c r="W100" s="194" t="n"/>
      <c r="X100" s="196" t="n"/>
      <c r="Y100" s="195" t="n"/>
      <c r="Z100" s="194" t="n"/>
      <c r="AA100" s="196" t="n"/>
      <c r="AB100" s="195" t="n"/>
      <c r="AC100" s="194" t="n"/>
      <c r="AD100" s="194" t="n"/>
      <c r="AE100" s="194" t="n"/>
      <c r="AF100" s="194" t="n"/>
      <c r="AG100" s="196" t="n"/>
      <c r="AH100" s="197" t="inlineStr">
        <is>
          <t>197-15-M-26, (10.08.2026) [FHM-M]</t>
        </is>
      </c>
      <c r="AI100" s="194" t="n"/>
      <c r="AJ100" s="194" t="n"/>
      <c r="AK100" s="196" t="n"/>
      <c r="AL100" s="195" t="n"/>
      <c r="AM100" s="194" t="n"/>
      <c r="AN100" s="194" t="n"/>
      <c r="AO100" s="194" t="n"/>
      <c r="AP100" s="196" t="n"/>
      <c r="AQ100" s="195" t="n"/>
      <c r="AR100" s="194" t="n"/>
      <c r="AS100" s="198" t="n"/>
    </row>
    <row r="101" ht="21" customHeight="1" s="70">
      <c r="A101" s="160" t="inlineStr">
        <is>
          <t>JD112501＊</t>
        </is>
      </c>
      <c r="B101" s="161" t="inlineStr">
        <is>
          <t>N/A — no P batch assigned</t>
        </is>
      </c>
      <c r="C101" s="162" t="inlineStr">
        <is>
          <t>✓ COMPLETE</t>
        </is>
      </c>
      <c r="D101" s="200" t="inlineStr">
        <is>
          <t>Conforms</t>
        </is>
      </c>
      <c r="E101" s="201">
        <f>IFERROR(INDEX('iCoA Register'!$B:$B,MATCH("P060342|I",'iCoA Register'!$P:$P,0)),"iCoA — at issue")&amp;", (packaging date — to record) [PP]"</f>
        <v/>
      </c>
      <c r="F101" s="202" t="inlineStr">
        <is>
          <t>✓</t>
        </is>
      </c>
      <c r="G101" s="200" t="inlineStr">
        <is>
          <t>Conforms</t>
        </is>
      </c>
      <c r="H101" s="201">
        <f>IFERROR(INDEX('iCoA Register'!$B:$B,MATCH("P060342|I",'iCoA Register'!$P:$P,0)),"iCoA — at issue")&amp;", (packaging date — to record) [PP]"</f>
        <v/>
      </c>
      <c r="I101" s="202" t="inlineStr">
        <is>
          <t>✓</t>
        </is>
      </c>
      <c r="J101" s="200" t="inlineStr">
        <is>
          <t>Conforms (ImB spec.)</t>
        </is>
      </c>
      <c r="K101" s="201" t="inlineStr">
        <is>
          <t>ППК26065, (11.05.2026) [CNP]</t>
        </is>
      </c>
      <c r="L101" s="202" t="inlineStr">
        <is>
          <t>✓</t>
        </is>
      </c>
      <c r="M101" s="203" t="inlineStr">
        <is>
          <t>13.93</t>
        </is>
      </c>
      <c r="N101" s="201" t="inlineStr">
        <is>
          <t>ППК26065, (11.05.2026) [CNP]</t>
        </is>
      </c>
      <c r="O101" s="202" t="inlineStr">
        <is>
          <t>✓</t>
        </is>
      </c>
      <c r="P101" s="204" t="inlineStr">
        <is>
          <t>0.04</t>
        </is>
      </c>
      <c r="Q101" s="201" t="inlineStr">
        <is>
          <t>ППК26065, (11.05.2026) [CNP]</t>
        </is>
      </c>
      <c r="R101" s="202" t="inlineStr">
        <is>
          <t>✓</t>
        </is>
      </c>
      <c r="S101" s="204" t="inlineStr">
        <is>
          <t>&lt; LOQ ᴰ</t>
        </is>
      </c>
      <c r="T101" s="201" t="inlineStr">
        <is>
          <t>ППК26065, (11.05.2026) [CNP]</t>
        </is>
      </c>
      <c r="U101" s="202" t="inlineStr">
        <is>
          <t>✓</t>
        </is>
      </c>
      <c r="V101" s="200" t="inlineStr">
        <is>
          <t>Conforms</t>
        </is>
      </c>
      <c r="W101" s="201">
        <f>IFERROR(INDEX('iCoA Register'!$B:$B,MATCH("P060342|I",'iCoA Register'!$P:$P,0)),"iCoA — at issue")&amp;", (packaging date — to record) [PP]"</f>
        <v/>
      </c>
      <c r="X101" s="202" t="inlineStr">
        <is>
          <t>✓</t>
        </is>
      </c>
      <c r="Y101" s="200" t="inlineStr">
        <is>
          <t>6.38</t>
        </is>
      </c>
      <c r="Z101" s="201" t="inlineStr">
        <is>
          <t>ППК26065, (11.05.2026) [CNP]</t>
        </is>
      </c>
      <c r="AA101" s="202" t="inlineStr">
        <is>
          <t>✓</t>
        </is>
      </c>
      <c r="AB101" s="163" t="inlineStr">
        <is>
          <t>1 × 10⁴</t>
        </is>
      </c>
      <c r="AC101" s="171" t="inlineStr">
        <is>
          <t>6.7 × 10³</t>
        </is>
      </c>
      <c r="AD101" s="171" t="inlineStr">
        <is>
          <t>&lt; 10³ and &gt; 10²</t>
        </is>
      </c>
      <c r="AE101" s="171" t="inlineStr">
        <is>
          <t>Absent</t>
        </is>
      </c>
      <c r="AF101" s="171" t="inlineStr">
        <is>
          <t>Absent</t>
        </is>
      </c>
      <c r="AG101" s="202" t="inlineStr">
        <is>
          <t>✓</t>
        </is>
      </c>
      <c r="AH101" s="163" t="inlineStr">
        <is>
          <t>ND</t>
        </is>
      </c>
      <c r="AI101" s="171" t="inlineStr">
        <is>
          <t>&lt; 2</t>
        </is>
      </c>
      <c r="AJ101" s="171" t="inlineStr">
        <is>
          <t>ND</t>
        </is>
      </c>
      <c r="AK101" s="202" t="inlineStr">
        <is>
          <t>✓</t>
        </is>
      </c>
      <c r="AL101" s="163" t="inlineStr">
        <is>
          <t>0.0109</t>
        </is>
      </c>
      <c r="AM101" s="171" t="inlineStr">
        <is>
          <t>0.01287</t>
        </is>
      </c>
      <c r="AN101" s="171" t="inlineStr">
        <is>
          <t>0.0175</t>
        </is>
      </c>
      <c r="AO101" s="171" t="inlineStr">
        <is>
          <t>0.0165</t>
        </is>
      </c>
      <c r="AP101" s="202" t="inlineStr">
        <is>
          <t>✓</t>
        </is>
      </c>
      <c r="AQ101" s="200" t="inlineStr">
        <is>
          <t>≤ LOQ (all 27 compounds)</t>
        </is>
      </c>
      <c r="AR101" s="201" t="inlineStr">
        <is>
          <t>2365-2026, (30.04.2026) [IJZ]</t>
        </is>
      </c>
      <c r="AS101" s="251" t="inlineStr">
        <is>
          <t>✓</t>
        </is>
      </c>
    </row>
    <row r="102" ht="21" customHeight="1" s="70">
      <c r="A102" s="193" t="n"/>
      <c r="B102" s="194" t="n"/>
      <c r="C102" s="194" t="n"/>
      <c r="D102" s="195" t="n"/>
      <c r="E102" s="194" t="n"/>
      <c r="F102" s="196" t="n"/>
      <c r="G102" s="195" t="n"/>
      <c r="H102" s="194" t="n"/>
      <c r="I102" s="196" t="n"/>
      <c r="J102" s="195" t="n"/>
      <c r="K102" s="194" t="n"/>
      <c r="L102" s="196" t="n"/>
      <c r="M102" s="195" t="n"/>
      <c r="N102" s="194" t="n"/>
      <c r="O102" s="196" t="n"/>
      <c r="P102" s="195" t="n"/>
      <c r="Q102" s="194" t="n"/>
      <c r="R102" s="196" t="n"/>
      <c r="S102" s="195" t="n"/>
      <c r="T102" s="194" t="n"/>
      <c r="U102" s="196" t="n"/>
      <c r="V102" s="195" t="n"/>
      <c r="W102" s="194" t="n"/>
      <c r="X102" s="196" t="n"/>
      <c r="Y102" s="195" t="n"/>
      <c r="Z102" s="194" t="n"/>
      <c r="AA102" s="196" t="n"/>
      <c r="AB102" s="197" t="inlineStr">
        <is>
          <t>306-0550-26, (28.04.2026) [IJZ-MB]</t>
        </is>
      </c>
      <c r="AC102" s="194" t="n"/>
      <c r="AD102" s="194" t="n"/>
      <c r="AE102" s="194" t="n"/>
      <c r="AF102" s="194" t="n"/>
      <c r="AG102" s="196" t="n"/>
      <c r="AH102" s="197" t="inlineStr">
        <is>
          <t>2365-2026, (30.04.2026) [IJZ]</t>
        </is>
      </c>
      <c r="AI102" s="194" t="n"/>
      <c r="AJ102" s="194" t="n"/>
      <c r="AK102" s="196" t="n"/>
      <c r="AL102" s="197" t="inlineStr">
        <is>
          <t>2365-2026, (30.04.2026) [IJZ]</t>
        </is>
      </c>
      <c r="AM102" s="194" t="n"/>
      <c r="AN102" s="194" t="n"/>
      <c r="AO102" s="194" t="n"/>
      <c r="AP102" s="196" t="n"/>
      <c r="AQ102" s="195" t="n"/>
      <c r="AR102" s="194" t="n"/>
      <c r="AS102" s="198" t="n"/>
    </row>
    <row r="103" ht="21" customHeight="1" s="70">
      <c r="A103" s="160" t="inlineStr">
        <is>
          <t>KC102501</t>
        </is>
      </c>
      <c r="B103" s="161" t="inlineStr">
        <is>
          <t>P060172</t>
        </is>
      </c>
      <c r="C103" s="212" t="inlineStr">
        <is>
          <t>✗ 4 NO RESULT
(4 no cert / 0 cert w/o result)
2 testing instances
• 2 document(s) on file, not credited</t>
        </is>
      </c>
      <c r="D103" s="163" t="inlineStr">
        <is>
          <t>Conforms</t>
        </is>
      </c>
      <c r="E103" s="164">
        <f>IFERROR(INDEX('iCoA Register'!$B:$B,MATCH("P060172|I",'iCoA Register'!$P:$P,0)),"iCoA — at issue")&amp;", (12.03.2026) [PP]"</f>
        <v/>
      </c>
      <c r="F103" s="165" t="inlineStr">
        <is>
          <t>✓</t>
        </is>
      </c>
      <c r="G103" s="163" t="inlineStr">
        <is>
          <t>Conforms</t>
        </is>
      </c>
      <c r="H103" s="164">
        <f>IFERROR(INDEX('iCoA Register'!$B:$B,MATCH("P060172|I",'iCoA Register'!$P:$P,0)),"iCoA — at issue")&amp;", (12.03.2026) [PP]"</f>
        <v/>
      </c>
      <c r="I103" s="165" t="inlineStr">
        <is>
          <t>✓</t>
        </is>
      </c>
      <c r="J103" s="166" t="inlineStr">
        <is>
          <t>not on this certificate</t>
        </is>
      </c>
      <c r="K103" s="167" t="inlineStr">
        <is>
          <t>051-4-LoD-26, (02.03.2026) [FHM-K] · on file, not credited</t>
        </is>
      </c>
      <c r="L103" s="168" t="inlineStr">
        <is>
          <t>•</t>
        </is>
      </c>
      <c r="M103" s="218" t="inlineStr">
        <is>
          <t>not on this certificate</t>
        </is>
      </c>
      <c r="N103" s="167" t="inlineStr">
        <is>
          <t>051-4-LoD-26, (02.03.2026) [FHM-K] · on file, not credited</t>
        </is>
      </c>
      <c r="O103" s="168" t="inlineStr">
        <is>
          <t>•</t>
        </is>
      </c>
      <c r="P103" s="219" t="inlineStr">
        <is>
          <t>not on this certificate</t>
        </is>
      </c>
      <c r="Q103" s="167" t="inlineStr">
        <is>
          <t>051-4-LoD-26, (02.03.2026) [FHM-K] · on file, not credited</t>
        </is>
      </c>
      <c r="R103" s="168" t="inlineStr">
        <is>
          <t>•</t>
        </is>
      </c>
      <c r="S103" s="219" t="inlineStr">
        <is>
          <t>not on this certificate</t>
        </is>
      </c>
      <c r="T103" s="167" t="inlineStr">
        <is>
          <t>051-4-LoD-26, (02.03.2026) [FHM-K] · on file, not credited</t>
        </is>
      </c>
      <c r="U103" s="168" t="inlineStr">
        <is>
          <t>•</t>
        </is>
      </c>
      <c r="V103" s="163" t="inlineStr">
        <is>
          <t>Conforms</t>
        </is>
      </c>
      <c r="W103" s="164">
        <f>IFERROR(INDEX('iCoA Register'!$B:$B,MATCH("P060172|I",'iCoA Register'!$P:$P,0)),"iCoA — at issue")&amp;", (12.03.2026) [PP]"</f>
        <v/>
      </c>
      <c r="X103" s="165" t="inlineStr">
        <is>
          <t>✓</t>
        </is>
      </c>
      <c r="Y103" s="163" t="inlineStr">
        <is>
          <t>8.6</t>
        </is>
      </c>
      <c r="Z103" s="164" t="inlineStr">
        <is>
          <t>051-4-LoD-26, (02.03.2026) [FHM-K]</t>
        </is>
      </c>
      <c r="AA103" s="165" t="inlineStr">
        <is>
          <t>✓</t>
        </is>
      </c>
      <c r="AB103" s="205" t="inlineStr">
        <is>
          <t>— MISSING —</t>
        </is>
      </c>
      <c r="AC103" s="206" t="inlineStr">
        <is>
          <t>— MISSING —</t>
        </is>
      </c>
      <c r="AD103" s="206" t="inlineStr">
        <is>
          <t>— MISSING —</t>
        </is>
      </c>
      <c r="AE103" s="206" t="inlineStr">
        <is>
          <t>— MISSING —</t>
        </is>
      </c>
      <c r="AF103" s="206" t="inlineStr">
        <is>
          <t>— MISSING —</t>
        </is>
      </c>
      <c r="AG103" s="214" t="inlineStr">
        <is>
          <t>✗</t>
        </is>
      </c>
      <c r="AH103" s="205" t="inlineStr">
        <is>
          <t>— MISSING —</t>
        </is>
      </c>
      <c r="AI103" s="206" t="inlineStr">
        <is>
          <t>— MISSING —</t>
        </is>
      </c>
      <c r="AJ103" s="206" t="inlineStr">
        <is>
          <t>— MISSING —</t>
        </is>
      </c>
      <c r="AK103" s="214" t="inlineStr">
        <is>
          <t>✗</t>
        </is>
      </c>
      <c r="AL103" s="205" t="inlineStr">
        <is>
          <t>— MISSING —</t>
        </is>
      </c>
      <c r="AM103" s="206" t="inlineStr">
        <is>
          <t>— MISSING —</t>
        </is>
      </c>
      <c r="AN103" s="206" t="inlineStr">
        <is>
          <t>— MISSING —</t>
        </is>
      </c>
      <c r="AO103" s="206" t="inlineStr">
        <is>
          <t>— MISSING —</t>
        </is>
      </c>
      <c r="AP103" s="214" t="inlineStr">
        <is>
          <t>✗</t>
        </is>
      </c>
      <c r="AQ103" s="205" t="inlineStr">
        <is>
          <t>— MISSING —</t>
        </is>
      </c>
      <c r="AR103" s="215" t="inlineStr">
        <is>
          <t>— no certificate —</t>
        </is>
      </c>
      <c r="AS103" s="216" t="inlineStr">
        <is>
          <t>✗</t>
        </is>
      </c>
    </row>
    <row r="104" ht="21" customHeight="1" s="70">
      <c r="A104" s="173" t="n"/>
      <c r="D104" s="174" t="n"/>
      <c r="F104" s="175" t="n"/>
      <c r="G104" s="174" t="n"/>
      <c r="I104" s="175" t="n"/>
      <c r="J104" s="174" t="n"/>
      <c r="L104" s="175" t="n"/>
      <c r="M104" s="174" t="n"/>
      <c r="O104" s="175" t="n"/>
      <c r="P104" s="174" t="n"/>
      <c r="R104" s="175" t="n"/>
      <c r="S104" s="174" t="n"/>
      <c r="U104" s="175" t="n"/>
      <c r="V104" s="174" t="n"/>
      <c r="X104" s="175" t="n"/>
      <c r="Y104" s="174" t="n"/>
      <c r="AA104" s="175" t="n"/>
      <c r="AB104" s="217" t="inlineStr">
        <is>
          <t>— no certificate —</t>
        </is>
      </c>
      <c r="AG104" s="175" t="n"/>
      <c r="AH104" s="217" t="inlineStr">
        <is>
          <t>— no certificate —</t>
        </is>
      </c>
      <c r="AK104" s="175" t="n"/>
      <c r="AL104" s="217" t="inlineStr">
        <is>
          <t>— no certificate —</t>
        </is>
      </c>
      <c r="AP104" s="175" t="n"/>
      <c r="AQ104" s="174" t="n"/>
      <c r="AS104" s="177" t="n"/>
    </row>
    <row r="105" ht="17.625" customHeight="1" s="70">
      <c r="A105" s="178" t="n"/>
      <c r="B105" s="179" t="n"/>
      <c r="D105" s="180" t="n"/>
      <c r="E105" s="179" t="n"/>
      <c r="F105" s="181" t="n"/>
      <c r="G105" s="180" t="n"/>
      <c r="H105" s="179" t="n"/>
      <c r="I105" s="181" t="n"/>
      <c r="J105" s="182" t="inlineStr">
        <is>
          <t>Conforms (ImB spec.) ᴿ</t>
        </is>
      </c>
      <c r="K105" s="183" t="inlineStr">
        <is>
          <t>051-4-K-26, (04.03.2026) [FHM-K]</t>
        </is>
      </c>
      <c r="L105" s="184" t="inlineStr">
        <is>
          <t>✓</t>
        </is>
      </c>
      <c r="M105" s="185" t="inlineStr">
        <is>
          <t>17.04</t>
        </is>
      </c>
      <c r="N105" s="183" t="inlineStr">
        <is>
          <t>051-4-K-26, (04.03.2026) [FHM-K]</t>
        </is>
      </c>
      <c r="O105" s="184" t="inlineStr">
        <is>
          <t>✓</t>
        </is>
      </c>
      <c r="P105" s="186" t="inlineStr">
        <is>
          <t>&lt; LOQ**</t>
        </is>
      </c>
      <c r="Q105" s="183" t="inlineStr">
        <is>
          <t>051-4-K-26, (04.03.2026) [FHM-K]</t>
        </is>
      </c>
      <c r="R105" s="184" t="inlineStr">
        <is>
          <t>✓</t>
        </is>
      </c>
      <c r="S105" s="186" t="inlineStr">
        <is>
          <t>&lt; LOQ**</t>
        </is>
      </c>
      <c r="T105" s="183" t="inlineStr">
        <is>
          <t>051-4-K-26, (04.03.2026) [FHM-K]</t>
        </is>
      </c>
      <c r="U105" s="184" t="inlineStr">
        <is>
          <t>✓</t>
        </is>
      </c>
      <c r="V105" s="180" t="n"/>
      <c r="W105" s="179" t="n"/>
      <c r="X105" s="181" t="n"/>
      <c r="Y105" s="187" t="inlineStr">
        <is>
          <t>not on this certificate</t>
        </is>
      </c>
      <c r="Z105" s="188" t="inlineStr">
        <is>
          <t>051-4-K-26, (04.03.2026) [FHM-K] · on file, not credited</t>
        </is>
      </c>
      <c r="AA105" s="189" t="inlineStr">
        <is>
          <t>•</t>
        </is>
      </c>
      <c r="AB105" s="180" t="n"/>
      <c r="AC105" s="179" t="n"/>
      <c r="AD105" s="179" t="n"/>
      <c r="AE105" s="179" t="n"/>
      <c r="AF105" s="179" t="n"/>
      <c r="AG105" s="181" t="n"/>
      <c r="AH105" s="180" t="n"/>
      <c r="AI105" s="179" t="n"/>
      <c r="AJ105" s="179" t="n"/>
      <c r="AK105" s="181" t="n"/>
      <c r="AL105" s="180" t="n"/>
      <c r="AM105" s="179" t="n"/>
      <c r="AN105" s="179" t="n"/>
      <c r="AO105" s="179" t="n"/>
      <c r="AP105" s="181" t="n"/>
      <c r="AQ105" s="180" t="n"/>
      <c r="AR105" s="179" t="n"/>
      <c r="AS105" s="192" t="n"/>
    </row>
    <row r="106" ht="15.375" customHeight="1" s="70">
      <c r="A106" s="193" t="n"/>
      <c r="B106" s="194" t="n"/>
      <c r="C106" s="194" t="n"/>
      <c r="D106" s="195" t="n"/>
      <c r="E106" s="194" t="n"/>
      <c r="F106" s="196" t="n"/>
      <c r="G106" s="195" t="n"/>
      <c r="H106" s="194" t="n"/>
      <c r="I106" s="196" t="n"/>
      <c r="J106" s="195" t="n"/>
      <c r="K106" s="194" t="n"/>
      <c r="L106" s="196" t="n"/>
      <c r="M106" s="195" t="n"/>
      <c r="N106" s="194" t="n"/>
      <c r="O106" s="196" t="n"/>
      <c r="P106" s="195" t="n"/>
      <c r="Q106" s="194" t="n"/>
      <c r="R106" s="196" t="n"/>
      <c r="S106" s="195" t="n"/>
      <c r="T106" s="194" t="n"/>
      <c r="U106" s="196" t="n"/>
      <c r="V106" s="195" t="n"/>
      <c r="W106" s="194" t="n"/>
      <c r="X106" s="196" t="n"/>
      <c r="Y106" s="195" t="n"/>
      <c r="Z106" s="194" t="n"/>
      <c r="AA106" s="196" t="n"/>
      <c r="AB106" s="195" t="n"/>
      <c r="AC106" s="194" t="n"/>
      <c r="AD106" s="194" t="n"/>
      <c r="AE106" s="194" t="n"/>
      <c r="AF106" s="194" t="n"/>
      <c r="AG106" s="196" t="n"/>
      <c r="AH106" s="195" t="n"/>
      <c r="AI106" s="194" t="n"/>
      <c r="AJ106" s="194" t="n"/>
      <c r="AK106" s="196" t="n"/>
      <c r="AL106" s="195" t="n"/>
      <c r="AM106" s="194" t="n"/>
      <c r="AN106" s="194" t="n"/>
      <c r="AO106" s="194" t="n"/>
      <c r="AP106" s="196" t="n"/>
      <c r="AQ106" s="195" t="n"/>
      <c r="AR106" s="194" t="n"/>
      <c r="AS106" s="198" t="n"/>
    </row>
    <row r="107" ht="21" customHeight="1" s="70">
      <c r="A107" s="160" t="inlineStr">
        <is>
          <t>OPM1024</t>
        </is>
      </c>
      <c r="B107" s="161" t="inlineStr">
        <is>
          <t>N/A — no P batch assigned</t>
        </is>
      </c>
      <c r="C107" s="212" t="inlineStr">
        <is>
          <t>✗ 4 NO RESULT
(4 no cert / 0 cert w/o result)
2 testing instances
• 2 document(s) on file, not credited</t>
        </is>
      </c>
      <c r="D107" s="163" t="inlineStr">
        <is>
          <t>Conforms</t>
        </is>
      </c>
      <c r="E107" s="164" t="inlineStr">
        <is>
          <t>iCoA — at issue (OPM1024), (23.04.2025) [PP]</t>
        </is>
      </c>
      <c r="F107" s="165" t="inlineStr">
        <is>
          <t>✓</t>
        </is>
      </c>
      <c r="G107" s="163" t="inlineStr">
        <is>
          <t>Conforms</t>
        </is>
      </c>
      <c r="H107" s="164">
        <f>IFERROR(INDEX('iCoA Register'!$B:$B,MATCH("OPM1024|I",'iCoA Register'!$P:$P,0)),"iCoA — at issue")&amp;", (24.04.2025) [PP]"</f>
        <v/>
      </c>
      <c r="I107" s="165" t="inlineStr">
        <is>
          <t>✓</t>
        </is>
      </c>
      <c r="J107" s="163" t="inlineStr">
        <is>
          <t>Conforms (ImB spec.) ᴿ</t>
        </is>
      </c>
      <c r="K107" s="164" t="inlineStr">
        <is>
          <t>197-17-K-26, (07.08.2026) [FHM-K]</t>
        </is>
      </c>
      <c r="L107" s="165" t="inlineStr">
        <is>
          <t>✓</t>
        </is>
      </c>
      <c r="M107" s="218" t="inlineStr">
        <is>
          <t>19.96 ᴿ</t>
        </is>
      </c>
      <c r="N107" s="167">
        <f>IFERROR(INDEX('iCoA Register'!$B:$B,MATCH("OPM1024|I",'iCoA Register'!$P:$P,0)),"iCoA — at issue")&amp;", (24.04.2025) [PP]"</f>
        <v/>
      </c>
      <c r="O107" s="168" t="inlineStr">
        <is>
          <t>•</t>
        </is>
      </c>
      <c r="P107" s="219" t="inlineStr">
        <is>
          <t>0.05 ᴿ</t>
        </is>
      </c>
      <c r="Q107" s="167">
        <f>IFERROR(INDEX('iCoA Register'!$B:$B,MATCH("OPM1024|I",'iCoA Register'!$P:$P,0)),"iCoA — at issue")&amp;", (24.04.2025) [PP]"</f>
        <v/>
      </c>
      <c r="R107" s="168" t="inlineStr">
        <is>
          <t>•</t>
        </is>
      </c>
      <c r="S107" s="170" t="inlineStr">
        <is>
          <t>&lt; LOQ</t>
        </is>
      </c>
      <c r="T107" s="164" t="inlineStr">
        <is>
          <t>197-17-K-26, (07.08.2026) [FHM-K]</t>
        </is>
      </c>
      <c r="U107" s="165" t="inlineStr">
        <is>
          <t>✓</t>
        </is>
      </c>
      <c r="V107" s="163" t="inlineStr">
        <is>
          <t>Conforms</t>
        </is>
      </c>
      <c r="W107" s="164" t="inlineStr">
        <is>
          <t>iCoA — at issue (OPM1024), (23.04.2025) [PP]</t>
        </is>
      </c>
      <c r="X107" s="165" t="inlineStr">
        <is>
          <t>✓</t>
        </is>
      </c>
      <c r="Y107" s="166" t="inlineStr">
        <is>
          <t>not on this certificate</t>
        </is>
      </c>
      <c r="Z107" s="167" t="inlineStr">
        <is>
          <t>197-17-K-26, (07.08.2026) [FHM-K] · on file, not credited</t>
        </is>
      </c>
      <c r="AA107" s="168" t="inlineStr">
        <is>
          <t>•</t>
        </is>
      </c>
      <c r="AB107" s="166" t="inlineStr">
        <is>
          <t>1.3 × 10⁴ ᴿ</t>
        </is>
      </c>
      <c r="AC107" s="220" t="inlineStr">
        <is>
          <t>7 × 10² ᴿ</t>
        </is>
      </c>
      <c r="AD107" s="220" t="inlineStr">
        <is>
          <t>&lt; 10² &gt; 10³ ᴿ</t>
        </is>
      </c>
      <c r="AE107" s="220" t="inlineStr">
        <is>
          <t>Absent ᴿ</t>
        </is>
      </c>
      <c r="AF107" s="220" t="inlineStr">
        <is>
          <t>Absent ᴿ</t>
        </is>
      </c>
      <c r="AG107" s="168" t="inlineStr">
        <is>
          <t>•</t>
        </is>
      </c>
      <c r="AH107" s="166" t="inlineStr">
        <is>
          <t>not reported</t>
        </is>
      </c>
      <c r="AI107" s="220" t="inlineStr">
        <is>
          <t>&lt; 2 ᴿ</t>
        </is>
      </c>
      <c r="AJ107" s="220" t="inlineStr">
        <is>
          <t>not reported</t>
        </is>
      </c>
      <c r="AK107" s="168" t="inlineStr">
        <is>
          <t>•</t>
        </is>
      </c>
      <c r="AL107" s="166" t="inlineStr">
        <is>
          <t>0.031 ᴿ</t>
        </is>
      </c>
      <c r="AM107" s="220" t="inlineStr">
        <is>
          <t>0.017 ᴿ</t>
        </is>
      </c>
      <c r="AN107" s="220" t="inlineStr">
        <is>
          <t>0.045 ᴿ</t>
        </is>
      </c>
      <c r="AO107" s="220" t="inlineStr">
        <is>
          <t>0.005 ᴿ</t>
        </is>
      </c>
      <c r="AP107" s="168" t="inlineStr">
        <is>
          <t>•</t>
        </is>
      </c>
      <c r="AQ107" s="166" t="inlineStr">
        <is>
          <t>ND ᴿ</t>
        </is>
      </c>
      <c r="AR107" s="167">
        <f>IFERROR(INDEX('iCoA Register'!$B:$B,MATCH("OPM1024|I",'iCoA Register'!$P:$P,0)),"iCoA — at issue")&amp;", (24.04.2025) [PP]"</f>
        <v/>
      </c>
      <c r="AS107" s="221" t="inlineStr">
        <is>
          <t>•</t>
        </is>
      </c>
    </row>
    <row r="108" ht="21" customHeight="1" s="70">
      <c r="A108" s="173" t="n"/>
      <c r="D108" s="174" t="n"/>
      <c r="F108" s="175" t="n"/>
      <c r="G108" s="174" t="n"/>
      <c r="I108" s="175" t="n"/>
      <c r="J108" s="174" t="n"/>
      <c r="L108" s="175" t="n"/>
      <c r="M108" s="174" t="n"/>
      <c r="O108" s="175" t="n"/>
      <c r="P108" s="174" t="n"/>
      <c r="R108" s="175" t="n"/>
      <c r="S108" s="174" t="n"/>
      <c r="U108" s="175" t="n"/>
      <c r="V108" s="174" t="n"/>
      <c r="X108" s="175" t="n"/>
      <c r="Y108" s="174" t="n"/>
      <c r="AA108" s="175" t="n"/>
      <c r="AB108" s="222">
        <f>IFERROR(INDEX('iCoA Register'!$B:$B,MATCH("OPM1024|I",'iCoA Register'!$P:$P,0)),"iCoA — at issue")&amp;", (24.04.2025) [PP]"</f>
        <v/>
      </c>
      <c r="AG108" s="175" t="n"/>
      <c r="AH108" s="222">
        <f>IFERROR(INDEX('iCoA Register'!$B:$B,MATCH("OPM1024|I",'iCoA Register'!$P:$P,0)),"iCoA — at issue")&amp;", (24.04.2025) [PP]"</f>
        <v/>
      </c>
      <c r="AK108" s="175" t="n"/>
      <c r="AL108" s="222">
        <f>IFERROR(INDEX('iCoA Register'!$B:$B,MATCH("OPM1024|I",'iCoA Register'!$P:$P,0)),"iCoA — at issue")&amp;", (24.04.2025) [PP]"</f>
        <v/>
      </c>
      <c r="AP108" s="175" t="n"/>
      <c r="AQ108" s="174" t="n"/>
      <c r="AS108" s="177" t="n"/>
    </row>
    <row r="109" ht="17.625" customHeight="1" s="70">
      <c r="A109" s="178" t="n"/>
      <c r="B109" s="179" t="n"/>
      <c r="D109" s="182" t="inlineStr">
        <is>
          <t>Conforms</t>
        </is>
      </c>
      <c r="E109" s="183">
        <f>IFERROR(INDEX('iCoA Register'!$B:$B,MATCH("OPM1024|I",'iCoA Register'!$P:$P,0)),"iCoA — at issue")&amp;", (24.04.2025) [PP]"</f>
        <v/>
      </c>
      <c r="F109" s="184" t="inlineStr">
        <is>
          <t>✓</t>
        </is>
      </c>
      <c r="G109" s="180" t="n"/>
      <c r="H109" s="179" t="n"/>
      <c r="I109" s="181" t="n"/>
      <c r="J109" s="180" t="n"/>
      <c r="K109" s="179" t="n"/>
      <c r="L109" s="181" t="n"/>
      <c r="M109" s="185" t="inlineStr">
        <is>
          <t>20.03</t>
        </is>
      </c>
      <c r="N109" s="183" t="inlineStr">
        <is>
          <t>197-17-K-26, (07.08.2026) [FHM-K]</t>
        </is>
      </c>
      <c r="O109" s="184" t="inlineStr">
        <is>
          <t>✓</t>
        </is>
      </c>
      <c r="P109" s="186" t="inlineStr">
        <is>
          <t>&lt; LOQ</t>
        </is>
      </c>
      <c r="Q109" s="183" t="inlineStr">
        <is>
          <t>197-17-K-26, (07.08.2026) [FHM-K]</t>
        </is>
      </c>
      <c r="R109" s="184" t="inlineStr">
        <is>
          <t>✓</t>
        </is>
      </c>
      <c r="S109" s="180" t="n"/>
      <c r="T109" s="179" t="n"/>
      <c r="U109" s="181" t="n"/>
      <c r="V109" s="182" t="inlineStr">
        <is>
          <t>Conforms</t>
        </is>
      </c>
      <c r="W109" s="183">
        <f>IFERROR(INDEX('iCoA Register'!$B:$B,MATCH("OPM1024|I",'iCoA Register'!$P:$P,0)),"iCoA — at issue")&amp;", (24.04.2025) [PP]"</f>
        <v/>
      </c>
      <c r="X109" s="184" t="inlineStr">
        <is>
          <t>✓</t>
        </is>
      </c>
      <c r="Y109" s="180" t="n"/>
      <c r="Z109" s="179" t="n"/>
      <c r="AA109" s="181" t="n"/>
      <c r="AB109" s="180" t="n"/>
      <c r="AC109" s="179" t="n"/>
      <c r="AD109" s="179" t="n"/>
      <c r="AE109" s="179" t="n"/>
      <c r="AF109" s="179" t="n"/>
      <c r="AG109" s="181" t="n"/>
      <c r="AH109" s="190" t="inlineStr">
        <is>
          <t>ND</t>
        </is>
      </c>
      <c r="AI109" s="191" t="inlineStr">
        <is>
          <t>ND</t>
        </is>
      </c>
      <c r="AJ109" s="191" t="inlineStr">
        <is>
          <t>ND</t>
        </is>
      </c>
      <c r="AK109" s="184" t="inlineStr">
        <is>
          <t>✓</t>
        </is>
      </c>
      <c r="AL109" s="180" t="n"/>
      <c r="AM109" s="179" t="n"/>
      <c r="AN109" s="179" t="n"/>
      <c r="AO109" s="179" t="n"/>
      <c r="AP109" s="181" t="n"/>
      <c r="AQ109" s="180" t="n"/>
      <c r="AR109" s="179" t="n"/>
      <c r="AS109" s="192" t="n"/>
    </row>
    <row r="110" ht="13" customHeight="1" s="70">
      <c r="A110" s="193" t="n"/>
      <c r="B110" s="194" t="n"/>
      <c r="C110" s="194" t="n"/>
      <c r="D110" s="195" t="n"/>
      <c r="E110" s="194" t="n"/>
      <c r="F110" s="196" t="n"/>
      <c r="G110" s="195" t="n"/>
      <c r="H110" s="194" t="n"/>
      <c r="I110" s="196" t="n"/>
      <c r="J110" s="195" t="n"/>
      <c r="K110" s="194" t="n"/>
      <c r="L110" s="196" t="n"/>
      <c r="M110" s="195" t="n"/>
      <c r="N110" s="194" t="n"/>
      <c r="O110" s="196" t="n"/>
      <c r="P110" s="195" t="n"/>
      <c r="Q110" s="194" t="n"/>
      <c r="R110" s="196" t="n"/>
      <c r="S110" s="195" t="n"/>
      <c r="T110" s="194" t="n"/>
      <c r="U110" s="196" t="n"/>
      <c r="V110" s="195" t="n"/>
      <c r="W110" s="194" t="n"/>
      <c r="X110" s="196" t="n"/>
      <c r="Y110" s="195" t="n"/>
      <c r="Z110" s="194" t="n"/>
      <c r="AA110" s="196" t="n"/>
      <c r="AB110" s="195" t="n"/>
      <c r="AC110" s="194" t="n"/>
      <c r="AD110" s="194" t="n"/>
      <c r="AE110" s="194" t="n"/>
      <c r="AF110" s="194" t="n"/>
      <c r="AG110" s="196" t="n"/>
      <c r="AH110" s="197" t="inlineStr">
        <is>
          <t>197-17-M-26, (10.08.2026) [FHM-M]</t>
        </is>
      </c>
      <c r="AI110" s="194" t="n"/>
      <c r="AJ110" s="194" t="n"/>
      <c r="AK110" s="196" t="n"/>
      <c r="AL110" s="195" t="n"/>
      <c r="AM110" s="194" t="n"/>
      <c r="AN110" s="194" t="n"/>
      <c r="AO110" s="194" t="n"/>
      <c r="AP110" s="196" t="n"/>
      <c r="AQ110" s="195" t="n"/>
      <c r="AR110" s="194" t="n"/>
      <c r="AS110" s="198" t="n"/>
    </row>
    <row r="111" ht="21" customHeight="1" s="70">
      <c r="A111" s="160" t="inlineStr">
        <is>
          <t>OPM112501</t>
        </is>
      </c>
      <c r="B111" s="161" t="inlineStr">
        <is>
          <t>P060222</t>
        </is>
      </c>
      <c r="C111" s="212" t="inlineStr">
        <is>
          <t>✗ 4 NO RESULT
(3 no cert / 1 cert w/o result)
2 testing instances
• 1 document(s) on file, not credited</t>
        </is>
      </c>
      <c r="D111" s="163" t="inlineStr">
        <is>
          <t>Conforms</t>
        </is>
      </c>
      <c r="E111" s="164">
        <f>IFERROR(INDEX('iCoA Register'!$B:$B,MATCH("P060222|I",'iCoA Register'!$P:$P,0)),"iCoA — at issue")&amp;", (24.04.2026) [PP]"</f>
        <v/>
      </c>
      <c r="F111" s="165" t="inlineStr">
        <is>
          <t>✓</t>
        </is>
      </c>
      <c r="G111" s="166" t="inlineStr">
        <is>
          <t>not ingested</t>
        </is>
      </c>
      <c r="H111" s="167" t="inlineStr">
        <is>
          <t>ППК26031, (05.03.2026) [CNP] · on file, not credited</t>
        </is>
      </c>
      <c r="I111" s="168" t="inlineStr">
        <is>
          <t>•</t>
        </is>
      </c>
      <c r="J111" s="163" t="inlineStr">
        <is>
          <t>Conforms (ImB spec.) ᴿ</t>
        </is>
      </c>
      <c r="K111" s="164" t="inlineStr">
        <is>
          <t>ППК26031, (05.03.2026) [CNP]</t>
        </is>
      </c>
      <c r="L111" s="165" t="inlineStr">
        <is>
          <t>✓</t>
        </is>
      </c>
      <c r="M111" s="169" t="inlineStr">
        <is>
          <t>8.00 ᴿ</t>
        </is>
      </c>
      <c r="N111" s="164" t="inlineStr">
        <is>
          <t>ППК26031, (05.03.2026) [CNP]</t>
        </is>
      </c>
      <c r="O111" s="165" t="inlineStr">
        <is>
          <t>✓</t>
        </is>
      </c>
      <c r="P111" s="170" t="inlineStr">
        <is>
          <t>0.02 ᴿ</t>
        </is>
      </c>
      <c r="Q111" s="164" t="inlineStr">
        <is>
          <t>ППК26031, (05.03.2026) [CNP]</t>
        </is>
      </c>
      <c r="R111" s="165" t="inlineStr">
        <is>
          <t>✓</t>
        </is>
      </c>
      <c r="S111" s="252" t="inlineStr">
        <is>
          <t>not ingested</t>
        </is>
      </c>
      <c r="T111" s="253" t="inlineStr">
        <is>
          <t>ППК26031, (05.03.2026) [CNP]</t>
        </is>
      </c>
      <c r="U111" s="244" t="inlineStr">
        <is>
          <t>✗</t>
        </is>
      </c>
      <c r="V111" s="163" t="inlineStr">
        <is>
          <t>Conforms</t>
        </is>
      </c>
      <c r="W111" s="164">
        <f>IFERROR(INDEX('iCoA Register'!$B:$B,MATCH("P060222|I",'iCoA Register'!$P:$P,0)),"iCoA — at issue")&amp;", (24.04.2026) [PP]"</f>
        <v/>
      </c>
      <c r="X111" s="165" t="inlineStr">
        <is>
          <t>✓</t>
        </is>
      </c>
      <c r="Y111" s="163" t="inlineStr">
        <is>
          <t>8.06 ᴿ</t>
        </is>
      </c>
      <c r="Z111" s="164" t="inlineStr">
        <is>
          <t>ППК26031, (05.03.2026) [CNP]</t>
        </is>
      </c>
      <c r="AA111" s="165" t="inlineStr">
        <is>
          <t>✓</t>
        </is>
      </c>
      <c r="AB111" s="163" t="inlineStr">
        <is>
          <t>&lt; 10</t>
        </is>
      </c>
      <c r="AC111" s="171" t="inlineStr">
        <is>
          <t>10</t>
        </is>
      </c>
      <c r="AD111" s="171" t="inlineStr">
        <is>
          <t>&lt; 10</t>
        </is>
      </c>
      <c r="AE111" s="171" t="inlineStr">
        <is>
          <t>Absent</t>
        </is>
      </c>
      <c r="AF111" s="171" t="inlineStr">
        <is>
          <t>Absent</t>
        </is>
      </c>
      <c r="AG111" s="165" t="inlineStr">
        <is>
          <t>✓</t>
        </is>
      </c>
      <c r="AH111" s="205" t="inlineStr">
        <is>
          <t>— MISSING —</t>
        </is>
      </c>
      <c r="AI111" s="206" t="inlineStr">
        <is>
          <t>— MISSING —</t>
        </is>
      </c>
      <c r="AJ111" s="206" t="inlineStr">
        <is>
          <t>— MISSING —</t>
        </is>
      </c>
      <c r="AK111" s="214" t="inlineStr">
        <is>
          <t>✗</t>
        </is>
      </c>
      <c r="AL111" s="205" t="inlineStr">
        <is>
          <t>— MISSING —</t>
        </is>
      </c>
      <c r="AM111" s="206" t="inlineStr">
        <is>
          <t>— MISSING —</t>
        </is>
      </c>
      <c r="AN111" s="206" t="inlineStr">
        <is>
          <t>— MISSING —</t>
        </is>
      </c>
      <c r="AO111" s="206" t="inlineStr">
        <is>
          <t>— MISSING —</t>
        </is>
      </c>
      <c r="AP111" s="214" t="inlineStr">
        <is>
          <t>✗</t>
        </is>
      </c>
      <c r="AQ111" s="205" t="inlineStr">
        <is>
          <t>— MISSING —</t>
        </is>
      </c>
      <c r="AR111" s="215" t="inlineStr">
        <is>
          <t>— no certificate —</t>
        </is>
      </c>
      <c r="AS111" s="216" t="inlineStr">
        <is>
          <t>✗</t>
        </is>
      </c>
    </row>
    <row r="112" ht="13" customHeight="1" s="70">
      <c r="A112" s="173" t="n"/>
      <c r="D112" s="174" t="n"/>
      <c r="F112" s="175" t="n"/>
      <c r="G112" s="174" t="n"/>
      <c r="I112" s="175" t="n"/>
      <c r="J112" s="174" t="n"/>
      <c r="L112" s="175" t="n"/>
      <c r="M112" s="174" t="n"/>
      <c r="O112" s="175" t="n"/>
      <c r="P112" s="174" t="n"/>
      <c r="R112" s="175" t="n"/>
      <c r="S112" s="174" t="n"/>
      <c r="U112" s="175" t="n"/>
      <c r="V112" s="174" t="n"/>
      <c r="X112" s="175" t="n"/>
      <c r="Y112" s="174" t="n"/>
      <c r="AA112" s="175" t="n"/>
      <c r="AB112" s="176" t="inlineStr">
        <is>
          <t>546-1077-26, (31.08.2026) [IJZ-MB]</t>
        </is>
      </c>
      <c r="AG112" s="175" t="n"/>
      <c r="AH112" s="217" t="inlineStr">
        <is>
          <t>— no certificate —</t>
        </is>
      </c>
      <c r="AK112" s="175" t="n"/>
      <c r="AL112" s="217" t="inlineStr">
        <is>
          <t>— no certificate —</t>
        </is>
      </c>
      <c r="AP112" s="175" t="n"/>
      <c r="AQ112" s="174" t="n"/>
      <c r="AS112" s="177" t="n"/>
    </row>
    <row r="113" ht="14" customHeight="1" s="70">
      <c r="A113" s="178" t="n"/>
      <c r="B113" s="179" t="n"/>
      <c r="D113" s="180" t="n"/>
      <c r="E113" s="179" t="n"/>
      <c r="F113" s="181" t="n"/>
      <c r="G113" s="182" t="inlineStr">
        <is>
          <t>Conforms</t>
        </is>
      </c>
      <c r="H113" s="183">
        <f>IFERROR(INDEX('iCoA Register'!$B:$B,MATCH("P060222|I",'iCoA Register'!$P:$P,0)),"iCoA — at issue")&amp;", (24.04.2026) [PP]"</f>
        <v/>
      </c>
      <c r="I113" s="184" t="inlineStr">
        <is>
          <t>✓</t>
        </is>
      </c>
      <c r="J113" s="180" t="n"/>
      <c r="K113" s="179" t="n"/>
      <c r="L113" s="181" t="n"/>
      <c r="M113" s="180" t="n"/>
      <c r="N113" s="179" t="n"/>
      <c r="O113" s="181" t="n"/>
      <c r="P113" s="180" t="n"/>
      <c r="Q113" s="179" t="n"/>
      <c r="R113" s="181" t="n"/>
      <c r="S113" s="180" t="n"/>
      <c r="T113" s="179" t="n"/>
      <c r="U113" s="181" t="n"/>
      <c r="V113" s="180" t="n"/>
      <c r="W113" s="179" t="n"/>
      <c r="X113" s="181" t="n"/>
      <c r="Y113" s="180" t="n"/>
      <c r="Z113" s="179" t="n"/>
      <c r="AA113" s="181" t="n"/>
      <c r="AB113" s="180" t="n"/>
      <c r="AC113" s="179" t="n"/>
      <c r="AD113" s="179" t="n"/>
      <c r="AE113" s="179" t="n"/>
      <c r="AF113" s="179" t="n"/>
      <c r="AG113" s="181" t="n"/>
      <c r="AH113" s="180" t="n"/>
      <c r="AI113" s="179" t="n"/>
      <c r="AJ113" s="179" t="n"/>
      <c r="AK113" s="181" t="n"/>
      <c r="AL113" s="180" t="n"/>
      <c r="AM113" s="179" t="n"/>
      <c r="AN113" s="179" t="n"/>
      <c r="AO113" s="179" t="n"/>
      <c r="AP113" s="181" t="n"/>
      <c r="AQ113" s="180" t="n"/>
      <c r="AR113" s="179" t="n"/>
      <c r="AS113" s="192" t="n"/>
    </row>
    <row r="114" ht="13" customHeight="1" s="70">
      <c r="A114" s="193" t="n"/>
      <c r="B114" s="194" t="n"/>
      <c r="C114" s="194" t="n"/>
      <c r="D114" s="195" t="n"/>
      <c r="E114" s="194" t="n"/>
      <c r="F114" s="196" t="n"/>
      <c r="G114" s="195" t="n"/>
      <c r="H114" s="194" t="n"/>
      <c r="I114" s="196" t="n"/>
      <c r="J114" s="195" t="n"/>
      <c r="K114" s="194" t="n"/>
      <c r="L114" s="196" t="n"/>
      <c r="M114" s="195" t="n"/>
      <c r="N114" s="194" t="n"/>
      <c r="O114" s="196" t="n"/>
      <c r="P114" s="195" t="n"/>
      <c r="Q114" s="194" t="n"/>
      <c r="R114" s="196" t="n"/>
      <c r="S114" s="195" t="n"/>
      <c r="T114" s="194" t="n"/>
      <c r="U114" s="196" t="n"/>
      <c r="V114" s="195" t="n"/>
      <c r="W114" s="194" t="n"/>
      <c r="X114" s="196" t="n"/>
      <c r="Y114" s="195" t="n"/>
      <c r="Z114" s="194" t="n"/>
      <c r="AA114" s="196" t="n"/>
      <c r="AB114" s="195" t="n"/>
      <c r="AC114" s="194" t="n"/>
      <c r="AD114" s="194" t="n"/>
      <c r="AE114" s="194" t="n"/>
      <c r="AF114" s="194" t="n"/>
      <c r="AG114" s="196" t="n"/>
      <c r="AH114" s="195" t="n"/>
      <c r="AI114" s="194" t="n"/>
      <c r="AJ114" s="194" t="n"/>
      <c r="AK114" s="196" t="n"/>
      <c r="AL114" s="195" t="n"/>
      <c r="AM114" s="194" t="n"/>
      <c r="AN114" s="194" t="n"/>
      <c r="AO114" s="194" t="n"/>
      <c r="AP114" s="196" t="n"/>
      <c r="AQ114" s="195" t="n"/>
      <c r="AR114" s="194" t="n"/>
      <c r="AS114" s="198" t="n"/>
    </row>
    <row r="115" ht="17.625" customHeight="1" s="70">
      <c r="A115" s="160" t="inlineStr">
        <is>
          <t>OPM122501</t>
        </is>
      </c>
      <c r="B115" s="161" t="inlineStr">
        <is>
          <t>P060242</t>
        </is>
      </c>
      <c r="C115" s="162" t="inlineStr">
        <is>
          <t>✓ COMPLETE
3 testing instances
• 3 document(s) on file, not credited</t>
        </is>
      </c>
      <c r="D115" s="163" t="inlineStr">
        <is>
          <t>Conforms</t>
        </is>
      </c>
      <c r="E115" s="164">
        <f>IFERROR(INDEX('iCoA Register'!$B:$B,MATCH("P060242|I",'iCoA Register'!$P:$P,0)),"iCoA — at issue")&amp;", (28.04.2026) [PP]"</f>
        <v/>
      </c>
      <c r="F115" s="165" t="inlineStr">
        <is>
          <t>✓</t>
        </is>
      </c>
      <c r="G115" s="163" t="inlineStr">
        <is>
          <t>Conforms</t>
        </is>
      </c>
      <c r="H115" s="164">
        <f>IFERROR(INDEX('iCoA Register'!$B:$B,MATCH("P060242|I",'iCoA Register'!$P:$P,0)),"iCoA — at issue")&amp;", (28.04.2026) [PP]"</f>
        <v/>
      </c>
      <c r="I115" s="165" t="inlineStr">
        <is>
          <t>✓</t>
        </is>
      </c>
      <c r="J115" s="163" t="inlineStr">
        <is>
          <t>Conforms (ImB spec.) ᴿ</t>
        </is>
      </c>
      <c r="K115" s="164" t="inlineStr">
        <is>
          <t>100-4-K-26, (09.04.2026) [FHM-K]</t>
        </is>
      </c>
      <c r="L115" s="165" t="inlineStr">
        <is>
          <t>✓</t>
        </is>
      </c>
      <c r="M115" s="169" t="inlineStr">
        <is>
          <t>8.09</t>
        </is>
      </c>
      <c r="N115" s="164" t="inlineStr">
        <is>
          <t>100-4-K-26, (09.04.2026) [FHM-K]</t>
        </is>
      </c>
      <c r="O115" s="165" t="inlineStr">
        <is>
          <t>✓</t>
        </is>
      </c>
      <c r="P115" s="170" t="inlineStr">
        <is>
          <t>&lt; LOQ</t>
        </is>
      </c>
      <c r="Q115" s="164" t="inlineStr">
        <is>
          <t>100-4-K-26, (09.04.2026) [FHM-K]</t>
        </is>
      </c>
      <c r="R115" s="165" t="inlineStr">
        <is>
          <t>✓</t>
        </is>
      </c>
      <c r="S115" s="170" t="inlineStr">
        <is>
          <t>&lt; LOQ</t>
        </is>
      </c>
      <c r="T115" s="164" t="inlineStr">
        <is>
          <t>100-4-K-26, (09.04.2026) [FHM-K]</t>
        </is>
      </c>
      <c r="U115" s="165" t="inlineStr">
        <is>
          <t>✓</t>
        </is>
      </c>
      <c r="V115" s="163" t="inlineStr">
        <is>
          <t>Conforms</t>
        </is>
      </c>
      <c r="W115" s="164">
        <f>IFERROR(INDEX('iCoA Register'!$B:$B,MATCH("P060242|I",'iCoA Register'!$P:$P,0)),"iCoA — at issue")&amp;", (28.04.2026) [PP]"</f>
        <v/>
      </c>
      <c r="X115" s="165" t="inlineStr">
        <is>
          <t>✓</t>
        </is>
      </c>
      <c r="Y115" s="166" t="inlineStr">
        <is>
          <t>not on this certificate</t>
        </is>
      </c>
      <c r="Z115" s="167" t="inlineStr">
        <is>
          <t>100-4-K-26, (09.04.2026) [FHM-K] · on file, not credited</t>
        </is>
      </c>
      <c r="AA115" s="168" t="inlineStr">
        <is>
          <t>•</t>
        </is>
      </c>
      <c r="AB115" s="163" t="inlineStr">
        <is>
          <t>120</t>
        </is>
      </c>
      <c r="AC115" s="171" t="inlineStr">
        <is>
          <t>100</t>
        </is>
      </c>
      <c r="AD115" s="171" t="inlineStr">
        <is>
          <t>&lt; 10</t>
        </is>
      </c>
      <c r="AE115" s="171" t="inlineStr">
        <is>
          <t>Absent</t>
        </is>
      </c>
      <c r="AF115" s="171" t="inlineStr">
        <is>
          <t>Absent</t>
        </is>
      </c>
      <c r="AG115" s="165" t="inlineStr">
        <is>
          <t>✓</t>
        </is>
      </c>
      <c r="AH115" s="163" t="inlineStr">
        <is>
          <t>ND</t>
        </is>
      </c>
      <c r="AI115" s="171" t="inlineStr">
        <is>
          <t>2.2</t>
        </is>
      </c>
      <c r="AJ115" s="171" t="inlineStr">
        <is>
          <t>ND</t>
        </is>
      </c>
      <c r="AK115" s="165" t="inlineStr">
        <is>
          <t>✓</t>
        </is>
      </c>
      <c r="AL115" s="163" t="inlineStr">
        <is>
          <t>0.049</t>
        </is>
      </c>
      <c r="AM115" s="171" t="inlineStr">
        <is>
          <t>0.165</t>
        </is>
      </c>
      <c r="AN115" s="171" t="inlineStr">
        <is>
          <t>ND</t>
        </is>
      </c>
      <c r="AO115" s="171" t="inlineStr">
        <is>
          <t>ND</t>
        </is>
      </c>
      <c r="AP115" s="165" t="inlineStr">
        <is>
          <t>✓</t>
        </is>
      </c>
      <c r="AQ115" s="163" t="inlineStr">
        <is>
          <t>≤ LOQ (all 25 compounds)</t>
        </is>
      </c>
      <c r="AR115" s="164" t="inlineStr">
        <is>
          <t>1627-2026, (23.04.2026) [IJZ]</t>
        </is>
      </c>
      <c r="AS115" s="172" t="inlineStr">
        <is>
          <t>✓</t>
        </is>
      </c>
    </row>
    <row r="116" ht="15.375" customHeight="1" s="70">
      <c r="A116" s="173" t="n"/>
      <c r="D116" s="174" t="n"/>
      <c r="F116" s="175" t="n"/>
      <c r="G116" s="174" t="n"/>
      <c r="I116" s="175" t="n"/>
      <c r="J116" s="174" t="n"/>
      <c r="L116" s="175" t="n"/>
      <c r="M116" s="174" t="n"/>
      <c r="O116" s="175" t="n"/>
      <c r="P116" s="174" t="n"/>
      <c r="R116" s="175" t="n"/>
      <c r="S116" s="174" t="n"/>
      <c r="U116" s="175" t="n"/>
      <c r="V116" s="174" t="n"/>
      <c r="X116" s="175" t="n"/>
      <c r="Y116" s="174" t="n"/>
      <c r="AA116" s="175" t="n"/>
      <c r="AB116" s="176" t="inlineStr">
        <is>
          <t>229-0392-26, (07.04.2026) [IJZ-MB]</t>
        </is>
      </c>
      <c r="AG116" s="175" t="n"/>
      <c r="AH116" s="176" t="inlineStr">
        <is>
          <t>1627-2026, (23.04.2026) [IJZ]</t>
        </is>
      </c>
      <c r="AK116" s="175" t="n"/>
      <c r="AL116" s="176" t="inlineStr">
        <is>
          <t>1627-2026, (23.04.2026) [IJZ]</t>
        </is>
      </c>
      <c r="AP116" s="175" t="n"/>
      <c r="AQ116" s="174" t="n"/>
      <c r="AS116" s="177" t="n"/>
    </row>
    <row r="117" ht="17.625" customHeight="1" s="70">
      <c r="A117" s="178" t="n"/>
      <c r="B117" s="179" t="n"/>
      <c r="D117" s="180" t="n"/>
      <c r="E117" s="179" t="n"/>
      <c r="F117" s="181" t="n"/>
      <c r="G117" s="180" t="n"/>
      <c r="H117" s="179" t="n"/>
      <c r="I117" s="181" t="n"/>
      <c r="J117" s="227" t="inlineStr">
        <is>
          <t>not on this certificate</t>
        </is>
      </c>
      <c r="K117" s="228" t="inlineStr">
        <is>
          <t>100-4-LoD-26, (09.04.2026) [FHM-K] · on file, not credited</t>
        </is>
      </c>
      <c r="L117" s="229" t="inlineStr">
        <is>
          <t>•</t>
        </is>
      </c>
      <c r="M117" s="238" t="inlineStr">
        <is>
          <t>not on this certificate</t>
        </is>
      </c>
      <c r="N117" s="228" t="inlineStr">
        <is>
          <t>100-4-LoD-26, (09.04.2026) [FHM-K] · on file, not credited</t>
        </is>
      </c>
      <c r="O117" s="229" t="inlineStr">
        <is>
          <t>•</t>
        </is>
      </c>
      <c r="P117" s="239" t="inlineStr">
        <is>
          <t>not on this certificate</t>
        </is>
      </c>
      <c r="Q117" s="228" t="inlineStr">
        <is>
          <t>100-4-LoD-26, (09.04.2026) [FHM-K] · on file, not credited</t>
        </is>
      </c>
      <c r="R117" s="229" t="inlineStr">
        <is>
          <t>•</t>
        </is>
      </c>
      <c r="S117" s="239" t="inlineStr">
        <is>
          <t>not on this certificate</t>
        </is>
      </c>
      <c r="T117" s="228" t="inlineStr">
        <is>
          <t>100-4-LoD-26, (09.04.2026) [FHM-K] · on file, not credited</t>
        </is>
      </c>
      <c r="U117" s="229" t="inlineStr">
        <is>
          <t>•</t>
        </is>
      </c>
      <c r="V117" s="180" t="n"/>
      <c r="W117" s="179" t="n"/>
      <c r="X117" s="181" t="n"/>
      <c r="Y117" s="190" t="inlineStr">
        <is>
          <t>6.6</t>
        </is>
      </c>
      <c r="Z117" s="223" t="inlineStr">
        <is>
          <t>100-4-LoD-26, (09.04.2026) [FHM-K]</t>
        </is>
      </c>
      <c r="AA117" s="224" t="inlineStr">
        <is>
          <t>✓</t>
        </is>
      </c>
      <c r="AB117" s="180" t="n"/>
      <c r="AC117" s="179" t="n"/>
      <c r="AD117" s="179" t="n"/>
      <c r="AE117" s="179" t="n"/>
      <c r="AF117" s="179" t="n"/>
      <c r="AG117" s="181" t="n"/>
      <c r="AH117" s="190" t="inlineStr">
        <is>
          <t>ND</t>
        </is>
      </c>
      <c r="AI117" s="191" t="inlineStr">
        <is>
          <t>ND</t>
        </is>
      </c>
      <c r="AJ117" s="191" t="inlineStr">
        <is>
          <t>ND</t>
        </is>
      </c>
      <c r="AK117" s="224" t="inlineStr">
        <is>
          <t>✓</t>
        </is>
      </c>
      <c r="AL117" s="180" t="n"/>
      <c r="AM117" s="179" t="n"/>
      <c r="AN117" s="179" t="n"/>
      <c r="AO117" s="179" t="n"/>
      <c r="AP117" s="181" t="n"/>
      <c r="AQ117" s="180" t="n"/>
      <c r="AR117" s="179" t="n"/>
      <c r="AS117" s="192" t="n"/>
    </row>
    <row r="118" ht="21" customHeight="1" s="70">
      <c r="A118" s="230" t="n"/>
      <c r="B118" s="231" t="n"/>
      <c r="D118" s="232" t="n"/>
      <c r="E118" s="231" t="n"/>
      <c r="F118" s="233" t="n"/>
      <c r="G118" s="232" t="n"/>
      <c r="H118" s="231" t="n"/>
      <c r="I118" s="233" t="n"/>
      <c r="J118" s="232" t="n"/>
      <c r="K118" s="231" t="n"/>
      <c r="L118" s="233" t="n"/>
      <c r="M118" s="232" t="n"/>
      <c r="N118" s="231" t="n"/>
      <c r="O118" s="233" t="n"/>
      <c r="P118" s="232" t="n"/>
      <c r="Q118" s="231" t="n"/>
      <c r="R118" s="233" t="n"/>
      <c r="S118" s="232" t="n"/>
      <c r="T118" s="231" t="n"/>
      <c r="U118" s="233" t="n"/>
      <c r="V118" s="232" t="n"/>
      <c r="W118" s="231" t="n"/>
      <c r="X118" s="233" t="n"/>
      <c r="Y118" s="232" t="n"/>
      <c r="Z118" s="231" t="n"/>
      <c r="AA118" s="233" t="n"/>
      <c r="AB118" s="232" t="n"/>
      <c r="AC118" s="231" t="n"/>
      <c r="AD118" s="231" t="n"/>
      <c r="AE118" s="231" t="n"/>
      <c r="AF118" s="231" t="n"/>
      <c r="AG118" s="233" t="n"/>
      <c r="AH118" s="247" t="inlineStr">
        <is>
          <t>197-19-M-26, (10.08.2026) [FHM-M]</t>
        </is>
      </c>
      <c r="AI118" s="231" t="n"/>
      <c r="AJ118" s="231" t="n"/>
      <c r="AK118" s="233" t="n"/>
      <c r="AL118" s="232" t="n"/>
      <c r="AM118" s="231" t="n"/>
      <c r="AN118" s="231" t="n"/>
      <c r="AO118" s="231" t="n"/>
      <c r="AP118" s="233" t="n"/>
      <c r="AQ118" s="232" t="n"/>
      <c r="AR118" s="231" t="n"/>
      <c r="AS118" s="234" t="n"/>
    </row>
    <row r="119" ht="17.625" customHeight="1" s="70">
      <c r="A119" s="178" t="n"/>
      <c r="B119" s="179" t="n"/>
      <c r="D119" s="180" t="n"/>
      <c r="E119" s="179" t="n"/>
      <c r="F119" s="181" t="n"/>
      <c r="G119" s="180" t="n"/>
      <c r="H119" s="179" t="n"/>
      <c r="I119" s="181" t="n"/>
      <c r="J119" s="182" t="inlineStr">
        <is>
          <t>Conforms (ImB spec.) ᴿ</t>
        </is>
      </c>
      <c r="K119" s="183" t="inlineStr">
        <is>
          <t>197-19-K-26, (07.08.2026) [FHM-K]</t>
        </is>
      </c>
      <c r="L119" s="184" t="inlineStr">
        <is>
          <t>✓</t>
        </is>
      </c>
      <c r="M119" s="185" t="inlineStr">
        <is>
          <t>7.91</t>
        </is>
      </c>
      <c r="N119" s="183" t="inlineStr">
        <is>
          <t>197-19-K-26, (07.08.2026) [FHM-K]</t>
        </is>
      </c>
      <c r="O119" s="184" t="inlineStr">
        <is>
          <t>✓</t>
        </is>
      </c>
      <c r="P119" s="186" t="inlineStr">
        <is>
          <t>&lt; LOQ</t>
        </is>
      </c>
      <c r="Q119" s="183" t="inlineStr">
        <is>
          <t>197-19-K-26, (07.08.2026) [FHM-K]</t>
        </is>
      </c>
      <c r="R119" s="184" t="inlineStr">
        <is>
          <t>✓</t>
        </is>
      </c>
      <c r="S119" s="186" t="inlineStr">
        <is>
          <t>&lt; LOQ</t>
        </is>
      </c>
      <c r="T119" s="183" t="inlineStr">
        <is>
          <t>197-19-K-26, (07.08.2026) [FHM-K]</t>
        </is>
      </c>
      <c r="U119" s="184" t="inlineStr">
        <is>
          <t>✓</t>
        </is>
      </c>
      <c r="V119" s="180" t="n"/>
      <c r="W119" s="179" t="n"/>
      <c r="X119" s="181" t="n"/>
      <c r="Y119" s="187" t="inlineStr">
        <is>
          <t>not on this certificate</t>
        </is>
      </c>
      <c r="Z119" s="188" t="inlineStr">
        <is>
          <t>197-19-K-26, (07.08.2026) [FHM-K] · on file, not credited</t>
        </is>
      </c>
      <c r="AA119" s="189" t="inlineStr">
        <is>
          <t>•</t>
        </is>
      </c>
      <c r="AB119" s="180" t="n"/>
      <c r="AC119" s="179" t="n"/>
      <c r="AD119" s="179" t="n"/>
      <c r="AE119" s="179" t="n"/>
      <c r="AF119" s="179" t="n"/>
      <c r="AG119" s="181" t="n"/>
      <c r="AH119" s="180" t="n"/>
      <c r="AI119" s="179" t="n"/>
      <c r="AJ119" s="179" t="n"/>
      <c r="AK119" s="181" t="n"/>
      <c r="AL119" s="180" t="n"/>
      <c r="AM119" s="179" t="n"/>
      <c r="AN119" s="179" t="n"/>
      <c r="AO119" s="179" t="n"/>
      <c r="AP119" s="181" t="n"/>
      <c r="AQ119" s="180" t="n"/>
      <c r="AR119" s="179" t="n"/>
      <c r="AS119" s="192" t="n"/>
    </row>
    <row r="120" ht="15.375" customHeight="1" s="70">
      <c r="A120" s="193" t="n"/>
      <c r="B120" s="194" t="n"/>
      <c r="C120" s="194" t="n"/>
      <c r="D120" s="195" t="n"/>
      <c r="E120" s="194" t="n"/>
      <c r="F120" s="196" t="n"/>
      <c r="G120" s="195" t="n"/>
      <c r="H120" s="194" t="n"/>
      <c r="I120" s="196" t="n"/>
      <c r="J120" s="195" t="n"/>
      <c r="K120" s="194" t="n"/>
      <c r="L120" s="196" t="n"/>
      <c r="M120" s="195" t="n"/>
      <c r="N120" s="194" t="n"/>
      <c r="O120" s="196" t="n"/>
      <c r="P120" s="195" t="n"/>
      <c r="Q120" s="194" t="n"/>
      <c r="R120" s="196" t="n"/>
      <c r="S120" s="195" t="n"/>
      <c r="T120" s="194" t="n"/>
      <c r="U120" s="196" t="n"/>
      <c r="V120" s="195" t="n"/>
      <c r="W120" s="194" t="n"/>
      <c r="X120" s="196" t="n"/>
      <c r="Y120" s="195" t="n"/>
      <c r="Z120" s="194" t="n"/>
      <c r="AA120" s="196" t="n"/>
      <c r="AB120" s="195" t="n"/>
      <c r="AC120" s="194" t="n"/>
      <c r="AD120" s="194" t="n"/>
      <c r="AE120" s="194" t="n"/>
      <c r="AF120" s="194" t="n"/>
      <c r="AG120" s="196" t="n"/>
      <c r="AH120" s="195" t="n"/>
      <c r="AI120" s="194" t="n"/>
      <c r="AJ120" s="194" t="n"/>
      <c r="AK120" s="196" t="n"/>
      <c r="AL120" s="195" t="n"/>
      <c r="AM120" s="194" t="n"/>
      <c r="AN120" s="194" t="n"/>
      <c r="AO120" s="194" t="n"/>
      <c r="AP120" s="196" t="n"/>
      <c r="AQ120" s="195" t="n"/>
      <c r="AR120" s="194" t="n"/>
      <c r="AS120" s="198" t="n"/>
    </row>
    <row r="121" ht="17.625" customHeight="1" s="70">
      <c r="A121" s="160" t="inlineStr">
        <is>
          <t>GG1024_02</t>
        </is>
      </c>
      <c r="B121" s="161" t="inlineStr">
        <is>
          <t>P050012</t>
        </is>
      </c>
      <c r="C121" s="199" t="inlineStr">
        <is>
          <t>✓ COMPLETE
2 testing instances
• 1 document(s) on file, not credited
◐ UNDETERMINED (Ph. Eur. band): #9 TYMC</t>
        </is>
      </c>
      <c r="D121" s="163" t="inlineStr">
        <is>
          <t>Conforms</t>
        </is>
      </c>
      <c r="E121" s="164">
        <f>IFERROR(INDEX('iCoA Register'!$B:$B,MATCH("P050012|I",'iCoA Register'!$P:$P,0)),"iCoA — at issue")&amp;", (11.06.2025) [PP]"</f>
        <v/>
      </c>
      <c r="F121" s="165" t="inlineStr">
        <is>
          <t>✓</t>
        </is>
      </c>
      <c r="G121" s="166" t="inlineStr">
        <is>
          <t>not on this certificate</t>
        </is>
      </c>
      <c r="H121" s="167" t="inlineStr">
        <is>
          <t>ППК25140, (22.05.2025) [CNP] · on file, not credited</t>
        </is>
      </c>
      <c r="I121" s="168" t="inlineStr">
        <is>
          <t>•</t>
        </is>
      </c>
      <c r="J121" s="163" t="inlineStr">
        <is>
          <t>Conforms (ImB spec.)</t>
        </is>
      </c>
      <c r="K121" s="164" t="inlineStr">
        <is>
          <t>ППК25140, (22.05.2025) [CNP]</t>
        </is>
      </c>
      <c r="L121" s="165" t="inlineStr">
        <is>
          <t>✓</t>
        </is>
      </c>
      <c r="M121" s="169" t="inlineStr">
        <is>
          <t>15.95</t>
        </is>
      </c>
      <c r="N121" s="164" t="inlineStr">
        <is>
          <t>ППК25140, (22.05.2025) [CNP]</t>
        </is>
      </c>
      <c r="O121" s="165" t="inlineStr">
        <is>
          <t>✓</t>
        </is>
      </c>
      <c r="P121" s="170" t="inlineStr">
        <is>
          <t>0.05</t>
        </is>
      </c>
      <c r="Q121" s="164" t="inlineStr">
        <is>
          <t>ППК25140, (22.05.2025) [CNP]</t>
        </is>
      </c>
      <c r="R121" s="165" t="inlineStr">
        <is>
          <t>✓</t>
        </is>
      </c>
      <c r="S121" s="170" t="inlineStr">
        <is>
          <t>0.01 ᴰ</t>
        </is>
      </c>
      <c r="T121" s="164" t="inlineStr">
        <is>
          <t>ППК25140, (22.05.2025) [CNP]</t>
        </is>
      </c>
      <c r="U121" s="165" t="inlineStr">
        <is>
          <t>✓</t>
        </is>
      </c>
      <c r="V121" s="163" t="inlineStr">
        <is>
          <t>Conforms</t>
        </is>
      </c>
      <c r="W121" s="164">
        <f>IFERROR(INDEX('iCoA Register'!$B:$B,MATCH("P050012|I",'iCoA Register'!$P:$P,0)),"iCoA — at issue")&amp;", (11.06.2025) [PP]"</f>
        <v/>
      </c>
      <c r="X121" s="165" t="inlineStr">
        <is>
          <t>✓</t>
        </is>
      </c>
      <c r="Y121" s="163" t="inlineStr">
        <is>
          <t>6.88</t>
        </is>
      </c>
      <c r="Z121" s="164" t="inlineStr">
        <is>
          <t>ППК25140, (22.05.2025) [CNP]</t>
        </is>
      </c>
      <c r="AA121" s="165" t="inlineStr">
        <is>
          <t>✓</t>
        </is>
      </c>
      <c r="AB121" s="163" t="inlineStr">
        <is>
          <t>2.1 × 10⁴</t>
        </is>
      </c>
      <c r="AC121" s="254" t="inlineStr">
        <is>
          <t>1.9 × 10⁴</t>
        </is>
      </c>
      <c r="AD121" s="171" t="inlineStr">
        <is>
          <t>&lt; 10</t>
        </is>
      </c>
      <c r="AE121" s="171" t="inlineStr">
        <is>
          <t>Absent</t>
        </is>
      </c>
      <c r="AF121" s="171" t="inlineStr">
        <is>
          <t>Absent</t>
        </is>
      </c>
      <c r="AG121" s="165" t="inlineStr">
        <is>
          <t>✓</t>
        </is>
      </c>
      <c r="AH121" s="163" t="inlineStr">
        <is>
          <t>ND</t>
        </is>
      </c>
      <c r="AI121" s="171" t="inlineStr">
        <is>
          <t>&lt; 2</t>
        </is>
      </c>
      <c r="AJ121" s="171" t="inlineStr">
        <is>
          <t>ND</t>
        </is>
      </c>
      <c r="AK121" s="165" t="inlineStr">
        <is>
          <t>✓</t>
        </is>
      </c>
      <c r="AL121" s="163" t="inlineStr">
        <is>
          <t>ND</t>
        </is>
      </c>
      <c r="AM121" s="171" t="inlineStr">
        <is>
          <t>ND</t>
        </is>
      </c>
      <c r="AN121" s="171" t="inlineStr">
        <is>
          <t>ND</t>
        </is>
      </c>
      <c r="AO121" s="171" t="inlineStr">
        <is>
          <t>ND</t>
        </is>
      </c>
      <c r="AP121" s="165" t="inlineStr">
        <is>
          <t>✓</t>
        </is>
      </c>
      <c r="AQ121" s="163" t="inlineStr">
        <is>
          <t>≤ LOQ (all 26 compounds)</t>
        </is>
      </c>
      <c r="AR121" s="164" t="inlineStr">
        <is>
          <t>2472-2025, (30.05.2025) [IJZ]</t>
        </is>
      </c>
      <c r="AS121" s="172" t="inlineStr">
        <is>
          <t>✓</t>
        </is>
      </c>
    </row>
    <row r="122" ht="13" customHeight="1" s="70">
      <c r="A122" s="173" t="n"/>
      <c r="D122" s="174" t="n"/>
      <c r="F122" s="175" t="n"/>
      <c r="G122" s="174" t="n"/>
      <c r="I122" s="175" t="n"/>
      <c r="J122" s="174" t="n"/>
      <c r="L122" s="175" t="n"/>
      <c r="M122" s="174" t="n"/>
      <c r="O122" s="175" t="n"/>
      <c r="P122" s="174" t="n"/>
      <c r="R122" s="175" t="n"/>
      <c r="S122" s="174" t="n"/>
      <c r="U122" s="175" t="n"/>
      <c r="V122" s="174" t="n"/>
      <c r="X122" s="175" t="n"/>
      <c r="Y122" s="174" t="n"/>
      <c r="AA122" s="175" t="n"/>
      <c r="AB122" s="176" t="inlineStr">
        <is>
          <t>472-0863-25, (22.05.2025) [IJZ-MB]</t>
        </is>
      </c>
      <c r="AG122" s="175" t="n"/>
      <c r="AH122" s="176" t="inlineStr">
        <is>
          <t>2472-2025, (30.05.2025) [IJZ]</t>
        </is>
      </c>
      <c r="AK122" s="175" t="n"/>
      <c r="AL122" s="176" t="inlineStr">
        <is>
          <t>2472-2025, (30.05.2025) [IJZ]</t>
        </is>
      </c>
      <c r="AP122" s="175" t="n"/>
      <c r="AQ122" s="174" t="n"/>
      <c r="AS122" s="177" t="n"/>
    </row>
    <row r="123" ht="14" customHeight="1" s="70">
      <c r="A123" s="178" t="n"/>
      <c r="B123" s="179" t="n"/>
      <c r="D123" s="180" t="n"/>
      <c r="E123" s="179" t="n"/>
      <c r="F123" s="181" t="n"/>
      <c r="G123" s="182" t="inlineStr">
        <is>
          <t>Conforms</t>
        </is>
      </c>
      <c r="H123" s="183">
        <f>IFERROR(INDEX('iCoA Register'!$B:$B,MATCH("P050012|I",'iCoA Register'!$P:$P,0)),"iCoA — at issue")&amp;", (11.06.2025) [PP]"</f>
        <v/>
      </c>
      <c r="I123" s="184" t="inlineStr">
        <is>
          <t>✓</t>
        </is>
      </c>
      <c r="J123" s="180" t="n"/>
      <c r="K123" s="179" t="n"/>
      <c r="L123" s="181" t="n"/>
      <c r="M123" s="180" t="n"/>
      <c r="N123" s="179" t="n"/>
      <c r="O123" s="181" t="n"/>
      <c r="P123" s="180" t="n"/>
      <c r="Q123" s="179" t="n"/>
      <c r="R123" s="181" t="n"/>
      <c r="S123" s="180" t="n"/>
      <c r="T123" s="179" t="n"/>
      <c r="U123" s="181" t="n"/>
      <c r="V123" s="180" t="n"/>
      <c r="W123" s="179" t="n"/>
      <c r="X123" s="181" t="n"/>
      <c r="Y123" s="180" t="n"/>
      <c r="Z123" s="179" t="n"/>
      <c r="AA123" s="181" t="n"/>
      <c r="AB123" s="190" t="inlineStr">
        <is>
          <t>&lt; 10</t>
        </is>
      </c>
      <c r="AC123" s="191" t="inlineStr">
        <is>
          <t>&lt; 10</t>
        </is>
      </c>
      <c r="AD123" s="191" t="inlineStr">
        <is>
          <t>&lt; 10</t>
        </is>
      </c>
      <c r="AE123" s="191" t="inlineStr">
        <is>
          <t>Absent</t>
        </is>
      </c>
      <c r="AF123" s="191" t="inlineStr">
        <is>
          <t>Absent</t>
        </is>
      </c>
      <c r="AG123" s="184" t="inlineStr">
        <is>
          <t>✓</t>
        </is>
      </c>
      <c r="AH123" s="180" t="n"/>
      <c r="AI123" s="179" t="n"/>
      <c r="AJ123" s="179" t="n"/>
      <c r="AK123" s="181" t="n"/>
      <c r="AL123" s="180" t="n"/>
      <c r="AM123" s="179" t="n"/>
      <c r="AN123" s="179" t="n"/>
      <c r="AO123" s="179" t="n"/>
      <c r="AP123" s="181" t="n"/>
      <c r="AQ123" s="180" t="n"/>
      <c r="AR123" s="179" t="n"/>
      <c r="AS123" s="192" t="n"/>
    </row>
    <row r="124" ht="13" customHeight="1" s="70">
      <c r="A124" s="193" t="n"/>
      <c r="B124" s="194" t="n"/>
      <c r="C124" s="194" t="n"/>
      <c r="D124" s="195" t="n"/>
      <c r="E124" s="194" t="n"/>
      <c r="F124" s="196" t="n"/>
      <c r="G124" s="195" t="n"/>
      <c r="H124" s="194" t="n"/>
      <c r="I124" s="196" t="n"/>
      <c r="J124" s="195" t="n"/>
      <c r="K124" s="194" t="n"/>
      <c r="L124" s="196" t="n"/>
      <c r="M124" s="195" t="n"/>
      <c r="N124" s="194" t="n"/>
      <c r="O124" s="196" t="n"/>
      <c r="P124" s="195" t="n"/>
      <c r="Q124" s="194" t="n"/>
      <c r="R124" s="196" t="n"/>
      <c r="S124" s="195" t="n"/>
      <c r="T124" s="194" t="n"/>
      <c r="U124" s="196" t="n"/>
      <c r="V124" s="195" t="n"/>
      <c r="W124" s="194" t="n"/>
      <c r="X124" s="196" t="n"/>
      <c r="Y124" s="195" t="n"/>
      <c r="Z124" s="194" t="n"/>
      <c r="AA124" s="196" t="n"/>
      <c r="AB124" s="197" t="inlineStr">
        <is>
          <t>564-1095-26, (01.09.2026) [IJZ-MB]</t>
        </is>
      </c>
      <c r="AC124" s="194" t="n"/>
      <c r="AD124" s="194" t="n"/>
      <c r="AE124" s="194" t="n"/>
      <c r="AF124" s="194" t="n"/>
      <c r="AG124" s="196" t="n"/>
      <c r="AH124" s="195" t="n"/>
      <c r="AI124" s="194" t="n"/>
      <c r="AJ124" s="194" t="n"/>
      <c r="AK124" s="196" t="n"/>
      <c r="AL124" s="195" t="n"/>
      <c r="AM124" s="194" t="n"/>
      <c r="AN124" s="194" t="n"/>
      <c r="AO124" s="194" t="n"/>
      <c r="AP124" s="196" t="n"/>
      <c r="AQ124" s="195" t="n"/>
      <c r="AR124" s="194" t="n"/>
      <c r="AS124" s="198" t="n"/>
    </row>
    <row r="125" ht="21" customHeight="1" s="70">
      <c r="A125" s="160" t="inlineStr">
        <is>
          <t>GP0824_02</t>
        </is>
      </c>
      <c r="B125" s="161" t="inlineStr">
        <is>
          <t>P050022</t>
        </is>
      </c>
      <c r="C125" s="162" t="inlineStr">
        <is>
          <t>✓ COMPLETE
6 testing instances
• 6 document(s) on file, not credited
· stability above A.C.: #6</t>
        </is>
      </c>
      <c r="D125" s="163" t="inlineStr">
        <is>
          <t>Conforms</t>
        </is>
      </c>
      <c r="E125" s="164">
        <f>IFERROR(INDEX('iCoA Register'!$B:$B,MATCH("P050022|I",'iCoA Register'!$P:$P,0)),"iCoA — at issue")&amp;", (03.06.2025) [PP]"</f>
        <v/>
      </c>
      <c r="F125" s="165" t="inlineStr">
        <is>
          <t>✓</t>
        </is>
      </c>
      <c r="G125" s="166" t="inlineStr">
        <is>
          <t>not on this certificate</t>
        </is>
      </c>
      <c r="H125" s="167" t="inlineStr">
        <is>
          <t>ППК25139, (22.05.2025) [CNP] · on file, not credited</t>
        </is>
      </c>
      <c r="I125" s="168" t="inlineStr">
        <is>
          <t>•</t>
        </is>
      </c>
      <c r="J125" s="163" t="inlineStr">
        <is>
          <t>Conforms (ImB spec.)</t>
        </is>
      </c>
      <c r="K125" s="164" t="inlineStr">
        <is>
          <t>ППК25139, (22.05.2025) [CNP]</t>
        </is>
      </c>
      <c r="L125" s="165" t="inlineStr">
        <is>
          <t>✓</t>
        </is>
      </c>
      <c r="M125" s="169" t="inlineStr">
        <is>
          <t>23.79</t>
        </is>
      </c>
      <c r="N125" s="164" t="inlineStr">
        <is>
          <t>ППК25139, (22.05.2025) [CNP]</t>
        </is>
      </c>
      <c r="O125" s="165" t="inlineStr">
        <is>
          <t>✓</t>
        </is>
      </c>
      <c r="P125" s="170" t="inlineStr">
        <is>
          <t>0.10</t>
        </is>
      </c>
      <c r="Q125" s="164" t="inlineStr">
        <is>
          <t>ППК25139, (22.05.2025) [CNP]</t>
        </is>
      </c>
      <c r="R125" s="165" t="inlineStr">
        <is>
          <t>✓</t>
        </is>
      </c>
      <c r="S125" s="170" t="inlineStr">
        <is>
          <t>0.02 ᴰ</t>
        </is>
      </c>
      <c r="T125" s="164" t="inlineStr">
        <is>
          <t>ППК25139, (22.05.2025) [CNP]</t>
        </is>
      </c>
      <c r="U125" s="165" t="inlineStr">
        <is>
          <t>✓</t>
        </is>
      </c>
      <c r="V125" s="163" t="inlineStr">
        <is>
          <t>Conforms</t>
        </is>
      </c>
      <c r="W125" s="164">
        <f>IFERROR(INDEX('iCoA Register'!$B:$B,MATCH("P050022|I",'iCoA Register'!$P:$P,0)),"iCoA — at issue")&amp;", (03.06.2025) [PP]"</f>
        <v/>
      </c>
      <c r="X125" s="165" t="inlineStr">
        <is>
          <t>✓</t>
        </is>
      </c>
      <c r="Y125" s="163" t="inlineStr">
        <is>
          <t>7.21</t>
        </is>
      </c>
      <c r="Z125" s="164" t="inlineStr">
        <is>
          <t>ППК25139, (22.05.2025) [CNP]</t>
        </is>
      </c>
      <c r="AA125" s="165" t="inlineStr">
        <is>
          <t>✓</t>
        </is>
      </c>
      <c r="AB125" s="163" t="inlineStr">
        <is>
          <t>700</t>
        </is>
      </c>
      <c r="AC125" s="171" t="inlineStr">
        <is>
          <t>10</t>
        </is>
      </c>
      <c r="AD125" s="171" t="inlineStr">
        <is>
          <t>&lt; 10² and &gt; 10</t>
        </is>
      </c>
      <c r="AE125" s="171" t="inlineStr">
        <is>
          <t>Absent</t>
        </is>
      </c>
      <c r="AF125" s="171" t="inlineStr">
        <is>
          <t>Absent</t>
        </is>
      </c>
      <c r="AG125" s="165" t="inlineStr">
        <is>
          <t>✓</t>
        </is>
      </c>
      <c r="AH125" s="163" t="inlineStr">
        <is>
          <t>ND</t>
        </is>
      </c>
      <c r="AI125" s="171" t="inlineStr">
        <is>
          <t>&lt; 2</t>
        </is>
      </c>
      <c r="AJ125" s="171" t="inlineStr">
        <is>
          <t>ND</t>
        </is>
      </c>
      <c r="AK125" s="165" t="inlineStr">
        <is>
          <t>✓</t>
        </is>
      </c>
      <c r="AL125" s="163" t="inlineStr">
        <is>
          <t>ND</t>
        </is>
      </c>
      <c r="AM125" s="171" t="inlineStr">
        <is>
          <t>ND</t>
        </is>
      </c>
      <c r="AN125" s="171" t="inlineStr">
        <is>
          <t>ND</t>
        </is>
      </c>
      <c r="AO125" s="171" t="inlineStr">
        <is>
          <t>ND</t>
        </is>
      </c>
      <c r="AP125" s="165" t="inlineStr">
        <is>
          <t>✓</t>
        </is>
      </c>
      <c r="AQ125" s="163" t="inlineStr">
        <is>
          <t>≤ LOQ (all 29 compounds)</t>
        </is>
      </c>
      <c r="AR125" s="164" t="inlineStr">
        <is>
          <t>2471-2025, (30.05.2025) [IJZ]</t>
        </is>
      </c>
      <c r="AS125" s="172" t="inlineStr">
        <is>
          <t>✓</t>
        </is>
      </c>
    </row>
    <row r="126" ht="13" customHeight="1" s="70">
      <c r="A126" s="173" t="n"/>
      <c r="D126" s="174" t="n"/>
      <c r="F126" s="175" t="n"/>
      <c r="G126" s="174" t="n"/>
      <c r="I126" s="175" t="n"/>
      <c r="J126" s="174" t="n"/>
      <c r="L126" s="175" t="n"/>
      <c r="M126" s="174" t="n"/>
      <c r="O126" s="175" t="n"/>
      <c r="P126" s="174" t="n"/>
      <c r="R126" s="175" t="n"/>
      <c r="S126" s="174" t="n"/>
      <c r="U126" s="175" t="n"/>
      <c r="V126" s="174" t="n"/>
      <c r="X126" s="175" t="n"/>
      <c r="Y126" s="174" t="n"/>
      <c r="AA126" s="175" t="n"/>
      <c r="AB126" s="176" t="inlineStr">
        <is>
          <t>471-0862-25, (22.05.2025) [IJZ-MB]</t>
        </is>
      </c>
      <c r="AG126" s="175" t="n"/>
      <c r="AH126" s="176" t="inlineStr">
        <is>
          <t>2471-2025, (30.05.2025) [IJZ]</t>
        </is>
      </c>
      <c r="AK126" s="175" t="n"/>
      <c r="AL126" s="176" t="inlineStr">
        <is>
          <t>2471-2025, (30.05.2025) [IJZ]</t>
        </is>
      </c>
      <c r="AP126" s="175" t="n"/>
      <c r="AQ126" s="174" t="n"/>
      <c r="AS126" s="177" t="n"/>
    </row>
    <row r="127" ht="17.625" customHeight="1" s="70">
      <c r="A127" s="178" t="n"/>
      <c r="B127" s="179" t="n"/>
      <c r="D127" s="180" t="n"/>
      <c r="E127" s="179" t="n"/>
      <c r="F127" s="181" t="n"/>
      <c r="G127" s="190" t="inlineStr">
        <is>
          <t>Conforms</t>
        </is>
      </c>
      <c r="H127" s="223">
        <f>IFERROR(INDEX('iCoA Register'!$B:$B,MATCH("P050022|I",'iCoA Register'!$P:$P,0)),"iCoA — at issue")&amp;", (03.06.2025) [PP]"</f>
        <v/>
      </c>
      <c r="I127" s="224" t="inlineStr">
        <is>
          <t>✓</t>
        </is>
      </c>
      <c r="J127" s="190" t="inlineStr">
        <is>
          <t>Conforms (ImB spec.)</t>
        </is>
      </c>
      <c r="K127" s="223" t="inlineStr">
        <is>
          <t>ППК25174, (10.07.2025) [CNP]</t>
        </is>
      </c>
      <c r="L127" s="224" t="inlineStr">
        <is>
          <t>✓</t>
        </is>
      </c>
      <c r="M127" s="225" t="inlineStr">
        <is>
          <t>23.19</t>
        </is>
      </c>
      <c r="N127" s="223" t="inlineStr">
        <is>
          <t>ППК25174, (10.07.2025) [CNP]</t>
        </is>
      </c>
      <c r="O127" s="224" t="inlineStr">
        <is>
          <t>✓</t>
        </is>
      </c>
      <c r="P127" s="226" t="inlineStr">
        <is>
          <t>0.07</t>
        </is>
      </c>
      <c r="Q127" s="223" t="inlineStr">
        <is>
          <t>ППК25174, (10.07.2025) [CNP]</t>
        </is>
      </c>
      <c r="R127" s="224" t="inlineStr">
        <is>
          <t>✓</t>
        </is>
      </c>
      <c r="S127" s="226" t="inlineStr">
        <is>
          <t>&lt; LOQ ᴰ</t>
        </is>
      </c>
      <c r="T127" s="223" t="inlineStr">
        <is>
          <t>ППК25174, (10.07.2025) [CNP]</t>
        </is>
      </c>
      <c r="U127" s="224" t="inlineStr">
        <is>
          <t>✓</t>
        </is>
      </c>
      <c r="V127" s="180" t="n"/>
      <c r="W127" s="179" t="n"/>
      <c r="X127" s="181" t="n"/>
      <c r="Y127" s="190" t="inlineStr">
        <is>
          <t>6.51</t>
        </is>
      </c>
      <c r="Z127" s="223" t="inlineStr">
        <is>
          <t>ППК25174, (10.07.2025) [CNP]</t>
        </is>
      </c>
      <c r="AA127" s="224" t="inlineStr">
        <is>
          <t>✓</t>
        </is>
      </c>
      <c r="AB127" s="190" t="inlineStr">
        <is>
          <t>&lt; 10</t>
        </is>
      </c>
      <c r="AC127" s="191" t="inlineStr">
        <is>
          <t>&lt; 10</t>
        </is>
      </c>
      <c r="AD127" s="191" t="inlineStr">
        <is>
          <t>&lt; 10</t>
        </is>
      </c>
      <c r="AE127" s="191" t="inlineStr">
        <is>
          <t>Absent</t>
        </is>
      </c>
      <c r="AF127" s="191" t="inlineStr">
        <is>
          <t>Absent</t>
        </is>
      </c>
      <c r="AG127" s="224" t="inlineStr">
        <is>
          <t>✓</t>
        </is>
      </c>
      <c r="AH127" s="190" t="inlineStr">
        <is>
          <t>ND</t>
        </is>
      </c>
      <c r="AI127" s="191" t="inlineStr">
        <is>
          <t>&lt; 2</t>
        </is>
      </c>
      <c r="AJ127" s="191" t="inlineStr">
        <is>
          <t>ND</t>
        </is>
      </c>
      <c r="AK127" s="224" t="inlineStr">
        <is>
          <t>✓</t>
        </is>
      </c>
      <c r="AL127" s="190" t="inlineStr">
        <is>
          <t>ND</t>
        </is>
      </c>
      <c r="AM127" s="191" t="inlineStr">
        <is>
          <t>ND</t>
        </is>
      </c>
      <c r="AN127" s="191" t="inlineStr">
        <is>
          <t>0.047</t>
        </is>
      </c>
      <c r="AO127" s="191" t="inlineStr">
        <is>
          <t>ND</t>
        </is>
      </c>
      <c r="AP127" s="224" t="inlineStr">
        <is>
          <t>✓</t>
        </is>
      </c>
      <c r="AQ127" s="190" t="inlineStr">
        <is>
          <t>≤ LOQ (all 29 compounds)</t>
        </is>
      </c>
      <c r="AR127" s="223" t="inlineStr">
        <is>
          <t>3176-2025, (26.06.2025) [IJZ]</t>
        </is>
      </c>
      <c r="AS127" s="246" t="inlineStr">
        <is>
          <t>✓</t>
        </is>
      </c>
    </row>
    <row r="128" ht="13" customHeight="1" s="70">
      <c r="A128" s="230" t="n"/>
      <c r="B128" s="231" t="n"/>
      <c r="D128" s="232" t="n"/>
      <c r="E128" s="231" t="n"/>
      <c r="F128" s="233" t="n"/>
      <c r="G128" s="232" t="n"/>
      <c r="H128" s="231" t="n"/>
      <c r="I128" s="233" t="n"/>
      <c r="J128" s="232" t="n"/>
      <c r="K128" s="231" t="n"/>
      <c r="L128" s="233" t="n"/>
      <c r="M128" s="232" t="n"/>
      <c r="N128" s="231" t="n"/>
      <c r="O128" s="233" t="n"/>
      <c r="P128" s="232" t="n"/>
      <c r="Q128" s="231" t="n"/>
      <c r="R128" s="233" t="n"/>
      <c r="S128" s="232" t="n"/>
      <c r="T128" s="231" t="n"/>
      <c r="U128" s="233" t="n"/>
      <c r="V128" s="232" t="n"/>
      <c r="W128" s="231" t="n"/>
      <c r="X128" s="233" t="n"/>
      <c r="Y128" s="232" t="n"/>
      <c r="Z128" s="231" t="n"/>
      <c r="AA128" s="233" t="n"/>
      <c r="AB128" s="247" t="inlineStr">
        <is>
          <t>627-1128-25, (02.07.2025) [IJZ-MB]</t>
        </is>
      </c>
      <c r="AC128" s="231" t="n"/>
      <c r="AD128" s="231" t="n"/>
      <c r="AE128" s="231" t="n"/>
      <c r="AF128" s="231" t="n"/>
      <c r="AG128" s="233" t="n"/>
      <c r="AH128" s="247" t="inlineStr">
        <is>
          <t>3176-2025, (26.06.2025) [IJZ]</t>
        </is>
      </c>
      <c r="AI128" s="231" t="n"/>
      <c r="AJ128" s="231" t="n"/>
      <c r="AK128" s="233" t="n"/>
      <c r="AL128" s="247" t="inlineStr">
        <is>
          <t>3176-2025, (26.06.2025) [IJZ]</t>
        </is>
      </c>
      <c r="AM128" s="231" t="n"/>
      <c r="AN128" s="231" t="n"/>
      <c r="AO128" s="231" t="n"/>
      <c r="AP128" s="233" t="n"/>
      <c r="AQ128" s="232" t="n"/>
      <c r="AR128" s="231" t="n"/>
      <c r="AS128" s="234" t="n"/>
    </row>
    <row r="129" ht="17.625" customHeight="1" s="70">
      <c r="A129" s="178" t="n"/>
      <c r="B129" s="179" t="n"/>
      <c r="D129" s="180" t="n"/>
      <c r="E129" s="179" t="n"/>
      <c r="F129" s="181" t="n"/>
      <c r="G129" s="227" t="inlineStr">
        <is>
          <t>not on this certificate</t>
        </is>
      </c>
      <c r="H129" s="228" t="inlineStr">
        <is>
          <t>ППК25174, (10.07.2025) [CNP] · on file, not credited</t>
        </is>
      </c>
      <c r="I129" s="229" t="inlineStr">
        <is>
          <t>•</t>
        </is>
      </c>
      <c r="J129" s="255" t="inlineStr">
        <is>
          <t>Conforms (ImB spec.)</t>
        </is>
      </c>
      <c r="K129" s="256" t="inlineStr">
        <is>
          <t>ППК26032, (05.03.2026) [CNP]</t>
        </is>
      </c>
      <c r="L129" s="257" t="inlineStr">
        <is>
          <t>✓</t>
        </is>
      </c>
      <c r="M129" s="258" t="inlineStr">
        <is>
          <t>21.31</t>
        </is>
      </c>
      <c r="N129" s="256" t="inlineStr">
        <is>
          <t>ППК26032, (05.03.2026) [CNP]</t>
        </is>
      </c>
      <c r="O129" s="257" t="inlineStr">
        <is>
          <t>✓</t>
        </is>
      </c>
      <c r="P129" s="259" t="inlineStr">
        <is>
          <t>0.03</t>
        </is>
      </c>
      <c r="Q129" s="256" t="inlineStr">
        <is>
          <t>ППК26032, (05.03.2026) [CNP]</t>
        </is>
      </c>
      <c r="R129" s="257" t="inlineStr">
        <is>
          <t>✓</t>
        </is>
      </c>
      <c r="S129" s="259" t="inlineStr">
        <is>
          <t>0.23 ᴰ</t>
        </is>
      </c>
      <c r="T129" s="256" t="inlineStr">
        <is>
          <t>ППК26032, (05.03.2026) [CNP]</t>
        </is>
      </c>
      <c r="U129" s="257" t="inlineStr">
        <is>
          <t>✓</t>
        </is>
      </c>
      <c r="V129" s="180" t="n"/>
      <c r="W129" s="179" t="n"/>
      <c r="X129" s="181" t="n"/>
      <c r="Y129" s="255" t="inlineStr">
        <is>
          <t>6.32</t>
        </is>
      </c>
      <c r="Z129" s="256" t="inlineStr">
        <is>
          <t>ППК26032, (05.03.2026) [CNP]</t>
        </is>
      </c>
      <c r="AA129" s="257" t="inlineStr">
        <is>
          <t>✓</t>
        </is>
      </c>
      <c r="AB129" s="180" t="n"/>
      <c r="AC129" s="179" t="n"/>
      <c r="AD129" s="179" t="n"/>
      <c r="AE129" s="179" t="n"/>
      <c r="AF129" s="179" t="n"/>
      <c r="AG129" s="181" t="n"/>
      <c r="AH129" s="190" t="inlineStr">
        <is>
          <t>ND</t>
        </is>
      </c>
      <c r="AI129" s="191" t="inlineStr">
        <is>
          <t>ND</t>
        </is>
      </c>
      <c r="AJ129" s="191" t="inlineStr">
        <is>
          <t>ND</t>
        </is>
      </c>
      <c r="AK129" s="224" t="inlineStr">
        <is>
          <t>✓</t>
        </is>
      </c>
      <c r="AL129" s="180" t="n"/>
      <c r="AM129" s="179" t="n"/>
      <c r="AN129" s="179" t="n"/>
      <c r="AO129" s="179" t="n"/>
      <c r="AP129" s="181" t="n"/>
      <c r="AQ129" s="180" t="n"/>
      <c r="AR129" s="179" t="n"/>
      <c r="AS129" s="192" t="n"/>
    </row>
    <row r="130" ht="13" customHeight="1" s="70">
      <c r="A130" s="230" t="n"/>
      <c r="B130" s="231" t="n"/>
      <c r="D130" s="232" t="n"/>
      <c r="E130" s="231" t="n"/>
      <c r="F130" s="233" t="n"/>
      <c r="G130" s="232" t="n"/>
      <c r="H130" s="231" t="n"/>
      <c r="I130" s="233" t="n"/>
      <c r="J130" s="232" t="n"/>
      <c r="K130" s="231" t="n"/>
      <c r="L130" s="233" t="n"/>
      <c r="M130" s="232" t="n"/>
      <c r="N130" s="231" t="n"/>
      <c r="O130" s="233" t="n"/>
      <c r="P130" s="232" t="n"/>
      <c r="Q130" s="231" t="n"/>
      <c r="R130" s="233" t="n"/>
      <c r="S130" s="232" t="n"/>
      <c r="T130" s="231" t="n"/>
      <c r="U130" s="233" t="n"/>
      <c r="V130" s="232" t="n"/>
      <c r="W130" s="231" t="n"/>
      <c r="X130" s="233" t="n"/>
      <c r="Y130" s="232" t="n"/>
      <c r="Z130" s="231" t="n"/>
      <c r="AA130" s="233" t="n"/>
      <c r="AB130" s="232" t="n"/>
      <c r="AC130" s="231" t="n"/>
      <c r="AD130" s="231" t="n"/>
      <c r="AE130" s="231" t="n"/>
      <c r="AF130" s="231" t="n"/>
      <c r="AG130" s="233" t="n"/>
      <c r="AH130" s="247" t="inlineStr">
        <is>
          <t>197-11-M-26, (10.08.2026) [FHM-M]</t>
        </is>
      </c>
      <c r="AI130" s="231" t="n"/>
      <c r="AJ130" s="231" t="n"/>
      <c r="AK130" s="233" t="n"/>
      <c r="AL130" s="232" t="n"/>
      <c r="AM130" s="231" t="n"/>
      <c r="AN130" s="231" t="n"/>
      <c r="AO130" s="231" t="n"/>
      <c r="AP130" s="233" t="n"/>
      <c r="AQ130" s="232" t="n"/>
      <c r="AR130" s="231" t="n"/>
      <c r="AS130" s="234" t="n"/>
    </row>
    <row r="131" ht="17.625" customHeight="1" s="70">
      <c r="A131" s="178" t="n"/>
      <c r="B131" s="179" t="n"/>
      <c r="D131" s="180" t="n"/>
      <c r="E131" s="179" t="n"/>
      <c r="F131" s="181" t="n"/>
      <c r="G131" s="227" t="inlineStr">
        <is>
          <t>not on this certificate</t>
        </is>
      </c>
      <c r="H131" s="228" t="inlineStr">
        <is>
          <t>ППК26032, (05.03.2026) [CNP] · on file, not credited</t>
        </is>
      </c>
      <c r="I131" s="229" t="inlineStr">
        <is>
          <t>•</t>
        </is>
      </c>
      <c r="J131" s="255" t="inlineStr">
        <is>
          <t>Conforms (ImB spec.)</t>
        </is>
      </c>
      <c r="K131" s="256" t="inlineStr">
        <is>
          <t>ППК26033, (05.03.2026) [CNP]</t>
        </is>
      </c>
      <c r="L131" s="257" t="inlineStr">
        <is>
          <t>✓</t>
        </is>
      </c>
      <c r="M131" s="258" t="inlineStr">
        <is>
          <t>13.16</t>
        </is>
      </c>
      <c r="N131" s="256" t="inlineStr">
        <is>
          <t>ППК26033, (05.03.2026) [CNP]</t>
        </is>
      </c>
      <c r="O131" s="257" t="inlineStr">
        <is>
          <t>✓</t>
        </is>
      </c>
      <c r="P131" s="259" t="inlineStr">
        <is>
          <t>0.05</t>
        </is>
      </c>
      <c r="Q131" s="256" t="inlineStr">
        <is>
          <t>ППК26033, (05.03.2026) [CNP]</t>
        </is>
      </c>
      <c r="R131" s="257" t="inlineStr">
        <is>
          <t>✓</t>
        </is>
      </c>
      <c r="S131" s="260" t="inlineStr">
        <is>
          <t>2.35 ᴰ</t>
        </is>
      </c>
      <c r="T131" s="256" t="inlineStr">
        <is>
          <t>ППК26033, (05.03.2026) [CNP]</t>
        </is>
      </c>
      <c r="U131" s="257" t="inlineStr">
        <is>
          <t>✓</t>
        </is>
      </c>
      <c r="V131" s="180" t="n"/>
      <c r="W131" s="179" t="n"/>
      <c r="X131" s="181" t="n"/>
      <c r="Y131" s="255" t="inlineStr">
        <is>
          <t>5.84</t>
        </is>
      </c>
      <c r="Z131" s="256" t="inlineStr">
        <is>
          <t>ППК26033, (05.03.2026) [CNP]</t>
        </is>
      </c>
      <c r="AA131" s="257" t="inlineStr">
        <is>
          <t>✓</t>
        </is>
      </c>
      <c r="AB131" s="180" t="n"/>
      <c r="AC131" s="179" t="n"/>
      <c r="AD131" s="179" t="n"/>
      <c r="AE131" s="179" t="n"/>
      <c r="AF131" s="179" t="n"/>
      <c r="AG131" s="181" t="n"/>
      <c r="AH131" s="180" t="n"/>
      <c r="AI131" s="179" t="n"/>
      <c r="AJ131" s="179" t="n"/>
      <c r="AK131" s="181" t="n"/>
      <c r="AL131" s="180" t="n"/>
      <c r="AM131" s="179" t="n"/>
      <c r="AN131" s="179" t="n"/>
      <c r="AO131" s="179" t="n"/>
      <c r="AP131" s="181" t="n"/>
      <c r="AQ131" s="180" t="n"/>
      <c r="AR131" s="179" t="n"/>
      <c r="AS131" s="192" t="n"/>
    </row>
    <row r="132" ht="13" customHeight="1" s="70">
      <c r="A132" s="230" t="n"/>
      <c r="B132" s="231" t="n"/>
      <c r="D132" s="232" t="n"/>
      <c r="E132" s="231" t="n"/>
      <c r="F132" s="233" t="n"/>
      <c r="G132" s="232" t="n"/>
      <c r="H132" s="231" t="n"/>
      <c r="I132" s="233" t="n"/>
      <c r="J132" s="232" t="n"/>
      <c r="K132" s="231" t="n"/>
      <c r="L132" s="233" t="n"/>
      <c r="M132" s="232" t="n"/>
      <c r="N132" s="231" t="n"/>
      <c r="O132" s="233" t="n"/>
      <c r="P132" s="232" t="n"/>
      <c r="Q132" s="231" t="n"/>
      <c r="R132" s="233" t="n"/>
      <c r="S132" s="232" t="n"/>
      <c r="T132" s="231" t="n"/>
      <c r="U132" s="233" t="n"/>
      <c r="V132" s="232" t="n"/>
      <c r="W132" s="231" t="n"/>
      <c r="X132" s="233" t="n"/>
      <c r="Y132" s="232" t="n"/>
      <c r="Z132" s="231" t="n"/>
      <c r="AA132" s="233" t="n"/>
      <c r="AB132" s="232" t="n"/>
      <c r="AC132" s="231" t="n"/>
      <c r="AD132" s="231" t="n"/>
      <c r="AE132" s="231" t="n"/>
      <c r="AF132" s="231" t="n"/>
      <c r="AG132" s="233" t="n"/>
      <c r="AH132" s="232" t="n"/>
      <c r="AI132" s="231" t="n"/>
      <c r="AJ132" s="231" t="n"/>
      <c r="AK132" s="233" t="n"/>
      <c r="AL132" s="232" t="n"/>
      <c r="AM132" s="231" t="n"/>
      <c r="AN132" s="231" t="n"/>
      <c r="AO132" s="231" t="n"/>
      <c r="AP132" s="233" t="n"/>
      <c r="AQ132" s="232" t="n"/>
      <c r="AR132" s="231" t="n"/>
      <c r="AS132" s="234" t="n"/>
    </row>
    <row r="133" ht="17.625" customHeight="1" s="70">
      <c r="A133" s="178" t="n"/>
      <c r="B133" s="179" t="n"/>
      <c r="D133" s="180" t="n"/>
      <c r="E133" s="179" t="n"/>
      <c r="F133" s="181" t="n"/>
      <c r="G133" s="227" t="inlineStr">
        <is>
          <t>not on this certificate</t>
        </is>
      </c>
      <c r="H133" s="228" t="inlineStr">
        <is>
          <t>ППК26033, (05.03.2026) [CNP] · on file, not credited</t>
        </is>
      </c>
      <c r="I133" s="229" t="inlineStr">
        <is>
          <t>•</t>
        </is>
      </c>
      <c r="J133" s="255" t="inlineStr">
        <is>
          <t>Conforms (ImB spec.)</t>
        </is>
      </c>
      <c r="K133" s="256" t="inlineStr">
        <is>
          <t>ППК26059, (11.05.2026) [CNP]</t>
        </is>
      </c>
      <c r="L133" s="257" t="inlineStr">
        <is>
          <t>✓</t>
        </is>
      </c>
      <c r="M133" s="258" t="inlineStr">
        <is>
          <t>23.08</t>
        </is>
      </c>
      <c r="N133" s="256" t="inlineStr">
        <is>
          <t>ППК26059, (11.05.2026) [CNP]</t>
        </is>
      </c>
      <c r="O133" s="257" t="inlineStr">
        <is>
          <t>✓</t>
        </is>
      </c>
      <c r="P133" s="259" t="inlineStr">
        <is>
          <t>0.03</t>
        </is>
      </c>
      <c r="Q133" s="256" t="inlineStr">
        <is>
          <t>ППК26059, (11.05.2026) [CNP]</t>
        </is>
      </c>
      <c r="R133" s="257" t="inlineStr">
        <is>
          <t>✓</t>
        </is>
      </c>
      <c r="S133" s="259" t="inlineStr">
        <is>
          <t>0.30 ᴰ</t>
        </is>
      </c>
      <c r="T133" s="256" t="inlineStr">
        <is>
          <t>ППК26059, (11.05.2026) [CNP]</t>
        </is>
      </c>
      <c r="U133" s="257" t="inlineStr">
        <is>
          <t>✓</t>
        </is>
      </c>
      <c r="V133" s="180" t="n"/>
      <c r="W133" s="179" t="n"/>
      <c r="X133" s="181" t="n"/>
      <c r="Y133" s="255" t="inlineStr">
        <is>
          <t>6.62</t>
        </is>
      </c>
      <c r="Z133" s="256" t="inlineStr">
        <is>
          <t>ППК26059, (11.05.2026) [CNP]</t>
        </is>
      </c>
      <c r="AA133" s="257" t="inlineStr">
        <is>
          <t>✓</t>
        </is>
      </c>
      <c r="AB133" s="180" t="n"/>
      <c r="AC133" s="179" t="n"/>
      <c r="AD133" s="179" t="n"/>
      <c r="AE133" s="179" t="n"/>
      <c r="AF133" s="179" t="n"/>
      <c r="AG133" s="181" t="n"/>
      <c r="AH133" s="180" t="n"/>
      <c r="AI133" s="179" t="n"/>
      <c r="AJ133" s="179" t="n"/>
      <c r="AK133" s="181" t="n"/>
      <c r="AL133" s="180" t="n"/>
      <c r="AM133" s="179" t="n"/>
      <c r="AN133" s="179" t="n"/>
      <c r="AO133" s="179" t="n"/>
      <c r="AP133" s="181" t="n"/>
      <c r="AQ133" s="180" t="n"/>
      <c r="AR133" s="179" t="n"/>
      <c r="AS133" s="192" t="n"/>
    </row>
    <row r="134" ht="13" customHeight="1" s="70">
      <c r="A134" s="230" t="n"/>
      <c r="B134" s="231" t="n"/>
      <c r="D134" s="232" t="n"/>
      <c r="E134" s="231" t="n"/>
      <c r="F134" s="233" t="n"/>
      <c r="G134" s="232" t="n"/>
      <c r="H134" s="231" t="n"/>
      <c r="I134" s="233" t="n"/>
      <c r="J134" s="232" t="n"/>
      <c r="K134" s="231" t="n"/>
      <c r="L134" s="233" t="n"/>
      <c r="M134" s="232" t="n"/>
      <c r="N134" s="231" t="n"/>
      <c r="O134" s="233" t="n"/>
      <c r="P134" s="232" t="n"/>
      <c r="Q134" s="231" t="n"/>
      <c r="R134" s="233" t="n"/>
      <c r="S134" s="232" t="n"/>
      <c r="T134" s="231" t="n"/>
      <c r="U134" s="233" t="n"/>
      <c r="V134" s="232" t="n"/>
      <c r="W134" s="231" t="n"/>
      <c r="X134" s="233" t="n"/>
      <c r="Y134" s="232" t="n"/>
      <c r="Z134" s="231" t="n"/>
      <c r="AA134" s="233" t="n"/>
      <c r="AB134" s="232" t="n"/>
      <c r="AC134" s="231" t="n"/>
      <c r="AD134" s="231" t="n"/>
      <c r="AE134" s="231" t="n"/>
      <c r="AF134" s="231" t="n"/>
      <c r="AG134" s="233" t="n"/>
      <c r="AH134" s="232" t="n"/>
      <c r="AI134" s="231" t="n"/>
      <c r="AJ134" s="231" t="n"/>
      <c r="AK134" s="233" t="n"/>
      <c r="AL134" s="232" t="n"/>
      <c r="AM134" s="231" t="n"/>
      <c r="AN134" s="231" t="n"/>
      <c r="AO134" s="231" t="n"/>
      <c r="AP134" s="233" t="n"/>
      <c r="AQ134" s="232" t="n"/>
      <c r="AR134" s="231" t="n"/>
      <c r="AS134" s="234" t="n"/>
    </row>
    <row r="135" ht="17.625" customHeight="1" s="70">
      <c r="A135" s="178" t="n"/>
      <c r="B135" s="179" t="n"/>
      <c r="D135" s="180" t="n"/>
      <c r="E135" s="179" t="n"/>
      <c r="F135" s="181" t="n"/>
      <c r="G135" s="187" t="inlineStr">
        <is>
          <t>not on this certificate</t>
        </is>
      </c>
      <c r="H135" s="188" t="inlineStr">
        <is>
          <t>ППК26059, (11.05.2026) [CNP] · on file, not credited</t>
        </is>
      </c>
      <c r="I135" s="189" t="inlineStr">
        <is>
          <t>•</t>
        </is>
      </c>
      <c r="J135" s="182" t="inlineStr">
        <is>
          <t>Conforms (ImB spec.) ᴿ</t>
        </is>
      </c>
      <c r="K135" s="183" t="inlineStr">
        <is>
          <t>197-11-K-26, (07.08.2026) [FHM-K]</t>
        </is>
      </c>
      <c r="L135" s="184" t="inlineStr">
        <is>
          <t>✓</t>
        </is>
      </c>
      <c r="M135" s="185" t="inlineStr">
        <is>
          <t>22.61</t>
        </is>
      </c>
      <c r="N135" s="183" t="inlineStr">
        <is>
          <t>197-11-K-26, (07.08.2026) [FHM-K]</t>
        </is>
      </c>
      <c r="O135" s="184" t="inlineStr">
        <is>
          <t>✓</t>
        </is>
      </c>
      <c r="P135" s="186" t="inlineStr">
        <is>
          <t>&lt; LOQ</t>
        </is>
      </c>
      <c r="Q135" s="183" t="inlineStr">
        <is>
          <t>197-11-K-26, (07.08.2026) [FHM-K]</t>
        </is>
      </c>
      <c r="R135" s="184" t="inlineStr">
        <is>
          <t>✓</t>
        </is>
      </c>
      <c r="S135" s="186" t="inlineStr">
        <is>
          <t>0.23</t>
        </is>
      </c>
      <c r="T135" s="183" t="inlineStr">
        <is>
          <t>197-11-K-26, (07.08.2026) [FHM-K]</t>
        </is>
      </c>
      <c r="U135" s="184" t="inlineStr">
        <is>
          <t>✓</t>
        </is>
      </c>
      <c r="V135" s="180" t="n"/>
      <c r="W135" s="179" t="n"/>
      <c r="X135" s="181" t="n"/>
      <c r="Y135" s="187" t="inlineStr">
        <is>
          <t>not on this certificate</t>
        </is>
      </c>
      <c r="Z135" s="188" t="inlineStr">
        <is>
          <t>197-11-K-26, (07.08.2026) [FHM-K] · on file, not credited</t>
        </is>
      </c>
      <c r="AA135" s="189" t="inlineStr">
        <is>
          <t>•</t>
        </is>
      </c>
      <c r="AB135" s="180" t="n"/>
      <c r="AC135" s="179" t="n"/>
      <c r="AD135" s="179" t="n"/>
      <c r="AE135" s="179" t="n"/>
      <c r="AF135" s="179" t="n"/>
      <c r="AG135" s="181" t="n"/>
      <c r="AH135" s="180" t="n"/>
      <c r="AI135" s="179" t="n"/>
      <c r="AJ135" s="179" t="n"/>
      <c r="AK135" s="181" t="n"/>
      <c r="AL135" s="180" t="n"/>
      <c r="AM135" s="179" t="n"/>
      <c r="AN135" s="179" t="n"/>
      <c r="AO135" s="179" t="n"/>
      <c r="AP135" s="181" t="n"/>
      <c r="AQ135" s="180" t="n"/>
      <c r="AR135" s="179" t="n"/>
      <c r="AS135" s="192" t="n"/>
    </row>
    <row r="136" ht="15.375" customHeight="1" s="70">
      <c r="A136" s="193" t="n"/>
      <c r="B136" s="194" t="n"/>
      <c r="C136" s="194" t="n"/>
      <c r="D136" s="195" t="n"/>
      <c r="E136" s="194" t="n"/>
      <c r="F136" s="196" t="n"/>
      <c r="G136" s="195" t="n"/>
      <c r="H136" s="194" t="n"/>
      <c r="I136" s="196" t="n"/>
      <c r="J136" s="195" t="n"/>
      <c r="K136" s="194" t="n"/>
      <c r="L136" s="196" t="n"/>
      <c r="M136" s="195" t="n"/>
      <c r="N136" s="194" t="n"/>
      <c r="O136" s="196" t="n"/>
      <c r="P136" s="195" t="n"/>
      <c r="Q136" s="194" t="n"/>
      <c r="R136" s="196" t="n"/>
      <c r="S136" s="195" t="n"/>
      <c r="T136" s="194" t="n"/>
      <c r="U136" s="196" t="n"/>
      <c r="V136" s="195" t="n"/>
      <c r="W136" s="194" t="n"/>
      <c r="X136" s="196" t="n"/>
      <c r="Y136" s="195" t="n"/>
      <c r="Z136" s="194" t="n"/>
      <c r="AA136" s="196" t="n"/>
      <c r="AB136" s="195" t="n"/>
      <c r="AC136" s="194" t="n"/>
      <c r="AD136" s="194" t="n"/>
      <c r="AE136" s="194" t="n"/>
      <c r="AF136" s="194" t="n"/>
      <c r="AG136" s="196" t="n"/>
      <c r="AH136" s="195" t="n"/>
      <c r="AI136" s="194" t="n"/>
      <c r="AJ136" s="194" t="n"/>
      <c r="AK136" s="196" t="n"/>
      <c r="AL136" s="195" t="n"/>
      <c r="AM136" s="194" t="n"/>
      <c r="AN136" s="194" t="n"/>
      <c r="AO136" s="194" t="n"/>
      <c r="AP136" s="196" t="n"/>
      <c r="AQ136" s="195" t="n"/>
      <c r="AR136" s="194" t="n"/>
      <c r="AS136" s="198" t="n"/>
    </row>
    <row r="137" ht="21" customHeight="1" s="70">
      <c r="A137" s="160" t="inlineStr">
        <is>
          <t>MB0824_04</t>
        </is>
      </c>
      <c r="B137" s="161" t="inlineStr">
        <is>
          <t>P050032</t>
        </is>
      </c>
      <c r="C137" s="199" t="inlineStr">
        <is>
          <t>⚠ 1 NO RESULT
(0 no cert / 1 cert w/o result)
2 testing instances
• 1 document(s) on file, not credited</t>
        </is>
      </c>
      <c r="D137" s="163" t="inlineStr">
        <is>
          <t>Conforms</t>
        </is>
      </c>
      <c r="E137" s="164">
        <f>IFERROR(INDEX('iCoA Register'!$B:$B,MATCH("P050032|I",'iCoA Register'!$P:$P,0)),"iCoA — at issue")&amp;", (16.06.2025) [PP]"</f>
        <v/>
      </c>
      <c r="F137" s="165" t="inlineStr">
        <is>
          <t>✓</t>
        </is>
      </c>
      <c r="G137" s="166" t="inlineStr">
        <is>
          <t>not ingested</t>
        </is>
      </c>
      <c r="H137" s="167" t="inlineStr">
        <is>
          <t>ППК25118, (06.05.2025) [CNP] · on file, not credited</t>
        </is>
      </c>
      <c r="I137" s="168" t="inlineStr">
        <is>
          <t>•</t>
        </is>
      </c>
      <c r="J137" s="163" t="inlineStr">
        <is>
          <t>Conforms (ImB spec.) ᴿ</t>
        </is>
      </c>
      <c r="K137" s="164" t="inlineStr">
        <is>
          <t>ППК25118, (06.05.2025) [CNP]</t>
        </is>
      </c>
      <c r="L137" s="165" t="inlineStr">
        <is>
          <t>✓</t>
        </is>
      </c>
      <c r="M137" s="169" t="inlineStr">
        <is>
          <t>18.67 ᴿ</t>
        </is>
      </c>
      <c r="N137" s="164" t="inlineStr">
        <is>
          <t>ППК25118, (06.05.2025) [CNP]</t>
        </is>
      </c>
      <c r="O137" s="165" t="inlineStr">
        <is>
          <t>✓</t>
        </is>
      </c>
      <c r="P137" s="170" t="inlineStr">
        <is>
          <t>0.05 ᴿ</t>
        </is>
      </c>
      <c r="Q137" s="164" t="inlineStr">
        <is>
          <t>ППК25118, (06.05.2025) [CNP]</t>
        </is>
      </c>
      <c r="R137" s="165" t="inlineStr">
        <is>
          <t>✓</t>
        </is>
      </c>
      <c r="S137" s="252" t="inlineStr">
        <is>
          <t>not ingested</t>
        </is>
      </c>
      <c r="T137" s="253" t="inlineStr">
        <is>
          <t>ППК25118, (06.05.2025) [CNP]</t>
        </is>
      </c>
      <c r="U137" s="244" t="inlineStr">
        <is>
          <t>✗</t>
        </is>
      </c>
      <c r="V137" s="163" t="inlineStr">
        <is>
          <t>Conforms</t>
        </is>
      </c>
      <c r="W137" s="164">
        <f>IFERROR(INDEX('iCoA Register'!$B:$B,MATCH("P050032|I",'iCoA Register'!$P:$P,0)),"iCoA — at issue")&amp;", (16.06.2025) [PP]"</f>
        <v/>
      </c>
      <c r="X137" s="165" t="inlineStr">
        <is>
          <t>✓</t>
        </is>
      </c>
      <c r="Y137" s="163" t="inlineStr">
        <is>
          <t>6.01 ᴿ</t>
        </is>
      </c>
      <c r="Z137" s="164" t="inlineStr">
        <is>
          <t>ППК25118, (06.05.2025) [CNP]</t>
        </is>
      </c>
      <c r="AA137" s="165" t="inlineStr">
        <is>
          <t>✓</t>
        </is>
      </c>
      <c r="AB137" s="163" t="inlineStr">
        <is>
          <t>&lt; 10 ᴿ</t>
        </is>
      </c>
      <c r="AC137" s="171" t="inlineStr">
        <is>
          <t>&lt; 10 ᴿ</t>
        </is>
      </c>
      <c r="AD137" s="171" t="inlineStr">
        <is>
          <t>&lt; 10 ᴿ</t>
        </is>
      </c>
      <c r="AE137" s="171" t="inlineStr">
        <is>
          <t>Absent ᴿ</t>
        </is>
      </c>
      <c r="AF137" s="171" t="inlineStr">
        <is>
          <t>Absent ᴿ</t>
        </is>
      </c>
      <c r="AG137" s="165" t="inlineStr">
        <is>
          <t>✓</t>
        </is>
      </c>
      <c r="AH137" s="163" t="inlineStr">
        <is>
          <t>not reported</t>
        </is>
      </c>
      <c r="AI137" s="171" t="inlineStr">
        <is>
          <t>&lt; 2 ᴿ</t>
        </is>
      </c>
      <c r="AJ137" s="171" t="inlineStr">
        <is>
          <t>not reported</t>
        </is>
      </c>
      <c r="AK137" s="165" t="inlineStr">
        <is>
          <t>✓</t>
        </is>
      </c>
      <c r="AL137" s="163" t="inlineStr">
        <is>
          <t>0.031 ᴿ</t>
        </is>
      </c>
      <c r="AM137" s="171" t="inlineStr">
        <is>
          <t>0.005 ᴿ</t>
        </is>
      </c>
      <c r="AN137" s="171" t="inlineStr">
        <is>
          <t>0.011 ᴿ</t>
        </is>
      </c>
      <c r="AO137" s="171" t="inlineStr">
        <is>
          <t>ND ᴿ</t>
        </is>
      </c>
      <c r="AP137" s="165" t="inlineStr">
        <is>
          <t>✓</t>
        </is>
      </c>
      <c r="AQ137" s="163" t="inlineStr">
        <is>
          <t>ND ᴿ</t>
        </is>
      </c>
      <c r="AR137" s="164" t="inlineStr">
        <is>
          <t>2157-2025, (07.05.2025) [IJZ]</t>
        </is>
      </c>
      <c r="AS137" s="172" t="inlineStr">
        <is>
          <t>✓</t>
        </is>
      </c>
    </row>
    <row r="138" ht="13" customHeight="1" s="70">
      <c r="A138" s="173" t="n"/>
      <c r="D138" s="174" t="n"/>
      <c r="F138" s="175" t="n"/>
      <c r="G138" s="174" t="n"/>
      <c r="I138" s="175" t="n"/>
      <c r="J138" s="174" t="n"/>
      <c r="L138" s="175" t="n"/>
      <c r="M138" s="174" t="n"/>
      <c r="O138" s="175" t="n"/>
      <c r="P138" s="174" t="n"/>
      <c r="R138" s="175" t="n"/>
      <c r="S138" s="174" t="n"/>
      <c r="U138" s="175" t="n"/>
      <c r="V138" s="174" t="n"/>
      <c r="X138" s="175" t="n"/>
      <c r="Y138" s="174" t="n"/>
      <c r="AA138" s="175" t="n"/>
      <c r="AB138" s="176" t="inlineStr">
        <is>
          <t>406-0744-25, (05.05.2025) [IJZ-MB]</t>
        </is>
      </c>
      <c r="AG138" s="175" t="n"/>
      <c r="AH138" s="176" t="inlineStr">
        <is>
          <t>2157-2025, (07.05.2025) [IJZ]</t>
        </is>
      </c>
      <c r="AK138" s="175" t="n"/>
      <c r="AL138" s="176" t="inlineStr">
        <is>
          <t>2157-2025, (07.05.2025) [IJZ]</t>
        </is>
      </c>
      <c r="AP138" s="175" t="n"/>
      <c r="AQ138" s="174" t="n"/>
      <c r="AS138" s="177" t="n"/>
    </row>
    <row r="139" ht="14" customHeight="1" s="70">
      <c r="A139" s="178" t="n"/>
      <c r="B139" s="179" t="n"/>
      <c r="D139" s="180" t="n"/>
      <c r="E139" s="179" t="n"/>
      <c r="F139" s="181" t="n"/>
      <c r="G139" s="182" t="inlineStr">
        <is>
          <t>Conforms</t>
        </is>
      </c>
      <c r="H139" s="183">
        <f>IFERROR(INDEX('iCoA Register'!$B:$B,MATCH("P050032|I",'iCoA Register'!$P:$P,0)),"iCoA — at issue")&amp;", (16.06.2025) [PP]"</f>
        <v/>
      </c>
      <c r="I139" s="184" t="inlineStr">
        <is>
          <t>✓</t>
        </is>
      </c>
      <c r="J139" s="180" t="n"/>
      <c r="K139" s="179" t="n"/>
      <c r="L139" s="181" t="n"/>
      <c r="M139" s="180" t="n"/>
      <c r="N139" s="179" t="n"/>
      <c r="O139" s="181" t="n"/>
      <c r="P139" s="180" t="n"/>
      <c r="Q139" s="179" t="n"/>
      <c r="R139" s="181" t="n"/>
      <c r="S139" s="180" t="n"/>
      <c r="T139" s="179" t="n"/>
      <c r="U139" s="181" t="n"/>
      <c r="V139" s="180" t="n"/>
      <c r="W139" s="179" t="n"/>
      <c r="X139" s="181" t="n"/>
      <c r="Y139" s="180" t="n"/>
      <c r="Z139" s="179" t="n"/>
      <c r="AA139" s="181" t="n"/>
      <c r="AB139" s="190" t="inlineStr">
        <is>
          <t>&lt; 10</t>
        </is>
      </c>
      <c r="AC139" s="191" t="inlineStr">
        <is>
          <t>&lt; 10</t>
        </is>
      </c>
      <c r="AD139" s="191" t="inlineStr">
        <is>
          <t>&lt; 10</t>
        </is>
      </c>
      <c r="AE139" s="191" t="inlineStr">
        <is>
          <t>Absent</t>
        </is>
      </c>
      <c r="AF139" s="191" t="inlineStr">
        <is>
          <t>Absent</t>
        </is>
      </c>
      <c r="AG139" s="184" t="inlineStr">
        <is>
          <t>✓</t>
        </is>
      </c>
      <c r="AH139" s="180" t="n"/>
      <c r="AI139" s="179" t="n"/>
      <c r="AJ139" s="179" t="n"/>
      <c r="AK139" s="181" t="n"/>
      <c r="AL139" s="180" t="n"/>
      <c r="AM139" s="179" t="n"/>
      <c r="AN139" s="179" t="n"/>
      <c r="AO139" s="179" t="n"/>
      <c r="AP139" s="181" t="n"/>
      <c r="AQ139" s="180" t="n"/>
      <c r="AR139" s="179" t="n"/>
      <c r="AS139" s="192" t="n"/>
    </row>
    <row r="140" ht="13" customHeight="1" s="70">
      <c r="A140" s="193" t="n"/>
      <c r="B140" s="194" t="n"/>
      <c r="C140" s="194" t="n"/>
      <c r="D140" s="195" t="n"/>
      <c r="E140" s="194" t="n"/>
      <c r="F140" s="196" t="n"/>
      <c r="G140" s="195" t="n"/>
      <c r="H140" s="194" t="n"/>
      <c r="I140" s="196" t="n"/>
      <c r="J140" s="195" t="n"/>
      <c r="K140" s="194" t="n"/>
      <c r="L140" s="196" t="n"/>
      <c r="M140" s="195" t="n"/>
      <c r="N140" s="194" t="n"/>
      <c r="O140" s="196" t="n"/>
      <c r="P140" s="195" t="n"/>
      <c r="Q140" s="194" t="n"/>
      <c r="R140" s="196" t="n"/>
      <c r="S140" s="195" t="n"/>
      <c r="T140" s="194" t="n"/>
      <c r="U140" s="196" t="n"/>
      <c r="V140" s="195" t="n"/>
      <c r="W140" s="194" t="n"/>
      <c r="X140" s="196" t="n"/>
      <c r="Y140" s="195" t="n"/>
      <c r="Z140" s="194" t="n"/>
      <c r="AA140" s="196" t="n"/>
      <c r="AB140" s="197" t="inlineStr">
        <is>
          <t>563-1094-26, (01.09.2026) [IJZ-MB]</t>
        </is>
      </c>
      <c r="AC140" s="194" t="n"/>
      <c r="AD140" s="194" t="n"/>
      <c r="AE140" s="194" t="n"/>
      <c r="AF140" s="194" t="n"/>
      <c r="AG140" s="196" t="n"/>
      <c r="AH140" s="195" t="n"/>
      <c r="AI140" s="194" t="n"/>
      <c r="AJ140" s="194" t="n"/>
      <c r="AK140" s="196" t="n"/>
      <c r="AL140" s="195" t="n"/>
      <c r="AM140" s="194" t="n"/>
      <c r="AN140" s="194" t="n"/>
      <c r="AO140" s="194" t="n"/>
      <c r="AP140" s="196" t="n"/>
      <c r="AQ140" s="195" t="n"/>
      <c r="AR140" s="194" t="n"/>
      <c r="AS140" s="198" t="n"/>
    </row>
    <row r="141" ht="21" customHeight="1" s="70">
      <c r="A141" s="160" t="inlineStr">
        <is>
          <t>OMP1024_01</t>
        </is>
      </c>
      <c r="B141" s="161" t="inlineStr">
        <is>
          <t>P050042</t>
        </is>
      </c>
      <c r="C141" s="162" t="inlineStr">
        <is>
          <t>✓ COMPLETE
2 testing instances
• 2 document(s) on file, not credited</t>
        </is>
      </c>
      <c r="D141" s="163" t="inlineStr">
        <is>
          <t>Conforms</t>
        </is>
      </c>
      <c r="E141" s="164">
        <f>IFERROR(INDEX('iCoA Register'!$B:$B,MATCH("P060342|I",'iCoA Register'!$P:$P,0)),"iCoA — at issue")&amp;", (20.06.2025) [PP]"</f>
        <v/>
      </c>
      <c r="F141" s="165" t="inlineStr">
        <is>
          <t>✓</t>
        </is>
      </c>
      <c r="G141" s="166" t="inlineStr">
        <is>
          <t>not on this certificate</t>
        </is>
      </c>
      <c r="H141" s="167" t="inlineStr">
        <is>
          <t>ППК25117, (06.05.2025) [CNP] · on file, not credited</t>
        </is>
      </c>
      <c r="I141" s="168" t="inlineStr">
        <is>
          <t>•</t>
        </is>
      </c>
      <c r="J141" s="163" t="inlineStr">
        <is>
          <t>Conforms (ImB spec.)</t>
        </is>
      </c>
      <c r="K141" s="164" t="inlineStr">
        <is>
          <t>ППК25117, (06.05.2025) [CNP]</t>
        </is>
      </c>
      <c r="L141" s="165" t="inlineStr">
        <is>
          <t>✓</t>
        </is>
      </c>
      <c r="M141" s="169" t="inlineStr">
        <is>
          <t>15.38</t>
        </is>
      </c>
      <c r="N141" s="164" t="inlineStr">
        <is>
          <t>ППК25117, (06.05.2025) [CNP]</t>
        </is>
      </c>
      <c r="O141" s="165" t="inlineStr">
        <is>
          <t>✓</t>
        </is>
      </c>
      <c r="P141" s="170" t="inlineStr">
        <is>
          <t>0.04</t>
        </is>
      </c>
      <c r="Q141" s="164" t="inlineStr">
        <is>
          <t>ППК25117, (06.05.2025) [CNP]</t>
        </is>
      </c>
      <c r="R141" s="165" t="inlineStr">
        <is>
          <t>✓</t>
        </is>
      </c>
      <c r="S141" s="170" t="inlineStr">
        <is>
          <t>0.01 ᴰ</t>
        </is>
      </c>
      <c r="T141" s="164" t="inlineStr">
        <is>
          <t>ППК25117, (06.05.2025) [CNP]</t>
        </is>
      </c>
      <c r="U141" s="165" t="inlineStr">
        <is>
          <t>✓</t>
        </is>
      </c>
      <c r="V141" s="163" t="inlineStr">
        <is>
          <t>Conforms</t>
        </is>
      </c>
      <c r="W141" s="164">
        <f>IFERROR(INDEX('iCoA Register'!$B:$B,MATCH("P060342|I",'iCoA Register'!$P:$P,0)),"iCoA — at issue")&amp;", (20.06.2025) [PP]"</f>
        <v/>
      </c>
      <c r="X141" s="165" t="inlineStr">
        <is>
          <t>✓</t>
        </is>
      </c>
      <c r="Y141" s="163" t="inlineStr">
        <is>
          <t>5.86</t>
        </is>
      </c>
      <c r="Z141" s="164" t="inlineStr">
        <is>
          <t>ППК25117, (06.05.2025) [CNP]</t>
        </is>
      </c>
      <c r="AA141" s="165" t="inlineStr">
        <is>
          <t>✓</t>
        </is>
      </c>
      <c r="AB141" s="163" t="inlineStr">
        <is>
          <t>10</t>
        </is>
      </c>
      <c r="AC141" s="171" t="inlineStr">
        <is>
          <t>&lt; 10</t>
        </is>
      </c>
      <c r="AD141" s="171" t="inlineStr">
        <is>
          <t>&lt; 10² and &gt; 10</t>
        </is>
      </c>
      <c r="AE141" s="171" t="inlineStr">
        <is>
          <t>Absent</t>
        </is>
      </c>
      <c r="AF141" s="171" t="inlineStr">
        <is>
          <t>Absent</t>
        </is>
      </c>
      <c r="AG141" s="165" t="inlineStr">
        <is>
          <t>✓</t>
        </is>
      </c>
      <c r="AH141" s="163" t="inlineStr">
        <is>
          <t>ND</t>
        </is>
      </c>
      <c r="AI141" s="171" t="inlineStr">
        <is>
          <t>&lt; 2</t>
        </is>
      </c>
      <c r="AJ141" s="171" t="inlineStr">
        <is>
          <t>ND</t>
        </is>
      </c>
      <c r="AK141" s="165" t="inlineStr">
        <is>
          <t>✓</t>
        </is>
      </c>
      <c r="AL141" s="163" t="inlineStr">
        <is>
          <t>0.031</t>
        </is>
      </c>
      <c r="AM141" s="171" t="inlineStr">
        <is>
          <t>0.004</t>
        </is>
      </c>
      <c r="AN141" s="171" t="inlineStr">
        <is>
          <t>0.01</t>
        </is>
      </c>
      <c r="AO141" s="171" t="inlineStr">
        <is>
          <t>0.001</t>
        </is>
      </c>
      <c r="AP141" s="165" t="inlineStr">
        <is>
          <t>✓</t>
        </is>
      </c>
      <c r="AQ141" s="163" t="inlineStr">
        <is>
          <t>≤ LOQ (all 26 compounds)</t>
        </is>
      </c>
      <c r="AR141" s="164" t="inlineStr">
        <is>
          <t>2156-2025, (07.05.2025) [IJZ]</t>
        </is>
      </c>
      <c r="AS141" s="172" t="inlineStr">
        <is>
          <t>✓</t>
        </is>
      </c>
    </row>
    <row r="142" ht="13" customHeight="1" s="70">
      <c r="A142" s="173" t="n"/>
      <c r="D142" s="174" t="n"/>
      <c r="F142" s="175" t="n"/>
      <c r="G142" s="174" t="n"/>
      <c r="I142" s="175" t="n"/>
      <c r="J142" s="174" t="n"/>
      <c r="L142" s="175" t="n"/>
      <c r="M142" s="174" t="n"/>
      <c r="O142" s="175" t="n"/>
      <c r="P142" s="174" t="n"/>
      <c r="R142" s="175" t="n"/>
      <c r="S142" s="174" t="n"/>
      <c r="U142" s="175" t="n"/>
      <c r="V142" s="174" t="n"/>
      <c r="X142" s="175" t="n"/>
      <c r="Y142" s="174" t="n"/>
      <c r="AA142" s="175" t="n"/>
      <c r="AB142" s="176" t="inlineStr">
        <is>
          <t>407-0745-25, (05.05.2025) [IJZ-MB]</t>
        </is>
      </c>
      <c r="AG142" s="175" t="n"/>
      <c r="AH142" s="176" t="inlineStr">
        <is>
          <t>2156-2025, (07.05.2025) [IJZ]</t>
        </is>
      </c>
      <c r="AK142" s="175" t="n"/>
      <c r="AL142" s="176" t="inlineStr">
        <is>
          <t>2156-2025, (07.05.2025) [IJZ]</t>
        </is>
      </c>
      <c r="AP142" s="175" t="n"/>
      <c r="AQ142" s="174" t="n"/>
      <c r="AS142" s="177" t="n"/>
    </row>
    <row r="143" ht="21" customHeight="1" s="70">
      <c r="A143" s="178" t="n"/>
      <c r="B143" s="179" t="n"/>
      <c r="D143" s="180" t="n"/>
      <c r="E143" s="179" t="n"/>
      <c r="F143" s="181" t="n"/>
      <c r="G143" s="182" t="inlineStr">
        <is>
          <t>Conforms</t>
        </is>
      </c>
      <c r="H143" s="183">
        <f>IFERROR(INDEX('iCoA Register'!$B:$B,MATCH("P060342|I",'iCoA Register'!$P:$P,0)),"iCoA — at issue")&amp;", (20.06.2025) [PP]"</f>
        <v/>
      </c>
      <c r="I143" s="184" t="inlineStr">
        <is>
          <t>✓</t>
        </is>
      </c>
      <c r="J143" s="180" t="n"/>
      <c r="K143" s="179" t="n"/>
      <c r="L143" s="181" t="n"/>
      <c r="M143" s="180" t="n"/>
      <c r="N143" s="179" t="n"/>
      <c r="O143" s="181" t="n"/>
      <c r="P143" s="180" t="n"/>
      <c r="Q143" s="179" t="n"/>
      <c r="R143" s="181" t="n"/>
      <c r="S143" s="180" t="n"/>
      <c r="T143" s="179" t="n"/>
      <c r="U143" s="181" t="n"/>
      <c r="V143" s="180" t="n"/>
      <c r="W143" s="179" t="n"/>
      <c r="X143" s="181" t="n"/>
      <c r="Y143" s="180" t="n"/>
      <c r="Z143" s="179" t="n"/>
      <c r="AA143" s="181" t="n"/>
      <c r="AB143" s="227" t="inlineStr">
        <is>
          <t>&lt; 10 ᴿ</t>
        </is>
      </c>
      <c r="AC143" s="248" t="inlineStr">
        <is>
          <t>&lt; 10 ᴿ</t>
        </is>
      </c>
      <c r="AD143" s="248" t="inlineStr">
        <is>
          <t>&lt; 10² and &gt; 10 ᴿ</t>
        </is>
      </c>
      <c r="AE143" s="248" t="inlineStr">
        <is>
          <t>Absent ᴿ</t>
        </is>
      </c>
      <c r="AF143" s="248" t="inlineStr">
        <is>
          <t>Absent ᴿ</t>
        </is>
      </c>
      <c r="AG143" s="189" t="inlineStr">
        <is>
          <t>•</t>
        </is>
      </c>
      <c r="AH143" s="180" t="n"/>
      <c r="AI143" s="179" t="n"/>
      <c r="AJ143" s="179" t="n"/>
      <c r="AK143" s="181" t="n"/>
      <c r="AL143" s="180" t="n"/>
      <c r="AM143" s="179" t="n"/>
      <c r="AN143" s="179" t="n"/>
      <c r="AO143" s="179" t="n"/>
      <c r="AP143" s="181" t="n"/>
      <c r="AQ143" s="180" t="n"/>
      <c r="AR143" s="179" t="n"/>
      <c r="AS143" s="192" t="n"/>
    </row>
    <row r="144" ht="13" customHeight="1" s="70">
      <c r="A144" s="193" t="n"/>
      <c r="B144" s="194" t="n"/>
      <c r="C144" s="194" t="n"/>
      <c r="D144" s="195" t="n"/>
      <c r="E144" s="194" t="n"/>
      <c r="F144" s="196" t="n"/>
      <c r="G144" s="195" t="n"/>
      <c r="H144" s="194" t="n"/>
      <c r="I144" s="196" t="n"/>
      <c r="J144" s="195" t="n"/>
      <c r="K144" s="194" t="n"/>
      <c r="L144" s="196" t="n"/>
      <c r="M144" s="195" t="n"/>
      <c r="N144" s="194" t="n"/>
      <c r="O144" s="196" t="n"/>
      <c r="P144" s="195" t="n"/>
      <c r="Q144" s="194" t="n"/>
      <c r="R144" s="196" t="n"/>
      <c r="S144" s="195" t="n"/>
      <c r="T144" s="194" t="n"/>
      <c r="U144" s="196" t="n"/>
      <c r="V144" s="195" t="n"/>
      <c r="W144" s="194" t="n"/>
      <c r="X144" s="196" t="n"/>
      <c r="Y144" s="195" t="n"/>
      <c r="Z144" s="194" t="n"/>
      <c r="AA144" s="196" t="n"/>
      <c r="AB144" s="261" t="inlineStr">
        <is>
          <t>2156-2025, (07.05.2025) [IJZ] · on file, not credited</t>
        </is>
      </c>
      <c r="AC144" s="194" t="n"/>
      <c r="AD144" s="194" t="n"/>
      <c r="AE144" s="194" t="n"/>
      <c r="AF144" s="194" t="n"/>
      <c r="AG144" s="196" t="n"/>
      <c r="AH144" s="195" t="n"/>
      <c r="AI144" s="194" t="n"/>
      <c r="AJ144" s="194" t="n"/>
      <c r="AK144" s="196" t="n"/>
      <c r="AL144" s="195" t="n"/>
      <c r="AM144" s="194" t="n"/>
      <c r="AN144" s="194" t="n"/>
      <c r="AO144" s="194" t="n"/>
      <c r="AP144" s="196" t="n"/>
      <c r="AQ144" s="195" t="n"/>
      <c r="AR144" s="194" t="n"/>
      <c r="AS144" s="198" t="n"/>
    </row>
    <row r="145" ht="17.625" customHeight="1" s="70">
      <c r="A145" s="160" t="inlineStr">
        <is>
          <t>HPA1024_01</t>
        </is>
      </c>
      <c r="B145" s="161" t="inlineStr">
        <is>
          <t>P050052</t>
        </is>
      </c>
      <c r="C145" s="199" t="inlineStr">
        <is>
          <t>✓ COMPLETE
2 testing instances
• 2 document(s) on file, not credited
◐ UNDETERMINED (Ph. Eur. band): #9 TYMC</t>
        </is>
      </c>
      <c r="D145" s="163" t="inlineStr">
        <is>
          <t>Conforms</t>
        </is>
      </c>
      <c r="E145" s="164">
        <f>IFERROR(INDEX('iCoA Register'!$B:$B,MATCH("P050052|I",'iCoA Register'!$P:$P,0)),"iCoA — at issue")&amp;", (27.06.2025) [PP]"</f>
        <v/>
      </c>
      <c r="F145" s="165" t="inlineStr">
        <is>
          <t>✓</t>
        </is>
      </c>
      <c r="G145" s="166" t="inlineStr">
        <is>
          <t>not on this certificate</t>
        </is>
      </c>
      <c r="H145" s="167" t="inlineStr">
        <is>
          <t>ППК25155, (24.06.2025) [CNP] · on file, not credited</t>
        </is>
      </c>
      <c r="I145" s="168" t="inlineStr">
        <is>
          <t>•</t>
        </is>
      </c>
      <c r="J145" s="163" t="inlineStr">
        <is>
          <t>Conforms (ImB spec.)</t>
        </is>
      </c>
      <c r="K145" s="164" t="inlineStr">
        <is>
          <t>ППК25155, (24.06.2025) [CNP]</t>
        </is>
      </c>
      <c r="L145" s="165" t="inlineStr">
        <is>
          <t>✓</t>
        </is>
      </c>
      <c r="M145" s="169" t="inlineStr">
        <is>
          <t>22.43</t>
        </is>
      </c>
      <c r="N145" s="164" t="inlineStr">
        <is>
          <t>ППК25155, (24.06.2025) [CNP]</t>
        </is>
      </c>
      <c r="O145" s="165" t="inlineStr">
        <is>
          <t>✓</t>
        </is>
      </c>
      <c r="P145" s="170" t="inlineStr">
        <is>
          <t>0.10</t>
        </is>
      </c>
      <c r="Q145" s="164" t="inlineStr">
        <is>
          <t>ППК25155, (24.06.2025) [CNP]</t>
        </is>
      </c>
      <c r="R145" s="165" t="inlineStr">
        <is>
          <t>✓</t>
        </is>
      </c>
      <c r="S145" s="170" t="inlineStr">
        <is>
          <t>0.02 ᴰ</t>
        </is>
      </c>
      <c r="T145" s="164" t="inlineStr">
        <is>
          <t>ППК25155, (24.06.2025) [CNP]</t>
        </is>
      </c>
      <c r="U145" s="165" t="inlineStr">
        <is>
          <t>✓</t>
        </is>
      </c>
      <c r="V145" s="163" t="inlineStr">
        <is>
          <t>Conforms</t>
        </is>
      </c>
      <c r="W145" s="164">
        <f>IFERROR(INDEX('iCoA Register'!$B:$B,MATCH("P050052|I",'iCoA Register'!$P:$P,0)),"iCoA — at issue")&amp;", (27.06.2025) [PP]"</f>
        <v/>
      </c>
      <c r="X145" s="165" t="inlineStr">
        <is>
          <t>✓</t>
        </is>
      </c>
      <c r="Y145" s="163" t="inlineStr">
        <is>
          <t>6.36</t>
        </is>
      </c>
      <c r="Z145" s="164" t="inlineStr">
        <is>
          <t>ППК25155, (24.06.2025) [CNP]</t>
        </is>
      </c>
      <c r="AA145" s="165" t="inlineStr">
        <is>
          <t>✓</t>
        </is>
      </c>
      <c r="AB145" s="163" t="inlineStr">
        <is>
          <t>9.6 × 10³</t>
        </is>
      </c>
      <c r="AC145" s="254" t="inlineStr">
        <is>
          <t>1.5 × 10⁴</t>
        </is>
      </c>
      <c r="AD145" s="171" t="inlineStr">
        <is>
          <t>&lt; 10</t>
        </is>
      </c>
      <c r="AE145" s="171" t="inlineStr">
        <is>
          <t>Absent</t>
        </is>
      </c>
      <c r="AF145" s="171" t="inlineStr">
        <is>
          <t>Absent</t>
        </is>
      </c>
      <c r="AG145" s="165" t="inlineStr">
        <is>
          <t>✓</t>
        </is>
      </c>
      <c r="AH145" s="163" t="inlineStr">
        <is>
          <t>ND</t>
        </is>
      </c>
      <c r="AI145" s="171" t="inlineStr">
        <is>
          <t>&lt; 2</t>
        </is>
      </c>
      <c r="AJ145" s="171" t="inlineStr">
        <is>
          <t>ND</t>
        </is>
      </c>
      <c r="AK145" s="165" t="inlineStr">
        <is>
          <t>✓</t>
        </is>
      </c>
      <c r="AL145" s="163" t="inlineStr">
        <is>
          <t>0.059</t>
        </is>
      </c>
      <c r="AM145" s="171" t="inlineStr">
        <is>
          <t>0.014</t>
        </is>
      </c>
      <c r="AN145" s="171" t="inlineStr">
        <is>
          <t>0.037</t>
        </is>
      </c>
      <c r="AO145" s="171" t="inlineStr">
        <is>
          <t>0.008</t>
        </is>
      </c>
      <c r="AP145" s="165" t="inlineStr">
        <is>
          <t>✓</t>
        </is>
      </c>
      <c r="AQ145" s="163" t="inlineStr">
        <is>
          <t>≤ LOQ (all 23 compounds)</t>
        </is>
      </c>
      <c r="AR145" s="164" t="inlineStr">
        <is>
          <t>2995-2025, (19.06.2025) [IJZ]</t>
        </is>
      </c>
      <c r="AS145" s="172" t="inlineStr">
        <is>
          <t>✓</t>
        </is>
      </c>
    </row>
    <row r="146" ht="13" customHeight="1" s="70">
      <c r="A146" s="173" t="n"/>
      <c r="D146" s="174" t="n"/>
      <c r="F146" s="175" t="n"/>
      <c r="G146" s="174" t="n"/>
      <c r="I146" s="175" t="n"/>
      <c r="J146" s="174" t="n"/>
      <c r="L146" s="175" t="n"/>
      <c r="M146" s="174" t="n"/>
      <c r="O146" s="175" t="n"/>
      <c r="P146" s="174" t="n"/>
      <c r="R146" s="175" t="n"/>
      <c r="S146" s="174" t="n"/>
      <c r="U146" s="175" t="n"/>
      <c r="V146" s="174" t="n"/>
      <c r="X146" s="175" t="n"/>
      <c r="Y146" s="174" t="n"/>
      <c r="AA146" s="175" t="n"/>
      <c r="AB146" s="176" t="inlineStr">
        <is>
          <t>587-1066-25, (18.06.2025) [IJZ-MB]</t>
        </is>
      </c>
      <c r="AG146" s="175" t="n"/>
      <c r="AH146" s="176" t="inlineStr">
        <is>
          <t>2995-2025, (19.06.2025) [IJZ]</t>
        </is>
      </c>
      <c r="AK146" s="175" t="n"/>
      <c r="AL146" s="176" t="inlineStr">
        <is>
          <t>2995-2025, (19.06.2025) [IJZ]</t>
        </is>
      </c>
      <c r="AP146" s="175" t="n"/>
      <c r="AQ146" s="174" t="n"/>
      <c r="AS146" s="177" t="n"/>
    </row>
    <row r="147" ht="17.625" customHeight="1" s="70">
      <c r="A147" s="178" t="n"/>
      <c r="B147" s="179" t="n"/>
      <c r="D147" s="180" t="n"/>
      <c r="E147" s="179" t="n"/>
      <c r="F147" s="181" t="n"/>
      <c r="G147" s="182" t="inlineStr">
        <is>
          <t>Conforms</t>
        </is>
      </c>
      <c r="H147" s="183">
        <f>IFERROR(INDEX('iCoA Register'!$B:$B,MATCH("P050052|I",'iCoA Register'!$P:$P,0)),"iCoA — at issue")&amp;", (27.06.2025) [PP]"</f>
        <v/>
      </c>
      <c r="I147" s="184" t="inlineStr">
        <is>
          <t>✓</t>
        </is>
      </c>
      <c r="J147" s="182" t="inlineStr">
        <is>
          <t>Conforms (ImB spec.) ᴿ</t>
        </is>
      </c>
      <c r="K147" s="183" t="inlineStr">
        <is>
          <t>197-14-K-26, (07.08.2026) [FHM-K]</t>
        </is>
      </c>
      <c r="L147" s="184" t="inlineStr">
        <is>
          <t>✓</t>
        </is>
      </c>
      <c r="M147" s="185" t="inlineStr">
        <is>
          <t>21.61</t>
        </is>
      </c>
      <c r="N147" s="183" t="inlineStr">
        <is>
          <t>197-14-K-26, (07.08.2026) [FHM-K]</t>
        </is>
      </c>
      <c r="O147" s="184" t="inlineStr">
        <is>
          <t>✓</t>
        </is>
      </c>
      <c r="P147" s="186" t="inlineStr">
        <is>
          <t>&lt; LOQ</t>
        </is>
      </c>
      <c r="Q147" s="183" t="inlineStr">
        <is>
          <t>197-14-K-26, (07.08.2026) [FHM-K]</t>
        </is>
      </c>
      <c r="R147" s="184" t="inlineStr">
        <is>
          <t>✓</t>
        </is>
      </c>
      <c r="S147" s="186" t="inlineStr">
        <is>
          <t>&lt; LOQ</t>
        </is>
      </c>
      <c r="T147" s="183" t="inlineStr">
        <is>
          <t>197-14-K-26, (07.08.2026) [FHM-K]</t>
        </is>
      </c>
      <c r="U147" s="184" t="inlineStr">
        <is>
          <t>✓</t>
        </is>
      </c>
      <c r="V147" s="180" t="n"/>
      <c r="W147" s="179" t="n"/>
      <c r="X147" s="181" t="n"/>
      <c r="Y147" s="187" t="inlineStr">
        <is>
          <t>not on this certificate</t>
        </is>
      </c>
      <c r="Z147" s="188" t="inlineStr">
        <is>
          <t>197-14-K-26, (07.08.2026) [FHM-K] · on file, not credited</t>
        </is>
      </c>
      <c r="AA147" s="189" t="inlineStr">
        <is>
          <t>•</t>
        </is>
      </c>
      <c r="AB147" s="180" t="n"/>
      <c r="AC147" s="179" t="n"/>
      <c r="AD147" s="179" t="n"/>
      <c r="AE147" s="179" t="n"/>
      <c r="AF147" s="179" t="n"/>
      <c r="AG147" s="181" t="n"/>
      <c r="AH147" s="190" t="inlineStr">
        <is>
          <t>ND</t>
        </is>
      </c>
      <c r="AI147" s="191" t="inlineStr">
        <is>
          <t>ND</t>
        </is>
      </c>
      <c r="AJ147" s="191" t="inlineStr">
        <is>
          <t>2.06</t>
        </is>
      </c>
      <c r="AK147" s="184" t="inlineStr">
        <is>
          <t>✓</t>
        </is>
      </c>
      <c r="AL147" s="180" t="n"/>
      <c r="AM147" s="179" t="n"/>
      <c r="AN147" s="179" t="n"/>
      <c r="AO147" s="179" t="n"/>
      <c r="AP147" s="181" t="n"/>
      <c r="AQ147" s="180" t="n"/>
      <c r="AR147" s="179" t="n"/>
      <c r="AS147" s="192" t="n"/>
    </row>
    <row r="148" ht="15.375" customHeight="1" s="70">
      <c r="A148" s="193" t="n"/>
      <c r="B148" s="194" t="n"/>
      <c r="C148" s="194" t="n"/>
      <c r="D148" s="195" t="n"/>
      <c r="E148" s="194" t="n"/>
      <c r="F148" s="196" t="n"/>
      <c r="G148" s="195" t="n"/>
      <c r="H148" s="194" t="n"/>
      <c r="I148" s="196" t="n"/>
      <c r="J148" s="195" t="n"/>
      <c r="K148" s="194" t="n"/>
      <c r="L148" s="196" t="n"/>
      <c r="M148" s="195" t="n"/>
      <c r="N148" s="194" t="n"/>
      <c r="O148" s="196" t="n"/>
      <c r="P148" s="195" t="n"/>
      <c r="Q148" s="194" t="n"/>
      <c r="R148" s="196" t="n"/>
      <c r="S148" s="195" t="n"/>
      <c r="T148" s="194" t="n"/>
      <c r="U148" s="196" t="n"/>
      <c r="V148" s="195" t="n"/>
      <c r="W148" s="194" t="n"/>
      <c r="X148" s="196" t="n"/>
      <c r="Y148" s="195" t="n"/>
      <c r="Z148" s="194" t="n"/>
      <c r="AA148" s="196" t="n"/>
      <c r="AB148" s="195" t="n"/>
      <c r="AC148" s="194" t="n"/>
      <c r="AD148" s="194" t="n"/>
      <c r="AE148" s="194" t="n"/>
      <c r="AF148" s="194" t="n"/>
      <c r="AG148" s="196" t="n"/>
      <c r="AH148" s="197" t="inlineStr">
        <is>
          <t>197-14-M-26, (10.08.2026) [FHM-M]</t>
        </is>
      </c>
      <c r="AI148" s="194" t="n"/>
      <c r="AJ148" s="194" t="n"/>
      <c r="AK148" s="196" t="n"/>
      <c r="AL148" s="195" t="n"/>
      <c r="AM148" s="194" t="n"/>
      <c r="AN148" s="194" t="n"/>
      <c r="AO148" s="194" t="n"/>
      <c r="AP148" s="196" t="n"/>
      <c r="AQ148" s="195" t="n"/>
      <c r="AR148" s="194" t="n"/>
      <c r="AS148" s="198" t="n"/>
    </row>
    <row r="149" ht="17.625" customHeight="1" s="70">
      <c r="A149" s="160" t="inlineStr">
        <is>
          <t>OPM1024_02</t>
        </is>
      </c>
      <c r="B149" s="161" t="inlineStr">
        <is>
          <t>P050062</t>
        </is>
      </c>
      <c r="C149" s="162" t="inlineStr">
        <is>
          <t>✓ COMPLETE
2 testing instances
• 2 document(s) on file, not credited</t>
        </is>
      </c>
      <c r="D149" s="163" t="inlineStr">
        <is>
          <t>Conforms</t>
        </is>
      </c>
      <c r="E149" s="164">
        <f>IFERROR(INDEX('iCoA Register'!$B:$B,MATCH("P050062|I",'iCoA Register'!$P:$P,0)),"iCoA — at issue")&amp;", (04.07.2025) [PP]"</f>
        <v/>
      </c>
      <c r="F149" s="165" t="inlineStr">
        <is>
          <t>✓</t>
        </is>
      </c>
      <c r="G149" s="166" t="inlineStr">
        <is>
          <t>not on this certificate</t>
        </is>
      </c>
      <c r="H149" s="167" t="inlineStr">
        <is>
          <t>ППК25154, (24.06.2025) [CNP] · on file, not credited</t>
        </is>
      </c>
      <c r="I149" s="168" t="inlineStr">
        <is>
          <t>•</t>
        </is>
      </c>
      <c r="J149" s="163" t="inlineStr">
        <is>
          <t>Conforms (ImB spec.)</t>
        </is>
      </c>
      <c r="K149" s="164" t="inlineStr">
        <is>
          <t>ППК25154, (24.06.2025) [CNP]</t>
        </is>
      </c>
      <c r="L149" s="165" t="inlineStr">
        <is>
          <t>✓</t>
        </is>
      </c>
      <c r="M149" s="169" t="inlineStr">
        <is>
          <t>18.27</t>
        </is>
      </c>
      <c r="N149" s="164" t="inlineStr">
        <is>
          <t>ППК25154, (24.06.2025) [CNP]</t>
        </is>
      </c>
      <c r="O149" s="165" t="inlineStr">
        <is>
          <t>✓</t>
        </is>
      </c>
      <c r="P149" s="170" t="inlineStr">
        <is>
          <t>0.05</t>
        </is>
      </c>
      <c r="Q149" s="164" t="inlineStr">
        <is>
          <t>ППК25154, (24.06.2025) [CNP]</t>
        </is>
      </c>
      <c r="R149" s="165" t="inlineStr">
        <is>
          <t>✓</t>
        </is>
      </c>
      <c r="S149" s="170" t="inlineStr">
        <is>
          <t>0.02 ᴰ</t>
        </is>
      </c>
      <c r="T149" s="164" t="inlineStr">
        <is>
          <t>ППК25154, (24.06.2025) [CNP]</t>
        </is>
      </c>
      <c r="U149" s="165" t="inlineStr">
        <is>
          <t>✓</t>
        </is>
      </c>
      <c r="V149" s="163" t="inlineStr">
        <is>
          <t>Conforms</t>
        </is>
      </c>
      <c r="W149" s="164">
        <f>IFERROR(INDEX('iCoA Register'!$B:$B,MATCH("P050062|I",'iCoA Register'!$P:$P,0)),"iCoA — at issue")&amp;", (04.07.2025) [PP]"</f>
        <v/>
      </c>
      <c r="X149" s="165" t="inlineStr">
        <is>
          <t>✓</t>
        </is>
      </c>
      <c r="Y149" s="163" t="inlineStr">
        <is>
          <t>6.89</t>
        </is>
      </c>
      <c r="Z149" s="164" t="inlineStr">
        <is>
          <t>ППК25154, (24.06.2025) [CNP]</t>
        </is>
      </c>
      <c r="AA149" s="165" t="inlineStr">
        <is>
          <t>✓</t>
        </is>
      </c>
      <c r="AB149" s="163" t="inlineStr">
        <is>
          <t>3.4 × 10³</t>
        </is>
      </c>
      <c r="AC149" s="171" t="inlineStr">
        <is>
          <t>3.6 × 10³</t>
        </is>
      </c>
      <c r="AD149" s="171" t="inlineStr">
        <is>
          <t>&lt; 10</t>
        </is>
      </c>
      <c r="AE149" s="171" t="inlineStr">
        <is>
          <t>Absent</t>
        </is>
      </c>
      <c r="AF149" s="171" t="inlineStr">
        <is>
          <t>Absent</t>
        </is>
      </c>
      <c r="AG149" s="165" t="inlineStr">
        <is>
          <t>✓</t>
        </is>
      </c>
      <c r="AH149" s="163" t="inlineStr">
        <is>
          <t>ND</t>
        </is>
      </c>
      <c r="AI149" s="171" t="inlineStr">
        <is>
          <t>&lt; 2</t>
        </is>
      </c>
      <c r="AJ149" s="171" t="inlineStr">
        <is>
          <t>ND</t>
        </is>
      </c>
      <c r="AK149" s="165" t="inlineStr">
        <is>
          <t>✓</t>
        </is>
      </c>
      <c r="AL149" s="163" t="inlineStr">
        <is>
          <t>0.052</t>
        </is>
      </c>
      <c r="AM149" s="171" t="inlineStr">
        <is>
          <t>0.011</t>
        </is>
      </c>
      <c r="AN149" s="171" t="inlineStr">
        <is>
          <t>0.028</t>
        </is>
      </c>
      <c r="AO149" s="171" t="inlineStr">
        <is>
          <t>0.061</t>
        </is>
      </c>
      <c r="AP149" s="165" t="inlineStr">
        <is>
          <t>✓</t>
        </is>
      </c>
      <c r="AQ149" s="163" t="inlineStr">
        <is>
          <t>FINDS: delta HCH &lt;0.01</t>
        </is>
      </c>
      <c r="AR149" s="164" t="inlineStr">
        <is>
          <t>2994-2025, (19.06.2025) [IJZ]</t>
        </is>
      </c>
      <c r="AS149" s="172" t="inlineStr">
        <is>
          <t>✓</t>
        </is>
      </c>
    </row>
    <row r="150" ht="13" customHeight="1" s="70">
      <c r="A150" s="173" t="n"/>
      <c r="D150" s="174" t="n"/>
      <c r="F150" s="175" t="n"/>
      <c r="G150" s="174" t="n"/>
      <c r="I150" s="175" t="n"/>
      <c r="J150" s="174" t="n"/>
      <c r="L150" s="175" t="n"/>
      <c r="M150" s="174" t="n"/>
      <c r="O150" s="175" t="n"/>
      <c r="P150" s="174" t="n"/>
      <c r="R150" s="175" t="n"/>
      <c r="S150" s="174" t="n"/>
      <c r="U150" s="175" t="n"/>
      <c r="V150" s="174" t="n"/>
      <c r="X150" s="175" t="n"/>
      <c r="Y150" s="174" t="n"/>
      <c r="AA150" s="175" t="n"/>
      <c r="AB150" s="176" t="inlineStr">
        <is>
          <t>588-1067-25, (18.06.2025) [IJZ-MB]</t>
        </is>
      </c>
      <c r="AG150" s="175" t="n"/>
      <c r="AH150" s="176" t="inlineStr">
        <is>
          <t>2994-2025, (19.06.2025) [IJZ]</t>
        </is>
      </c>
      <c r="AK150" s="175" t="n"/>
      <c r="AL150" s="176" t="inlineStr">
        <is>
          <t>2994-2025, (19.06.2025) [IJZ]</t>
        </is>
      </c>
      <c r="AP150" s="175" t="n"/>
      <c r="AQ150" s="174" t="n"/>
      <c r="AS150" s="177" t="n"/>
    </row>
    <row r="151" ht="17.625" customHeight="1" s="70">
      <c r="A151" s="178" t="n"/>
      <c r="B151" s="179" t="n"/>
      <c r="D151" s="180" t="n"/>
      <c r="E151" s="179" t="n"/>
      <c r="F151" s="181" t="n"/>
      <c r="G151" s="182" t="inlineStr">
        <is>
          <t>Conforms</t>
        </is>
      </c>
      <c r="H151" s="183">
        <f>IFERROR(INDEX('iCoA Register'!$B:$B,MATCH("P050062|I",'iCoA Register'!$P:$P,0)),"iCoA — at issue")&amp;", (04.07.2025) [PP]"</f>
        <v/>
      </c>
      <c r="I151" s="184" t="inlineStr">
        <is>
          <t>✓</t>
        </is>
      </c>
      <c r="J151" s="182" t="inlineStr">
        <is>
          <t>Conforms (ImB spec.) ᴿ</t>
        </is>
      </c>
      <c r="K151" s="183" t="inlineStr">
        <is>
          <t>197-18-K-26, (07.08.2026) [FHM-K]</t>
        </is>
      </c>
      <c r="L151" s="184" t="inlineStr">
        <is>
          <t>✓</t>
        </is>
      </c>
      <c r="M151" s="185" t="inlineStr">
        <is>
          <t>18.04</t>
        </is>
      </c>
      <c r="N151" s="183" t="inlineStr">
        <is>
          <t>197-18-K-26, (07.08.2026) [FHM-K]</t>
        </is>
      </c>
      <c r="O151" s="184" t="inlineStr">
        <is>
          <t>✓</t>
        </is>
      </c>
      <c r="P151" s="186" t="inlineStr">
        <is>
          <t>&lt; LOQ</t>
        </is>
      </c>
      <c r="Q151" s="183" t="inlineStr">
        <is>
          <t>197-18-K-26, (07.08.2026) [FHM-K]</t>
        </is>
      </c>
      <c r="R151" s="184" t="inlineStr">
        <is>
          <t>✓</t>
        </is>
      </c>
      <c r="S151" s="186" t="inlineStr">
        <is>
          <t>&lt; LOQ</t>
        </is>
      </c>
      <c r="T151" s="183" t="inlineStr">
        <is>
          <t>197-18-K-26, (07.08.2026) [FHM-K]</t>
        </is>
      </c>
      <c r="U151" s="184" t="inlineStr">
        <is>
          <t>✓</t>
        </is>
      </c>
      <c r="V151" s="180" t="n"/>
      <c r="W151" s="179" t="n"/>
      <c r="X151" s="181" t="n"/>
      <c r="Y151" s="187" t="inlineStr">
        <is>
          <t>not on this certificate</t>
        </is>
      </c>
      <c r="Z151" s="188" t="inlineStr">
        <is>
          <t>197-18-K-26, (07.08.2026) [FHM-K] · on file, not credited</t>
        </is>
      </c>
      <c r="AA151" s="189" t="inlineStr">
        <is>
          <t>•</t>
        </is>
      </c>
      <c r="AB151" s="180" t="n"/>
      <c r="AC151" s="179" t="n"/>
      <c r="AD151" s="179" t="n"/>
      <c r="AE151" s="179" t="n"/>
      <c r="AF151" s="179" t="n"/>
      <c r="AG151" s="181" t="n"/>
      <c r="AH151" s="190" t="inlineStr">
        <is>
          <t>ND</t>
        </is>
      </c>
      <c r="AI151" s="191" t="inlineStr">
        <is>
          <t>ND</t>
        </is>
      </c>
      <c r="AJ151" s="191" t="inlineStr">
        <is>
          <t>ND</t>
        </is>
      </c>
      <c r="AK151" s="184" t="inlineStr">
        <is>
          <t>✓</t>
        </is>
      </c>
      <c r="AL151" s="180" t="n"/>
      <c r="AM151" s="179" t="n"/>
      <c r="AN151" s="179" t="n"/>
      <c r="AO151" s="179" t="n"/>
      <c r="AP151" s="181" t="n"/>
      <c r="AQ151" s="180" t="n"/>
      <c r="AR151" s="179" t="n"/>
      <c r="AS151" s="192" t="n"/>
    </row>
    <row r="152" ht="15.375" customHeight="1" s="70">
      <c r="A152" s="193" t="n"/>
      <c r="B152" s="194" t="n"/>
      <c r="C152" s="194" t="n"/>
      <c r="D152" s="195" t="n"/>
      <c r="E152" s="194" t="n"/>
      <c r="F152" s="196" t="n"/>
      <c r="G152" s="195" t="n"/>
      <c r="H152" s="194" t="n"/>
      <c r="I152" s="196" t="n"/>
      <c r="J152" s="195" t="n"/>
      <c r="K152" s="194" t="n"/>
      <c r="L152" s="196" t="n"/>
      <c r="M152" s="195" t="n"/>
      <c r="N152" s="194" t="n"/>
      <c r="O152" s="196" t="n"/>
      <c r="P152" s="195" t="n"/>
      <c r="Q152" s="194" t="n"/>
      <c r="R152" s="196" t="n"/>
      <c r="S152" s="195" t="n"/>
      <c r="T152" s="194" t="n"/>
      <c r="U152" s="196" t="n"/>
      <c r="V152" s="195" t="n"/>
      <c r="W152" s="194" t="n"/>
      <c r="X152" s="196" t="n"/>
      <c r="Y152" s="195" t="n"/>
      <c r="Z152" s="194" t="n"/>
      <c r="AA152" s="196" t="n"/>
      <c r="AB152" s="195" t="n"/>
      <c r="AC152" s="194" t="n"/>
      <c r="AD152" s="194" t="n"/>
      <c r="AE152" s="194" t="n"/>
      <c r="AF152" s="194" t="n"/>
      <c r="AG152" s="196" t="n"/>
      <c r="AH152" s="197" t="inlineStr">
        <is>
          <t>197-18-M-26, (10.08.2026) [FHM-M]</t>
        </is>
      </c>
      <c r="AI152" s="194" t="n"/>
      <c r="AJ152" s="194" t="n"/>
      <c r="AK152" s="196" t="n"/>
      <c r="AL152" s="195" t="n"/>
      <c r="AM152" s="194" t="n"/>
      <c r="AN152" s="194" t="n"/>
      <c r="AO152" s="194" t="n"/>
      <c r="AP152" s="196" t="n"/>
      <c r="AQ152" s="195" t="n"/>
      <c r="AR152" s="194" t="n"/>
      <c r="AS152" s="198" t="n"/>
    </row>
    <row r="153" ht="21" customHeight="1" s="70">
      <c r="A153" s="160" t="inlineStr">
        <is>
          <t>GP0824_03</t>
        </is>
      </c>
      <c r="B153" s="161" t="inlineStr">
        <is>
          <t>P050072</t>
        </is>
      </c>
      <c r="C153" s="199" t="inlineStr">
        <is>
          <t>✓ COMPLETE
5 testing instances
• 4 document(s) on file, not credited
◐ UNDETERMINED (Ph. Eur. band): #9 TYMC
· stability above A.C.: #6</t>
        </is>
      </c>
      <c r="D153" s="163" t="inlineStr">
        <is>
          <t>Conforms</t>
        </is>
      </c>
      <c r="E153" s="164">
        <f>IFERROR(INDEX('iCoA Register'!$B:$B,MATCH("P050072|I",'iCoA Register'!$P:$P,0)),"iCoA — at issue")&amp;", (14.07.2025) [PP]"</f>
        <v/>
      </c>
      <c r="F153" s="165" t="inlineStr">
        <is>
          <t>✓</t>
        </is>
      </c>
      <c r="G153" s="166" t="inlineStr">
        <is>
          <t>not on this certificate</t>
        </is>
      </c>
      <c r="H153" s="167" t="inlineStr">
        <is>
          <t>ППК25175, (10.07.2025) [CNP] · on file, not credited</t>
        </is>
      </c>
      <c r="I153" s="168" t="inlineStr">
        <is>
          <t>•</t>
        </is>
      </c>
      <c r="J153" s="163" t="inlineStr">
        <is>
          <t>Conforms (ImB spec.)</t>
        </is>
      </c>
      <c r="K153" s="164" t="inlineStr">
        <is>
          <t>ППК25175, (10.07.2025) [CNP]</t>
        </is>
      </c>
      <c r="L153" s="165" t="inlineStr">
        <is>
          <t>✓</t>
        </is>
      </c>
      <c r="M153" s="169" t="inlineStr">
        <is>
          <t>25.45</t>
        </is>
      </c>
      <c r="N153" s="164" t="inlineStr">
        <is>
          <t>ППК25175, (10.07.2025) [CNP]</t>
        </is>
      </c>
      <c r="O153" s="165" t="inlineStr">
        <is>
          <t>✓</t>
        </is>
      </c>
      <c r="P153" s="170" t="inlineStr">
        <is>
          <t>0.08</t>
        </is>
      </c>
      <c r="Q153" s="164" t="inlineStr">
        <is>
          <t>ППК25175, (10.07.2025) [CNP]</t>
        </is>
      </c>
      <c r="R153" s="165" t="inlineStr">
        <is>
          <t>✓</t>
        </is>
      </c>
      <c r="S153" s="170" t="inlineStr">
        <is>
          <t>&lt; LOQ ᴰ</t>
        </is>
      </c>
      <c r="T153" s="164" t="inlineStr">
        <is>
          <t>ППК25175, (10.07.2025) [CNP]</t>
        </is>
      </c>
      <c r="U153" s="165" t="inlineStr">
        <is>
          <t>✓</t>
        </is>
      </c>
      <c r="V153" s="163" t="inlineStr">
        <is>
          <t>Conforms</t>
        </is>
      </c>
      <c r="W153" s="164">
        <f>IFERROR(INDEX('iCoA Register'!$B:$B,MATCH("P050072|I",'iCoA Register'!$P:$P,0)),"iCoA — at issue")&amp;", (14.07.2025) [PP]"</f>
        <v/>
      </c>
      <c r="X153" s="165" t="inlineStr">
        <is>
          <t>✓</t>
        </is>
      </c>
      <c r="Y153" s="163" t="inlineStr">
        <is>
          <t>6.58</t>
        </is>
      </c>
      <c r="Z153" s="164" t="inlineStr">
        <is>
          <t>ППК25175, (10.07.2025) [CNP]</t>
        </is>
      </c>
      <c r="AA153" s="165" t="inlineStr">
        <is>
          <t>✓</t>
        </is>
      </c>
      <c r="AB153" s="163" t="inlineStr">
        <is>
          <t>1.1 × 10⁴</t>
        </is>
      </c>
      <c r="AC153" s="254" t="inlineStr">
        <is>
          <t>1.2 × 10⁴</t>
        </is>
      </c>
      <c r="AD153" s="171" t="inlineStr">
        <is>
          <t>&lt; 10⁴ and &gt; 10³</t>
        </is>
      </c>
      <c r="AE153" s="171" t="inlineStr">
        <is>
          <t>Absent</t>
        </is>
      </c>
      <c r="AF153" s="171" t="inlineStr">
        <is>
          <t>Absent</t>
        </is>
      </c>
      <c r="AG153" s="165" t="inlineStr">
        <is>
          <t>✓</t>
        </is>
      </c>
      <c r="AH153" s="163" t="inlineStr">
        <is>
          <t>ND</t>
        </is>
      </c>
      <c r="AI153" s="171" t="inlineStr">
        <is>
          <t>&lt; 2</t>
        </is>
      </c>
      <c r="AJ153" s="171" t="inlineStr">
        <is>
          <t>ND</t>
        </is>
      </c>
      <c r="AK153" s="165" t="inlineStr">
        <is>
          <t>✓</t>
        </is>
      </c>
      <c r="AL153" s="163" t="inlineStr">
        <is>
          <t>ND</t>
        </is>
      </c>
      <c r="AM153" s="171" t="inlineStr">
        <is>
          <t>ND</t>
        </is>
      </c>
      <c r="AN153" s="171" t="inlineStr">
        <is>
          <t>0.119</t>
        </is>
      </c>
      <c r="AO153" s="171" t="inlineStr">
        <is>
          <t>ND</t>
        </is>
      </c>
      <c r="AP153" s="165" t="inlineStr">
        <is>
          <t>✓</t>
        </is>
      </c>
      <c r="AQ153" s="163" t="inlineStr">
        <is>
          <t>≤ LOQ (all 29 compounds)</t>
        </is>
      </c>
      <c r="AR153" s="164" t="inlineStr">
        <is>
          <t>3178-2025, (26.06.2025) [IJZ]</t>
        </is>
      </c>
      <c r="AS153" s="172" t="inlineStr">
        <is>
          <t>✓</t>
        </is>
      </c>
    </row>
    <row r="154" ht="13" customHeight="1" s="70">
      <c r="A154" s="173" t="n"/>
      <c r="D154" s="174" t="n"/>
      <c r="F154" s="175" t="n"/>
      <c r="G154" s="174" t="n"/>
      <c r="I154" s="175" t="n"/>
      <c r="J154" s="174" t="n"/>
      <c r="L154" s="175" t="n"/>
      <c r="M154" s="174" t="n"/>
      <c r="O154" s="175" t="n"/>
      <c r="P154" s="174" t="n"/>
      <c r="R154" s="175" t="n"/>
      <c r="S154" s="174" t="n"/>
      <c r="U154" s="175" t="n"/>
      <c r="V154" s="174" t="n"/>
      <c r="X154" s="175" t="n"/>
      <c r="Y154" s="174" t="n"/>
      <c r="AA154" s="175" t="n"/>
      <c r="AB154" s="176" t="inlineStr">
        <is>
          <t>628-1129-25, (02.07.2025) [IJZ-MB]</t>
        </is>
      </c>
      <c r="AG154" s="175" t="n"/>
      <c r="AH154" s="176" t="inlineStr">
        <is>
          <t>3178-2025, (26.06.2025) [IJZ]</t>
        </is>
      </c>
      <c r="AK154" s="175" t="n"/>
      <c r="AL154" s="176" t="inlineStr">
        <is>
          <t>3178-2025, (26.06.2025) [IJZ]</t>
        </is>
      </c>
      <c r="AP154" s="175" t="n"/>
      <c r="AQ154" s="174" t="n"/>
      <c r="AS154" s="177" t="n"/>
    </row>
    <row r="155" ht="17.625" customHeight="1" s="70">
      <c r="A155" s="178" t="n"/>
      <c r="B155" s="179" t="n"/>
      <c r="D155" s="180" t="n"/>
      <c r="E155" s="179" t="n"/>
      <c r="F155" s="181" t="n"/>
      <c r="G155" s="190" t="inlineStr">
        <is>
          <t>Conforms</t>
        </is>
      </c>
      <c r="H155" s="223">
        <f>IFERROR(INDEX('iCoA Register'!$B:$B,MATCH("P050072|I",'iCoA Register'!$P:$P,0)),"iCoA — at issue")&amp;", (14.07.2025) [PP]"</f>
        <v/>
      </c>
      <c r="I155" s="224" t="inlineStr">
        <is>
          <t>✓</t>
        </is>
      </c>
      <c r="J155" s="255" t="inlineStr">
        <is>
          <t>Conforms (ImB spec.)</t>
        </is>
      </c>
      <c r="K155" s="256" t="inlineStr">
        <is>
          <t>ППК26034, (05.03.2026) [CNP]</t>
        </is>
      </c>
      <c r="L155" s="257" t="inlineStr">
        <is>
          <t>✓</t>
        </is>
      </c>
      <c r="M155" s="258" t="inlineStr">
        <is>
          <t>24.62</t>
        </is>
      </c>
      <c r="N155" s="256" t="inlineStr">
        <is>
          <t>ППК26034, (05.03.2026) [CNP]</t>
        </is>
      </c>
      <c r="O155" s="257" t="inlineStr">
        <is>
          <t>✓</t>
        </is>
      </c>
      <c r="P155" s="259" t="inlineStr">
        <is>
          <t>0.04</t>
        </is>
      </c>
      <c r="Q155" s="256" t="inlineStr">
        <is>
          <t>ППК26034, (05.03.2026) [CNP]</t>
        </is>
      </c>
      <c r="R155" s="257" t="inlineStr">
        <is>
          <t>✓</t>
        </is>
      </c>
      <c r="S155" s="259" t="inlineStr">
        <is>
          <t>0.05 ᴰ</t>
        </is>
      </c>
      <c r="T155" s="256" t="inlineStr">
        <is>
          <t>ППК26034, (05.03.2026) [CNP]</t>
        </is>
      </c>
      <c r="U155" s="257" t="inlineStr">
        <is>
          <t>✓</t>
        </is>
      </c>
      <c r="V155" s="180" t="n"/>
      <c r="W155" s="179" t="n"/>
      <c r="X155" s="181" t="n"/>
      <c r="Y155" s="255" t="inlineStr">
        <is>
          <t>5.92</t>
        </is>
      </c>
      <c r="Z155" s="256" t="inlineStr">
        <is>
          <t>ППК26034, (05.03.2026) [CNP]</t>
        </is>
      </c>
      <c r="AA155" s="257" t="inlineStr">
        <is>
          <t>✓</t>
        </is>
      </c>
      <c r="AB155" s="180" t="n"/>
      <c r="AC155" s="179" t="n"/>
      <c r="AD155" s="179" t="n"/>
      <c r="AE155" s="179" t="n"/>
      <c r="AF155" s="179" t="n"/>
      <c r="AG155" s="181" t="n"/>
      <c r="AH155" s="180" t="n"/>
      <c r="AI155" s="179" t="n"/>
      <c r="AJ155" s="179" t="n"/>
      <c r="AK155" s="181" t="n"/>
      <c r="AL155" s="180" t="n"/>
      <c r="AM155" s="179" t="n"/>
      <c r="AN155" s="179" t="n"/>
      <c r="AO155" s="179" t="n"/>
      <c r="AP155" s="181" t="n"/>
      <c r="AQ155" s="180" t="n"/>
      <c r="AR155" s="179" t="n"/>
      <c r="AS155" s="192" t="n"/>
    </row>
    <row r="156" ht="13" customHeight="1" s="70">
      <c r="A156" s="230" t="n"/>
      <c r="B156" s="231" t="n"/>
      <c r="D156" s="232" t="n"/>
      <c r="E156" s="231" t="n"/>
      <c r="F156" s="233" t="n"/>
      <c r="G156" s="232" t="n"/>
      <c r="H156" s="231" t="n"/>
      <c r="I156" s="233" t="n"/>
      <c r="J156" s="232" t="n"/>
      <c r="K156" s="231" t="n"/>
      <c r="L156" s="233" t="n"/>
      <c r="M156" s="232" t="n"/>
      <c r="N156" s="231" t="n"/>
      <c r="O156" s="233" t="n"/>
      <c r="P156" s="232" t="n"/>
      <c r="Q156" s="231" t="n"/>
      <c r="R156" s="233" t="n"/>
      <c r="S156" s="232" t="n"/>
      <c r="T156" s="231" t="n"/>
      <c r="U156" s="233" t="n"/>
      <c r="V156" s="232" t="n"/>
      <c r="W156" s="231" t="n"/>
      <c r="X156" s="233" t="n"/>
      <c r="Y156" s="232" t="n"/>
      <c r="Z156" s="231" t="n"/>
      <c r="AA156" s="233" t="n"/>
      <c r="AB156" s="232" t="n"/>
      <c r="AC156" s="231" t="n"/>
      <c r="AD156" s="231" t="n"/>
      <c r="AE156" s="231" t="n"/>
      <c r="AF156" s="231" t="n"/>
      <c r="AG156" s="233" t="n"/>
      <c r="AH156" s="232" t="n"/>
      <c r="AI156" s="231" t="n"/>
      <c r="AJ156" s="231" t="n"/>
      <c r="AK156" s="233" t="n"/>
      <c r="AL156" s="232" t="n"/>
      <c r="AM156" s="231" t="n"/>
      <c r="AN156" s="231" t="n"/>
      <c r="AO156" s="231" t="n"/>
      <c r="AP156" s="233" t="n"/>
      <c r="AQ156" s="232" t="n"/>
      <c r="AR156" s="231" t="n"/>
      <c r="AS156" s="234" t="n"/>
    </row>
    <row r="157" ht="17.625" customHeight="1" s="70">
      <c r="A157" s="178" t="n"/>
      <c r="B157" s="179" t="n"/>
      <c r="D157" s="180" t="n"/>
      <c r="E157" s="179" t="n"/>
      <c r="F157" s="181" t="n"/>
      <c r="G157" s="227" t="inlineStr">
        <is>
          <t>not on this certificate</t>
        </is>
      </c>
      <c r="H157" s="228" t="inlineStr">
        <is>
          <t>ППК26034, (05.03.2026) [CNP] · on file, not credited</t>
        </is>
      </c>
      <c r="I157" s="229" t="inlineStr">
        <is>
          <t>•</t>
        </is>
      </c>
      <c r="J157" s="255" t="inlineStr">
        <is>
          <t>Conforms (ImB spec.)</t>
        </is>
      </c>
      <c r="K157" s="256" t="inlineStr">
        <is>
          <t>ППК26035, (05.03.2026) [CNP]</t>
        </is>
      </c>
      <c r="L157" s="257" t="inlineStr">
        <is>
          <t>✓</t>
        </is>
      </c>
      <c r="M157" s="258" t="inlineStr">
        <is>
          <t>14.99</t>
        </is>
      </c>
      <c r="N157" s="256" t="inlineStr">
        <is>
          <t>ППК26035, (05.03.2026) [CNP]</t>
        </is>
      </c>
      <c r="O157" s="257" t="inlineStr">
        <is>
          <t>✓</t>
        </is>
      </c>
      <c r="P157" s="259" t="inlineStr">
        <is>
          <t>0.02</t>
        </is>
      </c>
      <c r="Q157" s="256" t="inlineStr">
        <is>
          <t>ППК26035, (05.03.2026) [CNP]</t>
        </is>
      </c>
      <c r="R157" s="257" t="inlineStr">
        <is>
          <t>✓</t>
        </is>
      </c>
      <c r="S157" s="260" t="inlineStr">
        <is>
          <t>2.15 ᴰ</t>
        </is>
      </c>
      <c r="T157" s="256" t="inlineStr">
        <is>
          <t>ППК26035, (05.03.2026) [CNP]</t>
        </is>
      </c>
      <c r="U157" s="257" t="inlineStr">
        <is>
          <t>✓</t>
        </is>
      </c>
      <c r="V157" s="180" t="n"/>
      <c r="W157" s="179" t="n"/>
      <c r="X157" s="181" t="n"/>
      <c r="Y157" s="255" t="inlineStr">
        <is>
          <t>5.52</t>
        </is>
      </c>
      <c r="Z157" s="256" t="inlineStr">
        <is>
          <t>ППК26035, (05.03.2026) [CNP]</t>
        </is>
      </c>
      <c r="AA157" s="257" t="inlineStr">
        <is>
          <t>✓</t>
        </is>
      </c>
      <c r="AB157" s="180" t="n"/>
      <c r="AC157" s="179" t="n"/>
      <c r="AD157" s="179" t="n"/>
      <c r="AE157" s="179" t="n"/>
      <c r="AF157" s="179" t="n"/>
      <c r="AG157" s="181" t="n"/>
      <c r="AH157" s="180" t="n"/>
      <c r="AI157" s="179" t="n"/>
      <c r="AJ157" s="179" t="n"/>
      <c r="AK157" s="181" t="n"/>
      <c r="AL157" s="180" t="n"/>
      <c r="AM157" s="179" t="n"/>
      <c r="AN157" s="179" t="n"/>
      <c r="AO157" s="179" t="n"/>
      <c r="AP157" s="181" t="n"/>
      <c r="AQ157" s="180" t="n"/>
      <c r="AR157" s="179" t="n"/>
      <c r="AS157" s="192" t="n"/>
    </row>
    <row r="158" ht="13" customHeight="1" s="70">
      <c r="A158" s="230" t="n"/>
      <c r="B158" s="231" t="n"/>
      <c r="D158" s="232" t="n"/>
      <c r="E158" s="231" t="n"/>
      <c r="F158" s="233" t="n"/>
      <c r="G158" s="232" t="n"/>
      <c r="H158" s="231" t="n"/>
      <c r="I158" s="233" t="n"/>
      <c r="J158" s="232" t="n"/>
      <c r="K158" s="231" t="n"/>
      <c r="L158" s="233" t="n"/>
      <c r="M158" s="232" t="n"/>
      <c r="N158" s="231" t="n"/>
      <c r="O158" s="233" t="n"/>
      <c r="P158" s="232" t="n"/>
      <c r="Q158" s="231" t="n"/>
      <c r="R158" s="233" t="n"/>
      <c r="S158" s="232" t="n"/>
      <c r="T158" s="231" t="n"/>
      <c r="U158" s="233" t="n"/>
      <c r="V158" s="232" t="n"/>
      <c r="W158" s="231" t="n"/>
      <c r="X158" s="233" t="n"/>
      <c r="Y158" s="232" t="n"/>
      <c r="Z158" s="231" t="n"/>
      <c r="AA158" s="233" t="n"/>
      <c r="AB158" s="232" t="n"/>
      <c r="AC158" s="231" t="n"/>
      <c r="AD158" s="231" t="n"/>
      <c r="AE158" s="231" t="n"/>
      <c r="AF158" s="231" t="n"/>
      <c r="AG158" s="233" t="n"/>
      <c r="AH158" s="232" t="n"/>
      <c r="AI158" s="231" t="n"/>
      <c r="AJ158" s="231" t="n"/>
      <c r="AK158" s="233" t="n"/>
      <c r="AL158" s="232" t="n"/>
      <c r="AM158" s="231" t="n"/>
      <c r="AN158" s="231" t="n"/>
      <c r="AO158" s="231" t="n"/>
      <c r="AP158" s="233" t="n"/>
      <c r="AQ158" s="232" t="n"/>
      <c r="AR158" s="231" t="n"/>
      <c r="AS158" s="234" t="n"/>
    </row>
    <row r="159" ht="17.625" customHeight="1" s="70">
      <c r="A159" s="178" t="n"/>
      <c r="B159" s="179" t="n"/>
      <c r="D159" s="180" t="n"/>
      <c r="E159" s="179" t="n"/>
      <c r="F159" s="181" t="n"/>
      <c r="G159" s="227" t="inlineStr">
        <is>
          <t>not on this certificate</t>
        </is>
      </c>
      <c r="H159" s="228" t="inlineStr">
        <is>
          <t>ППК26035, (05.03.2026) [CNP] · on file, not credited</t>
        </is>
      </c>
      <c r="I159" s="229" t="inlineStr">
        <is>
          <t>•</t>
        </is>
      </c>
      <c r="J159" s="255" t="inlineStr">
        <is>
          <t>Conforms (ImB spec.)</t>
        </is>
      </c>
      <c r="K159" s="256" t="inlineStr">
        <is>
          <t>ППК26060, (11.05.2026) [CNP]</t>
        </is>
      </c>
      <c r="L159" s="257" t="inlineStr">
        <is>
          <t>✓</t>
        </is>
      </c>
      <c r="M159" s="258" t="inlineStr">
        <is>
          <t>25.98</t>
        </is>
      </c>
      <c r="N159" s="256" t="inlineStr">
        <is>
          <t>ППК26060, (11.05.2026) [CNP]</t>
        </is>
      </c>
      <c r="O159" s="257" t="inlineStr">
        <is>
          <t>✓</t>
        </is>
      </c>
      <c r="P159" s="259" t="inlineStr">
        <is>
          <t>0.04</t>
        </is>
      </c>
      <c r="Q159" s="256" t="inlineStr">
        <is>
          <t>ППК26060, (11.05.2026) [CNP]</t>
        </is>
      </c>
      <c r="R159" s="257" t="inlineStr">
        <is>
          <t>✓</t>
        </is>
      </c>
      <c r="S159" s="259" t="inlineStr">
        <is>
          <t>0.04 ᴰ</t>
        </is>
      </c>
      <c r="T159" s="256" t="inlineStr">
        <is>
          <t>ППК26060, (11.05.2026) [CNP]</t>
        </is>
      </c>
      <c r="U159" s="257" t="inlineStr">
        <is>
          <t>✓</t>
        </is>
      </c>
      <c r="V159" s="180" t="n"/>
      <c r="W159" s="179" t="n"/>
      <c r="X159" s="181" t="n"/>
      <c r="Y159" s="255" t="inlineStr">
        <is>
          <t>7.07</t>
        </is>
      </c>
      <c r="Z159" s="256" t="inlineStr">
        <is>
          <t>ППК26060, (11.05.2026) [CNP]</t>
        </is>
      </c>
      <c r="AA159" s="257" t="inlineStr">
        <is>
          <t>✓</t>
        </is>
      </c>
      <c r="AB159" s="180" t="n"/>
      <c r="AC159" s="179" t="n"/>
      <c r="AD159" s="179" t="n"/>
      <c r="AE159" s="179" t="n"/>
      <c r="AF159" s="179" t="n"/>
      <c r="AG159" s="181" t="n"/>
      <c r="AH159" s="180" t="n"/>
      <c r="AI159" s="179" t="n"/>
      <c r="AJ159" s="179" t="n"/>
      <c r="AK159" s="181" t="n"/>
      <c r="AL159" s="180" t="n"/>
      <c r="AM159" s="179" t="n"/>
      <c r="AN159" s="179" t="n"/>
      <c r="AO159" s="179" t="n"/>
      <c r="AP159" s="181" t="n"/>
      <c r="AQ159" s="180" t="n"/>
      <c r="AR159" s="179" t="n"/>
      <c r="AS159" s="192" t="n"/>
    </row>
    <row r="160" ht="13" customHeight="1" s="70">
      <c r="A160" s="230" t="n"/>
      <c r="B160" s="231" t="n"/>
      <c r="D160" s="232" t="n"/>
      <c r="E160" s="231" t="n"/>
      <c r="F160" s="233" t="n"/>
      <c r="G160" s="232" t="n"/>
      <c r="H160" s="231" t="n"/>
      <c r="I160" s="233" t="n"/>
      <c r="J160" s="232" t="n"/>
      <c r="K160" s="231" t="n"/>
      <c r="L160" s="233" t="n"/>
      <c r="M160" s="232" t="n"/>
      <c r="N160" s="231" t="n"/>
      <c r="O160" s="233" t="n"/>
      <c r="P160" s="232" t="n"/>
      <c r="Q160" s="231" t="n"/>
      <c r="R160" s="233" t="n"/>
      <c r="S160" s="232" t="n"/>
      <c r="T160" s="231" t="n"/>
      <c r="U160" s="233" t="n"/>
      <c r="V160" s="232" t="n"/>
      <c r="W160" s="231" t="n"/>
      <c r="X160" s="233" t="n"/>
      <c r="Y160" s="232" t="n"/>
      <c r="Z160" s="231" t="n"/>
      <c r="AA160" s="233" t="n"/>
      <c r="AB160" s="232" t="n"/>
      <c r="AC160" s="231" t="n"/>
      <c r="AD160" s="231" t="n"/>
      <c r="AE160" s="231" t="n"/>
      <c r="AF160" s="231" t="n"/>
      <c r="AG160" s="233" t="n"/>
      <c r="AH160" s="232" t="n"/>
      <c r="AI160" s="231" t="n"/>
      <c r="AJ160" s="231" t="n"/>
      <c r="AK160" s="233" t="n"/>
      <c r="AL160" s="232" t="n"/>
      <c r="AM160" s="231" t="n"/>
      <c r="AN160" s="231" t="n"/>
      <c r="AO160" s="231" t="n"/>
      <c r="AP160" s="233" t="n"/>
      <c r="AQ160" s="232" t="n"/>
      <c r="AR160" s="231" t="n"/>
      <c r="AS160" s="234" t="n"/>
    </row>
    <row r="161" ht="14" customHeight="1" s="70">
      <c r="A161" s="178" t="n"/>
      <c r="B161" s="179" t="n"/>
      <c r="D161" s="180" t="n"/>
      <c r="E161" s="179" t="n"/>
      <c r="F161" s="181" t="n"/>
      <c r="G161" s="187" t="inlineStr">
        <is>
          <t>not on this certificate</t>
        </is>
      </c>
      <c r="H161" s="188" t="inlineStr">
        <is>
          <t>ППК26060, (11.05.2026) [CNP] · on file, not credited</t>
        </is>
      </c>
      <c r="I161" s="189" t="inlineStr">
        <is>
          <t>•</t>
        </is>
      </c>
      <c r="J161" s="180" t="n"/>
      <c r="K161" s="179" t="n"/>
      <c r="L161" s="181" t="n"/>
      <c r="M161" s="180" t="n"/>
      <c r="N161" s="179" t="n"/>
      <c r="O161" s="181" t="n"/>
      <c r="P161" s="180" t="n"/>
      <c r="Q161" s="179" t="n"/>
      <c r="R161" s="181" t="n"/>
      <c r="S161" s="180" t="n"/>
      <c r="T161" s="179" t="n"/>
      <c r="U161" s="181" t="n"/>
      <c r="V161" s="180" t="n"/>
      <c r="W161" s="179" t="n"/>
      <c r="X161" s="181" t="n"/>
      <c r="Y161" s="180" t="n"/>
      <c r="Z161" s="179" t="n"/>
      <c r="AA161" s="181" t="n"/>
      <c r="AB161" s="180" t="n"/>
      <c r="AC161" s="179" t="n"/>
      <c r="AD161" s="179" t="n"/>
      <c r="AE161" s="179" t="n"/>
      <c r="AF161" s="179" t="n"/>
      <c r="AG161" s="181" t="n"/>
      <c r="AH161" s="180" t="n"/>
      <c r="AI161" s="179" t="n"/>
      <c r="AJ161" s="179" t="n"/>
      <c r="AK161" s="181" t="n"/>
      <c r="AL161" s="180" t="n"/>
      <c r="AM161" s="179" t="n"/>
      <c r="AN161" s="179" t="n"/>
      <c r="AO161" s="179" t="n"/>
      <c r="AP161" s="181" t="n"/>
      <c r="AQ161" s="180" t="n"/>
      <c r="AR161" s="179" t="n"/>
      <c r="AS161" s="192" t="n"/>
    </row>
    <row r="162" ht="13" customHeight="1" s="70">
      <c r="A162" s="193" t="n"/>
      <c r="B162" s="194" t="n"/>
      <c r="C162" s="194" t="n"/>
      <c r="D162" s="195" t="n"/>
      <c r="E162" s="194" t="n"/>
      <c r="F162" s="196" t="n"/>
      <c r="G162" s="195" t="n"/>
      <c r="H162" s="194" t="n"/>
      <c r="I162" s="196" t="n"/>
      <c r="J162" s="195" t="n"/>
      <c r="K162" s="194" t="n"/>
      <c r="L162" s="196" t="n"/>
      <c r="M162" s="195" t="n"/>
      <c r="N162" s="194" t="n"/>
      <c r="O162" s="196" t="n"/>
      <c r="P162" s="195" t="n"/>
      <c r="Q162" s="194" t="n"/>
      <c r="R162" s="196" t="n"/>
      <c r="S162" s="195" t="n"/>
      <c r="T162" s="194" t="n"/>
      <c r="U162" s="196" t="n"/>
      <c r="V162" s="195" t="n"/>
      <c r="W162" s="194" t="n"/>
      <c r="X162" s="196" t="n"/>
      <c r="Y162" s="195" t="n"/>
      <c r="Z162" s="194" t="n"/>
      <c r="AA162" s="196" t="n"/>
      <c r="AB162" s="195" t="n"/>
      <c r="AC162" s="194" t="n"/>
      <c r="AD162" s="194" t="n"/>
      <c r="AE162" s="194" t="n"/>
      <c r="AF162" s="194" t="n"/>
      <c r="AG162" s="196" t="n"/>
      <c r="AH162" s="195" t="n"/>
      <c r="AI162" s="194" t="n"/>
      <c r="AJ162" s="194" t="n"/>
      <c r="AK162" s="196" t="n"/>
      <c r="AL162" s="195" t="n"/>
      <c r="AM162" s="194" t="n"/>
      <c r="AN162" s="194" t="n"/>
      <c r="AO162" s="194" t="n"/>
      <c r="AP162" s="196" t="n"/>
      <c r="AQ162" s="195" t="n"/>
      <c r="AR162" s="194" t="n"/>
      <c r="AS162" s="198" t="n"/>
    </row>
    <row r="163" ht="17.625" customHeight="1" s="70">
      <c r="A163" s="160" t="inlineStr">
        <is>
          <t>OPM1024_03</t>
        </is>
      </c>
      <c r="B163" s="161" t="inlineStr">
        <is>
          <t>P050082</t>
        </is>
      </c>
      <c r="C163" s="162" t="inlineStr">
        <is>
          <t>✓ COMPLETE
2 testing instances
• 1 document(s) on file, not credited</t>
        </is>
      </c>
      <c r="D163" s="163" t="inlineStr">
        <is>
          <t>Conforms</t>
        </is>
      </c>
      <c r="E163" s="164">
        <f>IFERROR(INDEX('iCoA Register'!$B:$B,MATCH("P050082|I",'iCoA Register'!$P:$P,0)),"iCoA — at issue")&amp;", (22.07.2025) [PP]"</f>
        <v/>
      </c>
      <c r="F163" s="165" t="inlineStr">
        <is>
          <t>✓</t>
        </is>
      </c>
      <c r="G163" s="163" t="inlineStr">
        <is>
          <t>Conforms</t>
        </is>
      </c>
      <c r="H163" s="164">
        <f>IFERROR(INDEX('iCoA Register'!$B:$B,MATCH("P050082|I",'iCoA Register'!$P:$P,0)),"iCoA — at issue")&amp;", (22.07.2025) [PP]"</f>
        <v/>
      </c>
      <c r="I163" s="165" t="inlineStr">
        <is>
          <t>✓</t>
        </is>
      </c>
      <c r="J163" s="163" t="inlineStr">
        <is>
          <t>Conforms (ImB spec.)</t>
        </is>
      </c>
      <c r="K163" s="164" t="inlineStr">
        <is>
          <t>ППК25210, (28.07.2025) [CNP]</t>
        </is>
      </c>
      <c r="L163" s="165" t="inlineStr">
        <is>
          <t>✓</t>
        </is>
      </c>
      <c r="M163" s="169" t="inlineStr">
        <is>
          <t>16.55</t>
        </is>
      </c>
      <c r="N163" s="164" t="inlineStr">
        <is>
          <t>ППК25210, (28.07.2025) [CNP]</t>
        </is>
      </c>
      <c r="O163" s="165" t="inlineStr">
        <is>
          <t>✓</t>
        </is>
      </c>
      <c r="P163" s="170" t="inlineStr">
        <is>
          <t>0.04</t>
        </is>
      </c>
      <c r="Q163" s="164" t="inlineStr">
        <is>
          <t>ППК25210, (28.07.2025) [CNP]</t>
        </is>
      </c>
      <c r="R163" s="165" t="inlineStr">
        <is>
          <t>✓</t>
        </is>
      </c>
      <c r="S163" s="170" t="inlineStr">
        <is>
          <t>0.01 ᴰ</t>
        </is>
      </c>
      <c r="T163" s="164" t="inlineStr">
        <is>
          <t>ППК25210, (28.07.2025) [CNP]</t>
        </is>
      </c>
      <c r="U163" s="165" t="inlineStr">
        <is>
          <t>✓</t>
        </is>
      </c>
      <c r="V163" s="163" t="inlineStr">
        <is>
          <t>Conforms</t>
        </is>
      </c>
      <c r="W163" s="164">
        <f>IFERROR(INDEX('iCoA Register'!$B:$B,MATCH("P050082|I",'iCoA Register'!$P:$P,0)),"iCoA — at issue")&amp;", (22.07.2025) [PP]"</f>
        <v/>
      </c>
      <c r="X163" s="165" t="inlineStr">
        <is>
          <t>✓</t>
        </is>
      </c>
      <c r="Y163" s="163" t="inlineStr">
        <is>
          <t>6.38</t>
        </is>
      </c>
      <c r="Z163" s="164" t="inlineStr">
        <is>
          <t>ППК25210, (28.07.2025) [CNP]</t>
        </is>
      </c>
      <c r="AA163" s="165" t="inlineStr">
        <is>
          <t>✓</t>
        </is>
      </c>
      <c r="AB163" s="163" t="inlineStr">
        <is>
          <t>2 × 10²</t>
        </is>
      </c>
      <c r="AC163" s="171" t="inlineStr">
        <is>
          <t>3 × 10²</t>
        </is>
      </c>
      <c r="AD163" s="171" t="inlineStr">
        <is>
          <t>&lt; 10</t>
        </is>
      </c>
      <c r="AE163" s="171" t="inlineStr">
        <is>
          <t>Absent</t>
        </is>
      </c>
      <c r="AF163" s="171" t="inlineStr">
        <is>
          <t>Absent</t>
        </is>
      </c>
      <c r="AG163" s="165" t="inlineStr">
        <is>
          <t>✓</t>
        </is>
      </c>
      <c r="AH163" s="163" t="inlineStr">
        <is>
          <t>ND</t>
        </is>
      </c>
      <c r="AI163" s="171" t="inlineStr">
        <is>
          <t>2.1</t>
        </is>
      </c>
      <c r="AJ163" s="171" t="inlineStr">
        <is>
          <t>ND</t>
        </is>
      </c>
      <c r="AK163" s="165" t="inlineStr">
        <is>
          <t>✓</t>
        </is>
      </c>
      <c r="AL163" s="163" t="inlineStr">
        <is>
          <t>ND</t>
        </is>
      </c>
      <c r="AM163" s="171" t="inlineStr">
        <is>
          <t>ND</t>
        </is>
      </c>
      <c r="AN163" s="171" t="inlineStr">
        <is>
          <t>0.135</t>
        </is>
      </c>
      <c r="AO163" s="171" t="inlineStr">
        <is>
          <t>0.03</t>
        </is>
      </c>
      <c r="AP163" s="165" t="inlineStr">
        <is>
          <t>✓</t>
        </is>
      </c>
      <c r="AQ163" s="163" t="inlineStr">
        <is>
          <t>≤ LOQ (all 26 compounds)</t>
        </is>
      </c>
      <c r="AR163" s="164" t="inlineStr">
        <is>
          <t>3636-2025, (28.07.2025) [IJZ]</t>
        </is>
      </c>
      <c r="AS163" s="172" t="inlineStr">
        <is>
          <t>✓</t>
        </is>
      </c>
    </row>
    <row r="164" ht="13" customHeight="1" s="70">
      <c r="A164" s="173" t="n"/>
      <c r="D164" s="174" t="n"/>
      <c r="F164" s="175" t="n"/>
      <c r="G164" s="174" t="n"/>
      <c r="I164" s="175" t="n"/>
      <c r="J164" s="174" t="n"/>
      <c r="L164" s="175" t="n"/>
      <c r="M164" s="174" t="n"/>
      <c r="O164" s="175" t="n"/>
      <c r="P164" s="174" t="n"/>
      <c r="R164" s="175" t="n"/>
      <c r="S164" s="174" t="n"/>
      <c r="U164" s="175" t="n"/>
      <c r="V164" s="174" t="n"/>
      <c r="X164" s="175" t="n"/>
      <c r="Y164" s="174" t="n"/>
      <c r="AA164" s="175" t="n"/>
      <c r="AB164" s="176" t="inlineStr">
        <is>
          <t>766-1375-25, (29.07.2025) [IJZ-MB]</t>
        </is>
      </c>
      <c r="AG164" s="175" t="n"/>
      <c r="AH164" s="176" t="inlineStr">
        <is>
          <t>3636-2025, (28.07.2025) [IJZ]</t>
        </is>
      </c>
      <c r="AK164" s="175" t="n"/>
      <c r="AL164" s="176" t="inlineStr">
        <is>
          <t>3636-2025, (28.07.2025) [IJZ]</t>
        </is>
      </c>
      <c r="AP164" s="175" t="n"/>
      <c r="AQ164" s="174" t="n"/>
      <c r="AS164" s="177" t="n"/>
    </row>
    <row r="165" ht="14" customHeight="1" s="70">
      <c r="A165" s="178" t="n"/>
      <c r="B165" s="179" t="n"/>
      <c r="D165" s="180" t="n"/>
      <c r="E165" s="179" t="n"/>
      <c r="F165" s="181" t="n"/>
      <c r="G165" s="187" t="inlineStr">
        <is>
          <t>not on this certificate</t>
        </is>
      </c>
      <c r="H165" s="188" t="inlineStr">
        <is>
          <t>ППК25210, (28.07.2025) [CNP] · on file, not credited</t>
        </is>
      </c>
      <c r="I165" s="189" t="inlineStr">
        <is>
          <t>•</t>
        </is>
      </c>
      <c r="J165" s="180" t="n"/>
      <c r="K165" s="179" t="n"/>
      <c r="L165" s="181" t="n"/>
      <c r="M165" s="180" t="n"/>
      <c r="N165" s="179" t="n"/>
      <c r="O165" s="181" t="n"/>
      <c r="P165" s="180" t="n"/>
      <c r="Q165" s="179" t="n"/>
      <c r="R165" s="181" t="n"/>
      <c r="S165" s="180" t="n"/>
      <c r="T165" s="179" t="n"/>
      <c r="U165" s="181" t="n"/>
      <c r="V165" s="180" t="n"/>
      <c r="W165" s="179" t="n"/>
      <c r="X165" s="181" t="n"/>
      <c r="Y165" s="180" t="n"/>
      <c r="Z165" s="179" t="n"/>
      <c r="AA165" s="181" t="n"/>
      <c r="AB165" s="180" t="n"/>
      <c r="AC165" s="179" t="n"/>
      <c r="AD165" s="179" t="n"/>
      <c r="AE165" s="179" t="n"/>
      <c r="AF165" s="179" t="n"/>
      <c r="AG165" s="181" t="n"/>
      <c r="AH165" s="180" t="n"/>
      <c r="AI165" s="179" t="n"/>
      <c r="AJ165" s="179" t="n"/>
      <c r="AK165" s="181" t="n"/>
      <c r="AL165" s="180" t="n"/>
      <c r="AM165" s="179" t="n"/>
      <c r="AN165" s="179" t="n"/>
      <c r="AO165" s="179" t="n"/>
      <c r="AP165" s="181" t="n"/>
      <c r="AQ165" s="180" t="n"/>
      <c r="AR165" s="179" t="n"/>
      <c r="AS165" s="192" t="n"/>
    </row>
    <row r="166" ht="13" customHeight="1" s="70">
      <c r="A166" s="193" t="n"/>
      <c r="B166" s="194" t="n"/>
      <c r="C166" s="194" t="n"/>
      <c r="D166" s="195" t="n"/>
      <c r="E166" s="194" t="n"/>
      <c r="F166" s="196" t="n"/>
      <c r="G166" s="195" t="n"/>
      <c r="H166" s="194" t="n"/>
      <c r="I166" s="196" t="n"/>
      <c r="J166" s="195" t="n"/>
      <c r="K166" s="194" t="n"/>
      <c r="L166" s="196" t="n"/>
      <c r="M166" s="195" t="n"/>
      <c r="N166" s="194" t="n"/>
      <c r="O166" s="196" t="n"/>
      <c r="P166" s="195" t="n"/>
      <c r="Q166" s="194" t="n"/>
      <c r="R166" s="196" t="n"/>
      <c r="S166" s="195" t="n"/>
      <c r="T166" s="194" t="n"/>
      <c r="U166" s="196" t="n"/>
      <c r="V166" s="195" t="n"/>
      <c r="W166" s="194" t="n"/>
      <c r="X166" s="196" t="n"/>
      <c r="Y166" s="195" t="n"/>
      <c r="Z166" s="194" t="n"/>
      <c r="AA166" s="196" t="n"/>
      <c r="AB166" s="195" t="n"/>
      <c r="AC166" s="194" t="n"/>
      <c r="AD166" s="194" t="n"/>
      <c r="AE166" s="194" t="n"/>
      <c r="AF166" s="194" t="n"/>
      <c r="AG166" s="196" t="n"/>
      <c r="AH166" s="195" t="n"/>
      <c r="AI166" s="194" t="n"/>
      <c r="AJ166" s="194" t="n"/>
      <c r="AK166" s="196" t="n"/>
      <c r="AL166" s="195" t="n"/>
      <c r="AM166" s="194" t="n"/>
      <c r="AN166" s="194" t="n"/>
      <c r="AO166" s="194" t="n"/>
      <c r="AP166" s="196" t="n"/>
      <c r="AQ166" s="195" t="n"/>
      <c r="AR166" s="194" t="n"/>
      <c r="AS166" s="198" t="n"/>
    </row>
    <row r="167" ht="17.625" customHeight="1" s="70">
      <c r="A167" s="160" t="inlineStr">
        <is>
          <t>GG1024_01</t>
        </is>
      </c>
      <c r="B167" s="161" t="inlineStr">
        <is>
          <t>P050092</t>
        </is>
      </c>
      <c r="C167" s="212" t="inlineStr">
        <is>
          <t>✓ COMPLETE
2 testing instances
• 2 document(s) on file, not credited
✗ OUT OF SPECIFICATION: #9 TYMC</t>
        </is>
      </c>
      <c r="D167" s="163" t="inlineStr">
        <is>
          <t>Conforms</t>
        </is>
      </c>
      <c r="E167" s="164">
        <f>IFERROR(INDEX('iCoA Register'!$B:$B,MATCH("P050092|I",'iCoA Register'!$P:$P,0)),"iCoA — at issue")&amp;", (31.07.2025) [PP]"</f>
        <v/>
      </c>
      <c r="F167" s="165" t="inlineStr">
        <is>
          <t>✓</t>
        </is>
      </c>
      <c r="G167" s="166" t="inlineStr">
        <is>
          <t>not on this certificate</t>
        </is>
      </c>
      <c r="H167" s="167" t="inlineStr">
        <is>
          <t>ППК25104, (17.04.2025) [CNP] · on file, not credited</t>
        </is>
      </c>
      <c r="I167" s="168" t="inlineStr">
        <is>
          <t>•</t>
        </is>
      </c>
      <c r="J167" s="163" t="inlineStr">
        <is>
          <t>Conforms (ImB spec.)</t>
        </is>
      </c>
      <c r="K167" s="164" t="inlineStr">
        <is>
          <t>ППК25104, (17.04.2025) [CNP]</t>
        </is>
      </c>
      <c r="L167" s="165" t="inlineStr">
        <is>
          <t>✓</t>
        </is>
      </c>
      <c r="M167" s="169" t="inlineStr">
        <is>
          <t>17.22</t>
        </is>
      </c>
      <c r="N167" s="164" t="inlineStr">
        <is>
          <t>ППК25104, (17.04.2025) [CNP]</t>
        </is>
      </c>
      <c r="O167" s="165" t="inlineStr">
        <is>
          <t>✓</t>
        </is>
      </c>
      <c r="P167" s="170" t="inlineStr">
        <is>
          <t>0.05</t>
        </is>
      </c>
      <c r="Q167" s="164" t="inlineStr">
        <is>
          <t>ППК25104, (17.04.2025) [CNP]</t>
        </is>
      </c>
      <c r="R167" s="165" t="inlineStr">
        <is>
          <t>✓</t>
        </is>
      </c>
      <c r="S167" s="170" t="inlineStr">
        <is>
          <t>ND ᴰ</t>
        </is>
      </c>
      <c r="T167" s="164" t="inlineStr">
        <is>
          <t>ППК25104, (17.04.2025) [CNP]</t>
        </is>
      </c>
      <c r="U167" s="165" t="inlineStr">
        <is>
          <t>✓</t>
        </is>
      </c>
      <c r="V167" s="163" t="inlineStr">
        <is>
          <t>Conforms</t>
        </is>
      </c>
      <c r="W167" s="164">
        <f>IFERROR(INDEX('iCoA Register'!$B:$B,MATCH("P050092|I",'iCoA Register'!$P:$P,0)),"iCoA — at issue")&amp;", (31.07.2025) [PP]"</f>
        <v/>
      </c>
      <c r="X167" s="165" t="inlineStr">
        <is>
          <t>✓</t>
        </is>
      </c>
      <c r="Y167" s="163" t="inlineStr">
        <is>
          <t>7.54</t>
        </is>
      </c>
      <c r="Z167" s="164" t="inlineStr">
        <is>
          <t>ППК25104, (17.04.2025) [CNP]</t>
        </is>
      </c>
      <c r="AA167" s="165" t="inlineStr">
        <is>
          <t>✓</t>
        </is>
      </c>
      <c r="AB167" s="163" t="inlineStr">
        <is>
          <t>5.1 × 10⁴</t>
        </is>
      </c>
      <c r="AC167" s="262" t="inlineStr">
        <is>
          <t>4.2 × 10⁴</t>
        </is>
      </c>
      <c r="AD167" s="171" t="inlineStr">
        <is>
          <t>&lt; 10</t>
        </is>
      </c>
      <c r="AE167" s="171" t="inlineStr">
        <is>
          <t>Absent</t>
        </is>
      </c>
      <c r="AF167" s="171" t="inlineStr">
        <is>
          <t>Absent</t>
        </is>
      </c>
      <c r="AG167" s="165" t="inlineStr">
        <is>
          <t>✓</t>
        </is>
      </c>
      <c r="AH167" s="163" t="inlineStr">
        <is>
          <t>ND</t>
        </is>
      </c>
      <c r="AI167" s="171" t="inlineStr">
        <is>
          <t>&lt; 2</t>
        </is>
      </c>
      <c r="AJ167" s="171" t="inlineStr">
        <is>
          <t>ND</t>
        </is>
      </c>
      <c r="AK167" s="165" t="inlineStr">
        <is>
          <t>✓</t>
        </is>
      </c>
      <c r="AL167" s="163" t="inlineStr">
        <is>
          <t>0.02</t>
        </is>
      </c>
      <c r="AM167" s="171" t="inlineStr">
        <is>
          <t>0.007</t>
        </is>
      </c>
      <c r="AN167" s="171" t="inlineStr">
        <is>
          <t>0.015</t>
        </is>
      </c>
      <c r="AO167" s="171" t="inlineStr">
        <is>
          <t>0.005</t>
        </is>
      </c>
      <c r="AP167" s="165" t="inlineStr">
        <is>
          <t>✓</t>
        </is>
      </c>
      <c r="AQ167" s="163" t="inlineStr">
        <is>
          <t>≤ LOQ (all 27 compounds)</t>
        </is>
      </c>
      <c r="AR167" s="164" t="inlineStr">
        <is>
          <t>1766-2025, (11.04.2025) [IJZ]</t>
        </is>
      </c>
      <c r="AS167" s="172" t="inlineStr">
        <is>
          <t>✓</t>
        </is>
      </c>
    </row>
    <row r="168" ht="13" customHeight="1" s="70">
      <c r="A168" s="173" t="n"/>
      <c r="D168" s="174" t="n"/>
      <c r="F168" s="175" t="n"/>
      <c r="G168" s="174" t="n"/>
      <c r="I168" s="175" t="n"/>
      <c r="J168" s="174" t="n"/>
      <c r="L168" s="175" t="n"/>
      <c r="M168" s="174" t="n"/>
      <c r="O168" s="175" t="n"/>
      <c r="P168" s="174" t="n"/>
      <c r="R168" s="175" t="n"/>
      <c r="S168" s="174" t="n"/>
      <c r="U168" s="175" t="n"/>
      <c r="V168" s="174" t="n"/>
      <c r="X168" s="175" t="n"/>
      <c r="Y168" s="174" t="n"/>
      <c r="AA168" s="175" t="n"/>
      <c r="AB168" s="176" t="inlineStr">
        <is>
          <t>320-0587-25, (14.04.2025) [IJZ-MB]</t>
        </is>
      </c>
      <c r="AG168" s="175" t="n"/>
      <c r="AH168" s="176" t="inlineStr">
        <is>
          <t>1766-2025, (11.04.2025) [IJZ]</t>
        </is>
      </c>
      <c r="AK168" s="175" t="n"/>
      <c r="AL168" s="176" t="inlineStr">
        <is>
          <t>1766-2025, (11.04.2025) [IJZ]</t>
        </is>
      </c>
      <c r="AP168" s="175" t="n"/>
      <c r="AQ168" s="174" t="n"/>
      <c r="AS168" s="177" t="n"/>
    </row>
    <row r="169" ht="17.625" customHeight="1" s="70">
      <c r="A169" s="178" t="n"/>
      <c r="B169" s="179" t="n"/>
      <c r="D169" s="180" t="n"/>
      <c r="E169" s="179" t="n"/>
      <c r="F169" s="181" t="n"/>
      <c r="G169" s="182" t="inlineStr">
        <is>
          <t>Conforms</t>
        </is>
      </c>
      <c r="H169" s="183">
        <f>IFERROR(INDEX('iCoA Register'!$B:$B,MATCH("P050092|I",'iCoA Register'!$P:$P,0)),"iCoA — at issue")&amp;", (31.07.2025) [PP]"</f>
        <v/>
      </c>
      <c r="I169" s="184" t="inlineStr">
        <is>
          <t>✓</t>
        </is>
      </c>
      <c r="J169" s="182" t="inlineStr">
        <is>
          <t>Conforms (ImB spec.) ᴿ</t>
        </is>
      </c>
      <c r="K169" s="183" t="inlineStr">
        <is>
          <t>197-9-K-26, (07.08.2026) [FHM-K]</t>
        </is>
      </c>
      <c r="L169" s="184" t="inlineStr">
        <is>
          <t>✓</t>
        </is>
      </c>
      <c r="M169" s="185" t="inlineStr">
        <is>
          <t>18.67</t>
        </is>
      </c>
      <c r="N169" s="183" t="inlineStr">
        <is>
          <t>197-9-K-26, (07.08.2026) [FHM-K]</t>
        </is>
      </c>
      <c r="O169" s="184" t="inlineStr">
        <is>
          <t>✓</t>
        </is>
      </c>
      <c r="P169" s="186" t="inlineStr">
        <is>
          <t>&lt; LOQ</t>
        </is>
      </c>
      <c r="Q169" s="183" t="inlineStr">
        <is>
          <t>197-9-K-26, (07.08.2026) [FHM-K]</t>
        </is>
      </c>
      <c r="R169" s="184" t="inlineStr">
        <is>
          <t>✓</t>
        </is>
      </c>
      <c r="S169" s="186" t="inlineStr">
        <is>
          <t>0.20</t>
        </is>
      </c>
      <c r="T169" s="183" t="inlineStr">
        <is>
          <t>197-9-K-26, (07.08.2026) [FHM-K]</t>
        </is>
      </c>
      <c r="U169" s="184" t="inlineStr">
        <is>
          <t>✓</t>
        </is>
      </c>
      <c r="V169" s="180" t="n"/>
      <c r="W169" s="179" t="n"/>
      <c r="X169" s="181" t="n"/>
      <c r="Y169" s="187" t="inlineStr">
        <is>
          <t>not on this certificate</t>
        </is>
      </c>
      <c r="Z169" s="188" t="inlineStr">
        <is>
          <t>197-9-K-26, (07.08.2026) [FHM-K] · on file, not credited</t>
        </is>
      </c>
      <c r="AA169" s="189" t="inlineStr">
        <is>
          <t>•</t>
        </is>
      </c>
      <c r="AB169" s="180" t="n"/>
      <c r="AC169" s="179" t="n"/>
      <c r="AD169" s="179" t="n"/>
      <c r="AE169" s="179" t="n"/>
      <c r="AF169" s="179" t="n"/>
      <c r="AG169" s="181" t="n"/>
      <c r="AH169" s="190" t="inlineStr">
        <is>
          <t>ND</t>
        </is>
      </c>
      <c r="AI169" s="191" t="inlineStr">
        <is>
          <t>ND</t>
        </is>
      </c>
      <c r="AJ169" s="191" t="inlineStr">
        <is>
          <t>ND</t>
        </is>
      </c>
      <c r="AK169" s="184" t="inlineStr">
        <is>
          <t>✓</t>
        </is>
      </c>
      <c r="AL169" s="180" t="n"/>
      <c r="AM169" s="179" t="n"/>
      <c r="AN169" s="179" t="n"/>
      <c r="AO169" s="179" t="n"/>
      <c r="AP169" s="181" t="n"/>
      <c r="AQ169" s="180" t="n"/>
      <c r="AR169" s="179" t="n"/>
      <c r="AS169" s="192" t="n"/>
    </row>
    <row r="170" ht="15.375" customHeight="1" s="70">
      <c r="A170" s="193" t="n"/>
      <c r="B170" s="194" t="n"/>
      <c r="C170" s="194" t="n"/>
      <c r="D170" s="195" t="n"/>
      <c r="E170" s="194" t="n"/>
      <c r="F170" s="196" t="n"/>
      <c r="G170" s="195" t="n"/>
      <c r="H170" s="194" t="n"/>
      <c r="I170" s="196" t="n"/>
      <c r="J170" s="195" t="n"/>
      <c r="K170" s="194" t="n"/>
      <c r="L170" s="196" t="n"/>
      <c r="M170" s="195" t="n"/>
      <c r="N170" s="194" t="n"/>
      <c r="O170" s="196" t="n"/>
      <c r="P170" s="195" t="n"/>
      <c r="Q170" s="194" t="n"/>
      <c r="R170" s="196" t="n"/>
      <c r="S170" s="195" t="n"/>
      <c r="T170" s="194" t="n"/>
      <c r="U170" s="196" t="n"/>
      <c r="V170" s="195" t="n"/>
      <c r="W170" s="194" t="n"/>
      <c r="X170" s="196" t="n"/>
      <c r="Y170" s="195" t="n"/>
      <c r="Z170" s="194" t="n"/>
      <c r="AA170" s="196" t="n"/>
      <c r="AB170" s="195" t="n"/>
      <c r="AC170" s="194" t="n"/>
      <c r="AD170" s="194" t="n"/>
      <c r="AE170" s="194" t="n"/>
      <c r="AF170" s="194" t="n"/>
      <c r="AG170" s="196" t="n"/>
      <c r="AH170" s="197" t="inlineStr">
        <is>
          <t>197-9-M-26, (10.08.2026) [FHM-M]</t>
        </is>
      </c>
      <c r="AI170" s="194" t="n"/>
      <c r="AJ170" s="194" t="n"/>
      <c r="AK170" s="196" t="n"/>
      <c r="AL170" s="195" t="n"/>
      <c r="AM170" s="194" t="n"/>
      <c r="AN170" s="194" t="n"/>
      <c r="AO170" s="194" t="n"/>
      <c r="AP170" s="196" t="n"/>
      <c r="AQ170" s="195" t="n"/>
      <c r="AR170" s="194" t="n"/>
      <c r="AS170" s="198" t="n"/>
    </row>
    <row r="171" ht="17.625" customHeight="1" s="70">
      <c r="A171" s="160" t="inlineStr">
        <is>
          <t>GP0824_01</t>
        </is>
      </c>
      <c r="B171" s="161" t="inlineStr">
        <is>
          <t>P050102</t>
        </is>
      </c>
      <c r="C171" s="162" t="inlineStr">
        <is>
          <t>✓ COMPLETE
3 testing instances
• 1 document(s) on file, not credited</t>
        </is>
      </c>
      <c r="D171" s="163" t="inlineStr">
        <is>
          <t>Conforms</t>
        </is>
      </c>
      <c r="E171" s="164">
        <f>IFERROR(INDEX('iCoA Register'!$B:$B,MATCH("P050102|I",'iCoA Register'!$P:$P,0)),"iCoA — at issue")&amp;", (05.08.2025) [PP]"</f>
        <v/>
      </c>
      <c r="F171" s="165" t="inlineStr">
        <is>
          <t>✓</t>
        </is>
      </c>
      <c r="G171" s="166" t="inlineStr">
        <is>
          <t>not on this certificate</t>
        </is>
      </c>
      <c r="H171" s="167" t="inlineStr">
        <is>
          <t>ППК25105, (17.04.2025) [CNP] · on file, not credited</t>
        </is>
      </c>
      <c r="I171" s="168" t="inlineStr">
        <is>
          <t>•</t>
        </is>
      </c>
      <c r="J171" s="163" t="inlineStr">
        <is>
          <t>Conforms (ImB spec.)</t>
        </is>
      </c>
      <c r="K171" s="164" t="inlineStr">
        <is>
          <t>ППК25105, (17.04.2025) [CNP]</t>
        </is>
      </c>
      <c r="L171" s="165" t="inlineStr">
        <is>
          <t>✓</t>
        </is>
      </c>
      <c r="M171" s="169" t="inlineStr">
        <is>
          <t>20.79</t>
        </is>
      </c>
      <c r="N171" s="164" t="inlineStr">
        <is>
          <t>ППК25105, (17.04.2025) [CNP]</t>
        </is>
      </c>
      <c r="O171" s="165" t="inlineStr">
        <is>
          <t>✓</t>
        </is>
      </c>
      <c r="P171" s="170" t="inlineStr">
        <is>
          <t>0.06</t>
        </is>
      </c>
      <c r="Q171" s="164" t="inlineStr">
        <is>
          <t>ППК25105, (17.04.2025) [CNP]</t>
        </is>
      </c>
      <c r="R171" s="165" t="inlineStr">
        <is>
          <t>✓</t>
        </is>
      </c>
      <c r="S171" s="170" t="inlineStr">
        <is>
          <t>ND ᴰ</t>
        </is>
      </c>
      <c r="T171" s="164" t="inlineStr">
        <is>
          <t>ППК25105, (17.04.2025) [CNP]</t>
        </is>
      </c>
      <c r="U171" s="165" t="inlineStr">
        <is>
          <t>✓</t>
        </is>
      </c>
      <c r="V171" s="163" t="inlineStr">
        <is>
          <t>Conforms</t>
        </is>
      </c>
      <c r="W171" s="164">
        <f>IFERROR(INDEX('iCoA Register'!$B:$B,MATCH("P050102|I",'iCoA Register'!$P:$P,0)),"iCoA — at issue")&amp;", (05.08.2025) [PP]"</f>
        <v/>
      </c>
      <c r="X171" s="165" t="inlineStr">
        <is>
          <t>✓</t>
        </is>
      </c>
      <c r="Y171" s="163" t="inlineStr">
        <is>
          <t>6.73</t>
        </is>
      </c>
      <c r="Z171" s="164" t="inlineStr">
        <is>
          <t>ППК25105, (17.04.2025) [CNP]</t>
        </is>
      </c>
      <c r="AA171" s="165" t="inlineStr">
        <is>
          <t>✓</t>
        </is>
      </c>
      <c r="AB171" s="163" t="inlineStr">
        <is>
          <t>4.2 × 10³</t>
        </is>
      </c>
      <c r="AC171" s="171" t="inlineStr">
        <is>
          <t>6 × 10³</t>
        </is>
      </c>
      <c r="AD171" s="171" t="inlineStr">
        <is>
          <t>&lt; 10</t>
        </is>
      </c>
      <c r="AE171" s="171" t="inlineStr">
        <is>
          <t>Absent</t>
        </is>
      </c>
      <c r="AF171" s="171" t="inlineStr">
        <is>
          <t>Absent</t>
        </is>
      </c>
      <c r="AG171" s="165" t="inlineStr">
        <is>
          <t>✓</t>
        </is>
      </c>
      <c r="AH171" s="163" t="inlineStr">
        <is>
          <t>ND</t>
        </is>
      </c>
      <c r="AI171" s="171" t="inlineStr">
        <is>
          <t>&lt; 2</t>
        </is>
      </c>
      <c r="AJ171" s="171" t="inlineStr">
        <is>
          <t>ND</t>
        </is>
      </c>
      <c r="AK171" s="165" t="inlineStr">
        <is>
          <t>✓</t>
        </is>
      </c>
      <c r="AL171" s="163" t="inlineStr">
        <is>
          <t>0.026</t>
        </is>
      </c>
      <c r="AM171" s="171" t="inlineStr">
        <is>
          <t>0.005</t>
        </is>
      </c>
      <c r="AN171" s="171" t="inlineStr">
        <is>
          <t>0.015</t>
        </is>
      </c>
      <c r="AO171" s="171" t="inlineStr">
        <is>
          <t>0.005</t>
        </is>
      </c>
      <c r="AP171" s="165" t="inlineStr">
        <is>
          <t>✓</t>
        </is>
      </c>
      <c r="AQ171" s="163" t="inlineStr">
        <is>
          <t>≤ LOQ (all 27 compounds)</t>
        </is>
      </c>
      <c r="AR171" s="164" t="inlineStr">
        <is>
          <t>1767-2025, (11.04.2025) [IJZ]</t>
        </is>
      </c>
      <c r="AS171" s="172" t="inlineStr">
        <is>
          <t>✓</t>
        </is>
      </c>
    </row>
    <row r="172" ht="13" customHeight="1" s="70">
      <c r="A172" s="173" t="n"/>
      <c r="D172" s="174" t="n"/>
      <c r="F172" s="175" t="n"/>
      <c r="G172" s="174" t="n"/>
      <c r="I172" s="175" t="n"/>
      <c r="J172" s="174" t="n"/>
      <c r="L172" s="175" t="n"/>
      <c r="M172" s="174" t="n"/>
      <c r="O172" s="175" t="n"/>
      <c r="P172" s="174" t="n"/>
      <c r="R172" s="175" t="n"/>
      <c r="S172" s="174" t="n"/>
      <c r="U172" s="175" t="n"/>
      <c r="V172" s="174" t="n"/>
      <c r="X172" s="175" t="n"/>
      <c r="Y172" s="174" t="n"/>
      <c r="AA172" s="175" t="n"/>
      <c r="AB172" s="176" t="inlineStr">
        <is>
          <t>318-0585-25, (14.04.2025) [IJZ-MB]</t>
        </is>
      </c>
      <c r="AG172" s="175" t="n"/>
      <c r="AH172" s="176" t="inlineStr">
        <is>
          <t>1767-2025, (11.04.2025) [IJZ]</t>
        </is>
      </c>
      <c r="AK172" s="175" t="n"/>
      <c r="AL172" s="176" t="inlineStr">
        <is>
          <t>1767-2025, (11.04.2025) [IJZ]</t>
        </is>
      </c>
      <c r="AP172" s="175" t="n"/>
      <c r="AQ172" s="174" t="n"/>
      <c r="AS172" s="177" t="n"/>
    </row>
    <row r="173" ht="14" customHeight="1" s="70">
      <c r="A173" s="178" t="n"/>
      <c r="B173" s="179" t="n"/>
      <c r="D173" s="180" t="n"/>
      <c r="E173" s="179" t="n"/>
      <c r="F173" s="181" t="n"/>
      <c r="G173" s="190" t="inlineStr">
        <is>
          <t>Conforms</t>
        </is>
      </c>
      <c r="H173" s="223">
        <f>IFERROR(INDEX('iCoA Register'!$B:$B,MATCH("P050102|I",'iCoA Register'!$P:$P,0)),"iCoA — at issue")&amp;", (05.08.2025) [PP]"</f>
        <v/>
      </c>
      <c r="I173" s="224" t="inlineStr">
        <is>
          <t>✓</t>
        </is>
      </c>
      <c r="J173" s="180" t="n"/>
      <c r="K173" s="179" t="n"/>
      <c r="L173" s="181" t="n"/>
      <c r="M173" s="180" t="n"/>
      <c r="N173" s="179" t="n"/>
      <c r="O173" s="181" t="n"/>
      <c r="P173" s="180" t="n"/>
      <c r="Q173" s="179" t="n"/>
      <c r="R173" s="181" t="n"/>
      <c r="S173" s="180" t="n"/>
      <c r="T173" s="179" t="n"/>
      <c r="U173" s="181" t="n"/>
      <c r="V173" s="180" t="n"/>
      <c r="W173" s="179" t="n"/>
      <c r="X173" s="181" t="n"/>
      <c r="Y173" s="180" t="n"/>
      <c r="Z173" s="179" t="n"/>
      <c r="AA173" s="181" t="n"/>
      <c r="AB173" s="190" t="inlineStr">
        <is>
          <t>5.2 × 10³</t>
        </is>
      </c>
      <c r="AC173" s="191" t="inlineStr">
        <is>
          <t>8.8 × 10³</t>
        </is>
      </c>
      <c r="AD173" s="191" t="inlineStr">
        <is>
          <t>&lt; 10</t>
        </is>
      </c>
      <c r="AE173" s="191" t="inlineStr">
        <is>
          <t>Absent</t>
        </is>
      </c>
      <c r="AF173" s="191" t="inlineStr">
        <is>
          <t>Absent</t>
        </is>
      </c>
      <c r="AG173" s="224" t="inlineStr">
        <is>
          <t>✓</t>
        </is>
      </c>
      <c r="AH173" s="180" t="n"/>
      <c r="AI173" s="179" t="n"/>
      <c r="AJ173" s="179" t="n"/>
      <c r="AK173" s="181" t="n"/>
      <c r="AL173" s="180" t="n"/>
      <c r="AM173" s="179" t="n"/>
      <c r="AN173" s="179" t="n"/>
      <c r="AO173" s="179" t="n"/>
      <c r="AP173" s="181" t="n"/>
      <c r="AQ173" s="180" t="n"/>
      <c r="AR173" s="179" t="n"/>
      <c r="AS173" s="192" t="n"/>
    </row>
    <row r="174" ht="13" customHeight="1" s="70">
      <c r="A174" s="230" t="n"/>
      <c r="B174" s="231" t="n"/>
      <c r="D174" s="232" t="n"/>
      <c r="E174" s="231" t="n"/>
      <c r="F174" s="233" t="n"/>
      <c r="G174" s="232" t="n"/>
      <c r="H174" s="231" t="n"/>
      <c r="I174" s="233" t="n"/>
      <c r="J174" s="232" t="n"/>
      <c r="K174" s="231" t="n"/>
      <c r="L174" s="233" t="n"/>
      <c r="M174" s="232" t="n"/>
      <c r="N174" s="231" t="n"/>
      <c r="O174" s="233" t="n"/>
      <c r="P174" s="232" t="n"/>
      <c r="Q174" s="231" t="n"/>
      <c r="R174" s="233" t="n"/>
      <c r="S174" s="232" t="n"/>
      <c r="T174" s="231" t="n"/>
      <c r="U174" s="233" t="n"/>
      <c r="V174" s="232" t="n"/>
      <c r="W174" s="231" t="n"/>
      <c r="X174" s="233" t="n"/>
      <c r="Y174" s="232" t="n"/>
      <c r="Z174" s="231" t="n"/>
      <c r="AA174" s="233" t="n"/>
      <c r="AB174" s="247" t="inlineStr">
        <is>
          <t>319-0586-25, (14.04.2025) [IJZ-MB]</t>
        </is>
      </c>
      <c r="AC174" s="231" t="n"/>
      <c r="AD174" s="231" t="n"/>
      <c r="AE174" s="231" t="n"/>
      <c r="AF174" s="231" t="n"/>
      <c r="AG174" s="233" t="n"/>
      <c r="AH174" s="232" t="n"/>
      <c r="AI174" s="231" t="n"/>
      <c r="AJ174" s="231" t="n"/>
      <c r="AK174" s="233" t="n"/>
      <c r="AL174" s="232" t="n"/>
      <c r="AM174" s="231" t="n"/>
      <c r="AN174" s="231" t="n"/>
      <c r="AO174" s="231" t="n"/>
      <c r="AP174" s="233" t="n"/>
      <c r="AQ174" s="232" t="n"/>
      <c r="AR174" s="231" t="n"/>
      <c r="AS174" s="234" t="n"/>
    </row>
    <row r="175" ht="14" customHeight="1" s="70">
      <c r="A175" s="178" t="n"/>
      <c r="B175" s="179" t="n"/>
      <c r="D175" s="180" t="n"/>
      <c r="E175" s="179" t="n"/>
      <c r="F175" s="181" t="n"/>
      <c r="G175" s="180" t="n"/>
      <c r="H175" s="179" t="n"/>
      <c r="I175" s="181" t="n"/>
      <c r="J175" s="180" t="n"/>
      <c r="K175" s="179" t="n"/>
      <c r="L175" s="181" t="n"/>
      <c r="M175" s="180" t="n"/>
      <c r="N175" s="179" t="n"/>
      <c r="O175" s="181" t="n"/>
      <c r="P175" s="180" t="n"/>
      <c r="Q175" s="179" t="n"/>
      <c r="R175" s="181" t="n"/>
      <c r="S175" s="180" t="n"/>
      <c r="T175" s="179" t="n"/>
      <c r="U175" s="181" t="n"/>
      <c r="V175" s="180" t="n"/>
      <c r="W175" s="179" t="n"/>
      <c r="X175" s="181" t="n"/>
      <c r="Y175" s="180" t="n"/>
      <c r="Z175" s="179" t="n"/>
      <c r="AA175" s="181" t="n"/>
      <c r="AB175" s="190" t="inlineStr">
        <is>
          <t>&lt; 10</t>
        </is>
      </c>
      <c r="AC175" s="191" t="inlineStr">
        <is>
          <t>50</t>
        </is>
      </c>
      <c r="AD175" s="191" t="inlineStr">
        <is>
          <t>&lt; 10</t>
        </is>
      </c>
      <c r="AE175" s="191" t="inlineStr">
        <is>
          <t>Absent</t>
        </is>
      </c>
      <c r="AF175" s="191" t="inlineStr">
        <is>
          <t>Absent</t>
        </is>
      </c>
      <c r="AG175" s="184" t="inlineStr">
        <is>
          <t>✓</t>
        </is>
      </c>
      <c r="AH175" s="180" t="n"/>
      <c r="AI175" s="179" t="n"/>
      <c r="AJ175" s="179" t="n"/>
      <c r="AK175" s="181" t="n"/>
      <c r="AL175" s="180" t="n"/>
      <c r="AM175" s="179" t="n"/>
      <c r="AN175" s="179" t="n"/>
      <c r="AO175" s="179" t="n"/>
      <c r="AP175" s="181" t="n"/>
      <c r="AQ175" s="180" t="n"/>
      <c r="AR175" s="179" t="n"/>
      <c r="AS175" s="192" t="n"/>
    </row>
    <row r="176" ht="13" customHeight="1" s="70">
      <c r="A176" s="193" t="n"/>
      <c r="B176" s="194" t="n"/>
      <c r="C176" s="194" t="n"/>
      <c r="D176" s="195" t="n"/>
      <c r="E176" s="194" t="n"/>
      <c r="F176" s="196" t="n"/>
      <c r="G176" s="195" t="n"/>
      <c r="H176" s="194" t="n"/>
      <c r="I176" s="196" t="n"/>
      <c r="J176" s="195" t="n"/>
      <c r="K176" s="194" t="n"/>
      <c r="L176" s="196" t="n"/>
      <c r="M176" s="195" t="n"/>
      <c r="N176" s="194" t="n"/>
      <c r="O176" s="196" t="n"/>
      <c r="P176" s="195" t="n"/>
      <c r="Q176" s="194" t="n"/>
      <c r="R176" s="196" t="n"/>
      <c r="S176" s="195" t="n"/>
      <c r="T176" s="194" t="n"/>
      <c r="U176" s="196" t="n"/>
      <c r="V176" s="195" t="n"/>
      <c r="W176" s="194" t="n"/>
      <c r="X176" s="196" t="n"/>
      <c r="Y176" s="195" t="n"/>
      <c r="Z176" s="194" t="n"/>
      <c r="AA176" s="196" t="n"/>
      <c r="AB176" s="197" t="inlineStr">
        <is>
          <t>562-1093-26, (01.09.2026) [IJZ-MB]</t>
        </is>
      </c>
      <c r="AC176" s="194" t="n"/>
      <c r="AD176" s="194" t="n"/>
      <c r="AE176" s="194" t="n"/>
      <c r="AF176" s="194" t="n"/>
      <c r="AG176" s="196" t="n"/>
      <c r="AH176" s="195" t="n"/>
      <c r="AI176" s="194" t="n"/>
      <c r="AJ176" s="194" t="n"/>
      <c r="AK176" s="196" t="n"/>
      <c r="AL176" s="195" t="n"/>
      <c r="AM176" s="194" t="n"/>
      <c r="AN176" s="194" t="n"/>
      <c r="AO176" s="194" t="n"/>
      <c r="AP176" s="196" t="n"/>
      <c r="AQ176" s="195" t="n"/>
      <c r="AR176" s="194" t="n"/>
      <c r="AS176" s="198" t="n"/>
    </row>
    <row r="177" ht="17.625" customHeight="1" s="70">
      <c r="A177" s="160" t="inlineStr">
        <is>
          <t>MB0824_05</t>
        </is>
      </c>
      <c r="B177" s="161" t="inlineStr">
        <is>
          <t>P050112</t>
        </is>
      </c>
      <c r="C177" s="162" t="inlineStr">
        <is>
          <t>✓ COMPLETE
2 testing instances
• 1 document(s) on file, not credited</t>
        </is>
      </c>
      <c r="D177" s="163" t="inlineStr">
        <is>
          <t>Conforms</t>
        </is>
      </c>
      <c r="E177" s="164">
        <f>IFERROR(INDEX('iCoA Register'!$B:$B,MATCH("P050112|I",'iCoA Register'!$P:$P,0)),"iCoA — at issue")&amp;", (25.08.2025) [PP]"</f>
        <v/>
      </c>
      <c r="F177" s="165" t="inlineStr">
        <is>
          <t>✓</t>
        </is>
      </c>
      <c r="G177" s="166" t="inlineStr">
        <is>
          <t>not on this certificate</t>
        </is>
      </c>
      <c r="H177" s="167" t="inlineStr">
        <is>
          <t>ППК25211, (28.07.2025) [CNP] · on file, not credited</t>
        </is>
      </c>
      <c r="I177" s="168" t="inlineStr">
        <is>
          <t>•</t>
        </is>
      </c>
      <c r="J177" s="163" t="inlineStr">
        <is>
          <t>Conforms (ImB spec.)</t>
        </is>
      </c>
      <c r="K177" s="164" t="inlineStr">
        <is>
          <t>ППК25211, (28.07.2025) [CNP]</t>
        </is>
      </c>
      <c r="L177" s="165" t="inlineStr">
        <is>
          <t>✓</t>
        </is>
      </c>
      <c r="M177" s="169" t="inlineStr">
        <is>
          <t>16.82</t>
        </is>
      </c>
      <c r="N177" s="164" t="inlineStr">
        <is>
          <t>ППК25211, (28.07.2025) [CNP]</t>
        </is>
      </c>
      <c r="O177" s="165" t="inlineStr">
        <is>
          <t>✓</t>
        </is>
      </c>
      <c r="P177" s="170" t="inlineStr">
        <is>
          <t>0.06</t>
        </is>
      </c>
      <c r="Q177" s="164" t="inlineStr">
        <is>
          <t>ППК25211, (28.07.2025) [CNP]</t>
        </is>
      </c>
      <c r="R177" s="165" t="inlineStr">
        <is>
          <t>✓</t>
        </is>
      </c>
      <c r="S177" s="170" t="inlineStr">
        <is>
          <t>0.02 ᴰ</t>
        </is>
      </c>
      <c r="T177" s="164" t="inlineStr">
        <is>
          <t>ППК25211, (28.07.2025) [CNP]</t>
        </is>
      </c>
      <c r="U177" s="165" t="inlineStr">
        <is>
          <t>✓</t>
        </is>
      </c>
      <c r="V177" s="163" t="inlineStr">
        <is>
          <t>Conforms</t>
        </is>
      </c>
      <c r="W177" s="164">
        <f>IFERROR(INDEX('iCoA Register'!$B:$B,MATCH("P050112|I",'iCoA Register'!$P:$P,0)),"iCoA — at issue")&amp;", (25.08.2025) [PP]"</f>
        <v/>
      </c>
      <c r="X177" s="165" t="inlineStr">
        <is>
          <t>✓</t>
        </is>
      </c>
      <c r="Y177" s="163" t="inlineStr">
        <is>
          <t>6.56</t>
        </is>
      </c>
      <c r="Z177" s="164" t="inlineStr">
        <is>
          <t>ППК25211, (28.07.2025) [CNP]</t>
        </is>
      </c>
      <c r="AA177" s="165" t="inlineStr">
        <is>
          <t>✓</t>
        </is>
      </c>
      <c r="AB177" s="163" t="inlineStr">
        <is>
          <t>3.5 × 10³</t>
        </is>
      </c>
      <c r="AC177" s="171" t="inlineStr">
        <is>
          <t>1 × 10³</t>
        </is>
      </c>
      <c r="AD177" s="171" t="inlineStr">
        <is>
          <t>&lt; 10</t>
        </is>
      </c>
      <c r="AE177" s="171" t="inlineStr">
        <is>
          <t>Absent</t>
        </is>
      </c>
      <c r="AF177" s="171" t="inlineStr">
        <is>
          <t>Absent</t>
        </is>
      </c>
      <c r="AG177" s="165" t="inlineStr">
        <is>
          <t>✓</t>
        </is>
      </c>
      <c r="AH177" s="163" t="inlineStr">
        <is>
          <t>ND</t>
        </is>
      </c>
      <c r="AI177" s="171" t="inlineStr">
        <is>
          <t>2</t>
        </is>
      </c>
      <c r="AJ177" s="171" t="inlineStr">
        <is>
          <t>ND</t>
        </is>
      </c>
      <c r="AK177" s="165" t="inlineStr">
        <is>
          <t>✓</t>
        </is>
      </c>
      <c r="AL177" s="163" t="inlineStr">
        <is>
          <t>ND</t>
        </is>
      </c>
      <c r="AM177" s="171" t="inlineStr">
        <is>
          <t>ND</t>
        </is>
      </c>
      <c r="AN177" s="171" t="inlineStr">
        <is>
          <t>0.086</t>
        </is>
      </c>
      <c r="AO177" s="171" t="inlineStr">
        <is>
          <t>0.006</t>
        </is>
      </c>
      <c r="AP177" s="165" t="inlineStr">
        <is>
          <t>✓</t>
        </is>
      </c>
      <c r="AQ177" s="163" t="inlineStr">
        <is>
          <t>ND ᴿ</t>
        </is>
      </c>
      <c r="AR177" s="164" t="inlineStr">
        <is>
          <t>3638-2025, (28.07.2025) [IJZ]</t>
        </is>
      </c>
      <c r="AS177" s="172" t="inlineStr">
        <is>
          <t>✓</t>
        </is>
      </c>
    </row>
    <row r="178" ht="13" customHeight="1" s="70">
      <c r="A178" s="173" t="n"/>
      <c r="D178" s="174" t="n"/>
      <c r="F178" s="175" t="n"/>
      <c r="G178" s="174" t="n"/>
      <c r="I178" s="175" t="n"/>
      <c r="J178" s="174" t="n"/>
      <c r="L178" s="175" t="n"/>
      <c r="M178" s="174" t="n"/>
      <c r="O178" s="175" t="n"/>
      <c r="P178" s="174" t="n"/>
      <c r="R178" s="175" t="n"/>
      <c r="S178" s="174" t="n"/>
      <c r="U178" s="175" t="n"/>
      <c r="V178" s="174" t="n"/>
      <c r="X178" s="175" t="n"/>
      <c r="Y178" s="174" t="n"/>
      <c r="AA178" s="175" t="n"/>
      <c r="AB178" s="176" t="inlineStr">
        <is>
          <t>767-1376-25, (29.07.2025) [IJZ-MB]</t>
        </is>
      </c>
      <c r="AG178" s="175" t="n"/>
      <c r="AH178" s="176" t="inlineStr">
        <is>
          <t>3638-2025, (28.07.2025) [IJZ]</t>
        </is>
      </c>
      <c r="AK178" s="175" t="n"/>
      <c r="AL178" s="176" t="inlineStr">
        <is>
          <t>3638-2025, (28.07.2025) [IJZ]</t>
        </is>
      </c>
      <c r="AP178" s="175" t="n"/>
      <c r="AQ178" s="174" t="n"/>
      <c r="AS178" s="177" t="n"/>
    </row>
    <row r="179" ht="14" customHeight="1" s="70">
      <c r="A179" s="178" t="n"/>
      <c r="B179" s="179" t="n"/>
      <c r="D179" s="180" t="n"/>
      <c r="E179" s="179" t="n"/>
      <c r="F179" s="181" t="n"/>
      <c r="G179" s="182" t="inlineStr">
        <is>
          <t>Conforms</t>
        </is>
      </c>
      <c r="H179" s="183">
        <f>IFERROR(INDEX('iCoA Register'!$B:$B,MATCH("P050112|I",'iCoA Register'!$P:$P,0)),"iCoA — at issue")&amp;", (25.08.2025) [PP]"</f>
        <v/>
      </c>
      <c r="I179" s="184" t="inlineStr">
        <is>
          <t>✓</t>
        </is>
      </c>
      <c r="J179" s="180" t="n"/>
      <c r="K179" s="179" t="n"/>
      <c r="L179" s="181" t="n"/>
      <c r="M179" s="180" t="n"/>
      <c r="N179" s="179" t="n"/>
      <c r="O179" s="181" t="n"/>
      <c r="P179" s="180" t="n"/>
      <c r="Q179" s="179" t="n"/>
      <c r="R179" s="181" t="n"/>
      <c r="S179" s="180" t="n"/>
      <c r="T179" s="179" t="n"/>
      <c r="U179" s="181" t="n"/>
      <c r="V179" s="180" t="n"/>
      <c r="W179" s="179" t="n"/>
      <c r="X179" s="181" t="n"/>
      <c r="Y179" s="180" t="n"/>
      <c r="Z179" s="179" t="n"/>
      <c r="AA179" s="181" t="n"/>
      <c r="AB179" s="180" t="n"/>
      <c r="AC179" s="179" t="n"/>
      <c r="AD179" s="179" t="n"/>
      <c r="AE179" s="179" t="n"/>
      <c r="AF179" s="179" t="n"/>
      <c r="AG179" s="181" t="n"/>
      <c r="AH179" s="180" t="n"/>
      <c r="AI179" s="179" t="n"/>
      <c r="AJ179" s="179" t="n"/>
      <c r="AK179" s="181" t="n"/>
      <c r="AL179" s="180" t="n"/>
      <c r="AM179" s="179" t="n"/>
      <c r="AN179" s="179" t="n"/>
      <c r="AO179" s="179" t="n"/>
      <c r="AP179" s="181" t="n"/>
      <c r="AQ179" s="180" t="n"/>
      <c r="AR179" s="179" t="n"/>
      <c r="AS179" s="192" t="n"/>
    </row>
    <row r="180" ht="13" customHeight="1" s="70">
      <c r="A180" s="193" t="n"/>
      <c r="B180" s="194" t="n"/>
      <c r="C180" s="194" t="n"/>
      <c r="D180" s="195" t="n"/>
      <c r="E180" s="194" t="n"/>
      <c r="F180" s="196" t="n"/>
      <c r="G180" s="195" t="n"/>
      <c r="H180" s="194" t="n"/>
      <c r="I180" s="196" t="n"/>
      <c r="J180" s="195" t="n"/>
      <c r="K180" s="194" t="n"/>
      <c r="L180" s="196" t="n"/>
      <c r="M180" s="195" t="n"/>
      <c r="N180" s="194" t="n"/>
      <c r="O180" s="196" t="n"/>
      <c r="P180" s="195" t="n"/>
      <c r="Q180" s="194" t="n"/>
      <c r="R180" s="196" t="n"/>
      <c r="S180" s="195" t="n"/>
      <c r="T180" s="194" t="n"/>
      <c r="U180" s="196" t="n"/>
      <c r="V180" s="195" t="n"/>
      <c r="W180" s="194" t="n"/>
      <c r="X180" s="196" t="n"/>
      <c r="Y180" s="195" t="n"/>
      <c r="Z180" s="194" t="n"/>
      <c r="AA180" s="196" t="n"/>
      <c r="AB180" s="195" t="n"/>
      <c r="AC180" s="194" t="n"/>
      <c r="AD180" s="194" t="n"/>
      <c r="AE180" s="194" t="n"/>
      <c r="AF180" s="194" t="n"/>
      <c r="AG180" s="196" t="n"/>
      <c r="AH180" s="195" t="n"/>
      <c r="AI180" s="194" t="n"/>
      <c r="AJ180" s="194" t="n"/>
      <c r="AK180" s="196" t="n"/>
      <c r="AL180" s="195" t="n"/>
      <c r="AM180" s="194" t="n"/>
      <c r="AN180" s="194" t="n"/>
      <c r="AO180" s="194" t="n"/>
      <c r="AP180" s="196" t="n"/>
      <c r="AQ180" s="195" t="n"/>
      <c r="AR180" s="194" t="n"/>
      <c r="AS180" s="198" t="n"/>
    </row>
    <row r="181" ht="17.625" customHeight="1" s="70">
      <c r="A181" s="160" t="inlineStr">
        <is>
          <t>BSS1024_01/1</t>
        </is>
      </c>
      <c r="B181" s="161" t="inlineStr">
        <is>
          <t>P050122</t>
        </is>
      </c>
      <c r="C181" s="162" t="inlineStr">
        <is>
          <t>✓ COMPLETE
2 testing instances
• 1 document(s) on file, not credited</t>
        </is>
      </c>
      <c r="D181" s="163" t="inlineStr">
        <is>
          <t>Conforms</t>
        </is>
      </c>
      <c r="E181" s="164">
        <f>IFERROR(INDEX('iCoA Register'!$B:$B,MATCH("P060342|I",'iCoA Register'!$P:$P,0)),"iCoA — at issue")&amp;", (01.09.2025) [PP]"</f>
        <v/>
      </c>
      <c r="F181" s="165" t="inlineStr">
        <is>
          <t>✓</t>
        </is>
      </c>
      <c r="G181" s="166" t="inlineStr">
        <is>
          <t>not on this certificate</t>
        </is>
      </c>
      <c r="H181" s="167" t="inlineStr">
        <is>
          <t>ППК25176, (10.07.2025) [CNP] · on file, not credited</t>
        </is>
      </c>
      <c r="I181" s="168" t="inlineStr">
        <is>
          <t>•</t>
        </is>
      </c>
      <c r="J181" s="163" t="inlineStr">
        <is>
          <t>Conforms (ImB spec.)</t>
        </is>
      </c>
      <c r="K181" s="164" t="inlineStr">
        <is>
          <t>ППК25176, (10.07.2025) [CNP]</t>
        </is>
      </c>
      <c r="L181" s="165" t="inlineStr">
        <is>
          <t>✓</t>
        </is>
      </c>
      <c r="M181" s="169" t="inlineStr">
        <is>
          <t>23.42</t>
        </is>
      </c>
      <c r="N181" s="164" t="inlineStr">
        <is>
          <t>ППК25176, (10.07.2025) [CNP]</t>
        </is>
      </c>
      <c r="O181" s="165" t="inlineStr">
        <is>
          <t>✓</t>
        </is>
      </c>
      <c r="P181" s="170" t="inlineStr">
        <is>
          <t>0.06</t>
        </is>
      </c>
      <c r="Q181" s="164" t="inlineStr">
        <is>
          <t>ППК25176, (10.07.2025) [CNP]</t>
        </is>
      </c>
      <c r="R181" s="165" t="inlineStr">
        <is>
          <t>✓</t>
        </is>
      </c>
      <c r="S181" s="170" t="inlineStr">
        <is>
          <t>&lt; LOQ ᴰ</t>
        </is>
      </c>
      <c r="T181" s="164" t="inlineStr">
        <is>
          <t>ППК25176, (10.07.2025) [CNP]</t>
        </is>
      </c>
      <c r="U181" s="165" t="inlineStr">
        <is>
          <t>✓</t>
        </is>
      </c>
      <c r="V181" s="163" t="inlineStr">
        <is>
          <t>Conforms</t>
        </is>
      </c>
      <c r="W181" s="164">
        <f>IFERROR(INDEX('iCoA Register'!$B:$B,MATCH("P060342|I",'iCoA Register'!$P:$P,0)),"iCoA — at issue")&amp;", (01.09.2025) [PP]"</f>
        <v/>
      </c>
      <c r="X181" s="165" t="inlineStr">
        <is>
          <t>✓</t>
        </is>
      </c>
      <c r="Y181" s="163" t="inlineStr">
        <is>
          <t>6.38</t>
        </is>
      </c>
      <c r="Z181" s="164" t="inlineStr">
        <is>
          <t>ППК25176, (10.07.2025) [CNP]</t>
        </is>
      </c>
      <c r="AA181" s="165" t="inlineStr">
        <is>
          <t>✓</t>
        </is>
      </c>
      <c r="AB181" s="163" t="inlineStr">
        <is>
          <t>&lt; 10</t>
        </is>
      </c>
      <c r="AC181" s="171" t="inlineStr">
        <is>
          <t>&lt; 10</t>
        </is>
      </c>
      <c r="AD181" s="171" t="inlineStr">
        <is>
          <t>&lt; 10</t>
        </is>
      </c>
      <c r="AE181" s="171" t="inlineStr">
        <is>
          <t>Absent</t>
        </is>
      </c>
      <c r="AF181" s="171" t="inlineStr">
        <is>
          <t>Absent</t>
        </is>
      </c>
      <c r="AG181" s="165" t="inlineStr">
        <is>
          <t>✓</t>
        </is>
      </c>
      <c r="AH181" s="163" t="inlineStr">
        <is>
          <t>ND</t>
        </is>
      </c>
      <c r="AI181" s="171" t="inlineStr">
        <is>
          <t>&lt; 2</t>
        </is>
      </c>
      <c r="AJ181" s="171" t="inlineStr">
        <is>
          <t>ND</t>
        </is>
      </c>
      <c r="AK181" s="165" t="inlineStr">
        <is>
          <t>✓</t>
        </is>
      </c>
      <c r="AL181" s="163" t="inlineStr">
        <is>
          <t>ND</t>
        </is>
      </c>
      <c r="AM181" s="171" t="inlineStr">
        <is>
          <t>ND</t>
        </is>
      </c>
      <c r="AN181" s="171" t="inlineStr">
        <is>
          <t>0.112</t>
        </is>
      </c>
      <c r="AO181" s="171" t="inlineStr">
        <is>
          <t>ND</t>
        </is>
      </c>
      <c r="AP181" s="165" t="inlineStr">
        <is>
          <t>✓</t>
        </is>
      </c>
      <c r="AQ181" s="163" t="inlineStr">
        <is>
          <t>≤ LOQ (all 27 compounds)</t>
        </is>
      </c>
      <c r="AR181" s="164" t="inlineStr">
        <is>
          <t>3177-2025, (26.06.2025) [IJZ]</t>
        </is>
      </c>
      <c r="AS181" s="172" t="inlineStr">
        <is>
          <t>✓</t>
        </is>
      </c>
    </row>
    <row r="182" ht="13" customHeight="1" s="70">
      <c r="A182" s="173" t="n"/>
      <c r="D182" s="174" t="n"/>
      <c r="F182" s="175" t="n"/>
      <c r="G182" s="174" t="n"/>
      <c r="I182" s="175" t="n"/>
      <c r="J182" s="174" t="n"/>
      <c r="L182" s="175" t="n"/>
      <c r="M182" s="174" t="n"/>
      <c r="O182" s="175" t="n"/>
      <c r="P182" s="174" t="n"/>
      <c r="R182" s="175" t="n"/>
      <c r="S182" s="174" t="n"/>
      <c r="U182" s="175" t="n"/>
      <c r="V182" s="174" t="n"/>
      <c r="X182" s="175" t="n"/>
      <c r="Y182" s="174" t="n"/>
      <c r="AA182" s="175" t="n"/>
      <c r="AB182" s="176" t="inlineStr">
        <is>
          <t>626-1127-25, (02.07.2025) [IJZ-MB]</t>
        </is>
      </c>
      <c r="AG182" s="175" t="n"/>
      <c r="AH182" s="176" t="inlineStr">
        <is>
          <t>3177-2025, (26.06.2025) [IJZ]</t>
        </is>
      </c>
      <c r="AK182" s="175" t="n"/>
      <c r="AL182" s="176" t="inlineStr">
        <is>
          <t>3177-2025, (26.06.2025) [IJZ]</t>
        </is>
      </c>
      <c r="AP182" s="175" t="n"/>
      <c r="AQ182" s="174" t="n"/>
      <c r="AS182" s="177" t="n"/>
    </row>
    <row r="183" ht="14" customHeight="1" s="70">
      <c r="A183" s="178" t="n"/>
      <c r="B183" s="179" t="n"/>
      <c r="D183" s="180" t="n"/>
      <c r="E183" s="179" t="n"/>
      <c r="F183" s="181" t="n"/>
      <c r="G183" s="182" t="inlineStr">
        <is>
          <t>Conforms</t>
        </is>
      </c>
      <c r="H183" s="183">
        <f>IFERROR(INDEX('iCoA Register'!$B:$B,MATCH("P060342|I",'iCoA Register'!$P:$P,0)),"iCoA — at issue")&amp;", (01.09.2025) [PP]"</f>
        <v/>
      </c>
      <c r="I183" s="184" t="inlineStr">
        <is>
          <t>✓</t>
        </is>
      </c>
      <c r="J183" s="180" t="n"/>
      <c r="K183" s="179" t="n"/>
      <c r="L183" s="181" t="n"/>
      <c r="M183" s="180" t="n"/>
      <c r="N183" s="179" t="n"/>
      <c r="O183" s="181" t="n"/>
      <c r="P183" s="180" t="n"/>
      <c r="Q183" s="179" t="n"/>
      <c r="R183" s="181" t="n"/>
      <c r="S183" s="180" t="n"/>
      <c r="T183" s="179" t="n"/>
      <c r="U183" s="181" t="n"/>
      <c r="V183" s="180" t="n"/>
      <c r="W183" s="179" t="n"/>
      <c r="X183" s="181" t="n"/>
      <c r="Y183" s="180" t="n"/>
      <c r="Z183" s="179" t="n"/>
      <c r="AA183" s="181" t="n"/>
      <c r="AB183" s="190" t="inlineStr">
        <is>
          <t>10</t>
        </is>
      </c>
      <c r="AC183" s="191" t="inlineStr">
        <is>
          <t>20</t>
        </is>
      </c>
      <c r="AD183" s="191" t="inlineStr">
        <is>
          <t>&lt; 10</t>
        </is>
      </c>
      <c r="AE183" s="191" t="inlineStr">
        <is>
          <t>Absent</t>
        </is>
      </c>
      <c r="AF183" s="191" t="inlineStr">
        <is>
          <t>Absent</t>
        </is>
      </c>
      <c r="AG183" s="184" t="inlineStr">
        <is>
          <t>✓</t>
        </is>
      </c>
      <c r="AH183" s="180" t="n"/>
      <c r="AI183" s="179" t="n"/>
      <c r="AJ183" s="179" t="n"/>
      <c r="AK183" s="181" t="n"/>
      <c r="AL183" s="180" t="n"/>
      <c r="AM183" s="179" t="n"/>
      <c r="AN183" s="179" t="n"/>
      <c r="AO183" s="179" t="n"/>
      <c r="AP183" s="181" t="n"/>
      <c r="AQ183" s="180" t="n"/>
      <c r="AR183" s="179" t="n"/>
      <c r="AS183" s="192" t="n"/>
    </row>
    <row r="184" ht="13" customHeight="1" s="70">
      <c r="A184" s="193" t="n"/>
      <c r="B184" s="194" t="n"/>
      <c r="C184" s="194" t="n"/>
      <c r="D184" s="195" t="n"/>
      <c r="E184" s="194" t="n"/>
      <c r="F184" s="196" t="n"/>
      <c r="G184" s="195" t="n"/>
      <c r="H184" s="194" t="n"/>
      <c r="I184" s="196" t="n"/>
      <c r="J184" s="195" t="n"/>
      <c r="K184" s="194" t="n"/>
      <c r="L184" s="196" t="n"/>
      <c r="M184" s="195" t="n"/>
      <c r="N184" s="194" t="n"/>
      <c r="O184" s="196" t="n"/>
      <c r="P184" s="195" t="n"/>
      <c r="Q184" s="194" t="n"/>
      <c r="R184" s="196" t="n"/>
      <c r="S184" s="195" t="n"/>
      <c r="T184" s="194" t="n"/>
      <c r="U184" s="196" t="n"/>
      <c r="V184" s="195" t="n"/>
      <c r="W184" s="194" t="n"/>
      <c r="X184" s="196" t="n"/>
      <c r="Y184" s="195" t="n"/>
      <c r="Z184" s="194" t="n"/>
      <c r="AA184" s="196" t="n"/>
      <c r="AB184" s="197" t="inlineStr">
        <is>
          <t>561-1092-26, (01.09.2026) [IJZ-MB]</t>
        </is>
      </c>
      <c r="AC184" s="194" t="n"/>
      <c r="AD184" s="194" t="n"/>
      <c r="AE184" s="194" t="n"/>
      <c r="AF184" s="194" t="n"/>
      <c r="AG184" s="196" t="n"/>
      <c r="AH184" s="195" t="n"/>
      <c r="AI184" s="194" t="n"/>
      <c r="AJ184" s="194" t="n"/>
      <c r="AK184" s="196" t="n"/>
      <c r="AL184" s="195" t="n"/>
      <c r="AM184" s="194" t="n"/>
      <c r="AN184" s="194" t="n"/>
      <c r="AO184" s="194" t="n"/>
      <c r="AP184" s="196" t="n"/>
      <c r="AQ184" s="195" t="n"/>
      <c r="AR184" s="194" t="n"/>
      <c r="AS184" s="198" t="n"/>
    </row>
    <row r="185" ht="21" customHeight="1" s="70">
      <c r="A185" s="160" t="inlineStr">
        <is>
          <t>OPM052501</t>
        </is>
      </c>
      <c r="B185" s="161" t="inlineStr">
        <is>
          <t>P050132</t>
        </is>
      </c>
      <c r="C185" s="212" t="inlineStr">
        <is>
          <t>⚠ 1 NO RESULT
(0 no cert / 1 cert w/o result)
2 testing instances
• 1 document(s) on file, not credited
✗ OUT OF SPECIFICATION: #9 TYMC</t>
        </is>
      </c>
      <c r="D185" s="163" t="inlineStr">
        <is>
          <t>Conforms</t>
        </is>
      </c>
      <c r="E185" s="164">
        <f>IFERROR(INDEX('iCoA Register'!$B:$B,MATCH("P050132|I",'iCoA Register'!$P:$P,0)),"iCoA — at issue")&amp;", (09.09.2025) [PP]"</f>
        <v/>
      </c>
      <c r="F185" s="165" t="inlineStr">
        <is>
          <t>✓</t>
        </is>
      </c>
      <c r="G185" s="166" t="inlineStr">
        <is>
          <t>not ingested</t>
        </is>
      </c>
      <c r="H185" s="167" t="inlineStr">
        <is>
          <t>ППК25257, (05.09.2025) [CNP] · on file, not credited</t>
        </is>
      </c>
      <c r="I185" s="168" t="inlineStr">
        <is>
          <t>•</t>
        </is>
      </c>
      <c r="J185" s="163" t="inlineStr">
        <is>
          <t>Conforms (ImB spec.) ᴿ</t>
        </is>
      </c>
      <c r="K185" s="164" t="inlineStr">
        <is>
          <t>ППК25257, (05.09.2025) [CNP]</t>
        </is>
      </c>
      <c r="L185" s="165" t="inlineStr">
        <is>
          <t>✓</t>
        </is>
      </c>
      <c r="M185" s="169" t="inlineStr">
        <is>
          <t>14.16 ᴿ</t>
        </is>
      </c>
      <c r="N185" s="164" t="inlineStr">
        <is>
          <t>ППК25257, (05.09.2025) [CNP]</t>
        </is>
      </c>
      <c r="O185" s="165" t="inlineStr">
        <is>
          <t>✓</t>
        </is>
      </c>
      <c r="P185" s="170" t="inlineStr">
        <is>
          <t>0.04 ᴿ</t>
        </is>
      </c>
      <c r="Q185" s="164" t="inlineStr">
        <is>
          <t>ППК25257, (05.09.2025) [CNP]</t>
        </is>
      </c>
      <c r="R185" s="165" t="inlineStr">
        <is>
          <t>✓</t>
        </is>
      </c>
      <c r="S185" s="252" t="inlineStr">
        <is>
          <t>not ingested</t>
        </is>
      </c>
      <c r="T185" s="253" t="inlineStr">
        <is>
          <t>ППК25257, (05.09.2025) [CNP]</t>
        </is>
      </c>
      <c r="U185" s="244" t="inlineStr">
        <is>
          <t>✗</t>
        </is>
      </c>
      <c r="V185" s="163" t="inlineStr">
        <is>
          <t>Conforms</t>
        </is>
      </c>
      <c r="W185" s="164">
        <f>IFERROR(INDEX('iCoA Register'!$B:$B,MATCH("P050132|I",'iCoA Register'!$P:$P,0)),"iCoA — at issue")&amp;", (09.09.2025) [PP]"</f>
        <v/>
      </c>
      <c r="X185" s="165" t="inlineStr">
        <is>
          <t>✓</t>
        </is>
      </c>
      <c r="Y185" s="163" t="inlineStr">
        <is>
          <t>8.28 ᴿ</t>
        </is>
      </c>
      <c r="Z185" s="164" t="inlineStr">
        <is>
          <t>ППК25257, (05.09.2025) [CNP]</t>
        </is>
      </c>
      <c r="AA185" s="165" t="inlineStr">
        <is>
          <t>✓</t>
        </is>
      </c>
      <c r="AB185" s="163" t="inlineStr">
        <is>
          <t>1.2 × 10⁴ ᴿ</t>
        </is>
      </c>
      <c r="AC185" s="262" t="inlineStr">
        <is>
          <t>3.3 × 10⁴ ᴿ</t>
        </is>
      </c>
      <c r="AD185" s="171" t="inlineStr">
        <is>
          <t>&lt; 10 ᴿ</t>
        </is>
      </c>
      <c r="AE185" s="171" t="inlineStr">
        <is>
          <t>Absent ᴿ</t>
        </is>
      </c>
      <c r="AF185" s="171" t="inlineStr">
        <is>
          <t>Absent ᴿ</t>
        </is>
      </c>
      <c r="AG185" s="165" t="inlineStr">
        <is>
          <t>✓</t>
        </is>
      </c>
      <c r="AH185" s="163" t="inlineStr">
        <is>
          <t>not reported</t>
        </is>
      </c>
      <c r="AI185" s="171" t="inlineStr">
        <is>
          <t>2.1 ᴿ</t>
        </is>
      </c>
      <c r="AJ185" s="171" t="inlineStr">
        <is>
          <t>not reported</t>
        </is>
      </c>
      <c r="AK185" s="165" t="inlineStr">
        <is>
          <t>✓</t>
        </is>
      </c>
      <c r="AL185" s="163" t="inlineStr">
        <is>
          <t>ND ᴿ</t>
        </is>
      </c>
      <c r="AM185" s="171" t="inlineStr">
        <is>
          <t>ND ᴿ</t>
        </is>
      </c>
      <c r="AN185" s="171" t="inlineStr">
        <is>
          <t>ND ᴿ</t>
        </is>
      </c>
      <c r="AO185" s="171" t="inlineStr">
        <is>
          <t>ND ᴿ</t>
        </is>
      </c>
      <c r="AP185" s="165" t="inlineStr">
        <is>
          <t>✓</t>
        </is>
      </c>
      <c r="AQ185" s="163" t="inlineStr">
        <is>
          <t>ND ᴿ</t>
        </is>
      </c>
      <c r="AR185" s="164" t="inlineStr">
        <is>
          <t>4157-2025, (29.08.2025) [IJZ]</t>
        </is>
      </c>
      <c r="AS185" s="172" t="inlineStr">
        <is>
          <t>✓</t>
        </is>
      </c>
    </row>
    <row r="186" ht="13" customHeight="1" s="70">
      <c r="A186" s="173" t="n"/>
      <c r="D186" s="174" t="n"/>
      <c r="F186" s="175" t="n"/>
      <c r="G186" s="174" t="n"/>
      <c r="I186" s="175" t="n"/>
      <c r="J186" s="174" t="n"/>
      <c r="L186" s="175" t="n"/>
      <c r="M186" s="174" t="n"/>
      <c r="O186" s="175" t="n"/>
      <c r="P186" s="174" t="n"/>
      <c r="R186" s="175" t="n"/>
      <c r="S186" s="174" t="n"/>
      <c r="U186" s="175" t="n"/>
      <c r="V186" s="174" t="n"/>
      <c r="X186" s="175" t="n"/>
      <c r="Y186" s="174" t="n"/>
      <c r="AA186" s="175" t="n"/>
      <c r="AB186" s="176" t="inlineStr">
        <is>
          <t>904-1589-25, (02.09.2025) [IJZ-MB]</t>
        </is>
      </c>
      <c r="AG186" s="175" t="n"/>
      <c r="AH186" s="176" t="inlineStr">
        <is>
          <t>4157-2025, (29.08.2025) [IJZ]</t>
        </is>
      </c>
      <c r="AK186" s="175" t="n"/>
      <c r="AL186" s="176" t="inlineStr">
        <is>
          <t>4157-2025, (29.08.2025) [IJZ]</t>
        </is>
      </c>
      <c r="AP186" s="175" t="n"/>
      <c r="AQ186" s="174" t="n"/>
      <c r="AS186" s="177" t="n"/>
    </row>
    <row r="187" ht="14" customHeight="1" s="70">
      <c r="A187" s="178" t="n"/>
      <c r="B187" s="179" t="n"/>
      <c r="D187" s="180" t="n"/>
      <c r="E187" s="179" t="n"/>
      <c r="F187" s="181" t="n"/>
      <c r="G187" s="182" t="inlineStr">
        <is>
          <t>Conforms</t>
        </is>
      </c>
      <c r="H187" s="183">
        <f>IFERROR(INDEX('iCoA Register'!$B:$B,MATCH("P050132|I",'iCoA Register'!$P:$P,0)),"iCoA — at issue")&amp;", (09.09.2025) [PP]"</f>
        <v/>
      </c>
      <c r="I187" s="184" t="inlineStr">
        <is>
          <t>✓</t>
        </is>
      </c>
      <c r="J187" s="180" t="n"/>
      <c r="K187" s="179" t="n"/>
      <c r="L187" s="181" t="n"/>
      <c r="M187" s="180" t="n"/>
      <c r="N187" s="179" t="n"/>
      <c r="O187" s="181" t="n"/>
      <c r="P187" s="180" t="n"/>
      <c r="Q187" s="179" t="n"/>
      <c r="R187" s="181" t="n"/>
      <c r="S187" s="180" t="n"/>
      <c r="T187" s="179" t="n"/>
      <c r="U187" s="181" t="n"/>
      <c r="V187" s="180" t="n"/>
      <c r="W187" s="179" t="n"/>
      <c r="X187" s="181" t="n"/>
      <c r="Y187" s="180" t="n"/>
      <c r="Z187" s="179" t="n"/>
      <c r="AA187" s="181" t="n"/>
      <c r="AB187" s="190" t="inlineStr">
        <is>
          <t>&lt; 10</t>
        </is>
      </c>
      <c r="AC187" s="191" t="inlineStr">
        <is>
          <t>&lt; 10</t>
        </is>
      </c>
      <c r="AD187" s="191" t="inlineStr">
        <is>
          <t>&lt; 10</t>
        </is>
      </c>
      <c r="AE187" s="191" t="inlineStr">
        <is>
          <t>Absent</t>
        </is>
      </c>
      <c r="AF187" s="191" t="inlineStr">
        <is>
          <t>Absent</t>
        </is>
      </c>
      <c r="AG187" s="184" t="inlineStr">
        <is>
          <t>✓</t>
        </is>
      </c>
      <c r="AH187" s="180" t="n"/>
      <c r="AI187" s="179" t="n"/>
      <c r="AJ187" s="179" t="n"/>
      <c r="AK187" s="181" t="n"/>
      <c r="AL187" s="180" t="n"/>
      <c r="AM187" s="179" t="n"/>
      <c r="AN187" s="179" t="n"/>
      <c r="AO187" s="179" t="n"/>
      <c r="AP187" s="181" t="n"/>
      <c r="AQ187" s="180" t="n"/>
      <c r="AR187" s="179" t="n"/>
      <c r="AS187" s="192" t="n"/>
    </row>
    <row r="188" ht="13" customHeight="1" s="70">
      <c r="A188" s="193" t="n"/>
      <c r="B188" s="194" t="n"/>
      <c r="C188" s="194" t="n"/>
      <c r="D188" s="195" t="n"/>
      <c r="E188" s="194" t="n"/>
      <c r="F188" s="196" t="n"/>
      <c r="G188" s="195" t="n"/>
      <c r="H188" s="194" t="n"/>
      <c r="I188" s="196" t="n"/>
      <c r="J188" s="195" t="n"/>
      <c r="K188" s="194" t="n"/>
      <c r="L188" s="196" t="n"/>
      <c r="M188" s="195" t="n"/>
      <c r="N188" s="194" t="n"/>
      <c r="O188" s="196" t="n"/>
      <c r="P188" s="195" t="n"/>
      <c r="Q188" s="194" t="n"/>
      <c r="R188" s="196" t="n"/>
      <c r="S188" s="195" t="n"/>
      <c r="T188" s="194" t="n"/>
      <c r="U188" s="196" t="n"/>
      <c r="V188" s="195" t="n"/>
      <c r="W188" s="194" t="n"/>
      <c r="X188" s="196" t="n"/>
      <c r="Y188" s="195" t="n"/>
      <c r="Z188" s="194" t="n"/>
      <c r="AA188" s="196" t="n"/>
      <c r="AB188" s="197" t="inlineStr">
        <is>
          <t>560-1091-26, (01.09.2026) [IJZ-MB]</t>
        </is>
      </c>
      <c r="AC188" s="194" t="n"/>
      <c r="AD188" s="194" t="n"/>
      <c r="AE188" s="194" t="n"/>
      <c r="AF188" s="194" t="n"/>
      <c r="AG188" s="196" t="n"/>
      <c r="AH188" s="195" t="n"/>
      <c r="AI188" s="194" t="n"/>
      <c r="AJ188" s="194" t="n"/>
      <c r="AK188" s="196" t="n"/>
      <c r="AL188" s="195" t="n"/>
      <c r="AM188" s="194" t="n"/>
      <c r="AN188" s="194" t="n"/>
      <c r="AO188" s="194" t="n"/>
      <c r="AP188" s="196" t="n"/>
      <c r="AQ188" s="195" t="n"/>
      <c r="AR188" s="194" t="n"/>
      <c r="AS188" s="198" t="n"/>
    </row>
    <row r="189" ht="21" customHeight="1" s="70">
      <c r="A189" s="160" t="inlineStr">
        <is>
          <t>GP052501</t>
        </is>
      </c>
      <c r="B189" s="161" t="inlineStr">
        <is>
          <t>P050152</t>
        </is>
      </c>
      <c r="C189" s="212" t="inlineStr">
        <is>
          <t>✓ COMPLETE
2 testing instances
• 2 document(s) on file, not credited
✗ OUT OF SPECIFICATION: #9 TYMC</t>
        </is>
      </c>
      <c r="D189" s="163" t="inlineStr">
        <is>
          <t>Conforms</t>
        </is>
      </c>
      <c r="E189" s="164">
        <f>IFERROR(INDEX('iCoA Register'!$B:$B,MATCH("P050152|I",'iCoA Register'!$P:$P,0)),"iCoA — at issue")&amp;", (25.09.2025) [PP]"</f>
        <v/>
      </c>
      <c r="F189" s="165" t="inlineStr">
        <is>
          <t>✓</t>
        </is>
      </c>
      <c r="G189" s="166" t="inlineStr">
        <is>
          <t>not on this certificate</t>
        </is>
      </c>
      <c r="H189" s="167" t="inlineStr">
        <is>
          <t>ППК25279, (19.09.2025) [CNP] · on file, not credited</t>
        </is>
      </c>
      <c r="I189" s="168" t="inlineStr">
        <is>
          <t>•</t>
        </is>
      </c>
      <c r="J189" s="163" t="inlineStr">
        <is>
          <t>Conforms (ImB spec.)</t>
        </is>
      </c>
      <c r="K189" s="164" t="inlineStr">
        <is>
          <t>ППК25279, (19.09.2025) [CNP]</t>
        </is>
      </c>
      <c r="L189" s="165" t="inlineStr">
        <is>
          <t>✓</t>
        </is>
      </c>
      <c r="M189" s="169" t="inlineStr">
        <is>
          <t>18.98</t>
        </is>
      </c>
      <c r="N189" s="164" t="inlineStr">
        <is>
          <t>ППК25279, (19.09.2025) [CNP]</t>
        </is>
      </c>
      <c r="O189" s="165" t="inlineStr">
        <is>
          <t>✓</t>
        </is>
      </c>
      <c r="P189" s="170" t="inlineStr">
        <is>
          <t>0.08</t>
        </is>
      </c>
      <c r="Q189" s="164" t="inlineStr">
        <is>
          <t>ППК25279, (19.09.2025) [CNP]</t>
        </is>
      </c>
      <c r="R189" s="165" t="inlineStr">
        <is>
          <t>✓</t>
        </is>
      </c>
      <c r="S189" s="170" t="inlineStr">
        <is>
          <t>0.03 ᴰ</t>
        </is>
      </c>
      <c r="T189" s="164" t="inlineStr">
        <is>
          <t>ППК25279, (19.09.2025) [CNP]</t>
        </is>
      </c>
      <c r="U189" s="165" t="inlineStr">
        <is>
          <t>✓</t>
        </is>
      </c>
      <c r="V189" s="163" t="inlineStr">
        <is>
          <t>Conforms</t>
        </is>
      </c>
      <c r="W189" s="164">
        <f>IFERROR(INDEX('iCoA Register'!$B:$B,MATCH("P050152|I",'iCoA Register'!$P:$P,0)),"iCoA — at issue")&amp;", (25.09.2025) [PP]"</f>
        <v/>
      </c>
      <c r="X189" s="165" t="inlineStr">
        <is>
          <t>✓</t>
        </is>
      </c>
      <c r="Y189" s="163" t="inlineStr">
        <is>
          <t>7.30</t>
        </is>
      </c>
      <c r="Z189" s="164" t="inlineStr">
        <is>
          <t>ППК25279, (19.09.2025) [CNP]</t>
        </is>
      </c>
      <c r="AA189" s="165" t="inlineStr">
        <is>
          <t>✓</t>
        </is>
      </c>
      <c r="AB189" s="163" t="inlineStr">
        <is>
          <t>2.1 × 10⁴ ᴿ</t>
        </is>
      </c>
      <c r="AC189" s="262" t="inlineStr">
        <is>
          <t>3.6 × 10⁴</t>
        </is>
      </c>
      <c r="AD189" s="171" t="inlineStr">
        <is>
          <t>&lt; 10² and &gt; 10¹</t>
        </is>
      </c>
      <c r="AE189" s="171" t="inlineStr">
        <is>
          <t>Absent</t>
        </is>
      </c>
      <c r="AF189" s="171" t="inlineStr">
        <is>
          <t>Absent</t>
        </is>
      </c>
      <c r="AG189" s="165" t="inlineStr">
        <is>
          <t>✓</t>
        </is>
      </c>
      <c r="AH189" s="163" t="inlineStr">
        <is>
          <t>ND</t>
        </is>
      </c>
      <c r="AI189" s="171" t="inlineStr">
        <is>
          <t>&lt; 2</t>
        </is>
      </c>
      <c r="AJ189" s="171" t="inlineStr">
        <is>
          <t>ND</t>
        </is>
      </c>
      <c r="AK189" s="165" t="inlineStr">
        <is>
          <t>✓</t>
        </is>
      </c>
      <c r="AL189" s="163" t="inlineStr">
        <is>
          <t>0.06</t>
        </is>
      </c>
      <c r="AM189" s="171" t="inlineStr">
        <is>
          <t>ND</t>
        </is>
      </c>
      <c r="AN189" s="171" t="inlineStr">
        <is>
          <t>ND</t>
        </is>
      </c>
      <c r="AO189" s="171" t="inlineStr">
        <is>
          <t>ND</t>
        </is>
      </c>
      <c r="AP189" s="165" t="inlineStr">
        <is>
          <t>✓</t>
        </is>
      </c>
      <c r="AQ189" s="163" t="inlineStr">
        <is>
          <t>≤ LOQ (all 29 compounds)</t>
        </is>
      </c>
      <c r="AR189" s="164" t="inlineStr">
        <is>
          <t>4348-2025, (15.09.2025) [IJZ]</t>
        </is>
      </c>
      <c r="AS189" s="172" t="inlineStr">
        <is>
          <t>✓</t>
        </is>
      </c>
    </row>
    <row r="190" ht="13" customHeight="1" s="70">
      <c r="A190" s="173" t="n"/>
      <c r="D190" s="174" t="n"/>
      <c r="F190" s="175" t="n"/>
      <c r="G190" s="174" t="n"/>
      <c r="I190" s="175" t="n"/>
      <c r="J190" s="174" t="n"/>
      <c r="L190" s="175" t="n"/>
      <c r="M190" s="174" t="n"/>
      <c r="O190" s="175" t="n"/>
      <c r="P190" s="174" t="n"/>
      <c r="R190" s="175" t="n"/>
      <c r="S190" s="174" t="n"/>
      <c r="U190" s="175" t="n"/>
      <c r="V190" s="174" t="n"/>
      <c r="X190" s="175" t="n"/>
      <c r="Y190" s="174" t="n"/>
      <c r="AA190" s="175" t="n"/>
      <c r="AB190" s="176" t="inlineStr">
        <is>
          <t>946-1684-25, (17.09.2025) [IJZ-MB]</t>
        </is>
      </c>
      <c r="AG190" s="175" t="n"/>
      <c r="AH190" s="176" t="inlineStr">
        <is>
          <t>4348-2025, (15.09.2025) [IJZ]</t>
        </is>
      </c>
      <c r="AK190" s="175" t="n"/>
      <c r="AL190" s="176" t="inlineStr">
        <is>
          <t>4348-2025, (15.09.2025) [IJZ]</t>
        </is>
      </c>
      <c r="AP190" s="175" t="n"/>
      <c r="AQ190" s="174" t="n"/>
      <c r="AS190" s="177" t="n"/>
    </row>
    <row r="191" ht="17.625" customHeight="1" s="70">
      <c r="A191" s="178" t="n"/>
      <c r="B191" s="179" t="n"/>
      <c r="D191" s="180" t="n"/>
      <c r="E191" s="179" t="n"/>
      <c r="F191" s="181" t="n"/>
      <c r="G191" s="182" t="inlineStr">
        <is>
          <t>Conforms</t>
        </is>
      </c>
      <c r="H191" s="183">
        <f>IFERROR(INDEX('iCoA Register'!$B:$B,MATCH("P050152|I",'iCoA Register'!$P:$P,0)),"iCoA — at issue")&amp;", (25.09.2025) [PP]"</f>
        <v/>
      </c>
      <c r="I191" s="184" t="inlineStr">
        <is>
          <t>✓</t>
        </is>
      </c>
      <c r="J191" s="182" t="inlineStr">
        <is>
          <t>Conforms (ImB spec.) ᴿ</t>
        </is>
      </c>
      <c r="K191" s="183" t="inlineStr">
        <is>
          <t>197-10-K-26, (07.08.2026) [FHM-K]</t>
        </is>
      </c>
      <c r="L191" s="184" t="inlineStr">
        <is>
          <t>✓</t>
        </is>
      </c>
      <c r="M191" s="185" t="inlineStr">
        <is>
          <t>18.52</t>
        </is>
      </c>
      <c r="N191" s="183" t="inlineStr">
        <is>
          <t>197-10-K-26, (07.08.2026) [FHM-K]</t>
        </is>
      </c>
      <c r="O191" s="184" t="inlineStr">
        <is>
          <t>✓</t>
        </is>
      </c>
      <c r="P191" s="186" t="inlineStr">
        <is>
          <t>&lt; LOQ</t>
        </is>
      </c>
      <c r="Q191" s="183" t="inlineStr">
        <is>
          <t>197-10-K-26, (07.08.2026) [FHM-K]</t>
        </is>
      </c>
      <c r="R191" s="184" t="inlineStr">
        <is>
          <t>✓</t>
        </is>
      </c>
      <c r="S191" s="186" t="inlineStr">
        <is>
          <t>&lt; LOQ</t>
        </is>
      </c>
      <c r="T191" s="183" t="inlineStr">
        <is>
          <t>197-10-K-26, (07.08.2026) [FHM-K]</t>
        </is>
      </c>
      <c r="U191" s="184" t="inlineStr">
        <is>
          <t>✓</t>
        </is>
      </c>
      <c r="V191" s="180" t="n"/>
      <c r="W191" s="179" t="n"/>
      <c r="X191" s="181" t="n"/>
      <c r="Y191" s="187" t="inlineStr">
        <is>
          <t>not on this certificate</t>
        </is>
      </c>
      <c r="Z191" s="188" t="inlineStr">
        <is>
          <t>197-10-K-26, (07.08.2026) [FHM-K] · on file, not credited</t>
        </is>
      </c>
      <c r="AA191" s="189" t="inlineStr">
        <is>
          <t>•</t>
        </is>
      </c>
      <c r="AB191" s="180" t="n"/>
      <c r="AC191" s="179" t="n"/>
      <c r="AD191" s="179" t="n"/>
      <c r="AE191" s="179" t="n"/>
      <c r="AF191" s="179" t="n"/>
      <c r="AG191" s="181" t="n"/>
      <c r="AH191" s="190" t="inlineStr">
        <is>
          <t>ND</t>
        </is>
      </c>
      <c r="AI191" s="191" t="inlineStr">
        <is>
          <t>ND</t>
        </is>
      </c>
      <c r="AJ191" s="191" t="inlineStr">
        <is>
          <t>ND</t>
        </is>
      </c>
      <c r="AK191" s="184" t="inlineStr">
        <is>
          <t>✓</t>
        </is>
      </c>
      <c r="AL191" s="180" t="n"/>
      <c r="AM191" s="179" t="n"/>
      <c r="AN191" s="179" t="n"/>
      <c r="AO191" s="179" t="n"/>
      <c r="AP191" s="181" t="n"/>
      <c r="AQ191" s="180" t="n"/>
      <c r="AR191" s="179" t="n"/>
      <c r="AS191" s="192" t="n"/>
    </row>
    <row r="192" ht="15.375" customHeight="1" s="70">
      <c r="A192" s="193" t="n"/>
      <c r="B192" s="194" t="n"/>
      <c r="C192" s="194" t="n"/>
      <c r="D192" s="195" t="n"/>
      <c r="E192" s="194" t="n"/>
      <c r="F192" s="196" t="n"/>
      <c r="G192" s="195" t="n"/>
      <c r="H192" s="194" t="n"/>
      <c r="I192" s="196" t="n"/>
      <c r="J192" s="195" t="n"/>
      <c r="K192" s="194" t="n"/>
      <c r="L192" s="196" t="n"/>
      <c r="M192" s="195" t="n"/>
      <c r="N192" s="194" t="n"/>
      <c r="O192" s="196" t="n"/>
      <c r="P192" s="195" t="n"/>
      <c r="Q192" s="194" t="n"/>
      <c r="R192" s="196" t="n"/>
      <c r="S192" s="195" t="n"/>
      <c r="T192" s="194" t="n"/>
      <c r="U192" s="196" t="n"/>
      <c r="V192" s="195" t="n"/>
      <c r="W192" s="194" t="n"/>
      <c r="X192" s="196" t="n"/>
      <c r="Y192" s="195" t="n"/>
      <c r="Z192" s="194" t="n"/>
      <c r="AA192" s="196" t="n"/>
      <c r="AB192" s="195" t="n"/>
      <c r="AC192" s="194" t="n"/>
      <c r="AD192" s="194" t="n"/>
      <c r="AE192" s="194" t="n"/>
      <c r="AF192" s="194" t="n"/>
      <c r="AG192" s="196" t="n"/>
      <c r="AH192" s="197" t="inlineStr">
        <is>
          <t>197-10-M-26, (10.08.2026) [FHM-M]</t>
        </is>
      </c>
      <c r="AI192" s="194" t="n"/>
      <c r="AJ192" s="194" t="n"/>
      <c r="AK192" s="196" t="n"/>
      <c r="AL192" s="195" t="n"/>
      <c r="AM192" s="194" t="n"/>
      <c r="AN192" s="194" t="n"/>
      <c r="AO192" s="194" t="n"/>
      <c r="AP192" s="196" t="n"/>
      <c r="AQ192" s="195" t="n"/>
      <c r="AR192" s="194" t="n"/>
      <c r="AS192" s="198" t="n"/>
    </row>
    <row r="193" ht="21" customHeight="1" s="70">
      <c r="A193" s="160" t="inlineStr">
        <is>
          <t>CJ052501/01</t>
        </is>
      </c>
      <c r="B193" s="161" t="inlineStr">
        <is>
          <t>P050162</t>
        </is>
      </c>
      <c r="C193" s="199" t="inlineStr">
        <is>
          <t>✓ COMPLETE
2 testing instances
• 2 document(s) on file, not credited
◐ UNDETERMINED (Ph. Eur. band): #9 TYMC</t>
        </is>
      </c>
      <c r="D193" s="163" t="inlineStr">
        <is>
          <t>Conforms</t>
        </is>
      </c>
      <c r="E193" s="164">
        <f>IFERROR(INDEX('iCoA Register'!$B:$B,MATCH("P050162|I",'iCoA Register'!$P:$P,0)),"iCoA — at issue")&amp;", (30.09.2025) [PP]"</f>
        <v/>
      </c>
      <c r="F193" s="165" t="inlineStr">
        <is>
          <t>✓</t>
        </is>
      </c>
      <c r="G193" s="166" t="inlineStr">
        <is>
          <t>not on this certificate</t>
        </is>
      </c>
      <c r="H193" s="167" t="inlineStr">
        <is>
          <t>ППК25280, (17.09.2025) [CNP] · on file, not credited</t>
        </is>
      </c>
      <c r="I193" s="168" t="inlineStr">
        <is>
          <t>•</t>
        </is>
      </c>
      <c r="J193" s="163" t="inlineStr">
        <is>
          <t>Conforms (ImB spec.)</t>
        </is>
      </c>
      <c r="K193" s="164" t="inlineStr">
        <is>
          <t>ППК25280, (17.09.2025) [CNP]</t>
        </is>
      </c>
      <c r="L193" s="165" t="inlineStr">
        <is>
          <t>✓</t>
        </is>
      </c>
      <c r="M193" s="169" t="inlineStr">
        <is>
          <t>20.29</t>
        </is>
      </c>
      <c r="N193" s="164" t="inlineStr">
        <is>
          <t>ППК25280, (17.09.2025) [CNP]</t>
        </is>
      </c>
      <c r="O193" s="165" t="inlineStr">
        <is>
          <t>✓</t>
        </is>
      </c>
      <c r="P193" s="170" t="inlineStr">
        <is>
          <t>0.07</t>
        </is>
      </c>
      <c r="Q193" s="164" t="inlineStr">
        <is>
          <t>ППК25280, (17.09.2025) [CNP]</t>
        </is>
      </c>
      <c r="R193" s="165" t="inlineStr">
        <is>
          <t>✓</t>
        </is>
      </c>
      <c r="S193" s="170" t="inlineStr">
        <is>
          <t>0.02 ᴰ</t>
        </is>
      </c>
      <c r="T193" s="164" t="inlineStr">
        <is>
          <t>ППК25280, (17.09.2025) [CNP]</t>
        </is>
      </c>
      <c r="U193" s="165" t="inlineStr">
        <is>
          <t>✓</t>
        </is>
      </c>
      <c r="V193" s="163" t="inlineStr">
        <is>
          <t>Conforms</t>
        </is>
      </c>
      <c r="W193" s="164">
        <f>IFERROR(INDEX('iCoA Register'!$B:$B,MATCH("P050162|I",'iCoA Register'!$P:$P,0)),"iCoA — at issue")&amp;", (30.09.2025) [PP]"</f>
        <v/>
      </c>
      <c r="X193" s="165" t="inlineStr">
        <is>
          <t>✓</t>
        </is>
      </c>
      <c r="Y193" s="163" t="inlineStr">
        <is>
          <t>7.93</t>
        </is>
      </c>
      <c r="Z193" s="164" t="inlineStr">
        <is>
          <t>ППК25280, (17.09.2025) [CNP]</t>
        </is>
      </c>
      <c r="AA193" s="165" t="inlineStr">
        <is>
          <t>✓</t>
        </is>
      </c>
      <c r="AB193" s="163" t="inlineStr">
        <is>
          <t>2.8 × 10⁴</t>
        </is>
      </c>
      <c r="AC193" s="254" t="inlineStr">
        <is>
          <t>1.7 × 10⁴</t>
        </is>
      </c>
      <c r="AD193" s="171" t="inlineStr">
        <is>
          <t>&lt; 10³ and &gt; 10² ᴿ</t>
        </is>
      </c>
      <c r="AE193" s="171" t="inlineStr">
        <is>
          <t>Absent</t>
        </is>
      </c>
      <c r="AF193" s="171" t="inlineStr">
        <is>
          <t>Absent</t>
        </is>
      </c>
      <c r="AG193" s="165" t="inlineStr">
        <is>
          <t>✓</t>
        </is>
      </c>
      <c r="AH193" s="163" t="inlineStr">
        <is>
          <t>ND</t>
        </is>
      </c>
      <c r="AI193" s="171" t="inlineStr">
        <is>
          <t>&lt; 2</t>
        </is>
      </c>
      <c r="AJ193" s="171" t="inlineStr">
        <is>
          <t>ND</t>
        </is>
      </c>
      <c r="AK193" s="165" t="inlineStr">
        <is>
          <t>✓</t>
        </is>
      </c>
      <c r="AL193" s="163" t="inlineStr">
        <is>
          <t>0.085</t>
        </is>
      </c>
      <c r="AM193" s="171" t="inlineStr">
        <is>
          <t>ND</t>
        </is>
      </c>
      <c r="AN193" s="171" t="inlineStr">
        <is>
          <t>ND</t>
        </is>
      </c>
      <c r="AO193" s="171" t="inlineStr">
        <is>
          <t>ND</t>
        </is>
      </c>
      <c r="AP193" s="165" t="inlineStr">
        <is>
          <t>✓</t>
        </is>
      </c>
      <c r="AQ193" s="163" t="inlineStr">
        <is>
          <t>≤ LOQ (all 24 compounds)</t>
        </is>
      </c>
      <c r="AR193" s="164" t="inlineStr">
        <is>
          <t>4350-2025, (15.09.2025) [IJZ]</t>
        </is>
      </c>
      <c r="AS193" s="172" t="inlineStr">
        <is>
          <t>✓</t>
        </is>
      </c>
    </row>
    <row r="194" ht="13" customHeight="1" s="70">
      <c r="A194" s="173" t="n"/>
      <c r="D194" s="174" t="n"/>
      <c r="F194" s="175" t="n"/>
      <c r="G194" s="174" t="n"/>
      <c r="I194" s="175" t="n"/>
      <c r="J194" s="174" t="n"/>
      <c r="L194" s="175" t="n"/>
      <c r="M194" s="174" t="n"/>
      <c r="O194" s="175" t="n"/>
      <c r="P194" s="174" t="n"/>
      <c r="R194" s="175" t="n"/>
      <c r="S194" s="174" t="n"/>
      <c r="U194" s="175" t="n"/>
      <c r="V194" s="174" t="n"/>
      <c r="X194" s="175" t="n"/>
      <c r="Y194" s="174" t="n"/>
      <c r="AA194" s="175" t="n"/>
      <c r="AB194" s="176" t="inlineStr">
        <is>
          <t>949-1687-25, (17.09.2025) [IJZ-MB]</t>
        </is>
      </c>
      <c r="AG194" s="175" t="n"/>
      <c r="AH194" s="176" t="inlineStr">
        <is>
          <t>4350-2025, (15.09.2025) [IJZ]</t>
        </is>
      </c>
      <c r="AK194" s="175" t="n"/>
      <c r="AL194" s="176" t="inlineStr">
        <is>
          <t>4350-2025, (15.09.2025) [IJZ]</t>
        </is>
      </c>
      <c r="AP194" s="175" t="n"/>
      <c r="AQ194" s="174" t="n"/>
      <c r="AS194" s="177" t="n"/>
    </row>
    <row r="195" ht="17.625" customHeight="1" s="70">
      <c r="A195" s="178" t="n"/>
      <c r="B195" s="179" t="n"/>
      <c r="D195" s="180" t="n"/>
      <c r="E195" s="179" t="n"/>
      <c r="F195" s="181" t="n"/>
      <c r="G195" s="182" t="inlineStr">
        <is>
          <t>Conforms</t>
        </is>
      </c>
      <c r="H195" s="183">
        <f>IFERROR(INDEX('iCoA Register'!$B:$B,MATCH("P050162|I",'iCoA Register'!$P:$P,0)),"iCoA — at issue")&amp;", (30.09.2025) [PP]"</f>
        <v/>
      </c>
      <c r="I195" s="184" t="inlineStr">
        <is>
          <t>✓</t>
        </is>
      </c>
      <c r="J195" s="182" t="inlineStr">
        <is>
          <t>Conforms (ImB spec.) ᴿ</t>
        </is>
      </c>
      <c r="K195" s="183" t="inlineStr">
        <is>
          <t>197-3-K-26, (07.08.2026) [FHM-K]</t>
        </is>
      </c>
      <c r="L195" s="184" t="inlineStr">
        <is>
          <t>✓</t>
        </is>
      </c>
      <c r="M195" s="185" t="inlineStr">
        <is>
          <t>24.05</t>
        </is>
      </c>
      <c r="N195" s="183" t="inlineStr">
        <is>
          <t>197-3-K-26, (07.08.2026) [FHM-K]</t>
        </is>
      </c>
      <c r="O195" s="184" t="inlineStr">
        <is>
          <t>✓</t>
        </is>
      </c>
      <c r="P195" s="186" t="inlineStr">
        <is>
          <t>&lt; LOQ</t>
        </is>
      </c>
      <c r="Q195" s="183" t="inlineStr">
        <is>
          <t>197-3-K-26, (07.08.2026) [FHM-K]</t>
        </is>
      </c>
      <c r="R195" s="184" t="inlineStr">
        <is>
          <t>✓</t>
        </is>
      </c>
      <c r="S195" s="186" t="inlineStr">
        <is>
          <t>&lt; LOQ</t>
        </is>
      </c>
      <c r="T195" s="183" t="inlineStr">
        <is>
          <t>197-3-K-26, (07.08.2026) [FHM-K]</t>
        </is>
      </c>
      <c r="U195" s="184" t="inlineStr">
        <is>
          <t>✓</t>
        </is>
      </c>
      <c r="V195" s="180" t="n"/>
      <c r="W195" s="179" t="n"/>
      <c r="X195" s="181" t="n"/>
      <c r="Y195" s="187" t="inlineStr">
        <is>
          <t>not on this certificate</t>
        </is>
      </c>
      <c r="Z195" s="188" t="inlineStr">
        <is>
          <t>197-3-K-26, (07.08.2026) [FHM-K] · on file, not credited</t>
        </is>
      </c>
      <c r="AA195" s="189" t="inlineStr">
        <is>
          <t>•</t>
        </is>
      </c>
      <c r="AB195" s="180" t="n"/>
      <c r="AC195" s="179" t="n"/>
      <c r="AD195" s="179" t="n"/>
      <c r="AE195" s="179" t="n"/>
      <c r="AF195" s="179" t="n"/>
      <c r="AG195" s="181" t="n"/>
      <c r="AH195" s="190" t="inlineStr">
        <is>
          <t>ND</t>
        </is>
      </c>
      <c r="AI195" s="191" t="inlineStr">
        <is>
          <t>ND</t>
        </is>
      </c>
      <c r="AJ195" s="191" t="inlineStr">
        <is>
          <t>ND</t>
        </is>
      </c>
      <c r="AK195" s="184" t="inlineStr">
        <is>
          <t>✓</t>
        </is>
      </c>
      <c r="AL195" s="180" t="n"/>
      <c r="AM195" s="179" t="n"/>
      <c r="AN195" s="179" t="n"/>
      <c r="AO195" s="179" t="n"/>
      <c r="AP195" s="181" t="n"/>
      <c r="AQ195" s="180" t="n"/>
      <c r="AR195" s="179" t="n"/>
      <c r="AS195" s="192" t="n"/>
    </row>
    <row r="196" ht="15.375" customHeight="1" s="70">
      <c r="A196" s="193" t="n"/>
      <c r="B196" s="194" t="n"/>
      <c r="C196" s="194" t="n"/>
      <c r="D196" s="195" t="n"/>
      <c r="E196" s="194" t="n"/>
      <c r="F196" s="196" t="n"/>
      <c r="G196" s="195" t="n"/>
      <c r="H196" s="194" t="n"/>
      <c r="I196" s="196" t="n"/>
      <c r="J196" s="195" t="n"/>
      <c r="K196" s="194" t="n"/>
      <c r="L196" s="196" t="n"/>
      <c r="M196" s="195" t="n"/>
      <c r="N196" s="194" t="n"/>
      <c r="O196" s="196" t="n"/>
      <c r="P196" s="195" t="n"/>
      <c r="Q196" s="194" t="n"/>
      <c r="R196" s="196" t="n"/>
      <c r="S196" s="195" t="n"/>
      <c r="T196" s="194" t="n"/>
      <c r="U196" s="196" t="n"/>
      <c r="V196" s="195" t="n"/>
      <c r="W196" s="194" t="n"/>
      <c r="X196" s="196" t="n"/>
      <c r="Y196" s="195" t="n"/>
      <c r="Z196" s="194" t="n"/>
      <c r="AA196" s="196" t="n"/>
      <c r="AB196" s="195" t="n"/>
      <c r="AC196" s="194" t="n"/>
      <c r="AD196" s="194" t="n"/>
      <c r="AE196" s="194" t="n"/>
      <c r="AF196" s="194" t="n"/>
      <c r="AG196" s="196" t="n"/>
      <c r="AH196" s="197" t="inlineStr">
        <is>
          <t>197-3-M-26, (10.08.2026) [FHM-M]</t>
        </is>
      </c>
      <c r="AI196" s="194" t="n"/>
      <c r="AJ196" s="194" t="n"/>
      <c r="AK196" s="196" t="n"/>
      <c r="AL196" s="195" t="n"/>
      <c r="AM196" s="194" t="n"/>
      <c r="AN196" s="194" t="n"/>
      <c r="AO196" s="194" t="n"/>
      <c r="AP196" s="196" t="n"/>
      <c r="AQ196" s="195" t="n"/>
      <c r="AR196" s="194" t="n"/>
      <c r="AS196" s="198" t="n"/>
    </row>
    <row r="197" ht="17.625" customHeight="1" s="70">
      <c r="A197" s="160" t="inlineStr">
        <is>
          <t>CJ052501/02</t>
        </is>
      </c>
      <c r="B197" s="161" t="inlineStr">
        <is>
          <t>P050172</t>
        </is>
      </c>
      <c r="C197" s="162" t="inlineStr">
        <is>
          <t>✓ COMPLETE
2 testing instances
• 1 document(s) on file, not credited</t>
        </is>
      </c>
      <c r="D197" s="163" t="inlineStr">
        <is>
          <t>Conforms</t>
        </is>
      </c>
      <c r="E197" s="164">
        <f>IFERROR(INDEX('iCoA Register'!$B:$B,MATCH("P050172|I",'iCoA Register'!$P:$P,0)),"iCoA — at issue")&amp;", (01.10.2025) [PP]"</f>
        <v/>
      </c>
      <c r="F197" s="165" t="inlineStr">
        <is>
          <t>✓</t>
        </is>
      </c>
      <c r="G197" s="166" t="inlineStr">
        <is>
          <t>not on this certificate</t>
        </is>
      </c>
      <c r="H197" s="167" t="inlineStr">
        <is>
          <t>ППК25281, (17.09.2025) [CNP] · on file, not credited</t>
        </is>
      </c>
      <c r="I197" s="168" t="inlineStr">
        <is>
          <t>•</t>
        </is>
      </c>
      <c r="J197" s="163" t="inlineStr">
        <is>
          <t>Conforms (ImB spec.)</t>
        </is>
      </c>
      <c r="K197" s="164" t="inlineStr">
        <is>
          <t>ППК25281, (17.09.2025) [CNP]</t>
        </is>
      </c>
      <c r="L197" s="165" t="inlineStr">
        <is>
          <t>✓</t>
        </is>
      </c>
      <c r="M197" s="169" t="inlineStr">
        <is>
          <t>14.93</t>
        </is>
      </c>
      <c r="N197" s="164" t="inlineStr">
        <is>
          <t>ППК25281, (17.09.2025) [CNP]</t>
        </is>
      </c>
      <c r="O197" s="165" t="inlineStr">
        <is>
          <t>✓</t>
        </is>
      </c>
      <c r="P197" s="170" t="inlineStr">
        <is>
          <t>0.10</t>
        </is>
      </c>
      <c r="Q197" s="164" t="inlineStr">
        <is>
          <t>ППК25281, (17.09.2025) [CNP]</t>
        </is>
      </c>
      <c r="R197" s="165" t="inlineStr">
        <is>
          <t>✓</t>
        </is>
      </c>
      <c r="S197" s="170" t="inlineStr">
        <is>
          <t>0.02 ᴰ</t>
        </is>
      </c>
      <c r="T197" s="164" t="inlineStr">
        <is>
          <t>ППК25281, (17.09.2025) [CNP]</t>
        </is>
      </c>
      <c r="U197" s="165" t="inlineStr">
        <is>
          <t>✓</t>
        </is>
      </c>
      <c r="V197" s="163" t="inlineStr">
        <is>
          <t>Conforms</t>
        </is>
      </c>
      <c r="W197" s="164">
        <f>IFERROR(INDEX('iCoA Register'!$B:$B,MATCH("P050172|I",'iCoA Register'!$P:$P,0)),"iCoA — at issue")&amp;", (01.10.2025) [PP]"</f>
        <v/>
      </c>
      <c r="X197" s="165" t="inlineStr">
        <is>
          <t>✓</t>
        </is>
      </c>
      <c r="Y197" s="163" t="inlineStr">
        <is>
          <t>6.63</t>
        </is>
      </c>
      <c r="Z197" s="164" t="inlineStr">
        <is>
          <t>ППК25281, (17.09.2025) [CNP]</t>
        </is>
      </c>
      <c r="AA197" s="165" t="inlineStr">
        <is>
          <t>✓</t>
        </is>
      </c>
      <c r="AB197" s="163" t="inlineStr">
        <is>
          <t>9 × 10³</t>
        </is>
      </c>
      <c r="AC197" s="171" t="inlineStr">
        <is>
          <t>6.3 × 10³</t>
        </is>
      </c>
      <c r="AD197" s="171" t="inlineStr">
        <is>
          <t>&lt; 10</t>
        </is>
      </c>
      <c r="AE197" s="171" t="inlineStr">
        <is>
          <t>Absent</t>
        </is>
      </c>
      <c r="AF197" s="171" t="inlineStr">
        <is>
          <t>Absent</t>
        </is>
      </c>
      <c r="AG197" s="165" t="inlineStr">
        <is>
          <t>✓</t>
        </is>
      </c>
      <c r="AH197" s="163" t="inlineStr">
        <is>
          <t>ND</t>
        </is>
      </c>
      <c r="AI197" s="171" t="inlineStr">
        <is>
          <t>&lt; 2</t>
        </is>
      </c>
      <c r="AJ197" s="171" t="inlineStr">
        <is>
          <t>ND</t>
        </is>
      </c>
      <c r="AK197" s="165" t="inlineStr">
        <is>
          <t>✓</t>
        </is>
      </c>
      <c r="AL197" s="163" t="inlineStr">
        <is>
          <t>0.02</t>
        </is>
      </c>
      <c r="AM197" s="171" t="inlineStr">
        <is>
          <t>ND</t>
        </is>
      </c>
      <c r="AN197" s="171" t="inlineStr">
        <is>
          <t>0.042</t>
        </is>
      </c>
      <c r="AO197" s="171" t="inlineStr">
        <is>
          <t>ND</t>
        </is>
      </c>
      <c r="AP197" s="165" t="inlineStr">
        <is>
          <t>✓</t>
        </is>
      </c>
      <c r="AQ197" s="163" t="inlineStr">
        <is>
          <t>≤ LOQ (all 29 compounds)</t>
        </is>
      </c>
      <c r="AR197" s="164" t="inlineStr">
        <is>
          <t>4349-2025, (15.09.2025) [IJZ]</t>
        </is>
      </c>
      <c r="AS197" s="172" t="inlineStr">
        <is>
          <t>✓</t>
        </is>
      </c>
    </row>
    <row r="198" ht="13" customHeight="1" s="70">
      <c r="A198" s="173" t="n"/>
      <c r="D198" s="174" t="n"/>
      <c r="F198" s="175" t="n"/>
      <c r="G198" s="174" t="n"/>
      <c r="I198" s="175" t="n"/>
      <c r="J198" s="174" t="n"/>
      <c r="L198" s="175" t="n"/>
      <c r="M198" s="174" t="n"/>
      <c r="O198" s="175" t="n"/>
      <c r="P198" s="174" t="n"/>
      <c r="R198" s="175" t="n"/>
      <c r="S198" s="174" t="n"/>
      <c r="U198" s="175" t="n"/>
      <c r="V198" s="174" t="n"/>
      <c r="X198" s="175" t="n"/>
      <c r="Y198" s="174" t="n"/>
      <c r="AA198" s="175" t="n"/>
      <c r="AB198" s="176" t="inlineStr">
        <is>
          <t>947-1685-25, (17.09.2025) [IJZ-MB]</t>
        </is>
      </c>
      <c r="AG198" s="175" t="n"/>
      <c r="AH198" s="176" t="inlineStr">
        <is>
          <t>4349-2025, (15.09.2025) [IJZ]</t>
        </is>
      </c>
      <c r="AK198" s="175" t="n"/>
      <c r="AL198" s="176" t="inlineStr">
        <is>
          <t>4349-2025, (15.09.2025) [IJZ]</t>
        </is>
      </c>
      <c r="AP198" s="175" t="n"/>
      <c r="AQ198" s="174" t="n"/>
      <c r="AS198" s="177" t="n"/>
    </row>
    <row r="199" ht="14" customHeight="1" s="70">
      <c r="A199" s="178" t="n"/>
      <c r="B199" s="179" t="n"/>
      <c r="D199" s="180" t="n"/>
      <c r="E199" s="179" t="n"/>
      <c r="F199" s="181" t="n"/>
      <c r="G199" s="182" t="inlineStr">
        <is>
          <t>Conforms</t>
        </is>
      </c>
      <c r="H199" s="183">
        <f>IFERROR(INDEX('iCoA Register'!$B:$B,MATCH("P050172|I",'iCoA Register'!$P:$P,0)),"iCoA — at issue")&amp;", (01.10.2025) [PP]"</f>
        <v/>
      </c>
      <c r="I199" s="184" t="inlineStr">
        <is>
          <t>✓</t>
        </is>
      </c>
      <c r="J199" s="180" t="n"/>
      <c r="K199" s="179" t="n"/>
      <c r="L199" s="181" t="n"/>
      <c r="M199" s="180" t="n"/>
      <c r="N199" s="179" t="n"/>
      <c r="O199" s="181" t="n"/>
      <c r="P199" s="180" t="n"/>
      <c r="Q199" s="179" t="n"/>
      <c r="R199" s="181" t="n"/>
      <c r="S199" s="180" t="n"/>
      <c r="T199" s="179" t="n"/>
      <c r="U199" s="181" t="n"/>
      <c r="V199" s="180" t="n"/>
      <c r="W199" s="179" t="n"/>
      <c r="X199" s="181" t="n"/>
      <c r="Y199" s="180" t="n"/>
      <c r="Z199" s="179" t="n"/>
      <c r="AA199" s="181" t="n"/>
      <c r="AB199" s="190" t="inlineStr">
        <is>
          <t>&lt; 10</t>
        </is>
      </c>
      <c r="AC199" s="191" t="inlineStr">
        <is>
          <t>&lt; 10</t>
        </is>
      </c>
      <c r="AD199" s="191" t="inlineStr">
        <is>
          <t>&lt; 10</t>
        </is>
      </c>
      <c r="AE199" s="191" t="inlineStr">
        <is>
          <t>Absent</t>
        </is>
      </c>
      <c r="AF199" s="191" t="inlineStr">
        <is>
          <t>Absent</t>
        </is>
      </c>
      <c r="AG199" s="184" t="inlineStr">
        <is>
          <t>✓</t>
        </is>
      </c>
      <c r="AH199" s="180" t="n"/>
      <c r="AI199" s="179" t="n"/>
      <c r="AJ199" s="179" t="n"/>
      <c r="AK199" s="181" t="n"/>
      <c r="AL199" s="180" t="n"/>
      <c r="AM199" s="179" t="n"/>
      <c r="AN199" s="179" t="n"/>
      <c r="AO199" s="179" t="n"/>
      <c r="AP199" s="181" t="n"/>
      <c r="AQ199" s="180" t="n"/>
      <c r="AR199" s="179" t="n"/>
      <c r="AS199" s="192" t="n"/>
    </row>
    <row r="200" ht="13" customHeight="1" s="70">
      <c r="A200" s="193" t="n"/>
      <c r="B200" s="194" t="n"/>
      <c r="C200" s="194" t="n"/>
      <c r="D200" s="195" t="n"/>
      <c r="E200" s="194" t="n"/>
      <c r="F200" s="196" t="n"/>
      <c r="G200" s="195" t="n"/>
      <c r="H200" s="194" t="n"/>
      <c r="I200" s="196" t="n"/>
      <c r="J200" s="195" t="n"/>
      <c r="K200" s="194" t="n"/>
      <c r="L200" s="196" t="n"/>
      <c r="M200" s="195" t="n"/>
      <c r="N200" s="194" t="n"/>
      <c r="O200" s="196" t="n"/>
      <c r="P200" s="195" t="n"/>
      <c r="Q200" s="194" t="n"/>
      <c r="R200" s="196" t="n"/>
      <c r="S200" s="195" t="n"/>
      <c r="T200" s="194" t="n"/>
      <c r="U200" s="196" t="n"/>
      <c r="V200" s="195" t="n"/>
      <c r="W200" s="194" t="n"/>
      <c r="X200" s="196" t="n"/>
      <c r="Y200" s="195" t="n"/>
      <c r="Z200" s="194" t="n"/>
      <c r="AA200" s="196" t="n"/>
      <c r="AB200" s="197" t="inlineStr">
        <is>
          <t>558-1089-26, (01.09.2026) [IJZ-MB]</t>
        </is>
      </c>
      <c r="AC200" s="194" t="n"/>
      <c r="AD200" s="194" t="n"/>
      <c r="AE200" s="194" t="n"/>
      <c r="AF200" s="194" t="n"/>
      <c r="AG200" s="196" t="n"/>
      <c r="AH200" s="195" t="n"/>
      <c r="AI200" s="194" t="n"/>
      <c r="AJ200" s="194" t="n"/>
      <c r="AK200" s="196" t="n"/>
      <c r="AL200" s="195" t="n"/>
      <c r="AM200" s="194" t="n"/>
      <c r="AN200" s="194" t="n"/>
      <c r="AO200" s="194" t="n"/>
      <c r="AP200" s="196" t="n"/>
      <c r="AQ200" s="195" t="n"/>
      <c r="AR200" s="194" t="n"/>
      <c r="AS200" s="198" t="n"/>
    </row>
    <row r="201" ht="17.625" customHeight="1" s="70">
      <c r="A201" s="160" t="inlineStr">
        <is>
          <t>HPA052501</t>
        </is>
      </c>
      <c r="B201" s="161" t="inlineStr">
        <is>
          <t>P050182</t>
        </is>
      </c>
      <c r="C201" s="212" t="inlineStr">
        <is>
          <t>✓ COMPLETE
2 testing instances
• 1 document(s) on file, not credited
✗ OUT OF SPECIFICATION: #9 TYMC</t>
        </is>
      </c>
      <c r="D201" s="163" t="inlineStr">
        <is>
          <t>Conforms</t>
        </is>
      </c>
      <c r="E201" s="164">
        <f>IFERROR(INDEX('iCoA Register'!$B:$B,MATCH("P050182|I",'iCoA Register'!$P:$P,0)),"iCoA — at issue")&amp;", (03.10.2025) [PP]"</f>
        <v/>
      </c>
      <c r="F201" s="165" t="inlineStr">
        <is>
          <t>✓</t>
        </is>
      </c>
      <c r="G201" s="166" t="inlineStr">
        <is>
          <t>not on this certificate</t>
        </is>
      </c>
      <c r="H201" s="167" t="inlineStr">
        <is>
          <t>ППК25278, (19.09.2025) [CNP] · on file, not credited</t>
        </is>
      </c>
      <c r="I201" s="168" t="inlineStr">
        <is>
          <t>•</t>
        </is>
      </c>
      <c r="J201" s="163" t="inlineStr">
        <is>
          <t>Conforms (ImB spec.)</t>
        </is>
      </c>
      <c r="K201" s="164" t="inlineStr">
        <is>
          <t>ППК25278, (19.09.2025) [CNP]</t>
        </is>
      </c>
      <c r="L201" s="165" t="inlineStr">
        <is>
          <t>✓</t>
        </is>
      </c>
      <c r="M201" s="169" t="inlineStr">
        <is>
          <t>20.39</t>
        </is>
      </c>
      <c r="N201" s="164" t="inlineStr">
        <is>
          <t>ППК25278, (19.09.2025) [CNP]</t>
        </is>
      </c>
      <c r="O201" s="165" t="inlineStr">
        <is>
          <t>✓</t>
        </is>
      </c>
      <c r="P201" s="170" t="inlineStr">
        <is>
          <t>0.09</t>
        </is>
      </c>
      <c r="Q201" s="164" t="inlineStr">
        <is>
          <t>ППК25278, (19.09.2025) [CNP]</t>
        </is>
      </c>
      <c r="R201" s="165" t="inlineStr">
        <is>
          <t>✓</t>
        </is>
      </c>
      <c r="S201" s="170" t="inlineStr">
        <is>
          <t>0.02 ᴰ</t>
        </is>
      </c>
      <c r="T201" s="164" t="inlineStr">
        <is>
          <t>ППК25278, (19.09.2025) [CNP]</t>
        </is>
      </c>
      <c r="U201" s="165" t="inlineStr">
        <is>
          <t>✓</t>
        </is>
      </c>
      <c r="V201" s="163" t="inlineStr">
        <is>
          <t>Conforms</t>
        </is>
      </c>
      <c r="W201" s="164">
        <f>IFERROR(INDEX('iCoA Register'!$B:$B,MATCH("P050182|I",'iCoA Register'!$P:$P,0)),"iCoA — at issue")&amp;", (03.10.2025) [PP]"</f>
        <v/>
      </c>
      <c r="X201" s="165" t="inlineStr">
        <is>
          <t>✓</t>
        </is>
      </c>
      <c r="Y201" s="163" t="inlineStr">
        <is>
          <t>7.29</t>
        </is>
      </c>
      <c r="Z201" s="164" t="inlineStr">
        <is>
          <t>ППК25278, (19.09.2025) [CNP]</t>
        </is>
      </c>
      <c r="AA201" s="165" t="inlineStr">
        <is>
          <t>✓</t>
        </is>
      </c>
      <c r="AB201" s="163" t="inlineStr">
        <is>
          <t>2.7 × 10⁴</t>
        </is>
      </c>
      <c r="AC201" s="262" t="inlineStr">
        <is>
          <t>2.6 × 10⁴</t>
        </is>
      </c>
      <c r="AD201" s="171" t="inlineStr">
        <is>
          <t>&lt; 10</t>
        </is>
      </c>
      <c r="AE201" s="171" t="inlineStr">
        <is>
          <t>Absent</t>
        </is>
      </c>
      <c r="AF201" s="171" t="inlineStr">
        <is>
          <t>Absent</t>
        </is>
      </c>
      <c r="AG201" s="165" t="inlineStr">
        <is>
          <t>✓</t>
        </is>
      </c>
      <c r="AH201" s="163" t="inlineStr">
        <is>
          <t>ND</t>
        </is>
      </c>
      <c r="AI201" s="171" t="inlineStr">
        <is>
          <t>&lt; 2</t>
        </is>
      </c>
      <c r="AJ201" s="171" t="inlineStr">
        <is>
          <t>ND</t>
        </is>
      </c>
      <c r="AK201" s="165" t="inlineStr">
        <is>
          <t>✓</t>
        </is>
      </c>
      <c r="AL201" s="163" t="inlineStr">
        <is>
          <t>0.034</t>
        </is>
      </c>
      <c r="AM201" s="171" t="inlineStr">
        <is>
          <t>ND</t>
        </is>
      </c>
      <c r="AN201" s="171" t="inlineStr">
        <is>
          <t>ND</t>
        </is>
      </c>
      <c r="AO201" s="171" t="inlineStr">
        <is>
          <t>ND</t>
        </is>
      </c>
      <c r="AP201" s="165" t="inlineStr">
        <is>
          <t>✓</t>
        </is>
      </c>
      <c r="AQ201" s="163" t="inlineStr">
        <is>
          <t>≤ LOQ (all 24 compounds)</t>
        </is>
      </c>
      <c r="AR201" s="164" t="inlineStr">
        <is>
          <t>4352-2025, (15.09.2025) [IJZ]</t>
        </is>
      </c>
      <c r="AS201" s="172" t="inlineStr">
        <is>
          <t>✓</t>
        </is>
      </c>
    </row>
    <row r="202" ht="13" customHeight="1" s="70">
      <c r="A202" s="173" t="n"/>
      <c r="D202" s="174" t="n"/>
      <c r="F202" s="175" t="n"/>
      <c r="G202" s="174" t="n"/>
      <c r="I202" s="175" t="n"/>
      <c r="J202" s="174" t="n"/>
      <c r="L202" s="175" t="n"/>
      <c r="M202" s="174" t="n"/>
      <c r="O202" s="175" t="n"/>
      <c r="P202" s="174" t="n"/>
      <c r="R202" s="175" t="n"/>
      <c r="S202" s="174" t="n"/>
      <c r="U202" s="175" t="n"/>
      <c r="V202" s="174" t="n"/>
      <c r="X202" s="175" t="n"/>
      <c r="Y202" s="174" t="n"/>
      <c r="AA202" s="175" t="n"/>
      <c r="AB202" s="176" t="inlineStr">
        <is>
          <t>948-1686-25, (17.09.2025) [IJZ-MB]</t>
        </is>
      </c>
      <c r="AG202" s="175" t="n"/>
      <c r="AH202" s="176" t="inlineStr">
        <is>
          <t>4352-2025, (15.09.2025) [IJZ]</t>
        </is>
      </c>
      <c r="AK202" s="175" t="n"/>
      <c r="AL202" s="176" t="inlineStr">
        <is>
          <t>4352-2025, (15.09.2025) [IJZ]</t>
        </is>
      </c>
      <c r="AP202" s="175" t="n"/>
      <c r="AQ202" s="174" t="n"/>
      <c r="AS202" s="177" t="n"/>
    </row>
    <row r="203" ht="14" customHeight="1" s="70">
      <c r="A203" s="178" t="n"/>
      <c r="B203" s="179" t="n"/>
      <c r="D203" s="180" t="n"/>
      <c r="E203" s="179" t="n"/>
      <c r="F203" s="181" t="n"/>
      <c r="G203" s="182" t="inlineStr">
        <is>
          <t>Conforms</t>
        </is>
      </c>
      <c r="H203" s="183">
        <f>IFERROR(INDEX('iCoA Register'!$B:$B,MATCH("P050182|I",'iCoA Register'!$P:$P,0)),"iCoA — at issue")&amp;", (03.10.2025) [PP]"</f>
        <v/>
      </c>
      <c r="I203" s="184" t="inlineStr">
        <is>
          <t>✓</t>
        </is>
      </c>
      <c r="J203" s="180" t="n"/>
      <c r="K203" s="179" t="n"/>
      <c r="L203" s="181" t="n"/>
      <c r="M203" s="180" t="n"/>
      <c r="N203" s="179" t="n"/>
      <c r="O203" s="181" t="n"/>
      <c r="P203" s="180" t="n"/>
      <c r="Q203" s="179" t="n"/>
      <c r="R203" s="181" t="n"/>
      <c r="S203" s="180" t="n"/>
      <c r="T203" s="179" t="n"/>
      <c r="U203" s="181" t="n"/>
      <c r="V203" s="180" t="n"/>
      <c r="W203" s="179" t="n"/>
      <c r="X203" s="181" t="n"/>
      <c r="Y203" s="180" t="n"/>
      <c r="Z203" s="179" t="n"/>
      <c r="AA203" s="181" t="n"/>
      <c r="AB203" s="180" t="n"/>
      <c r="AC203" s="179" t="n"/>
      <c r="AD203" s="179" t="n"/>
      <c r="AE203" s="179" t="n"/>
      <c r="AF203" s="179" t="n"/>
      <c r="AG203" s="181" t="n"/>
      <c r="AH203" s="180" t="n"/>
      <c r="AI203" s="179" t="n"/>
      <c r="AJ203" s="179" t="n"/>
      <c r="AK203" s="181" t="n"/>
      <c r="AL203" s="180" t="n"/>
      <c r="AM203" s="179" t="n"/>
      <c r="AN203" s="179" t="n"/>
      <c r="AO203" s="179" t="n"/>
      <c r="AP203" s="181" t="n"/>
      <c r="AQ203" s="180" t="n"/>
      <c r="AR203" s="179" t="n"/>
      <c r="AS203" s="192" t="n"/>
    </row>
    <row r="204" ht="13" customHeight="1" s="70">
      <c r="A204" s="193" t="n"/>
      <c r="B204" s="194" t="n"/>
      <c r="C204" s="194" t="n"/>
      <c r="D204" s="195" t="n"/>
      <c r="E204" s="194" t="n"/>
      <c r="F204" s="196" t="n"/>
      <c r="G204" s="195" t="n"/>
      <c r="H204" s="194" t="n"/>
      <c r="I204" s="196" t="n"/>
      <c r="J204" s="195" t="n"/>
      <c r="K204" s="194" t="n"/>
      <c r="L204" s="196" t="n"/>
      <c r="M204" s="195" t="n"/>
      <c r="N204" s="194" t="n"/>
      <c r="O204" s="196" t="n"/>
      <c r="P204" s="195" t="n"/>
      <c r="Q204" s="194" t="n"/>
      <c r="R204" s="196" t="n"/>
      <c r="S204" s="195" t="n"/>
      <c r="T204" s="194" t="n"/>
      <c r="U204" s="196" t="n"/>
      <c r="V204" s="195" t="n"/>
      <c r="W204" s="194" t="n"/>
      <c r="X204" s="196" t="n"/>
      <c r="Y204" s="195" t="n"/>
      <c r="Z204" s="194" t="n"/>
      <c r="AA204" s="196" t="n"/>
      <c r="AB204" s="195" t="n"/>
      <c r="AC204" s="194" t="n"/>
      <c r="AD204" s="194" t="n"/>
      <c r="AE204" s="194" t="n"/>
      <c r="AF204" s="194" t="n"/>
      <c r="AG204" s="196" t="n"/>
      <c r="AH204" s="195" t="n"/>
      <c r="AI204" s="194" t="n"/>
      <c r="AJ204" s="194" t="n"/>
      <c r="AK204" s="196" t="n"/>
      <c r="AL204" s="195" t="n"/>
      <c r="AM204" s="194" t="n"/>
      <c r="AN204" s="194" t="n"/>
      <c r="AO204" s="194" t="n"/>
      <c r="AP204" s="196" t="n"/>
      <c r="AQ204" s="195" t="n"/>
      <c r="AR204" s="194" t="n"/>
      <c r="AS204" s="198" t="n"/>
    </row>
    <row r="205" ht="30" customHeight="1" s="70">
      <c r="A205" s="160" t="inlineStr">
        <is>
          <t>BSS052501</t>
        </is>
      </c>
      <c r="B205" s="161" t="inlineStr">
        <is>
          <t>P050192</t>
        </is>
      </c>
      <c r="C205" s="199" t="inlineStr">
        <is>
          <t>⚠ 2 NO RESULT
(0 no cert / 2 cert w/o result)
3 testing instances
• 1 document(s) on file, not credited</t>
        </is>
      </c>
      <c r="D205" s="163" t="inlineStr">
        <is>
          <t>Conforms</t>
        </is>
      </c>
      <c r="E205" s="164">
        <f>IFERROR(INDEX('iCoA Register'!$B:$B,MATCH("P050192|I",'iCoA Register'!$P:$P,0)),"iCoA — at issue")&amp;", (10.10.2025) [PP]"</f>
        <v/>
      </c>
      <c r="F205" s="165" t="inlineStr">
        <is>
          <t>✓</t>
        </is>
      </c>
      <c r="G205" s="163" t="inlineStr">
        <is>
          <t>Conforms</t>
        </is>
      </c>
      <c r="H205" s="164">
        <f>IFERROR(INDEX('iCoA Register'!$B:$B,MATCH("P050192|I",'iCoA Register'!$P:$P,0)),"iCoA — at issue")&amp;", (10.10.2025) [PP]"</f>
        <v/>
      </c>
      <c r="I205" s="165" t="inlineStr">
        <is>
          <t>✓</t>
        </is>
      </c>
      <c r="J205" s="163" t="inlineStr">
        <is>
          <t>Conforms (ImB spec.)</t>
        </is>
      </c>
      <c r="K205" s="164" t="inlineStr">
        <is>
          <t>NGP-QCG-SOP-024 F3, (28.11.2025) [NGP]</t>
        </is>
      </c>
      <c r="L205" s="165" t="inlineStr">
        <is>
          <t>✓</t>
        </is>
      </c>
      <c r="M205" s="218" t="inlineStr">
        <is>
          <t>20.39 ᴿ</t>
        </is>
      </c>
      <c r="N205" s="167">
        <f>IFERROR(INDEX('iCoA Register'!$B:$B,MATCH("P050192|I",'iCoA Register'!$P:$P,0)),"iCoA — at issue")&amp;", (10.10.2025) [PP]"</f>
        <v/>
      </c>
      <c r="O205" s="168" t="inlineStr">
        <is>
          <t>•</t>
        </is>
      </c>
      <c r="P205" s="219" t="inlineStr">
        <is>
          <t>0.11 ᴿ</t>
        </is>
      </c>
      <c r="Q205" s="167">
        <f>IFERROR(INDEX('iCoA Register'!$B:$B,MATCH("P050192|I",'iCoA Register'!$P:$P,0)),"iCoA — at issue")&amp;", (10.10.2025) [PP]"</f>
        <v/>
      </c>
      <c r="R205" s="168" t="inlineStr">
        <is>
          <t>•</t>
        </is>
      </c>
      <c r="S205" s="252" t="inlineStr">
        <is>
          <t>held for review</t>
        </is>
      </c>
      <c r="T205" s="253" t="inlineStr">
        <is>
          <t>NGP-QCG-SOP-024 F3, (28.11.2025) [NGP]</t>
        </is>
      </c>
      <c r="U205" s="244" t="inlineStr">
        <is>
          <t>✗</t>
        </is>
      </c>
      <c r="V205" s="163" t="inlineStr">
        <is>
          <t>Conforms</t>
        </is>
      </c>
      <c r="W205" s="164">
        <f>IFERROR(INDEX('iCoA Register'!$B:$B,MATCH("P050192|I",'iCoA Register'!$P:$P,0)),"iCoA — at issue")&amp;", (10.10.2025) [PP]"</f>
        <v/>
      </c>
      <c r="X205" s="165" t="inlineStr">
        <is>
          <t>✓</t>
        </is>
      </c>
      <c r="Y205" s="166" t="inlineStr">
        <is>
          <t>8.60 ᴿ</t>
        </is>
      </c>
      <c r="Z205" s="167">
        <f>IFERROR(INDEX('iCoA Register'!$B:$B,MATCH("P050192|I",'iCoA Register'!$P:$P,0)),"iCoA — at issue")&amp;", (10.10.2025) [PP]"</f>
        <v/>
      </c>
      <c r="AA205" s="168" t="inlineStr">
        <is>
          <t>•</t>
        </is>
      </c>
      <c r="AB205" s="163" t="inlineStr">
        <is>
          <t>200</t>
        </is>
      </c>
      <c r="AC205" s="171" t="inlineStr">
        <is>
          <t>200</t>
        </is>
      </c>
      <c r="AD205" s="171" t="inlineStr">
        <is>
          <t>&lt; 10² &gt; 10</t>
        </is>
      </c>
      <c r="AE205" s="171" t="inlineStr">
        <is>
          <t>Absent</t>
        </is>
      </c>
      <c r="AF205" s="171" t="inlineStr">
        <is>
          <t>Absent</t>
        </is>
      </c>
      <c r="AG205" s="165" t="inlineStr">
        <is>
          <t>✓</t>
        </is>
      </c>
      <c r="AH205" s="242" t="inlineStr">
        <is>
          <t>not on this certificate</t>
        </is>
      </c>
      <c r="AI205" s="243" t="inlineStr"/>
      <c r="AJ205" s="243" t="inlineStr"/>
      <c r="AK205" s="244" t="inlineStr">
        <is>
          <t>✗</t>
        </is>
      </c>
      <c r="AL205" s="163" t="inlineStr">
        <is>
          <t>0.024</t>
        </is>
      </c>
      <c r="AM205" s="171" t="inlineStr">
        <is>
          <t>0.004</t>
        </is>
      </c>
      <c r="AN205" s="171" t="inlineStr">
        <is>
          <t>0.025</t>
        </is>
      </c>
      <c r="AO205" s="171" t="inlineStr">
        <is>
          <t>0.0036</t>
        </is>
      </c>
      <c r="AP205" s="165" t="inlineStr">
        <is>
          <t>✓</t>
        </is>
      </c>
      <c r="AQ205" s="163" t="inlineStr">
        <is>
          <t>&lt; LOQ</t>
        </is>
      </c>
      <c r="AR205" s="164" t="inlineStr">
        <is>
          <t>10802_2845-2 EN, (17.11.2025) [DFL]</t>
        </is>
      </c>
      <c r="AS205" s="172" t="inlineStr">
        <is>
          <t>✓</t>
        </is>
      </c>
    </row>
    <row r="206" ht="21" customHeight="1" s="70">
      <c r="A206" s="173" t="n"/>
      <c r="D206" s="174" t="n"/>
      <c r="F206" s="175" t="n"/>
      <c r="G206" s="174" t="n"/>
      <c r="I206" s="175" t="n"/>
      <c r="J206" s="174" t="n"/>
      <c r="L206" s="175" t="n"/>
      <c r="M206" s="174" t="n"/>
      <c r="O206" s="175" t="n"/>
      <c r="P206" s="174" t="n"/>
      <c r="R206" s="175" t="n"/>
      <c r="S206" s="174" t="n"/>
      <c r="U206" s="175" t="n"/>
      <c r="V206" s="174" t="n"/>
      <c r="X206" s="175" t="n"/>
      <c r="Y206" s="174" t="n"/>
      <c r="AA206" s="175" t="n"/>
      <c r="AB206" s="176" t="inlineStr">
        <is>
          <t>1157-2058-25, (24.11.2025) [IJZ-MB]</t>
        </is>
      </c>
      <c r="AG206" s="175" t="n"/>
      <c r="AH206" s="245" t="inlineStr">
        <is>
          <t>5661-2025, (01.12.2025) [IJZ]</t>
        </is>
      </c>
      <c r="AK206" s="175" t="n"/>
      <c r="AL206" s="176" t="inlineStr">
        <is>
          <t>5661-2025, (01.12.2025) [IJZ]</t>
        </is>
      </c>
      <c r="AP206" s="175" t="n"/>
      <c r="AQ206" s="174" t="n"/>
      <c r="AS206" s="177" t="n"/>
    </row>
    <row r="207" ht="17.625" customHeight="1" s="70">
      <c r="A207" s="178" t="n"/>
      <c r="B207" s="179" t="n"/>
      <c r="D207" s="180" t="n"/>
      <c r="E207" s="179" t="n"/>
      <c r="F207" s="181" t="n"/>
      <c r="G207" s="180" t="n"/>
      <c r="H207" s="179" t="n"/>
      <c r="I207" s="181" t="n"/>
      <c r="J207" s="180" t="n"/>
      <c r="K207" s="179" t="n"/>
      <c r="L207" s="181" t="n"/>
      <c r="M207" s="225" t="inlineStr">
        <is>
          <t>20.39</t>
        </is>
      </c>
      <c r="N207" s="223" t="inlineStr">
        <is>
          <t>NGP-QCG-SOP-024 F3, (28.11.2025) [NGP]</t>
        </is>
      </c>
      <c r="O207" s="224" t="inlineStr">
        <is>
          <t>✓</t>
        </is>
      </c>
      <c r="P207" s="226" t="inlineStr">
        <is>
          <t>0.11</t>
        </is>
      </c>
      <c r="Q207" s="223" t="inlineStr">
        <is>
          <t>NGP-QCG-SOP-024 F3, (28.11.2025) [NGP]</t>
        </is>
      </c>
      <c r="R207" s="224" t="inlineStr">
        <is>
          <t>✓</t>
        </is>
      </c>
      <c r="S207" s="180" t="n"/>
      <c r="T207" s="179" t="n"/>
      <c r="U207" s="181" t="n"/>
      <c r="V207" s="180" t="n"/>
      <c r="W207" s="179" t="n"/>
      <c r="X207" s="181" t="n"/>
      <c r="Y207" s="235" t="inlineStr">
        <is>
          <t>not on this certificate</t>
        </is>
      </c>
      <c r="Z207" s="236" t="inlineStr">
        <is>
          <t>NGP-QCG-SOP-024 F3, (28.11.2025) [NGP]</t>
        </is>
      </c>
      <c r="AA207" s="237" t="inlineStr">
        <is>
          <t>✗</t>
        </is>
      </c>
      <c r="AB207" s="190" t="inlineStr">
        <is>
          <t>5.4 × 10²</t>
        </is>
      </c>
      <c r="AC207" s="191" t="inlineStr">
        <is>
          <t>3.7 × 10²</t>
        </is>
      </c>
      <c r="AD207" s="191" t="inlineStr">
        <is>
          <t>&lt; 10</t>
        </is>
      </c>
      <c r="AE207" s="191" t="inlineStr">
        <is>
          <t>Absent</t>
        </is>
      </c>
      <c r="AF207" s="191" t="inlineStr">
        <is>
          <t>Absent</t>
        </is>
      </c>
      <c r="AG207" s="224" t="inlineStr">
        <is>
          <t>✓</t>
        </is>
      </c>
      <c r="AH207" s="190" t="inlineStr">
        <is>
          <t>ND *</t>
        </is>
      </c>
      <c r="AI207" s="191" t="inlineStr">
        <is>
          <t>ND</t>
        </is>
      </c>
      <c r="AJ207" s="191" t="inlineStr">
        <is>
          <t>&lt; LOQ **</t>
        </is>
      </c>
      <c r="AK207" s="224" t="inlineStr">
        <is>
          <t>✓</t>
        </is>
      </c>
      <c r="AL207" s="180" t="n"/>
      <c r="AM207" s="179" t="n"/>
      <c r="AN207" s="179" t="n"/>
      <c r="AO207" s="179" t="n"/>
      <c r="AP207" s="181" t="n"/>
      <c r="AQ207" s="190" t="inlineStr">
        <is>
          <t>&lt; LOQ</t>
        </is>
      </c>
      <c r="AR207" s="223" t="inlineStr">
        <is>
          <t>10802_2845-2 MK, (17.11.2025) [DFL]</t>
        </is>
      </c>
      <c r="AS207" s="246" t="inlineStr">
        <is>
          <t>✓</t>
        </is>
      </c>
    </row>
    <row r="208" ht="13" customHeight="1" s="70">
      <c r="A208" s="230" t="n"/>
      <c r="B208" s="231" t="n"/>
      <c r="D208" s="232" t="n"/>
      <c r="E208" s="231" t="n"/>
      <c r="F208" s="233" t="n"/>
      <c r="G208" s="232" t="n"/>
      <c r="H208" s="231" t="n"/>
      <c r="I208" s="233" t="n"/>
      <c r="J208" s="232" t="n"/>
      <c r="K208" s="231" t="n"/>
      <c r="L208" s="233" t="n"/>
      <c r="M208" s="232" t="n"/>
      <c r="N208" s="231" t="n"/>
      <c r="O208" s="233" t="n"/>
      <c r="P208" s="232" t="n"/>
      <c r="Q208" s="231" t="n"/>
      <c r="R208" s="233" t="n"/>
      <c r="S208" s="232" t="n"/>
      <c r="T208" s="231" t="n"/>
      <c r="U208" s="233" t="n"/>
      <c r="V208" s="232" t="n"/>
      <c r="W208" s="231" t="n"/>
      <c r="X208" s="233" t="n"/>
      <c r="Y208" s="232" t="n"/>
      <c r="Z208" s="231" t="n"/>
      <c r="AA208" s="233" t="n"/>
      <c r="AB208" s="247" t="inlineStr">
        <is>
          <t>548-1079-26, (31.08.2026) [IJZ-MB]</t>
        </is>
      </c>
      <c r="AC208" s="231" t="n"/>
      <c r="AD208" s="231" t="n"/>
      <c r="AE208" s="231" t="n"/>
      <c r="AF208" s="231" t="n"/>
      <c r="AG208" s="233" t="n"/>
      <c r="AH208" s="247" t="inlineStr">
        <is>
          <t>276-31-M-25, (04.12.2025) [FHM-M]</t>
        </is>
      </c>
      <c r="AI208" s="231" t="n"/>
      <c r="AJ208" s="231" t="n"/>
      <c r="AK208" s="233" t="n"/>
      <c r="AL208" s="232" t="n"/>
      <c r="AM208" s="231" t="n"/>
      <c r="AN208" s="231" t="n"/>
      <c r="AO208" s="231" t="n"/>
      <c r="AP208" s="233" t="n"/>
      <c r="AQ208" s="232" t="n"/>
      <c r="AR208" s="231" t="n"/>
      <c r="AS208" s="234" t="n"/>
    </row>
    <row r="209" ht="14" customHeight="1" s="70">
      <c r="A209" s="178" t="n"/>
      <c r="B209" s="179" t="n"/>
      <c r="D209" s="180" t="n"/>
      <c r="E209" s="179" t="n"/>
      <c r="F209" s="181" t="n"/>
      <c r="G209" s="180" t="n"/>
      <c r="H209" s="179" t="n"/>
      <c r="I209" s="181" t="n"/>
      <c r="J209" s="180" t="n"/>
      <c r="K209" s="179" t="n"/>
      <c r="L209" s="181" t="n"/>
      <c r="M209" s="180" t="n"/>
      <c r="N209" s="179" t="n"/>
      <c r="O209" s="181" t="n"/>
      <c r="P209" s="180" t="n"/>
      <c r="Q209" s="179" t="n"/>
      <c r="R209" s="181" t="n"/>
      <c r="S209" s="180" t="n"/>
      <c r="T209" s="179" t="n"/>
      <c r="U209" s="181" t="n"/>
      <c r="V209" s="180" t="n"/>
      <c r="W209" s="179" t="n"/>
      <c r="X209" s="181" t="n"/>
      <c r="Y209" s="180" t="n"/>
      <c r="Z209" s="179" t="n"/>
      <c r="AA209" s="181" t="n"/>
      <c r="AB209" s="180" t="n"/>
      <c r="AC209" s="179" t="n"/>
      <c r="AD209" s="179" t="n"/>
      <c r="AE209" s="179" t="n"/>
      <c r="AF209" s="179" t="n"/>
      <c r="AG209" s="181" t="n"/>
      <c r="AH209" s="180" t="n"/>
      <c r="AI209" s="179" t="n"/>
      <c r="AJ209" s="179" t="n"/>
      <c r="AK209" s="181" t="n"/>
      <c r="AL209" s="180" t="n"/>
      <c r="AM209" s="179" t="n"/>
      <c r="AN209" s="179" t="n"/>
      <c r="AO209" s="179" t="n"/>
      <c r="AP209" s="181" t="n"/>
      <c r="AQ209" s="263" t="inlineStr">
        <is>
          <t>not on this certificate</t>
        </is>
      </c>
      <c r="AR209" s="264" t="inlineStr">
        <is>
          <t>5661-2025, (01.12.2025) [IJZ]</t>
        </is>
      </c>
      <c r="AS209" s="265" t="inlineStr">
        <is>
          <t>✗</t>
        </is>
      </c>
    </row>
    <row r="210" ht="13" customHeight="1" s="70">
      <c r="A210" s="193" t="n"/>
      <c r="B210" s="194" t="n"/>
      <c r="C210" s="194" t="n"/>
      <c r="D210" s="195" t="n"/>
      <c r="E210" s="194" t="n"/>
      <c r="F210" s="196" t="n"/>
      <c r="G210" s="195" t="n"/>
      <c r="H210" s="194" t="n"/>
      <c r="I210" s="196" t="n"/>
      <c r="J210" s="195" t="n"/>
      <c r="K210" s="194" t="n"/>
      <c r="L210" s="196" t="n"/>
      <c r="M210" s="195" t="n"/>
      <c r="N210" s="194" t="n"/>
      <c r="O210" s="196" t="n"/>
      <c r="P210" s="195" t="n"/>
      <c r="Q210" s="194" t="n"/>
      <c r="R210" s="196" t="n"/>
      <c r="S210" s="195" t="n"/>
      <c r="T210" s="194" t="n"/>
      <c r="U210" s="196" t="n"/>
      <c r="V210" s="195" t="n"/>
      <c r="W210" s="194" t="n"/>
      <c r="X210" s="196" t="n"/>
      <c r="Y210" s="195" t="n"/>
      <c r="Z210" s="194" t="n"/>
      <c r="AA210" s="196" t="n"/>
      <c r="AB210" s="195" t="n"/>
      <c r="AC210" s="194" t="n"/>
      <c r="AD210" s="194" t="n"/>
      <c r="AE210" s="194" t="n"/>
      <c r="AF210" s="194" t="n"/>
      <c r="AG210" s="196" t="n"/>
      <c r="AH210" s="195" t="n"/>
      <c r="AI210" s="194" t="n"/>
      <c r="AJ210" s="194" t="n"/>
      <c r="AK210" s="196" t="n"/>
      <c r="AL210" s="195" t="n"/>
      <c r="AM210" s="194" t="n"/>
      <c r="AN210" s="194" t="n"/>
      <c r="AO210" s="194" t="n"/>
      <c r="AP210" s="196" t="n"/>
      <c r="AQ210" s="195" t="n"/>
      <c r="AR210" s="194" t="n"/>
      <c r="AS210" s="198" t="n"/>
    </row>
    <row r="211" ht="21" customHeight="1" s="70">
      <c r="A211" s="160" t="inlineStr">
        <is>
          <t>GP062501</t>
        </is>
      </c>
      <c r="B211" s="161" t="inlineStr">
        <is>
          <t>P050202</t>
        </is>
      </c>
      <c r="C211" s="199" t="inlineStr">
        <is>
          <t>⚠ 1 NO RESULT
(0 no cert / 0 cert w/o result / 1 stability only)
6 testing instances
• 5 document(s) on file, not credited
· stability above A.C.: #6</t>
        </is>
      </c>
      <c r="D211" s="163" t="inlineStr">
        <is>
          <t>Conforms</t>
        </is>
      </c>
      <c r="E211" s="164">
        <f>IFERROR(INDEX('iCoA Register'!$B:$B,MATCH("P050202|I",'iCoA Register'!$P:$P,0)),"iCoA — at issue")&amp;", (30.10.2025) [PP]"</f>
        <v/>
      </c>
      <c r="F211" s="165" t="inlineStr">
        <is>
          <t>✓</t>
        </is>
      </c>
      <c r="G211" s="163" t="inlineStr">
        <is>
          <t>Conforms</t>
        </is>
      </c>
      <c r="H211" s="164">
        <f>IFERROR(INDEX('iCoA Register'!$B:$B,MATCH("P050202|I",'iCoA Register'!$P:$P,0)),"iCoA — at issue")&amp;", (30.10.2025) [PP]"</f>
        <v/>
      </c>
      <c r="I211" s="165" t="inlineStr">
        <is>
          <t>✓</t>
        </is>
      </c>
      <c r="J211" s="163" t="inlineStr">
        <is>
          <t>Conforms (ImB spec.)</t>
        </is>
      </c>
      <c r="K211" s="164" t="inlineStr">
        <is>
          <t>NGP-QCG-SOP-024 F3, (28.11.2025) [NGP]</t>
        </is>
      </c>
      <c r="L211" s="165" t="inlineStr">
        <is>
          <t>✓</t>
        </is>
      </c>
      <c r="M211" s="218" t="inlineStr">
        <is>
          <t>24.89 ᴿ</t>
        </is>
      </c>
      <c r="N211" s="167">
        <f>IFERROR(INDEX('iCoA Register'!$B:$B,MATCH("P050202|I",'iCoA Register'!$P:$P,0)),"iCoA — at issue")&amp;", (30.10.2025) [PP]"</f>
        <v/>
      </c>
      <c r="O211" s="168" t="inlineStr">
        <is>
          <t>•</t>
        </is>
      </c>
      <c r="P211" s="219" t="inlineStr">
        <is>
          <t>0.17 ᴿ</t>
        </is>
      </c>
      <c r="Q211" s="167">
        <f>IFERROR(INDEX('iCoA Register'!$B:$B,MATCH("P050202|I",'iCoA Register'!$P:$P,0)),"iCoA — at issue")&amp;", (30.10.2025) [PP]"</f>
        <v/>
      </c>
      <c r="R211" s="168" t="inlineStr">
        <is>
          <t>•</t>
        </is>
      </c>
      <c r="S211" s="252" t="inlineStr">
        <is>
          <t>held for review</t>
        </is>
      </c>
      <c r="T211" s="253" t="inlineStr">
        <is>
          <t>NGP-QCG-SOP-024 F3, (28.11.2025) [NGP]</t>
        </is>
      </c>
      <c r="U211" s="244" t="inlineStr">
        <is>
          <t>✗</t>
        </is>
      </c>
      <c r="V211" s="163" t="inlineStr">
        <is>
          <t>Conforms</t>
        </is>
      </c>
      <c r="W211" s="164">
        <f>IFERROR(INDEX('iCoA Register'!$B:$B,MATCH("P050202|I",'iCoA Register'!$P:$P,0)),"iCoA — at issue")&amp;", (30.10.2025) [PP]"</f>
        <v/>
      </c>
      <c r="X211" s="165" t="inlineStr">
        <is>
          <t>✓</t>
        </is>
      </c>
      <c r="Y211" s="166" t="inlineStr">
        <is>
          <t>8.19 (avg of 4 weighings 51-1,51-2,52-1,52-2) ᴿ</t>
        </is>
      </c>
      <c r="Z211" s="167">
        <f>IFERROR(INDEX('iCoA Register'!$B:$B,MATCH("P050202|I",'iCoA Register'!$P:$P,0)),"iCoA — at issue")&amp;", (30.10.2025) [PP]"</f>
        <v/>
      </c>
      <c r="AA211" s="168" t="inlineStr">
        <is>
          <t>•</t>
        </is>
      </c>
      <c r="AB211" s="163" t="inlineStr">
        <is>
          <t>1.3 × 10⁴</t>
        </is>
      </c>
      <c r="AC211" s="171" t="inlineStr">
        <is>
          <t>4.2 × 10³</t>
        </is>
      </c>
      <c r="AD211" s="171" t="inlineStr">
        <is>
          <t>&lt; 10³ and &gt; 10² ᴿ</t>
        </is>
      </c>
      <c r="AE211" s="171" t="inlineStr">
        <is>
          <t>Absent</t>
        </is>
      </c>
      <c r="AF211" s="171" t="inlineStr">
        <is>
          <t>Absent</t>
        </is>
      </c>
      <c r="AG211" s="165" t="inlineStr">
        <is>
          <t>✓</t>
        </is>
      </c>
      <c r="AH211" s="163" t="inlineStr">
        <is>
          <t>ND</t>
        </is>
      </c>
      <c r="AI211" s="171" t="inlineStr">
        <is>
          <t>&lt; 2</t>
        </is>
      </c>
      <c r="AJ211" s="171" t="inlineStr">
        <is>
          <t>ND</t>
        </is>
      </c>
      <c r="AK211" s="165" t="inlineStr">
        <is>
          <t>✓</t>
        </is>
      </c>
      <c r="AL211" s="163" t="inlineStr">
        <is>
          <t>0.077</t>
        </is>
      </c>
      <c r="AM211" s="171" t="inlineStr">
        <is>
          <t>0.014</t>
        </is>
      </c>
      <c r="AN211" s="171" t="inlineStr">
        <is>
          <t>0.024</t>
        </is>
      </c>
      <c r="AO211" s="171" t="inlineStr">
        <is>
          <t>0.011</t>
        </is>
      </c>
      <c r="AP211" s="165" t="inlineStr">
        <is>
          <t>✓</t>
        </is>
      </c>
      <c r="AQ211" s="163" t="inlineStr">
        <is>
          <t>≤ LOQ (all 28 compounds)</t>
        </is>
      </c>
      <c r="AR211" s="164" t="inlineStr">
        <is>
          <t>4762-2025, (08.10.2025) [IJZ]</t>
        </is>
      </c>
      <c r="AS211" s="172" t="inlineStr">
        <is>
          <t>✓</t>
        </is>
      </c>
    </row>
    <row r="212" ht="24.375" customHeight="1" s="70">
      <c r="A212" s="173" t="n"/>
      <c r="D212" s="174" t="n"/>
      <c r="F212" s="175" t="n"/>
      <c r="G212" s="174" t="n"/>
      <c r="I212" s="175" t="n"/>
      <c r="J212" s="174" t="n"/>
      <c r="L212" s="175" t="n"/>
      <c r="M212" s="174" t="n"/>
      <c r="O212" s="175" t="n"/>
      <c r="P212" s="174" t="n"/>
      <c r="R212" s="175" t="n"/>
      <c r="S212" s="174" t="n"/>
      <c r="U212" s="175" t="n"/>
      <c r="V212" s="174" t="n"/>
      <c r="X212" s="175" t="n"/>
      <c r="Y212" s="174" t="n"/>
      <c r="AA212" s="175" t="n"/>
      <c r="AB212" s="176" t="inlineStr">
        <is>
          <t>1009-1813-25, (08.10.2025) [IJZ-MB]</t>
        </is>
      </c>
      <c r="AG212" s="175" t="n"/>
      <c r="AH212" s="176" t="inlineStr">
        <is>
          <t>4762-2025, (08.10.2025) [IJZ]</t>
        </is>
      </c>
      <c r="AK212" s="175" t="n"/>
      <c r="AL212" s="176" t="inlineStr">
        <is>
          <t>4762-2025, (08.10.2025) [IJZ]</t>
        </is>
      </c>
      <c r="AP212" s="175" t="n"/>
      <c r="AQ212" s="174" t="n"/>
      <c r="AS212" s="177" t="n"/>
    </row>
    <row r="213" ht="17.625" customHeight="1" s="70">
      <c r="A213" s="178" t="n"/>
      <c r="B213" s="179" t="n"/>
      <c r="D213" s="180" t="n"/>
      <c r="E213" s="179" t="n"/>
      <c r="F213" s="181" t="n"/>
      <c r="G213" s="227" t="inlineStr">
        <is>
          <t>not on this certificate</t>
        </is>
      </c>
      <c r="H213" s="228" t="inlineStr">
        <is>
          <t>ППК26036, (05.03.2026) [CNP] · on file, not credited</t>
        </is>
      </c>
      <c r="I213" s="229" t="inlineStr">
        <is>
          <t>•</t>
        </is>
      </c>
      <c r="J213" s="255" t="inlineStr">
        <is>
          <t>Conforms (ImB spec.)</t>
        </is>
      </c>
      <c r="K213" s="256" t="inlineStr">
        <is>
          <t>ППК26036, (05.03.2026) [CNP]</t>
        </is>
      </c>
      <c r="L213" s="257" t="inlineStr">
        <is>
          <t>✓</t>
        </is>
      </c>
      <c r="M213" s="225" t="inlineStr">
        <is>
          <t>24.89</t>
        </is>
      </c>
      <c r="N213" s="223" t="inlineStr">
        <is>
          <t>NGP-QCG-SOP-024 F3, (28.11.2025) [NGP]</t>
        </is>
      </c>
      <c r="O213" s="224" t="inlineStr">
        <is>
          <t>✓</t>
        </is>
      </c>
      <c r="P213" s="226" t="inlineStr">
        <is>
          <t>0.17</t>
        </is>
      </c>
      <c r="Q213" s="223" t="inlineStr">
        <is>
          <t>NGP-QCG-SOP-024 F3, (28.11.2025) [NGP]</t>
        </is>
      </c>
      <c r="R213" s="224" t="inlineStr">
        <is>
          <t>✓</t>
        </is>
      </c>
      <c r="S213" s="259" t="inlineStr">
        <is>
          <t>0.05 ᴰ</t>
        </is>
      </c>
      <c r="T213" s="256" t="inlineStr">
        <is>
          <t>ППК26036, (05.03.2026) [CNP]</t>
        </is>
      </c>
      <c r="U213" s="257" t="inlineStr">
        <is>
          <t>✓</t>
        </is>
      </c>
      <c r="V213" s="180" t="n"/>
      <c r="W213" s="179" t="n"/>
      <c r="X213" s="181" t="n"/>
      <c r="Y213" s="190" t="inlineStr">
        <is>
          <t>8.19</t>
        </is>
      </c>
      <c r="Z213" s="223" t="inlineStr">
        <is>
          <t>NGP-QCG-SOP-024 F3, (28.11.2025) [NGP]</t>
        </is>
      </c>
      <c r="AA213" s="224" t="inlineStr">
        <is>
          <t>✓</t>
        </is>
      </c>
      <c r="AB213" s="190" t="inlineStr">
        <is>
          <t>600</t>
        </is>
      </c>
      <c r="AC213" s="191" t="inlineStr">
        <is>
          <t>400</t>
        </is>
      </c>
      <c r="AD213" s="191" t="inlineStr">
        <is>
          <t>&lt; 10</t>
        </is>
      </c>
      <c r="AE213" s="191" t="inlineStr">
        <is>
          <t>Absent</t>
        </is>
      </c>
      <c r="AF213" s="191" t="inlineStr">
        <is>
          <t>Absent</t>
        </is>
      </c>
      <c r="AG213" s="224" t="inlineStr">
        <is>
          <t>✓</t>
        </is>
      </c>
      <c r="AH213" s="180" t="n"/>
      <c r="AI213" s="179" t="n"/>
      <c r="AJ213" s="179" t="n"/>
      <c r="AK213" s="181" t="n"/>
      <c r="AL213" s="180" t="n"/>
      <c r="AM213" s="179" t="n"/>
      <c r="AN213" s="179" t="n"/>
      <c r="AO213" s="179" t="n"/>
      <c r="AP213" s="181" t="n"/>
      <c r="AQ213" s="180" t="n"/>
      <c r="AR213" s="179" t="n"/>
      <c r="AS213" s="192" t="n"/>
    </row>
    <row r="214" ht="13" customHeight="1" s="70">
      <c r="A214" s="230" t="n"/>
      <c r="B214" s="231" t="n"/>
      <c r="D214" s="232" t="n"/>
      <c r="E214" s="231" t="n"/>
      <c r="F214" s="233" t="n"/>
      <c r="G214" s="232" t="n"/>
      <c r="H214" s="231" t="n"/>
      <c r="I214" s="233" t="n"/>
      <c r="J214" s="232" t="n"/>
      <c r="K214" s="231" t="n"/>
      <c r="L214" s="233" t="n"/>
      <c r="M214" s="232" t="n"/>
      <c r="N214" s="231" t="n"/>
      <c r="O214" s="233" t="n"/>
      <c r="P214" s="232" t="n"/>
      <c r="Q214" s="231" t="n"/>
      <c r="R214" s="233" t="n"/>
      <c r="S214" s="232" t="n"/>
      <c r="T214" s="231" t="n"/>
      <c r="U214" s="233" t="n"/>
      <c r="V214" s="232" t="n"/>
      <c r="W214" s="231" t="n"/>
      <c r="X214" s="233" t="n"/>
      <c r="Y214" s="232" t="n"/>
      <c r="Z214" s="231" t="n"/>
      <c r="AA214" s="233" t="n"/>
      <c r="AB214" s="247" t="inlineStr">
        <is>
          <t>1155-2056-25, (24.11.2025) [IJZ-MB]</t>
        </is>
      </c>
      <c r="AC214" s="231" t="n"/>
      <c r="AD214" s="231" t="n"/>
      <c r="AE214" s="231" t="n"/>
      <c r="AF214" s="231" t="n"/>
      <c r="AG214" s="233" t="n"/>
      <c r="AH214" s="232" t="n"/>
      <c r="AI214" s="231" t="n"/>
      <c r="AJ214" s="231" t="n"/>
      <c r="AK214" s="233" t="n"/>
      <c r="AL214" s="232" t="n"/>
      <c r="AM214" s="231" t="n"/>
      <c r="AN214" s="231" t="n"/>
      <c r="AO214" s="231" t="n"/>
      <c r="AP214" s="233" t="n"/>
      <c r="AQ214" s="232" t="n"/>
      <c r="AR214" s="231" t="n"/>
      <c r="AS214" s="234" t="n"/>
    </row>
    <row r="215" ht="17.625" customHeight="1" s="70">
      <c r="A215" s="178" t="n"/>
      <c r="B215" s="179" t="n"/>
      <c r="D215" s="180" t="n"/>
      <c r="E215" s="179" t="n"/>
      <c r="F215" s="181" t="n"/>
      <c r="G215" s="227" t="inlineStr">
        <is>
          <t>not on this certificate</t>
        </is>
      </c>
      <c r="H215" s="228" t="inlineStr">
        <is>
          <t>ППК26037, (05.03.2026) [CNP] · on file, not credited</t>
        </is>
      </c>
      <c r="I215" s="229" t="inlineStr">
        <is>
          <t>•</t>
        </is>
      </c>
      <c r="J215" s="255" t="inlineStr">
        <is>
          <t>Conforms (ImB spec.)</t>
        </is>
      </c>
      <c r="K215" s="256" t="inlineStr">
        <is>
          <t>ППК26037, (05.03.2026) [CNP]</t>
        </is>
      </c>
      <c r="L215" s="257" t="inlineStr">
        <is>
          <t>✓</t>
        </is>
      </c>
      <c r="M215" s="258" t="inlineStr">
        <is>
          <t>22.83</t>
        </is>
      </c>
      <c r="N215" s="256" t="inlineStr">
        <is>
          <t>ППК26036, (05.03.2026) [CNP]</t>
        </is>
      </c>
      <c r="O215" s="257" t="inlineStr">
        <is>
          <t>✓</t>
        </is>
      </c>
      <c r="P215" s="259" t="inlineStr">
        <is>
          <t>0.05</t>
        </is>
      </c>
      <c r="Q215" s="256" t="inlineStr">
        <is>
          <t>ППК26036, (05.03.2026) [CNP]</t>
        </is>
      </c>
      <c r="R215" s="257" t="inlineStr">
        <is>
          <t>✓</t>
        </is>
      </c>
      <c r="S215" s="260" t="inlineStr">
        <is>
          <t>1.09 ᴿ</t>
        </is>
      </c>
      <c r="T215" s="256" t="inlineStr">
        <is>
          <t>ППК26037, (05.03.2026) [CNP]</t>
        </is>
      </c>
      <c r="U215" s="257" t="inlineStr">
        <is>
          <t>✓</t>
        </is>
      </c>
      <c r="V215" s="180" t="n"/>
      <c r="W215" s="179" t="n"/>
      <c r="X215" s="181" t="n"/>
      <c r="Y215" s="255" t="inlineStr">
        <is>
          <t>5.83</t>
        </is>
      </c>
      <c r="Z215" s="256" t="inlineStr">
        <is>
          <t>ППК26036, (05.03.2026) [CNP]</t>
        </is>
      </c>
      <c r="AA215" s="257" t="inlineStr">
        <is>
          <t>✓</t>
        </is>
      </c>
      <c r="AB215" s="190" t="inlineStr">
        <is>
          <t>&lt; 10</t>
        </is>
      </c>
      <c r="AC215" s="191" t="inlineStr">
        <is>
          <t>&lt; 10</t>
        </is>
      </c>
      <c r="AD215" s="191" t="inlineStr">
        <is>
          <t>&lt; 10</t>
        </is>
      </c>
      <c r="AE215" s="191" t="inlineStr">
        <is>
          <t>Absent</t>
        </is>
      </c>
      <c r="AF215" s="191" t="inlineStr">
        <is>
          <t>Absent</t>
        </is>
      </c>
      <c r="AG215" s="224" t="inlineStr">
        <is>
          <t>✓</t>
        </is>
      </c>
      <c r="AH215" s="180" t="n"/>
      <c r="AI215" s="179" t="n"/>
      <c r="AJ215" s="179" t="n"/>
      <c r="AK215" s="181" t="n"/>
      <c r="AL215" s="180" t="n"/>
      <c r="AM215" s="179" t="n"/>
      <c r="AN215" s="179" t="n"/>
      <c r="AO215" s="179" t="n"/>
      <c r="AP215" s="181" t="n"/>
      <c r="AQ215" s="180" t="n"/>
      <c r="AR215" s="179" t="n"/>
      <c r="AS215" s="192" t="n"/>
    </row>
    <row r="216" ht="13" customHeight="1" s="70">
      <c r="A216" s="230" t="n"/>
      <c r="B216" s="231" t="n"/>
      <c r="D216" s="232" t="n"/>
      <c r="E216" s="231" t="n"/>
      <c r="F216" s="233" t="n"/>
      <c r="G216" s="232" t="n"/>
      <c r="H216" s="231" t="n"/>
      <c r="I216" s="233" t="n"/>
      <c r="J216" s="232" t="n"/>
      <c r="K216" s="231" t="n"/>
      <c r="L216" s="233" t="n"/>
      <c r="M216" s="232" t="n"/>
      <c r="N216" s="231" t="n"/>
      <c r="O216" s="233" t="n"/>
      <c r="P216" s="232" t="n"/>
      <c r="Q216" s="231" t="n"/>
      <c r="R216" s="233" t="n"/>
      <c r="S216" s="232" t="n"/>
      <c r="T216" s="231" t="n"/>
      <c r="U216" s="233" t="n"/>
      <c r="V216" s="232" t="n"/>
      <c r="W216" s="231" t="n"/>
      <c r="X216" s="233" t="n"/>
      <c r="Y216" s="232" t="n"/>
      <c r="Z216" s="231" t="n"/>
      <c r="AA216" s="233" t="n"/>
      <c r="AB216" s="247" t="inlineStr">
        <is>
          <t>557-1088-26, (01.09.2026) [IJZ-MB]</t>
        </is>
      </c>
      <c r="AC216" s="231" t="n"/>
      <c r="AD216" s="231" t="n"/>
      <c r="AE216" s="231" t="n"/>
      <c r="AF216" s="231" t="n"/>
      <c r="AG216" s="233" t="n"/>
      <c r="AH216" s="232" t="n"/>
      <c r="AI216" s="231" t="n"/>
      <c r="AJ216" s="231" t="n"/>
      <c r="AK216" s="233" t="n"/>
      <c r="AL216" s="232" t="n"/>
      <c r="AM216" s="231" t="n"/>
      <c r="AN216" s="231" t="n"/>
      <c r="AO216" s="231" t="n"/>
      <c r="AP216" s="233" t="n"/>
      <c r="AQ216" s="232" t="n"/>
      <c r="AR216" s="231" t="n"/>
      <c r="AS216" s="234" t="n"/>
    </row>
    <row r="217" ht="17.625" customHeight="1" s="70">
      <c r="A217" s="178" t="n"/>
      <c r="B217" s="179" t="n"/>
      <c r="D217" s="180" t="n"/>
      <c r="E217" s="179" t="n"/>
      <c r="F217" s="181" t="n"/>
      <c r="G217" s="227" t="inlineStr">
        <is>
          <t>not on this certificate</t>
        </is>
      </c>
      <c r="H217" s="228" t="inlineStr">
        <is>
          <t>ППК26057, (11.05.2026) [CNP] · on file, not credited</t>
        </is>
      </c>
      <c r="I217" s="229" t="inlineStr">
        <is>
          <t>•</t>
        </is>
      </c>
      <c r="J217" s="255" t="inlineStr">
        <is>
          <t>Conforms (ImB spec.)</t>
        </is>
      </c>
      <c r="K217" s="256" t="inlineStr">
        <is>
          <t>ППК26057, (11.05.2026) [CNP]</t>
        </is>
      </c>
      <c r="L217" s="257" t="inlineStr">
        <is>
          <t>✓</t>
        </is>
      </c>
      <c r="M217" s="258" t="inlineStr">
        <is>
          <t>18.62</t>
        </is>
      </c>
      <c r="N217" s="256" t="inlineStr">
        <is>
          <t>ППК26037, (05.03.2026) [CNP]</t>
        </is>
      </c>
      <c r="O217" s="257" t="inlineStr">
        <is>
          <t>✓</t>
        </is>
      </c>
      <c r="P217" s="259" t="inlineStr">
        <is>
          <t>0.04</t>
        </is>
      </c>
      <c r="Q217" s="256" t="inlineStr">
        <is>
          <t>ППК26037, (05.03.2026) [CNP]</t>
        </is>
      </c>
      <c r="R217" s="257" t="inlineStr">
        <is>
          <t>✓</t>
        </is>
      </c>
      <c r="S217" s="259" t="inlineStr">
        <is>
          <t>0.04 ᴰ</t>
        </is>
      </c>
      <c r="T217" s="256" t="inlineStr">
        <is>
          <t>ППК26057, (11.05.2026) [CNP]</t>
        </is>
      </c>
      <c r="U217" s="257" t="inlineStr">
        <is>
          <t>✓</t>
        </is>
      </c>
      <c r="V217" s="180" t="n"/>
      <c r="W217" s="179" t="n"/>
      <c r="X217" s="181" t="n"/>
      <c r="Y217" s="255" t="inlineStr">
        <is>
          <t>5.38</t>
        </is>
      </c>
      <c r="Z217" s="256" t="inlineStr">
        <is>
          <t>ППК26037, (05.03.2026) [CNP]</t>
        </is>
      </c>
      <c r="AA217" s="257" t="inlineStr">
        <is>
          <t>✓</t>
        </is>
      </c>
      <c r="AB217" s="180" t="n"/>
      <c r="AC217" s="179" t="n"/>
      <c r="AD217" s="179" t="n"/>
      <c r="AE217" s="179" t="n"/>
      <c r="AF217" s="179" t="n"/>
      <c r="AG217" s="181" t="n"/>
      <c r="AH217" s="180" t="n"/>
      <c r="AI217" s="179" t="n"/>
      <c r="AJ217" s="179" t="n"/>
      <c r="AK217" s="181" t="n"/>
      <c r="AL217" s="180" t="n"/>
      <c r="AM217" s="179" t="n"/>
      <c r="AN217" s="179" t="n"/>
      <c r="AO217" s="179" t="n"/>
      <c r="AP217" s="181" t="n"/>
      <c r="AQ217" s="180" t="n"/>
      <c r="AR217" s="179" t="n"/>
      <c r="AS217" s="192" t="n"/>
    </row>
    <row r="218" ht="13" customHeight="1" s="70">
      <c r="A218" s="230" t="n"/>
      <c r="B218" s="231" t="n"/>
      <c r="D218" s="232" t="n"/>
      <c r="E218" s="231" t="n"/>
      <c r="F218" s="233" t="n"/>
      <c r="G218" s="232" t="n"/>
      <c r="H218" s="231" t="n"/>
      <c r="I218" s="233" t="n"/>
      <c r="J218" s="232" t="n"/>
      <c r="K218" s="231" t="n"/>
      <c r="L218" s="233" t="n"/>
      <c r="M218" s="232" t="n"/>
      <c r="N218" s="231" t="n"/>
      <c r="O218" s="233" t="n"/>
      <c r="P218" s="232" t="n"/>
      <c r="Q218" s="231" t="n"/>
      <c r="R218" s="233" t="n"/>
      <c r="S218" s="232" t="n"/>
      <c r="T218" s="231" t="n"/>
      <c r="U218" s="233" t="n"/>
      <c r="V218" s="232" t="n"/>
      <c r="W218" s="231" t="n"/>
      <c r="X218" s="233" t="n"/>
      <c r="Y218" s="232" t="n"/>
      <c r="Z218" s="231" t="n"/>
      <c r="AA218" s="233" t="n"/>
      <c r="AB218" s="232" t="n"/>
      <c r="AC218" s="231" t="n"/>
      <c r="AD218" s="231" t="n"/>
      <c r="AE218" s="231" t="n"/>
      <c r="AF218" s="231" t="n"/>
      <c r="AG218" s="233" t="n"/>
      <c r="AH218" s="232" t="n"/>
      <c r="AI218" s="231" t="n"/>
      <c r="AJ218" s="231" t="n"/>
      <c r="AK218" s="233" t="n"/>
      <c r="AL218" s="232" t="n"/>
      <c r="AM218" s="231" t="n"/>
      <c r="AN218" s="231" t="n"/>
      <c r="AO218" s="231" t="n"/>
      <c r="AP218" s="233" t="n"/>
      <c r="AQ218" s="232" t="n"/>
      <c r="AR218" s="231" t="n"/>
      <c r="AS218" s="234" t="n"/>
    </row>
    <row r="219" ht="17.625" customHeight="1" s="70">
      <c r="A219" s="178" t="n"/>
      <c r="B219" s="179" t="n"/>
      <c r="D219" s="180" t="n"/>
      <c r="E219" s="179" t="n"/>
      <c r="F219" s="181" t="n"/>
      <c r="G219" s="227" t="inlineStr">
        <is>
          <t>not on this certificate</t>
        </is>
      </c>
      <c r="H219" s="228" t="inlineStr">
        <is>
          <t>ППК26058, (11.05.2026) [CNP] · on file, not credited</t>
        </is>
      </c>
      <c r="I219" s="229" t="inlineStr">
        <is>
          <t>•</t>
        </is>
      </c>
      <c r="J219" s="255" t="inlineStr">
        <is>
          <t>Conforms (ImB spec.)</t>
        </is>
      </c>
      <c r="K219" s="256" t="inlineStr">
        <is>
          <t>ППК26058, (11.05.2026) [CNP]</t>
        </is>
      </c>
      <c r="L219" s="257" t="inlineStr">
        <is>
          <t>✓</t>
        </is>
      </c>
      <c r="M219" s="258" t="inlineStr">
        <is>
          <t>24.51</t>
        </is>
      </c>
      <c r="N219" s="256" t="inlineStr">
        <is>
          <t>ППК26057, (11.05.2026) [CNP]</t>
        </is>
      </c>
      <c r="O219" s="257" t="inlineStr">
        <is>
          <t>✓</t>
        </is>
      </c>
      <c r="P219" s="259" t="inlineStr">
        <is>
          <t>0.05</t>
        </is>
      </c>
      <c r="Q219" s="256" t="inlineStr">
        <is>
          <t>ППК26057, (11.05.2026) [CNP]</t>
        </is>
      </c>
      <c r="R219" s="257" t="inlineStr">
        <is>
          <t>✓</t>
        </is>
      </c>
      <c r="S219" s="260" t="inlineStr">
        <is>
          <t>2.05 ᴰ</t>
        </is>
      </c>
      <c r="T219" s="256" t="inlineStr">
        <is>
          <t>ППК26058, (11.05.2026) [CNP]</t>
        </is>
      </c>
      <c r="U219" s="257" t="inlineStr">
        <is>
          <t>✓</t>
        </is>
      </c>
      <c r="V219" s="180" t="n"/>
      <c r="W219" s="179" t="n"/>
      <c r="X219" s="181" t="n"/>
      <c r="Y219" s="255" t="inlineStr">
        <is>
          <t>6.85</t>
        </is>
      </c>
      <c r="Z219" s="256" t="inlineStr">
        <is>
          <t>ППК26057, (11.05.2026) [CNP]</t>
        </is>
      </c>
      <c r="AA219" s="257" t="inlineStr">
        <is>
          <t>✓</t>
        </is>
      </c>
      <c r="AB219" s="180" t="n"/>
      <c r="AC219" s="179" t="n"/>
      <c r="AD219" s="179" t="n"/>
      <c r="AE219" s="179" t="n"/>
      <c r="AF219" s="179" t="n"/>
      <c r="AG219" s="181" t="n"/>
      <c r="AH219" s="180" t="n"/>
      <c r="AI219" s="179" t="n"/>
      <c r="AJ219" s="179" t="n"/>
      <c r="AK219" s="181" t="n"/>
      <c r="AL219" s="180" t="n"/>
      <c r="AM219" s="179" t="n"/>
      <c r="AN219" s="179" t="n"/>
      <c r="AO219" s="179" t="n"/>
      <c r="AP219" s="181" t="n"/>
      <c r="AQ219" s="180" t="n"/>
      <c r="AR219" s="179" t="n"/>
      <c r="AS219" s="192" t="n"/>
    </row>
    <row r="220" ht="13" customHeight="1" s="70">
      <c r="A220" s="230" t="n"/>
      <c r="B220" s="231" t="n"/>
      <c r="D220" s="232" t="n"/>
      <c r="E220" s="231" t="n"/>
      <c r="F220" s="233" t="n"/>
      <c r="G220" s="232" t="n"/>
      <c r="H220" s="231" t="n"/>
      <c r="I220" s="233" t="n"/>
      <c r="J220" s="232" t="n"/>
      <c r="K220" s="231" t="n"/>
      <c r="L220" s="233" t="n"/>
      <c r="M220" s="232" t="n"/>
      <c r="N220" s="231" t="n"/>
      <c r="O220" s="233" t="n"/>
      <c r="P220" s="232" t="n"/>
      <c r="Q220" s="231" t="n"/>
      <c r="R220" s="233" t="n"/>
      <c r="S220" s="232" t="n"/>
      <c r="T220" s="231" t="n"/>
      <c r="U220" s="233" t="n"/>
      <c r="V220" s="232" t="n"/>
      <c r="W220" s="231" t="n"/>
      <c r="X220" s="233" t="n"/>
      <c r="Y220" s="232" t="n"/>
      <c r="Z220" s="231" t="n"/>
      <c r="AA220" s="233" t="n"/>
      <c r="AB220" s="232" t="n"/>
      <c r="AC220" s="231" t="n"/>
      <c r="AD220" s="231" t="n"/>
      <c r="AE220" s="231" t="n"/>
      <c r="AF220" s="231" t="n"/>
      <c r="AG220" s="233" t="n"/>
      <c r="AH220" s="232" t="n"/>
      <c r="AI220" s="231" t="n"/>
      <c r="AJ220" s="231" t="n"/>
      <c r="AK220" s="233" t="n"/>
      <c r="AL220" s="232" t="n"/>
      <c r="AM220" s="231" t="n"/>
      <c r="AN220" s="231" t="n"/>
      <c r="AO220" s="231" t="n"/>
      <c r="AP220" s="233" t="n"/>
      <c r="AQ220" s="232" t="n"/>
      <c r="AR220" s="231" t="n"/>
      <c r="AS220" s="234" t="n"/>
    </row>
    <row r="221" ht="17.625" customHeight="1" s="70">
      <c r="A221" s="178" t="n"/>
      <c r="B221" s="179" t="n"/>
      <c r="D221" s="180" t="n"/>
      <c r="E221" s="179" t="n"/>
      <c r="F221" s="181" t="n"/>
      <c r="G221" s="180" t="n"/>
      <c r="H221" s="179" t="n"/>
      <c r="I221" s="181" t="n"/>
      <c r="J221" s="180" t="n"/>
      <c r="K221" s="179" t="n"/>
      <c r="L221" s="181" t="n"/>
      <c r="M221" s="266" t="inlineStr">
        <is>
          <t>17.05</t>
        </is>
      </c>
      <c r="N221" s="267" t="inlineStr">
        <is>
          <t>ППК26058, (11.05.2026) [CNP]</t>
        </is>
      </c>
      <c r="O221" s="268" t="inlineStr">
        <is>
          <t>✓</t>
        </is>
      </c>
      <c r="P221" s="269" t="inlineStr">
        <is>
          <t>0.03</t>
        </is>
      </c>
      <c r="Q221" s="267" t="inlineStr">
        <is>
          <t>ППК26058, (11.05.2026) [CNP]</t>
        </is>
      </c>
      <c r="R221" s="268" t="inlineStr">
        <is>
          <t>✓</t>
        </is>
      </c>
      <c r="S221" s="180" t="n"/>
      <c r="T221" s="179" t="n"/>
      <c r="U221" s="181" t="n"/>
      <c r="V221" s="180" t="n"/>
      <c r="W221" s="179" t="n"/>
      <c r="X221" s="181" t="n"/>
      <c r="Y221" s="270" t="inlineStr">
        <is>
          <t>6.60</t>
        </is>
      </c>
      <c r="Z221" s="267" t="inlineStr">
        <is>
          <t>ППК26058, (11.05.2026) [CNP]</t>
        </is>
      </c>
      <c r="AA221" s="268" t="inlineStr">
        <is>
          <t>✓</t>
        </is>
      </c>
      <c r="AB221" s="180" t="n"/>
      <c r="AC221" s="179" t="n"/>
      <c r="AD221" s="179" t="n"/>
      <c r="AE221" s="179" t="n"/>
      <c r="AF221" s="179" t="n"/>
      <c r="AG221" s="181" t="n"/>
      <c r="AH221" s="180" t="n"/>
      <c r="AI221" s="179" t="n"/>
      <c r="AJ221" s="179" t="n"/>
      <c r="AK221" s="181" t="n"/>
      <c r="AL221" s="180" t="n"/>
      <c r="AM221" s="179" t="n"/>
      <c r="AN221" s="179" t="n"/>
      <c r="AO221" s="179" t="n"/>
      <c r="AP221" s="181" t="n"/>
      <c r="AQ221" s="180" t="n"/>
      <c r="AR221" s="179" t="n"/>
      <c r="AS221" s="192" t="n"/>
    </row>
    <row r="222" ht="13" customHeight="1" s="70">
      <c r="A222" s="193" t="n"/>
      <c r="B222" s="194" t="n"/>
      <c r="C222" s="194" t="n"/>
      <c r="D222" s="195" t="n"/>
      <c r="E222" s="194" t="n"/>
      <c r="F222" s="196" t="n"/>
      <c r="G222" s="195" t="n"/>
      <c r="H222" s="194" t="n"/>
      <c r="I222" s="196" t="n"/>
      <c r="J222" s="195" t="n"/>
      <c r="K222" s="194" t="n"/>
      <c r="L222" s="196" t="n"/>
      <c r="M222" s="195" t="n"/>
      <c r="N222" s="194" t="n"/>
      <c r="O222" s="196" t="n"/>
      <c r="P222" s="195" t="n"/>
      <c r="Q222" s="194" t="n"/>
      <c r="R222" s="196" t="n"/>
      <c r="S222" s="195" t="n"/>
      <c r="T222" s="194" t="n"/>
      <c r="U222" s="196" t="n"/>
      <c r="V222" s="195" t="n"/>
      <c r="W222" s="194" t="n"/>
      <c r="X222" s="196" t="n"/>
      <c r="Y222" s="195" t="n"/>
      <c r="Z222" s="194" t="n"/>
      <c r="AA222" s="196" t="n"/>
      <c r="AB222" s="195" t="n"/>
      <c r="AC222" s="194" t="n"/>
      <c r="AD222" s="194" t="n"/>
      <c r="AE222" s="194" t="n"/>
      <c r="AF222" s="194" t="n"/>
      <c r="AG222" s="196" t="n"/>
      <c r="AH222" s="195" t="n"/>
      <c r="AI222" s="194" t="n"/>
      <c r="AJ222" s="194" t="n"/>
      <c r="AK222" s="196" t="n"/>
      <c r="AL222" s="195" t="n"/>
      <c r="AM222" s="194" t="n"/>
      <c r="AN222" s="194" t="n"/>
      <c r="AO222" s="194" t="n"/>
      <c r="AP222" s="196" t="n"/>
      <c r="AQ222" s="195" t="n"/>
      <c r="AR222" s="194" t="n"/>
      <c r="AS222" s="198" t="n"/>
    </row>
    <row r="223" ht="21" customHeight="1" s="70">
      <c r="A223" s="160" t="inlineStr">
        <is>
          <t>CJ062501/2</t>
        </is>
      </c>
      <c r="B223" s="161" t="inlineStr">
        <is>
          <t>P050212</t>
        </is>
      </c>
      <c r="C223" s="212" t="inlineStr">
        <is>
          <t>✓ COMPLETE
2 testing instances
• 2 document(s) on file, not credited
✗ OUT OF SPECIFICATION: #9 TYMC</t>
        </is>
      </c>
      <c r="D223" s="163" t="inlineStr">
        <is>
          <t>Conforms</t>
        </is>
      </c>
      <c r="E223" s="164">
        <f>IFERROR(INDEX('iCoA Register'!$B:$B,MATCH("P050212|I",'iCoA Register'!$P:$P,0)),"iCoA — at issue")&amp;", (18.11.2025) [PP]"</f>
        <v/>
      </c>
      <c r="F223" s="165" t="inlineStr">
        <is>
          <t>✓</t>
        </is>
      </c>
      <c r="G223" s="166" t="inlineStr">
        <is>
          <t>not on this certificate</t>
        </is>
      </c>
      <c r="H223" s="167" t="inlineStr">
        <is>
          <t>ППК25322, (23.10.2025) [CNP] · on file, not credited</t>
        </is>
      </c>
      <c r="I223" s="168" t="inlineStr">
        <is>
          <t>•</t>
        </is>
      </c>
      <c r="J223" s="163" t="inlineStr">
        <is>
          <t>Conforms (ImB spec.)</t>
        </is>
      </c>
      <c r="K223" s="164" t="inlineStr">
        <is>
          <t>ППК25322, (23.10.2025) [CNP]</t>
        </is>
      </c>
      <c r="L223" s="165" t="inlineStr">
        <is>
          <t>✓</t>
        </is>
      </c>
      <c r="M223" s="169" t="inlineStr">
        <is>
          <t>16.56</t>
        </is>
      </c>
      <c r="N223" s="164" t="inlineStr">
        <is>
          <t>ППК25322, (23.10.2025) [CNP]</t>
        </is>
      </c>
      <c r="O223" s="165" t="inlineStr">
        <is>
          <t>✓</t>
        </is>
      </c>
      <c r="P223" s="170" t="inlineStr">
        <is>
          <t>0.14</t>
        </is>
      </c>
      <c r="Q223" s="164" t="inlineStr">
        <is>
          <t>ППК25322, (23.10.2025) [CNP]</t>
        </is>
      </c>
      <c r="R223" s="165" t="inlineStr">
        <is>
          <t>✓</t>
        </is>
      </c>
      <c r="S223" s="170" t="inlineStr">
        <is>
          <t>&lt; LOQ ᴰ</t>
        </is>
      </c>
      <c r="T223" s="164" t="inlineStr">
        <is>
          <t>ППК25322, (23.10.2025) [CNP]</t>
        </is>
      </c>
      <c r="U223" s="165" t="inlineStr">
        <is>
          <t>✓</t>
        </is>
      </c>
      <c r="V223" s="163" t="inlineStr">
        <is>
          <t>Conforms</t>
        </is>
      </c>
      <c r="W223" s="164">
        <f>IFERROR(INDEX('iCoA Register'!$B:$B,MATCH("P050212|I",'iCoA Register'!$P:$P,0)),"iCoA — at issue")&amp;", (18.11.2025) [PP]"</f>
        <v/>
      </c>
      <c r="X223" s="165" t="inlineStr">
        <is>
          <t>✓</t>
        </is>
      </c>
      <c r="Y223" s="163" t="inlineStr">
        <is>
          <t>6.70</t>
        </is>
      </c>
      <c r="Z223" s="164" t="inlineStr">
        <is>
          <t>ППК25322, (23.10.2025) [CNP]</t>
        </is>
      </c>
      <c r="AA223" s="165" t="inlineStr">
        <is>
          <t>✓</t>
        </is>
      </c>
      <c r="AB223" s="163" t="inlineStr">
        <is>
          <t>2.2 × 10⁴</t>
        </is>
      </c>
      <c r="AC223" s="262" t="inlineStr">
        <is>
          <t>4.9 × 10⁴</t>
        </is>
      </c>
      <c r="AD223" s="171" t="inlineStr">
        <is>
          <t>&lt; 10⁴ and &gt; 10³</t>
        </is>
      </c>
      <c r="AE223" s="171" t="inlineStr">
        <is>
          <t>Absent</t>
        </is>
      </c>
      <c r="AF223" s="171" t="inlineStr">
        <is>
          <t>Absent</t>
        </is>
      </c>
      <c r="AG223" s="165" t="inlineStr">
        <is>
          <t>✓</t>
        </is>
      </c>
      <c r="AH223" s="163" t="inlineStr">
        <is>
          <t>ND</t>
        </is>
      </c>
      <c r="AI223" s="171" t="inlineStr">
        <is>
          <t>&lt; 2</t>
        </is>
      </c>
      <c r="AJ223" s="171" t="inlineStr">
        <is>
          <t>ND</t>
        </is>
      </c>
      <c r="AK223" s="165" t="inlineStr">
        <is>
          <t>✓</t>
        </is>
      </c>
      <c r="AL223" s="163" t="inlineStr">
        <is>
          <t>0.026</t>
        </is>
      </c>
      <c r="AM223" s="171" t="inlineStr">
        <is>
          <t>0.002</t>
        </is>
      </c>
      <c r="AN223" s="171" t="inlineStr">
        <is>
          <t>0.011</t>
        </is>
      </c>
      <c r="AO223" s="171" t="inlineStr">
        <is>
          <t>0.012</t>
        </is>
      </c>
      <c r="AP223" s="165" t="inlineStr">
        <is>
          <t>✓</t>
        </is>
      </c>
      <c r="AQ223" s="163" t="inlineStr">
        <is>
          <t>≤ LOQ (all 28 compounds)</t>
        </is>
      </c>
      <c r="AR223" s="164" t="inlineStr">
        <is>
          <t>4908-2025, (24.10.2025) [IJZ]</t>
        </is>
      </c>
      <c r="AS223" s="172" t="inlineStr">
        <is>
          <t>✓</t>
        </is>
      </c>
    </row>
    <row r="224" ht="13" customHeight="1" s="70">
      <c r="A224" s="173" t="n"/>
      <c r="D224" s="174" t="n"/>
      <c r="F224" s="175" t="n"/>
      <c r="G224" s="174" t="n"/>
      <c r="I224" s="175" t="n"/>
      <c r="J224" s="174" t="n"/>
      <c r="L224" s="175" t="n"/>
      <c r="M224" s="174" t="n"/>
      <c r="O224" s="175" t="n"/>
      <c r="P224" s="174" t="n"/>
      <c r="R224" s="175" t="n"/>
      <c r="S224" s="174" t="n"/>
      <c r="U224" s="175" t="n"/>
      <c r="V224" s="174" t="n"/>
      <c r="X224" s="175" t="n"/>
      <c r="Y224" s="174" t="n"/>
      <c r="AA224" s="175" t="n"/>
      <c r="AB224" s="176" t="inlineStr">
        <is>
          <t>1032-1851-25, (17.10.2025) [IJZ-MB]</t>
        </is>
      </c>
      <c r="AG224" s="175" t="n"/>
      <c r="AH224" s="176" t="inlineStr">
        <is>
          <t>4908-2025, (24.10.2025) [IJZ]</t>
        </is>
      </c>
      <c r="AK224" s="175" t="n"/>
      <c r="AL224" s="176" t="inlineStr">
        <is>
          <t>4908-2025, (24.10.2025) [IJZ]</t>
        </is>
      </c>
      <c r="AP224" s="175" t="n"/>
      <c r="AQ224" s="174" t="n"/>
      <c r="AS224" s="177" t="n"/>
    </row>
    <row r="225" ht="17.625" customHeight="1" s="70">
      <c r="A225" s="178" t="n"/>
      <c r="B225" s="179" t="n"/>
      <c r="D225" s="180" t="n"/>
      <c r="E225" s="179" t="n"/>
      <c r="F225" s="181" t="n"/>
      <c r="G225" s="182" t="inlineStr">
        <is>
          <t>Conforms</t>
        </is>
      </c>
      <c r="H225" s="183">
        <f>IFERROR(INDEX('iCoA Register'!$B:$B,MATCH("P050212|I",'iCoA Register'!$P:$P,0)),"iCoA — at issue")&amp;", (18.11.2025) [PP]"</f>
        <v/>
      </c>
      <c r="I225" s="184" t="inlineStr">
        <is>
          <t>✓</t>
        </is>
      </c>
      <c r="J225" s="182" t="inlineStr">
        <is>
          <t>Conforms (ImB spec.) ᴿ</t>
        </is>
      </c>
      <c r="K225" s="183" t="inlineStr">
        <is>
          <t>197-4-K-26, (07.08.2026) [FHM-K]</t>
        </is>
      </c>
      <c r="L225" s="184" t="inlineStr">
        <is>
          <t>✓</t>
        </is>
      </c>
      <c r="M225" s="185" t="inlineStr">
        <is>
          <t>18.91</t>
        </is>
      </c>
      <c r="N225" s="183" t="inlineStr">
        <is>
          <t>197-4-K-26, (07.08.2026) [FHM-K]</t>
        </is>
      </c>
      <c r="O225" s="184" t="inlineStr">
        <is>
          <t>✓</t>
        </is>
      </c>
      <c r="P225" s="186" t="inlineStr">
        <is>
          <t>&lt; LOQ</t>
        </is>
      </c>
      <c r="Q225" s="183" t="inlineStr">
        <is>
          <t>197-4-K-26, (07.08.2026) [FHM-K]</t>
        </is>
      </c>
      <c r="R225" s="184" t="inlineStr">
        <is>
          <t>✓</t>
        </is>
      </c>
      <c r="S225" s="186" t="inlineStr">
        <is>
          <t>&lt; LOQ</t>
        </is>
      </c>
      <c r="T225" s="183" t="inlineStr">
        <is>
          <t>197-4-K-26, (07.08.2026) [FHM-K]</t>
        </is>
      </c>
      <c r="U225" s="184" t="inlineStr">
        <is>
          <t>✓</t>
        </is>
      </c>
      <c r="V225" s="180" t="n"/>
      <c r="W225" s="179" t="n"/>
      <c r="X225" s="181" t="n"/>
      <c r="Y225" s="187" t="inlineStr">
        <is>
          <t>not on this certificate</t>
        </is>
      </c>
      <c r="Z225" s="188" t="inlineStr">
        <is>
          <t>197-4-K-26, (07.08.2026) [FHM-K] · on file, not credited</t>
        </is>
      </c>
      <c r="AA225" s="189" t="inlineStr">
        <is>
          <t>•</t>
        </is>
      </c>
      <c r="AB225" s="180" t="n"/>
      <c r="AC225" s="179" t="n"/>
      <c r="AD225" s="179" t="n"/>
      <c r="AE225" s="179" t="n"/>
      <c r="AF225" s="179" t="n"/>
      <c r="AG225" s="181" t="n"/>
      <c r="AH225" s="190" t="inlineStr">
        <is>
          <t>ND</t>
        </is>
      </c>
      <c r="AI225" s="191" t="inlineStr">
        <is>
          <t>ND</t>
        </is>
      </c>
      <c r="AJ225" s="191" t="inlineStr">
        <is>
          <t>ND</t>
        </is>
      </c>
      <c r="AK225" s="184" t="inlineStr">
        <is>
          <t>✓</t>
        </is>
      </c>
      <c r="AL225" s="180" t="n"/>
      <c r="AM225" s="179" t="n"/>
      <c r="AN225" s="179" t="n"/>
      <c r="AO225" s="179" t="n"/>
      <c r="AP225" s="181" t="n"/>
      <c r="AQ225" s="180" t="n"/>
      <c r="AR225" s="179" t="n"/>
      <c r="AS225" s="192" t="n"/>
    </row>
    <row r="226" ht="15.375" customHeight="1" s="70">
      <c r="A226" s="193" t="n"/>
      <c r="B226" s="194" t="n"/>
      <c r="C226" s="194" t="n"/>
      <c r="D226" s="195" t="n"/>
      <c r="E226" s="194" t="n"/>
      <c r="F226" s="196" t="n"/>
      <c r="G226" s="195" t="n"/>
      <c r="H226" s="194" t="n"/>
      <c r="I226" s="196" t="n"/>
      <c r="J226" s="195" t="n"/>
      <c r="K226" s="194" t="n"/>
      <c r="L226" s="196" t="n"/>
      <c r="M226" s="195" t="n"/>
      <c r="N226" s="194" t="n"/>
      <c r="O226" s="196" t="n"/>
      <c r="P226" s="195" t="n"/>
      <c r="Q226" s="194" t="n"/>
      <c r="R226" s="196" t="n"/>
      <c r="S226" s="195" t="n"/>
      <c r="T226" s="194" t="n"/>
      <c r="U226" s="196" t="n"/>
      <c r="V226" s="195" t="n"/>
      <c r="W226" s="194" t="n"/>
      <c r="X226" s="196" t="n"/>
      <c r="Y226" s="195" t="n"/>
      <c r="Z226" s="194" t="n"/>
      <c r="AA226" s="196" t="n"/>
      <c r="AB226" s="195" t="n"/>
      <c r="AC226" s="194" t="n"/>
      <c r="AD226" s="194" t="n"/>
      <c r="AE226" s="194" t="n"/>
      <c r="AF226" s="194" t="n"/>
      <c r="AG226" s="196" t="n"/>
      <c r="AH226" s="197" t="inlineStr">
        <is>
          <t>197-4-M-26, (10.08.2026) [FHM-M]</t>
        </is>
      </c>
      <c r="AI226" s="194" t="n"/>
      <c r="AJ226" s="194" t="n"/>
      <c r="AK226" s="196" t="n"/>
      <c r="AL226" s="195" t="n"/>
      <c r="AM226" s="194" t="n"/>
      <c r="AN226" s="194" t="n"/>
      <c r="AO226" s="194" t="n"/>
      <c r="AP226" s="196" t="n"/>
      <c r="AQ226" s="195" t="n"/>
      <c r="AR226" s="194" t="n"/>
      <c r="AS226" s="198" t="n"/>
    </row>
    <row r="227" ht="17.625" customHeight="1" s="70">
      <c r="A227" s="160" t="inlineStr">
        <is>
          <t>CJ062501/1</t>
        </is>
      </c>
      <c r="B227" s="161" t="inlineStr">
        <is>
          <t>P050222</t>
        </is>
      </c>
      <c r="C227" s="162" t="inlineStr">
        <is>
          <t>✓ COMPLETE
2 testing instances
• 1 document(s) on file, not credited</t>
        </is>
      </c>
      <c r="D227" s="163" t="inlineStr">
        <is>
          <t>Conforms</t>
        </is>
      </c>
      <c r="E227" s="164">
        <f>IFERROR(INDEX('iCoA Register'!$B:$B,MATCH("P050222|I",'iCoA Register'!$P:$P,0)),"iCoA — at issue")&amp;", (24.11.2025) [PP]"</f>
        <v/>
      </c>
      <c r="F227" s="165" t="inlineStr">
        <is>
          <t>✓</t>
        </is>
      </c>
      <c r="G227" s="166" t="inlineStr">
        <is>
          <t>not on this certificate</t>
        </is>
      </c>
      <c r="H227" s="167" t="inlineStr">
        <is>
          <t>ППК25321, (23.10.2025) [CNP] · on file, not credited</t>
        </is>
      </c>
      <c r="I227" s="168" t="inlineStr">
        <is>
          <t>•</t>
        </is>
      </c>
      <c r="J227" s="163" t="inlineStr">
        <is>
          <t>Conforms (ImB spec.)</t>
        </is>
      </c>
      <c r="K227" s="164" t="inlineStr">
        <is>
          <t>ППК25321, (23.10.2025) [CNP]</t>
        </is>
      </c>
      <c r="L227" s="165" t="inlineStr">
        <is>
          <t>✓</t>
        </is>
      </c>
      <c r="M227" s="169" t="inlineStr">
        <is>
          <t>21.51</t>
        </is>
      </c>
      <c r="N227" s="164" t="inlineStr">
        <is>
          <t>ППК25321, (23.10.2025) [CNP]</t>
        </is>
      </c>
      <c r="O227" s="165" t="inlineStr">
        <is>
          <t>✓</t>
        </is>
      </c>
      <c r="P227" s="170" t="inlineStr">
        <is>
          <t>0.07</t>
        </is>
      </c>
      <c r="Q227" s="164" t="inlineStr">
        <is>
          <t>ППК25321, (23.10.2025) [CNP]</t>
        </is>
      </c>
      <c r="R227" s="165" t="inlineStr">
        <is>
          <t>✓</t>
        </is>
      </c>
      <c r="S227" s="170" t="inlineStr">
        <is>
          <t>0.02 ᴰ</t>
        </is>
      </c>
      <c r="T227" s="164" t="inlineStr">
        <is>
          <t>ППК25321, (23.10.2025) [CNP]</t>
        </is>
      </c>
      <c r="U227" s="165" t="inlineStr">
        <is>
          <t>✓</t>
        </is>
      </c>
      <c r="V227" s="163" t="inlineStr">
        <is>
          <t>Conforms</t>
        </is>
      </c>
      <c r="W227" s="164">
        <f>IFERROR(INDEX('iCoA Register'!$B:$B,MATCH("P050222|I",'iCoA Register'!$P:$P,0)),"iCoA — at issue")&amp;", (24.11.2025) [PP]"</f>
        <v/>
      </c>
      <c r="X227" s="165" t="inlineStr">
        <is>
          <t>✓</t>
        </is>
      </c>
      <c r="Y227" s="163" t="inlineStr">
        <is>
          <t>7.77</t>
        </is>
      </c>
      <c r="Z227" s="164" t="inlineStr">
        <is>
          <t>ППК25321, (23.10.2025) [CNP]</t>
        </is>
      </c>
      <c r="AA227" s="165" t="inlineStr">
        <is>
          <t>✓</t>
        </is>
      </c>
      <c r="AB227" s="163" t="inlineStr">
        <is>
          <t>&lt; 10</t>
        </is>
      </c>
      <c r="AC227" s="171" t="inlineStr">
        <is>
          <t>20</t>
        </is>
      </c>
      <c r="AD227" s="171" t="inlineStr">
        <is>
          <t>&lt; 10</t>
        </is>
      </c>
      <c r="AE227" s="171" t="inlineStr">
        <is>
          <t>Absent</t>
        </is>
      </c>
      <c r="AF227" s="171" t="inlineStr">
        <is>
          <t>Absent</t>
        </is>
      </c>
      <c r="AG227" s="165" t="inlineStr">
        <is>
          <t>✓</t>
        </is>
      </c>
      <c r="AH227" s="163" t="inlineStr">
        <is>
          <t>ND</t>
        </is>
      </c>
      <c r="AI227" s="171" t="inlineStr">
        <is>
          <t>&lt; 2</t>
        </is>
      </c>
      <c r="AJ227" s="171" t="inlineStr">
        <is>
          <t>ND</t>
        </is>
      </c>
      <c r="AK227" s="165" t="inlineStr">
        <is>
          <t>✓</t>
        </is>
      </c>
      <c r="AL227" s="163" t="inlineStr">
        <is>
          <t>0.037</t>
        </is>
      </c>
      <c r="AM227" s="171" t="inlineStr">
        <is>
          <t>0.002</t>
        </is>
      </c>
      <c r="AN227" s="171" t="inlineStr">
        <is>
          <t>0.027</t>
        </is>
      </c>
      <c r="AO227" s="171" t="inlineStr">
        <is>
          <t>0.017</t>
        </is>
      </c>
      <c r="AP227" s="165" t="inlineStr">
        <is>
          <t>✓</t>
        </is>
      </c>
      <c r="AQ227" s="163" t="inlineStr">
        <is>
          <t>≤ LOQ (all 29 compounds)</t>
        </is>
      </c>
      <c r="AR227" s="164" t="inlineStr">
        <is>
          <t>4907-2025, (24.10.2025) [IJZ]</t>
        </is>
      </c>
      <c r="AS227" s="172" t="inlineStr">
        <is>
          <t>✓</t>
        </is>
      </c>
    </row>
    <row r="228" ht="13" customHeight="1" s="70">
      <c r="A228" s="173" t="n"/>
      <c r="D228" s="174" t="n"/>
      <c r="F228" s="175" t="n"/>
      <c r="G228" s="174" t="n"/>
      <c r="I228" s="175" t="n"/>
      <c r="J228" s="174" t="n"/>
      <c r="L228" s="175" t="n"/>
      <c r="M228" s="174" t="n"/>
      <c r="O228" s="175" t="n"/>
      <c r="P228" s="174" t="n"/>
      <c r="R228" s="175" t="n"/>
      <c r="S228" s="174" t="n"/>
      <c r="U228" s="175" t="n"/>
      <c r="V228" s="174" t="n"/>
      <c r="X228" s="175" t="n"/>
      <c r="Y228" s="174" t="n"/>
      <c r="AA228" s="175" t="n"/>
      <c r="AB228" s="176" t="inlineStr">
        <is>
          <t>1217-2168-25, (01.12.2025) [IJZ-MB]</t>
        </is>
      </c>
      <c r="AG228" s="175" t="n"/>
      <c r="AH228" s="176" t="inlineStr">
        <is>
          <t>4907-2025, (24.10.2025) [IJZ]</t>
        </is>
      </c>
      <c r="AK228" s="175" t="n"/>
      <c r="AL228" s="176" t="inlineStr">
        <is>
          <t>4907-2025, (24.10.2025) [IJZ]</t>
        </is>
      </c>
      <c r="AP228" s="175" t="n"/>
      <c r="AQ228" s="174" t="n"/>
      <c r="AS228" s="177" t="n"/>
    </row>
    <row r="229" ht="14" customHeight="1" s="70">
      <c r="A229" s="178" t="n"/>
      <c r="B229" s="179" t="n"/>
      <c r="D229" s="180" t="n"/>
      <c r="E229" s="179" t="n"/>
      <c r="F229" s="181" t="n"/>
      <c r="G229" s="182" t="inlineStr">
        <is>
          <t>Conforms</t>
        </is>
      </c>
      <c r="H229" s="183">
        <f>IFERROR(INDEX('iCoA Register'!$B:$B,MATCH("P050222|I",'iCoA Register'!$P:$P,0)),"iCoA — at issue")&amp;", (24.11.2025) [PP]"</f>
        <v/>
      </c>
      <c r="I229" s="184" t="inlineStr">
        <is>
          <t>✓</t>
        </is>
      </c>
      <c r="J229" s="180" t="n"/>
      <c r="K229" s="179" t="n"/>
      <c r="L229" s="181" t="n"/>
      <c r="M229" s="180" t="n"/>
      <c r="N229" s="179" t="n"/>
      <c r="O229" s="181" t="n"/>
      <c r="P229" s="180" t="n"/>
      <c r="Q229" s="179" t="n"/>
      <c r="R229" s="181" t="n"/>
      <c r="S229" s="180" t="n"/>
      <c r="T229" s="179" t="n"/>
      <c r="U229" s="181" t="n"/>
      <c r="V229" s="180" t="n"/>
      <c r="W229" s="179" t="n"/>
      <c r="X229" s="181" t="n"/>
      <c r="Y229" s="180" t="n"/>
      <c r="Z229" s="179" t="n"/>
      <c r="AA229" s="181" t="n"/>
      <c r="AB229" s="180" t="n"/>
      <c r="AC229" s="179" t="n"/>
      <c r="AD229" s="179" t="n"/>
      <c r="AE229" s="179" t="n"/>
      <c r="AF229" s="179" t="n"/>
      <c r="AG229" s="181" t="n"/>
      <c r="AH229" s="180" t="n"/>
      <c r="AI229" s="179" t="n"/>
      <c r="AJ229" s="179" t="n"/>
      <c r="AK229" s="181" t="n"/>
      <c r="AL229" s="180" t="n"/>
      <c r="AM229" s="179" t="n"/>
      <c r="AN229" s="179" t="n"/>
      <c r="AO229" s="179" t="n"/>
      <c r="AP229" s="181" t="n"/>
      <c r="AQ229" s="180" t="n"/>
      <c r="AR229" s="179" t="n"/>
      <c r="AS229" s="192" t="n"/>
    </row>
    <row r="230" ht="13" customHeight="1" s="70">
      <c r="A230" s="193" t="n"/>
      <c r="B230" s="194" t="n"/>
      <c r="C230" s="194" t="n"/>
      <c r="D230" s="195" t="n"/>
      <c r="E230" s="194" t="n"/>
      <c r="F230" s="196" t="n"/>
      <c r="G230" s="195" t="n"/>
      <c r="H230" s="194" t="n"/>
      <c r="I230" s="196" t="n"/>
      <c r="J230" s="195" t="n"/>
      <c r="K230" s="194" t="n"/>
      <c r="L230" s="196" t="n"/>
      <c r="M230" s="195" t="n"/>
      <c r="N230" s="194" t="n"/>
      <c r="O230" s="196" t="n"/>
      <c r="P230" s="195" t="n"/>
      <c r="Q230" s="194" t="n"/>
      <c r="R230" s="196" t="n"/>
      <c r="S230" s="195" t="n"/>
      <c r="T230" s="194" t="n"/>
      <c r="U230" s="196" t="n"/>
      <c r="V230" s="195" t="n"/>
      <c r="W230" s="194" t="n"/>
      <c r="X230" s="196" t="n"/>
      <c r="Y230" s="195" t="n"/>
      <c r="Z230" s="194" t="n"/>
      <c r="AA230" s="196" t="n"/>
      <c r="AB230" s="195" t="n"/>
      <c r="AC230" s="194" t="n"/>
      <c r="AD230" s="194" t="n"/>
      <c r="AE230" s="194" t="n"/>
      <c r="AF230" s="194" t="n"/>
      <c r="AG230" s="196" t="n"/>
      <c r="AH230" s="195" t="n"/>
      <c r="AI230" s="194" t="n"/>
      <c r="AJ230" s="194" t="n"/>
      <c r="AK230" s="196" t="n"/>
      <c r="AL230" s="195" t="n"/>
      <c r="AM230" s="194" t="n"/>
      <c r="AN230" s="194" t="n"/>
      <c r="AO230" s="194" t="n"/>
      <c r="AP230" s="196" t="n"/>
      <c r="AQ230" s="195" t="n"/>
      <c r="AR230" s="194" t="n"/>
      <c r="AS230" s="198" t="n"/>
    </row>
    <row r="231" ht="17.625" customHeight="1" s="70">
      <c r="A231" s="160" t="inlineStr">
        <is>
          <t>CJ072501</t>
        </is>
      </c>
      <c r="B231" s="161" t="inlineStr">
        <is>
          <t>P050252</t>
        </is>
      </c>
      <c r="C231" s="162" t="inlineStr">
        <is>
          <t>✓ COMPLETE
2 testing instances
• 1 document(s) on file, not credited</t>
        </is>
      </c>
      <c r="D231" s="163" t="inlineStr">
        <is>
          <t>Conforms</t>
        </is>
      </c>
      <c r="E231" s="164">
        <f>IFERROR(INDEX('iCoA Register'!$B:$B,MATCH("P050252|I",'iCoA Register'!$P:$P,0)),"iCoA — at issue")&amp;", (27.11.2025) [PP]"</f>
        <v/>
      </c>
      <c r="F231" s="165" t="inlineStr">
        <is>
          <t>✓</t>
        </is>
      </c>
      <c r="G231" s="163" t="inlineStr">
        <is>
          <t>Conforms</t>
        </is>
      </c>
      <c r="H231" s="164">
        <f>IFERROR(INDEX('iCoA Register'!$B:$B,MATCH("P050252|I",'iCoA Register'!$P:$P,0)),"iCoA — at issue")&amp;", (27.11.2025) [PP]"</f>
        <v/>
      </c>
      <c r="I231" s="165" t="inlineStr">
        <is>
          <t>✓</t>
        </is>
      </c>
      <c r="J231" s="163" t="inlineStr">
        <is>
          <t>Conforms (ImB spec.)</t>
        </is>
      </c>
      <c r="K231" s="164" t="inlineStr">
        <is>
          <t>ППК25367, (28.11.2025) [CNP]</t>
        </is>
      </c>
      <c r="L231" s="165" t="inlineStr">
        <is>
          <t>✓</t>
        </is>
      </c>
      <c r="M231" s="169" t="inlineStr">
        <is>
          <t>23.70</t>
        </is>
      </c>
      <c r="N231" s="164" t="inlineStr">
        <is>
          <t>ППК25367, (28.11.2025) [CNP]</t>
        </is>
      </c>
      <c r="O231" s="165" t="inlineStr">
        <is>
          <t>✓</t>
        </is>
      </c>
      <c r="P231" s="170" t="inlineStr">
        <is>
          <t>0.09</t>
        </is>
      </c>
      <c r="Q231" s="164" t="inlineStr">
        <is>
          <t>ППК25367, (28.11.2025) [CNP]</t>
        </is>
      </c>
      <c r="R231" s="165" t="inlineStr">
        <is>
          <t>✓</t>
        </is>
      </c>
      <c r="S231" s="170" t="inlineStr">
        <is>
          <t>&lt; LOQ ᴰ</t>
        </is>
      </c>
      <c r="T231" s="164" t="inlineStr">
        <is>
          <t>ППК25367, (28.11.2025) [CNP]</t>
        </is>
      </c>
      <c r="U231" s="165" t="inlineStr">
        <is>
          <t>✓</t>
        </is>
      </c>
      <c r="V231" s="163" t="inlineStr">
        <is>
          <t>Conforms</t>
        </is>
      </c>
      <c r="W231" s="164">
        <f>IFERROR(INDEX('iCoA Register'!$B:$B,MATCH("P050252|I",'iCoA Register'!$P:$P,0)),"iCoA — at issue")&amp;", (27.11.2025) [PP]"</f>
        <v/>
      </c>
      <c r="X231" s="165" t="inlineStr">
        <is>
          <t>✓</t>
        </is>
      </c>
      <c r="Y231" s="163" t="inlineStr">
        <is>
          <t>8.22</t>
        </is>
      </c>
      <c r="Z231" s="164" t="inlineStr">
        <is>
          <t>ППК25367, (28.11.2025) [CNP]</t>
        </is>
      </c>
      <c r="AA231" s="165" t="inlineStr">
        <is>
          <t>✓</t>
        </is>
      </c>
      <c r="AB231" s="163" t="inlineStr">
        <is>
          <t>4.5 × 10³</t>
        </is>
      </c>
      <c r="AC231" s="171" t="inlineStr">
        <is>
          <t>3.5 × 10³</t>
        </is>
      </c>
      <c r="AD231" s="171" t="inlineStr">
        <is>
          <t>&lt; 10</t>
        </is>
      </c>
      <c r="AE231" s="171" t="inlineStr">
        <is>
          <t>Absent</t>
        </is>
      </c>
      <c r="AF231" s="171" t="inlineStr">
        <is>
          <t>Absent</t>
        </is>
      </c>
      <c r="AG231" s="165" t="inlineStr">
        <is>
          <t>✓</t>
        </is>
      </c>
      <c r="AH231" s="163" t="inlineStr">
        <is>
          <t>ND</t>
        </is>
      </c>
      <c r="AI231" s="171" t="inlineStr">
        <is>
          <t>&lt; 2</t>
        </is>
      </c>
      <c r="AJ231" s="171" t="inlineStr">
        <is>
          <t>ND</t>
        </is>
      </c>
      <c r="AK231" s="165" t="inlineStr">
        <is>
          <t>✓</t>
        </is>
      </c>
      <c r="AL231" s="163" t="inlineStr">
        <is>
          <t>0.013</t>
        </is>
      </c>
      <c r="AM231" s="171" t="inlineStr">
        <is>
          <t>0.004</t>
        </is>
      </c>
      <c r="AN231" s="171" t="inlineStr">
        <is>
          <t>0.011</t>
        </is>
      </c>
      <c r="AO231" s="171" t="inlineStr">
        <is>
          <t>0.002</t>
        </is>
      </c>
      <c r="AP231" s="165" t="inlineStr">
        <is>
          <t>✓</t>
        </is>
      </c>
      <c r="AQ231" s="163" t="inlineStr">
        <is>
          <t>ND</t>
        </is>
      </c>
      <c r="AR231" s="164" t="inlineStr">
        <is>
          <t>5697-2025, (02.12.2025) [IJZ]</t>
        </is>
      </c>
      <c r="AS231" s="172" t="inlineStr">
        <is>
          <t>✓</t>
        </is>
      </c>
    </row>
    <row r="232" ht="13" customHeight="1" s="70">
      <c r="A232" s="173" t="n"/>
      <c r="D232" s="174" t="n"/>
      <c r="F232" s="175" t="n"/>
      <c r="G232" s="174" t="n"/>
      <c r="I232" s="175" t="n"/>
      <c r="J232" s="174" t="n"/>
      <c r="L232" s="175" t="n"/>
      <c r="M232" s="174" t="n"/>
      <c r="O232" s="175" t="n"/>
      <c r="P232" s="174" t="n"/>
      <c r="R232" s="175" t="n"/>
      <c r="S232" s="174" t="n"/>
      <c r="U232" s="175" t="n"/>
      <c r="V232" s="174" t="n"/>
      <c r="X232" s="175" t="n"/>
      <c r="Y232" s="174" t="n"/>
      <c r="AA232" s="175" t="n"/>
      <c r="AB232" s="176" t="inlineStr">
        <is>
          <t>1218-2169-25, (01.12.2025) [IJZ-MB]</t>
        </is>
      </c>
      <c r="AG232" s="175" t="n"/>
      <c r="AH232" s="176" t="inlineStr">
        <is>
          <t>5697-2025, (02.12.2025) [IJZ]</t>
        </is>
      </c>
      <c r="AK232" s="175" t="n"/>
      <c r="AL232" s="176" t="inlineStr">
        <is>
          <t>5697-2025, (02.12.2025) [IJZ]</t>
        </is>
      </c>
      <c r="AP232" s="175" t="n"/>
      <c r="AQ232" s="174" t="n"/>
      <c r="AS232" s="177" t="n"/>
    </row>
    <row r="233" ht="14" customHeight="1" s="70">
      <c r="A233" s="178" t="n"/>
      <c r="B233" s="179" t="n"/>
      <c r="D233" s="180" t="n"/>
      <c r="E233" s="179" t="n"/>
      <c r="F233" s="181" t="n"/>
      <c r="G233" s="187" t="inlineStr">
        <is>
          <t>not on this certificate</t>
        </is>
      </c>
      <c r="H233" s="188" t="inlineStr">
        <is>
          <t>ППК25367, (28.11.2025) [CNP] · on file, not credited</t>
        </is>
      </c>
      <c r="I233" s="189" t="inlineStr">
        <is>
          <t>•</t>
        </is>
      </c>
      <c r="J233" s="180" t="n"/>
      <c r="K233" s="179" t="n"/>
      <c r="L233" s="181" t="n"/>
      <c r="M233" s="180" t="n"/>
      <c r="N233" s="179" t="n"/>
      <c r="O233" s="181" t="n"/>
      <c r="P233" s="180" t="n"/>
      <c r="Q233" s="179" t="n"/>
      <c r="R233" s="181" t="n"/>
      <c r="S233" s="180" t="n"/>
      <c r="T233" s="179" t="n"/>
      <c r="U233" s="181" t="n"/>
      <c r="V233" s="180" t="n"/>
      <c r="W233" s="179" t="n"/>
      <c r="X233" s="181" t="n"/>
      <c r="Y233" s="180" t="n"/>
      <c r="Z233" s="179" t="n"/>
      <c r="AA233" s="181" t="n"/>
      <c r="AB233" s="190" t="inlineStr">
        <is>
          <t>&lt; 10</t>
        </is>
      </c>
      <c r="AC233" s="191" t="inlineStr">
        <is>
          <t>&lt; 10</t>
        </is>
      </c>
      <c r="AD233" s="191" t="inlineStr">
        <is>
          <t>&lt; 10</t>
        </is>
      </c>
      <c r="AE233" s="191" t="inlineStr">
        <is>
          <t>Absent</t>
        </is>
      </c>
      <c r="AF233" s="191" t="inlineStr">
        <is>
          <t>Absent</t>
        </is>
      </c>
      <c r="AG233" s="184" t="inlineStr">
        <is>
          <t>✓</t>
        </is>
      </c>
      <c r="AH233" s="180" t="n"/>
      <c r="AI233" s="179" t="n"/>
      <c r="AJ233" s="179" t="n"/>
      <c r="AK233" s="181" t="n"/>
      <c r="AL233" s="180" t="n"/>
      <c r="AM233" s="179" t="n"/>
      <c r="AN233" s="179" t="n"/>
      <c r="AO233" s="179" t="n"/>
      <c r="AP233" s="181" t="n"/>
      <c r="AQ233" s="180" t="n"/>
      <c r="AR233" s="179" t="n"/>
      <c r="AS233" s="192" t="n"/>
    </row>
    <row r="234" ht="13" customHeight="1" s="70">
      <c r="A234" s="193" t="n"/>
      <c r="B234" s="194" t="n"/>
      <c r="C234" s="194" t="n"/>
      <c r="D234" s="195" t="n"/>
      <c r="E234" s="194" t="n"/>
      <c r="F234" s="196" t="n"/>
      <c r="G234" s="195" t="n"/>
      <c r="H234" s="194" t="n"/>
      <c r="I234" s="196" t="n"/>
      <c r="J234" s="195" t="n"/>
      <c r="K234" s="194" t="n"/>
      <c r="L234" s="196" t="n"/>
      <c r="M234" s="195" t="n"/>
      <c r="N234" s="194" t="n"/>
      <c r="O234" s="196" t="n"/>
      <c r="P234" s="195" t="n"/>
      <c r="Q234" s="194" t="n"/>
      <c r="R234" s="196" t="n"/>
      <c r="S234" s="195" t="n"/>
      <c r="T234" s="194" t="n"/>
      <c r="U234" s="196" t="n"/>
      <c r="V234" s="195" t="n"/>
      <c r="W234" s="194" t="n"/>
      <c r="X234" s="196" t="n"/>
      <c r="Y234" s="195" t="n"/>
      <c r="Z234" s="194" t="n"/>
      <c r="AA234" s="196" t="n"/>
      <c r="AB234" s="197" t="inlineStr">
        <is>
          <t>556-1087-26, (01.09.2026) [IJZ-MB]</t>
        </is>
      </c>
      <c r="AC234" s="194" t="n"/>
      <c r="AD234" s="194" t="n"/>
      <c r="AE234" s="194" t="n"/>
      <c r="AF234" s="194" t="n"/>
      <c r="AG234" s="196" t="n"/>
      <c r="AH234" s="195" t="n"/>
      <c r="AI234" s="194" t="n"/>
      <c r="AJ234" s="194" t="n"/>
      <c r="AK234" s="196" t="n"/>
      <c r="AL234" s="195" t="n"/>
      <c r="AM234" s="194" t="n"/>
      <c r="AN234" s="194" t="n"/>
      <c r="AO234" s="194" t="n"/>
      <c r="AP234" s="196" t="n"/>
      <c r="AQ234" s="195" t="n"/>
      <c r="AR234" s="194" t="n"/>
      <c r="AS234" s="198" t="n"/>
    </row>
    <row r="235" ht="17.625" customHeight="1" s="70">
      <c r="A235" s="160" t="inlineStr">
        <is>
          <t>WC072501</t>
        </is>
      </c>
      <c r="B235" s="161" t="inlineStr">
        <is>
          <t>P050262</t>
        </is>
      </c>
      <c r="C235" s="162" t="inlineStr">
        <is>
          <t>✓ COMPLETE
2 testing instances
• 1 document(s) on file, not credited</t>
        </is>
      </c>
      <c r="D235" s="163" t="inlineStr">
        <is>
          <t>Conforms</t>
        </is>
      </c>
      <c r="E235" s="164">
        <f>IFERROR(INDEX('iCoA Register'!$B:$B,MATCH("P050262|I",'iCoA Register'!$P:$P,0)),"iCoA — at issue")&amp;", (01.12.2025) [PP]"</f>
        <v/>
      </c>
      <c r="F235" s="165" t="inlineStr">
        <is>
          <t>✓</t>
        </is>
      </c>
      <c r="G235" s="166" t="inlineStr">
        <is>
          <t>not on this certificate</t>
        </is>
      </c>
      <c r="H235" s="167" t="inlineStr">
        <is>
          <t>ППК25369, (28.11.2025) [CNP] · on file, not credited</t>
        </is>
      </c>
      <c r="I235" s="168" t="inlineStr">
        <is>
          <t>•</t>
        </is>
      </c>
      <c r="J235" s="163" t="inlineStr">
        <is>
          <t>Conforms (ImB spec.)</t>
        </is>
      </c>
      <c r="K235" s="164" t="inlineStr">
        <is>
          <t>ППК25369, (28.11.2025) [CNP]</t>
        </is>
      </c>
      <c r="L235" s="165" t="inlineStr">
        <is>
          <t>✓</t>
        </is>
      </c>
      <c r="M235" s="169" t="inlineStr">
        <is>
          <t>22.11</t>
        </is>
      </c>
      <c r="N235" s="164" t="inlineStr">
        <is>
          <t>ППК25369, (28.11.2025) [CNP]</t>
        </is>
      </c>
      <c r="O235" s="165" t="inlineStr">
        <is>
          <t>✓</t>
        </is>
      </c>
      <c r="P235" s="170" t="inlineStr">
        <is>
          <t>0.06</t>
        </is>
      </c>
      <c r="Q235" s="164" t="inlineStr">
        <is>
          <t>ППК25369, (28.11.2025) [CNP]</t>
        </is>
      </c>
      <c r="R235" s="165" t="inlineStr">
        <is>
          <t>✓</t>
        </is>
      </c>
      <c r="S235" s="170" t="inlineStr">
        <is>
          <t>0.01 ᴰ</t>
        </is>
      </c>
      <c r="T235" s="164" t="inlineStr">
        <is>
          <t>ППК25369, (28.11.2025) [CNP]</t>
        </is>
      </c>
      <c r="U235" s="165" t="inlineStr">
        <is>
          <t>✓</t>
        </is>
      </c>
      <c r="V235" s="163" t="inlineStr">
        <is>
          <t>Conforms</t>
        </is>
      </c>
      <c r="W235" s="164">
        <f>IFERROR(INDEX('iCoA Register'!$B:$B,MATCH("P050262|I",'iCoA Register'!$P:$P,0)),"iCoA — at issue")&amp;", (01.12.2025) [PP]"</f>
        <v/>
      </c>
      <c r="X235" s="165" t="inlineStr">
        <is>
          <t>✓</t>
        </is>
      </c>
      <c r="Y235" s="163" t="inlineStr">
        <is>
          <t>8.94</t>
        </is>
      </c>
      <c r="Z235" s="164" t="inlineStr">
        <is>
          <t>ППК25369, (28.11.2025) [CNP]</t>
        </is>
      </c>
      <c r="AA235" s="165" t="inlineStr">
        <is>
          <t>✓</t>
        </is>
      </c>
      <c r="AB235" s="163" t="inlineStr">
        <is>
          <t>100</t>
        </is>
      </c>
      <c r="AC235" s="171" t="inlineStr">
        <is>
          <t>90</t>
        </is>
      </c>
      <c r="AD235" s="171" t="inlineStr">
        <is>
          <t>&lt; 10</t>
        </is>
      </c>
      <c r="AE235" s="171" t="inlineStr">
        <is>
          <t>Absent</t>
        </is>
      </c>
      <c r="AF235" s="171" t="inlineStr">
        <is>
          <t>Absent</t>
        </is>
      </c>
      <c r="AG235" s="165" t="inlineStr">
        <is>
          <t>✓</t>
        </is>
      </c>
      <c r="AH235" s="163" t="inlineStr">
        <is>
          <t>ND</t>
        </is>
      </c>
      <c r="AI235" s="171" t="inlineStr">
        <is>
          <t>&lt; 2</t>
        </is>
      </c>
      <c r="AJ235" s="171" t="inlineStr">
        <is>
          <t>ND</t>
        </is>
      </c>
      <c r="AK235" s="165" t="inlineStr">
        <is>
          <t>✓</t>
        </is>
      </c>
      <c r="AL235" s="163" t="inlineStr">
        <is>
          <t>0.023</t>
        </is>
      </c>
      <c r="AM235" s="171" t="inlineStr">
        <is>
          <t>0.005</t>
        </is>
      </c>
      <c r="AN235" s="171" t="inlineStr">
        <is>
          <t>0.006</t>
        </is>
      </c>
      <c r="AO235" s="171" t="inlineStr">
        <is>
          <t>0.01</t>
        </is>
      </c>
      <c r="AP235" s="165" t="inlineStr">
        <is>
          <t>✓</t>
        </is>
      </c>
      <c r="AQ235" s="163" t="inlineStr">
        <is>
          <t>≤ LOQ (all 29 compounds)</t>
        </is>
      </c>
      <c r="AR235" s="164" t="inlineStr">
        <is>
          <t>5699-2025, (02.12.2025) [IJZ]</t>
        </is>
      </c>
      <c r="AS235" s="172" t="inlineStr">
        <is>
          <t>✓</t>
        </is>
      </c>
    </row>
    <row r="236" ht="13" customHeight="1" s="70">
      <c r="A236" s="173" t="n"/>
      <c r="D236" s="174" t="n"/>
      <c r="F236" s="175" t="n"/>
      <c r="G236" s="174" t="n"/>
      <c r="I236" s="175" t="n"/>
      <c r="J236" s="174" t="n"/>
      <c r="L236" s="175" t="n"/>
      <c r="M236" s="174" t="n"/>
      <c r="O236" s="175" t="n"/>
      <c r="P236" s="174" t="n"/>
      <c r="R236" s="175" t="n"/>
      <c r="S236" s="174" t="n"/>
      <c r="U236" s="175" t="n"/>
      <c r="V236" s="174" t="n"/>
      <c r="X236" s="175" t="n"/>
      <c r="Y236" s="174" t="n"/>
      <c r="AA236" s="175" t="n"/>
      <c r="AB236" s="176" t="inlineStr">
        <is>
          <t>1221-2172-25, (01.12.2025) [IJZ-MB]</t>
        </is>
      </c>
      <c r="AG236" s="175" t="n"/>
      <c r="AH236" s="176" t="inlineStr">
        <is>
          <t>5699-2025, (02.12.2025) [IJZ]</t>
        </is>
      </c>
      <c r="AK236" s="175" t="n"/>
      <c r="AL236" s="176" t="inlineStr">
        <is>
          <t>5699-2025, (02.12.2025) [IJZ]</t>
        </is>
      </c>
      <c r="AP236" s="175" t="n"/>
      <c r="AQ236" s="174" t="n"/>
      <c r="AS236" s="177" t="n"/>
    </row>
    <row r="237" ht="14" customHeight="1" s="70">
      <c r="A237" s="178" t="n"/>
      <c r="B237" s="179" t="n"/>
      <c r="D237" s="180" t="n"/>
      <c r="E237" s="179" t="n"/>
      <c r="F237" s="181" t="n"/>
      <c r="G237" s="182" t="inlineStr">
        <is>
          <t>Conforms</t>
        </is>
      </c>
      <c r="H237" s="183">
        <f>IFERROR(INDEX('iCoA Register'!$B:$B,MATCH("P050262|I",'iCoA Register'!$P:$P,0)),"iCoA — at issue")&amp;", (01.12.2025) [PP]"</f>
        <v/>
      </c>
      <c r="I237" s="184" t="inlineStr">
        <is>
          <t>✓</t>
        </is>
      </c>
      <c r="J237" s="180" t="n"/>
      <c r="K237" s="179" t="n"/>
      <c r="L237" s="181" t="n"/>
      <c r="M237" s="180" t="n"/>
      <c r="N237" s="179" t="n"/>
      <c r="O237" s="181" t="n"/>
      <c r="P237" s="180" t="n"/>
      <c r="Q237" s="179" t="n"/>
      <c r="R237" s="181" t="n"/>
      <c r="S237" s="180" t="n"/>
      <c r="T237" s="179" t="n"/>
      <c r="U237" s="181" t="n"/>
      <c r="V237" s="180" t="n"/>
      <c r="W237" s="179" t="n"/>
      <c r="X237" s="181" t="n"/>
      <c r="Y237" s="180" t="n"/>
      <c r="Z237" s="179" t="n"/>
      <c r="AA237" s="181" t="n"/>
      <c r="AB237" s="190" t="inlineStr">
        <is>
          <t>&lt; 10</t>
        </is>
      </c>
      <c r="AC237" s="191" t="inlineStr">
        <is>
          <t>&lt; 10</t>
        </is>
      </c>
      <c r="AD237" s="191" t="inlineStr">
        <is>
          <t>&lt; 10</t>
        </is>
      </c>
      <c r="AE237" s="191" t="inlineStr">
        <is>
          <t>Absent</t>
        </is>
      </c>
      <c r="AF237" s="191" t="inlineStr">
        <is>
          <t>Absent</t>
        </is>
      </c>
      <c r="AG237" s="184" t="inlineStr">
        <is>
          <t>✓</t>
        </is>
      </c>
      <c r="AH237" s="180" t="n"/>
      <c r="AI237" s="179" t="n"/>
      <c r="AJ237" s="179" t="n"/>
      <c r="AK237" s="181" t="n"/>
      <c r="AL237" s="180" t="n"/>
      <c r="AM237" s="179" t="n"/>
      <c r="AN237" s="179" t="n"/>
      <c r="AO237" s="179" t="n"/>
      <c r="AP237" s="181" t="n"/>
      <c r="AQ237" s="180" t="n"/>
      <c r="AR237" s="179" t="n"/>
      <c r="AS237" s="192" t="n"/>
    </row>
    <row r="238" ht="13" customHeight="1" s="70">
      <c r="A238" s="193" t="n"/>
      <c r="B238" s="194" t="n"/>
      <c r="C238" s="194" t="n"/>
      <c r="D238" s="195" t="n"/>
      <c r="E238" s="194" t="n"/>
      <c r="F238" s="196" t="n"/>
      <c r="G238" s="195" t="n"/>
      <c r="H238" s="194" t="n"/>
      <c r="I238" s="196" t="n"/>
      <c r="J238" s="195" t="n"/>
      <c r="K238" s="194" t="n"/>
      <c r="L238" s="196" t="n"/>
      <c r="M238" s="195" t="n"/>
      <c r="N238" s="194" t="n"/>
      <c r="O238" s="196" t="n"/>
      <c r="P238" s="195" t="n"/>
      <c r="Q238" s="194" t="n"/>
      <c r="R238" s="196" t="n"/>
      <c r="S238" s="195" t="n"/>
      <c r="T238" s="194" t="n"/>
      <c r="U238" s="196" t="n"/>
      <c r="V238" s="195" t="n"/>
      <c r="W238" s="194" t="n"/>
      <c r="X238" s="196" t="n"/>
      <c r="Y238" s="195" t="n"/>
      <c r="Z238" s="194" t="n"/>
      <c r="AA238" s="196" t="n"/>
      <c r="AB238" s="197" t="inlineStr">
        <is>
          <t>555-1086-26, (01.09.2026) [IJZ-MB]</t>
        </is>
      </c>
      <c r="AC238" s="194" t="n"/>
      <c r="AD238" s="194" t="n"/>
      <c r="AE238" s="194" t="n"/>
      <c r="AF238" s="194" t="n"/>
      <c r="AG238" s="196" t="n"/>
      <c r="AH238" s="195" t="n"/>
      <c r="AI238" s="194" t="n"/>
      <c r="AJ238" s="194" t="n"/>
      <c r="AK238" s="196" t="n"/>
      <c r="AL238" s="195" t="n"/>
      <c r="AM238" s="194" t="n"/>
      <c r="AN238" s="194" t="n"/>
      <c r="AO238" s="194" t="n"/>
      <c r="AP238" s="196" t="n"/>
      <c r="AQ238" s="195" t="n"/>
      <c r="AR238" s="194" t="n"/>
      <c r="AS238" s="198" t="n"/>
    </row>
    <row r="239" ht="21" customHeight="1" s="70">
      <c r="A239" s="160" t="inlineStr">
        <is>
          <t>PM072501</t>
        </is>
      </c>
      <c r="B239" s="161" t="inlineStr">
        <is>
          <t>P050272</t>
        </is>
      </c>
      <c r="C239" s="199" t="inlineStr">
        <is>
          <t>⚠ 1 NO RESULT
(0 no cert / 1 cert w/o result)
2 testing instances
• 1 document(s) on file, not credited</t>
        </is>
      </c>
      <c r="D239" s="163" t="inlineStr">
        <is>
          <t>Conforms</t>
        </is>
      </c>
      <c r="E239" s="164">
        <f>IFERROR(INDEX('iCoA Register'!$B:$B,MATCH("P050272|I",'iCoA Register'!$P:$P,0)),"iCoA — at issue")&amp;", (02.12.2025) [PP]"</f>
        <v/>
      </c>
      <c r="F239" s="165" t="inlineStr">
        <is>
          <t>✓</t>
        </is>
      </c>
      <c r="G239" s="166" t="inlineStr">
        <is>
          <t>not ingested</t>
        </is>
      </c>
      <c r="H239" s="167" t="inlineStr">
        <is>
          <t>ППК25368, (28.11.2025) [CNP] · on file, not credited</t>
        </is>
      </c>
      <c r="I239" s="168" t="inlineStr">
        <is>
          <t>•</t>
        </is>
      </c>
      <c r="J239" s="163" t="inlineStr">
        <is>
          <t>Conforms (ImB spec.) ᴿ</t>
        </is>
      </c>
      <c r="K239" s="164" t="inlineStr">
        <is>
          <t>ППК25368, (28.11.2025) [CNP]</t>
        </is>
      </c>
      <c r="L239" s="165" t="inlineStr">
        <is>
          <t>✓</t>
        </is>
      </c>
      <c r="M239" s="169" t="inlineStr">
        <is>
          <t>10.01 ᴿ</t>
        </is>
      </c>
      <c r="N239" s="164" t="inlineStr">
        <is>
          <t>ППК25368, (28.11.2025) [CNP]</t>
        </is>
      </c>
      <c r="O239" s="165" t="inlineStr">
        <is>
          <t>✓</t>
        </is>
      </c>
      <c r="P239" s="170" t="inlineStr">
        <is>
          <t>0.04 ᴿ</t>
        </is>
      </c>
      <c r="Q239" s="164" t="inlineStr">
        <is>
          <t>ППК25368, (28.11.2025) [CNP]</t>
        </is>
      </c>
      <c r="R239" s="165" t="inlineStr">
        <is>
          <t>✓</t>
        </is>
      </c>
      <c r="S239" s="252" t="inlineStr">
        <is>
          <t>not ingested</t>
        </is>
      </c>
      <c r="T239" s="253" t="inlineStr">
        <is>
          <t>ППК25368, (28.11.2025) [CNP]</t>
        </is>
      </c>
      <c r="U239" s="244" t="inlineStr">
        <is>
          <t>✗</t>
        </is>
      </c>
      <c r="V239" s="163" t="inlineStr">
        <is>
          <t>Conforms</t>
        </is>
      </c>
      <c r="W239" s="164">
        <f>IFERROR(INDEX('iCoA Register'!$B:$B,MATCH("P050272|I",'iCoA Register'!$P:$P,0)),"iCoA — at issue")&amp;", (02.12.2025) [PP]"</f>
        <v/>
      </c>
      <c r="X239" s="165" t="inlineStr">
        <is>
          <t>✓</t>
        </is>
      </c>
      <c r="Y239" s="163" t="inlineStr">
        <is>
          <t>9.52 ᴿ</t>
        </is>
      </c>
      <c r="Z239" s="164" t="inlineStr">
        <is>
          <t>ППК25368, (28.11.2025) [CNP]</t>
        </is>
      </c>
      <c r="AA239" s="165" t="inlineStr">
        <is>
          <t>✓</t>
        </is>
      </c>
      <c r="AB239" s="163" t="inlineStr">
        <is>
          <t>110 ᴿ</t>
        </is>
      </c>
      <c r="AC239" s="171" t="inlineStr">
        <is>
          <t>200 ᴿ</t>
        </is>
      </c>
      <c r="AD239" s="171" t="inlineStr">
        <is>
          <t>&lt; 10 ᴿ</t>
        </is>
      </c>
      <c r="AE239" s="171" t="inlineStr">
        <is>
          <t>Absent ᴿ</t>
        </is>
      </c>
      <c r="AF239" s="171" t="inlineStr">
        <is>
          <t>Absent ᴿ</t>
        </is>
      </c>
      <c r="AG239" s="165" t="inlineStr">
        <is>
          <t>✓</t>
        </is>
      </c>
      <c r="AH239" s="163" t="inlineStr">
        <is>
          <t>not reported</t>
        </is>
      </c>
      <c r="AI239" s="171" t="inlineStr">
        <is>
          <t>&lt; 2 ᴿ</t>
        </is>
      </c>
      <c r="AJ239" s="171" t="inlineStr">
        <is>
          <t>not reported</t>
        </is>
      </c>
      <c r="AK239" s="165" t="inlineStr">
        <is>
          <t>✓</t>
        </is>
      </c>
      <c r="AL239" s="163" t="inlineStr">
        <is>
          <t>0.021 ᴿ</t>
        </is>
      </c>
      <c r="AM239" s="171" t="inlineStr">
        <is>
          <t>0.001 ᴿ</t>
        </is>
      </c>
      <c r="AN239" s="171" t="inlineStr">
        <is>
          <t>0.012 ᴿ</t>
        </is>
      </c>
      <c r="AO239" s="171" t="inlineStr">
        <is>
          <t>0.003 ᴿ</t>
        </is>
      </c>
      <c r="AP239" s="165" t="inlineStr">
        <is>
          <t>✓</t>
        </is>
      </c>
      <c r="AQ239" s="163" t="inlineStr">
        <is>
          <t>ND ᴿ</t>
        </is>
      </c>
      <c r="AR239" s="164" t="inlineStr">
        <is>
          <t>5698-2025, (02.12.2025) [IJZ]</t>
        </is>
      </c>
      <c r="AS239" s="172" t="inlineStr">
        <is>
          <t>✓</t>
        </is>
      </c>
    </row>
    <row r="240" ht="13" customHeight="1" s="70">
      <c r="A240" s="173" t="n"/>
      <c r="D240" s="174" t="n"/>
      <c r="F240" s="175" t="n"/>
      <c r="G240" s="174" t="n"/>
      <c r="I240" s="175" t="n"/>
      <c r="J240" s="174" t="n"/>
      <c r="L240" s="175" t="n"/>
      <c r="M240" s="174" t="n"/>
      <c r="O240" s="175" t="n"/>
      <c r="P240" s="174" t="n"/>
      <c r="R240" s="175" t="n"/>
      <c r="S240" s="174" t="n"/>
      <c r="U240" s="175" t="n"/>
      <c r="V240" s="174" t="n"/>
      <c r="X240" s="175" t="n"/>
      <c r="Y240" s="174" t="n"/>
      <c r="AA240" s="175" t="n"/>
      <c r="AB240" s="176" t="inlineStr">
        <is>
          <t>1220-2171-25, (01.12.2025) [IJZ-MB]</t>
        </is>
      </c>
      <c r="AG240" s="175" t="n"/>
      <c r="AH240" s="176" t="inlineStr">
        <is>
          <t>5698-2025, (02.12.2025) [IJZ]</t>
        </is>
      </c>
      <c r="AK240" s="175" t="n"/>
      <c r="AL240" s="176" t="inlineStr">
        <is>
          <t>5698-2025, (02.12.2025) [IJZ]</t>
        </is>
      </c>
      <c r="AP240" s="175" t="n"/>
      <c r="AQ240" s="174" t="n"/>
      <c r="AS240" s="177" t="n"/>
    </row>
    <row r="241" ht="14" customHeight="1" s="70">
      <c r="A241" s="178" t="n"/>
      <c r="B241" s="179" t="n"/>
      <c r="D241" s="180" t="n"/>
      <c r="E241" s="179" t="n"/>
      <c r="F241" s="181" t="n"/>
      <c r="G241" s="182" t="inlineStr">
        <is>
          <t>Conforms</t>
        </is>
      </c>
      <c r="H241" s="183">
        <f>IFERROR(INDEX('iCoA Register'!$B:$B,MATCH("P050272|I",'iCoA Register'!$P:$P,0)),"iCoA — at issue")&amp;", (02.12.2025) [PP]"</f>
        <v/>
      </c>
      <c r="I241" s="184" t="inlineStr">
        <is>
          <t>✓</t>
        </is>
      </c>
      <c r="J241" s="180" t="n"/>
      <c r="K241" s="179" t="n"/>
      <c r="L241" s="181" t="n"/>
      <c r="M241" s="180" t="n"/>
      <c r="N241" s="179" t="n"/>
      <c r="O241" s="181" t="n"/>
      <c r="P241" s="180" t="n"/>
      <c r="Q241" s="179" t="n"/>
      <c r="R241" s="181" t="n"/>
      <c r="S241" s="180" t="n"/>
      <c r="T241" s="179" t="n"/>
      <c r="U241" s="181" t="n"/>
      <c r="V241" s="180" t="n"/>
      <c r="W241" s="179" t="n"/>
      <c r="X241" s="181" t="n"/>
      <c r="Y241" s="180" t="n"/>
      <c r="Z241" s="179" t="n"/>
      <c r="AA241" s="181" t="n"/>
      <c r="AB241" s="190" t="inlineStr">
        <is>
          <t>&lt; 10</t>
        </is>
      </c>
      <c r="AC241" s="191" t="inlineStr">
        <is>
          <t>&lt; 10</t>
        </is>
      </c>
      <c r="AD241" s="191" t="inlineStr">
        <is>
          <t>&lt; 10</t>
        </is>
      </c>
      <c r="AE241" s="191" t="inlineStr">
        <is>
          <t>Absent</t>
        </is>
      </c>
      <c r="AF241" s="191" t="inlineStr">
        <is>
          <t>Absent</t>
        </is>
      </c>
      <c r="AG241" s="184" t="inlineStr">
        <is>
          <t>✓</t>
        </is>
      </c>
      <c r="AH241" s="180" t="n"/>
      <c r="AI241" s="179" t="n"/>
      <c r="AJ241" s="179" t="n"/>
      <c r="AK241" s="181" t="n"/>
      <c r="AL241" s="180" t="n"/>
      <c r="AM241" s="179" t="n"/>
      <c r="AN241" s="179" t="n"/>
      <c r="AO241" s="179" t="n"/>
      <c r="AP241" s="181" t="n"/>
      <c r="AQ241" s="180" t="n"/>
      <c r="AR241" s="179" t="n"/>
      <c r="AS241" s="192" t="n"/>
    </row>
    <row r="242" ht="13" customHeight="1" s="70">
      <c r="A242" s="193" t="n"/>
      <c r="B242" s="194" t="n"/>
      <c r="C242" s="194" t="n"/>
      <c r="D242" s="195" t="n"/>
      <c r="E242" s="194" t="n"/>
      <c r="F242" s="196" t="n"/>
      <c r="G242" s="195" t="n"/>
      <c r="H242" s="194" t="n"/>
      <c r="I242" s="196" t="n"/>
      <c r="J242" s="195" t="n"/>
      <c r="K242" s="194" t="n"/>
      <c r="L242" s="196" t="n"/>
      <c r="M242" s="195" t="n"/>
      <c r="N242" s="194" t="n"/>
      <c r="O242" s="196" t="n"/>
      <c r="P242" s="195" t="n"/>
      <c r="Q242" s="194" t="n"/>
      <c r="R242" s="196" t="n"/>
      <c r="S242" s="195" t="n"/>
      <c r="T242" s="194" t="n"/>
      <c r="U242" s="196" t="n"/>
      <c r="V242" s="195" t="n"/>
      <c r="W242" s="194" t="n"/>
      <c r="X242" s="196" t="n"/>
      <c r="Y242" s="195" t="n"/>
      <c r="Z242" s="194" t="n"/>
      <c r="AA242" s="196" t="n"/>
      <c r="AB242" s="197" t="inlineStr">
        <is>
          <t>554-1085-26, (01.09.2026) [IJZ-MB]</t>
        </is>
      </c>
      <c r="AC242" s="194" t="n"/>
      <c r="AD242" s="194" t="n"/>
      <c r="AE242" s="194" t="n"/>
      <c r="AF242" s="194" t="n"/>
      <c r="AG242" s="196" t="n"/>
      <c r="AH242" s="195" t="n"/>
      <c r="AI242" s="194" t="n"/>
      <c r="AJ242" s="194" t="n"/>
      <c r="AK242" s="196" t="n"/>
      <c r="AL242" s="195" t="n"/>
      <c r="AM242" s="194" t="n"/>
      <c r="AN242" s="194" t="n"/>
      <c r="AO242" s="194" t="n"/>
      <c r="AP242" s="196" t="n"/>
      <c r="AQ242" s="195" t="n"/>
      <c r="AR242" s="194" t="n"/>
      <c r="AS242" s="198" t="n"/>
    </row>
    <row r="243" ht="17.625" customHeight="1" s="70">
      <c r="A243" s="160" t="inlineStr">
        <is>
          <t>CLE072501</t>
        </is>
      </c>
      <c r="B243" s="161" t="inlineStr">
        <is>
          <t>P050282</t>
        </is>
      </c>
      <c r="C243" s="162" t="inlineStr">
        <is>
          <t>✓ COMPLETE
2 testing instances
• 1 document(s) on file, not credited</t>
        </is>
      </c>
      <c r="D243" s="163" t="inlineStr">
        <is>
          <t>Conforms</t>
        </is>
      </c>
      <c r="E243" s="164">
        <f>IFERROR(INDEX('iCoA Register'!$B:$B,MATCH("P050282|I",'iCoA Register'!$P:$P,0)),"iCoA — at issue")&amp;", (03.12.2025) [PP]"</f>
        <v/>
      </c>
      <c r="F243" s="165" t="inlineStr">
        <is>
          <t>✓</t>
        </is>
      </c>
      <c r="G243" s="166" t="inlineStr">
        <is>
          <t>not on this certificate</t>
        </is>
      </c>
      <c r="H243" s="167" t="inlineStr">
        <is>
          <t>ППК25370, (28.11.2025) [CNP] · on file, not credited</t>
        </is>
      </c>
      <c r="I243" s="168" t="inlineStr">
        <is>
          <t>•</t>
        </is>
      </c>
      <c r="J243" s="163" t="inlineStr">
        <is>
          <t>Conforms (ImB spec.)</t>
        </is>
      </c>
      <c r="K243" s="164" t="inlineStr">
        <is>
          <t>ППК25370, (28.11.2025) [CNP]</t>
        </is>
      </c>
      <c r="L243" s="165" t="inlineStr">
        <is>
          <t>✓</t>
        </is>
      </c>
      <c r="M243" s="169" t="inlineStr">
        <is>
          <t>8.02</t>
        </is>
      </c>
      <c r="N243" s="164" t="inlineStr">
        <is>
          <t>ППК25370, (28.11.2025) [CNP]</t>
        </is>
      </c>
      <c r="O243" s="165" t="inlineStr">
        <is>
          <t>✓</t>
        </is>
      </c>
      <c r="P243" s="170" t="inlineStr">
        <is>
          <t>0.04</t>
        </is>
      </c>
      <c r="Q243" s="164" t="inlineStr">
        <is>
          <t>ППК25370, (28.11.2025) [CNP]</t>
        </is>
      </c>
      <c r="R243" s="165" t="inlineStr">
        <is>
          <t>✓</t>
        </is>
      </c>
      <c r="S243" s="170" t="inlineStr">
        <is>
          <t>&lt; LOQ ᴰ</t>
        </is>
      </c>
      <c r="T243" s="164" t="inlineStr">
        <is>
          <t>ППК25370, (28.11.2025) [CNP]</t>
        </is>
      </c>
      <c r="U243" s="165" t="inlineStr">
        <is>
          <t>✓</t>
        </is>
      </c>
      <c r="V243" s="163" t="inlineStr">
        <is>
          <t>Conforms</t>
        </is>
      </c>
      <c r="W243" s="164">
        <f>IFERROR(INDEX('iCoA Register'!$B:$B,MATCH("P050282|I",'iCoA Register'!$P:$P,0)),"iCoA — at issue")&amp;", (03.12.2025) [PP]"</f>
        <v/>
      </c>
      <c r="X243" s="165" t="inlineStr">
        <is>
          <t>✓</t>
        </is>
      </c>
      <c r="Y243" s="163" t="inlineStr">
        <is>
          <t>9.68</t>
        </is>
      </c>
      <c r="Z243" s="164" t="inlineStr">
        <is>
          <t>ППК25370, (28.11.2025) [CNP]</t>
        </is>
      </c>
      <c r="AA243" s="165" t="inlineStr">
        <is>
          <t>✓</t>
        </is>
      </c>
      <c r="AB243" s="163" t="inlineStr">
        <is>
          <t>&lt; 10</t>
        </is>
      </c>
      <c r="AC243" s="171" t="inlineStr">
        <is>
          <t>&lt; 10</t>
        </is>
      </c>
      <c r="AD243" s="171" t="inlineStr">
        <is>
          <t>&lt; 10</t>
        </is>
      </c>
      <c r="AE243" s="171" t="inlineStr">
        <is>
          <t>Absent</t>
        </is>
      </c>
      <c r="AF243" s="171" t="inlineStr">
        <is>
          <t>Absent</t>
        </is>
      </c>
      <c r="AG243" s="165" t="inlineStr">
        <is>
          <t>✓</t>
        </is>
      </c>
      <c r="AH243" s="163" t="inlineStr">
        <is>
          <t>ND</t>
        </is>
      </c>
      <c r="AI243" s="171" t="inlineStr">
        <is>
          <t>2.2</t>
        </is>
      </c>
      <c r="AJ243" s="171" t="inlineStr">
        <is>
          <t>ND</t>
        </is>
      </c>
      <c r="AK243" s="165" t="inlineStr">
        <is>
          <t>✓</t>
        </is>
      </c>
      <c r="AL243" s="163" t="inlineStr">
        <is>
          <t>0.032</t>
        </is>
      </c>
      <c r="AM243" s="171" t="inlineStr">
        <is>
          <t>0.002</t>
        </is>
      </c>
      <c r="AN243" s="171" t="inlineStr">
        <is>
          <t>0.013</t>
        </is>
      </c>
      <c r="AO243" s="171" t="inlineStr">
        <is>
          <t>0.021</t>
        </is>
      </c>
      <c r="AP243" s="165" t="inlineStr">
        <is>
          <t>✓</t>
        </is>
      </c>
      <c r="AQ243" s="163" t="inlineStr">
        <is>
          <t>≤ LOQ (all 27 compounds)</t>
        </is>
      </c>
      <c r="AR243" s="164" t="inlineStr">
        <is>
          <t>5700-2025, (02.12.2025) [IJZ]</t>
        </is>
      </c>
      <c r="AS243" s="172" t="inlineStr">
        <is>
          <t>✓</t>
        </is>
      </c>
    </row>
    <row r="244" ht="13" customHeight="1" s="70">
      <c r="A244" s="173" t="n"/>
      <c r="D244" s="174" t="n"/>
      <c r="F244" s="175" t="n"/>
      <c r="G244" s="174" t="n"/>
      <c r="I244" s="175" t="n"/>
      <c r="J244" s="174" t="n"/>
      <c r="L244" s="175" t="n"/>
      <c r="M244" s="174" t="n"/>
      <c r="O244" s="175" t="n"/>
      <c r="P244" s="174" t="n"/>
      <c r="R244" s="175" t="n"/>
      <c r="S244" s="174" t="n"/>
      <c r="U244" s="175" t="n"/>
      <c r="V244" s="174" t="n"/>
      <c r="X244" s="175" t="n"/>
      <c r="Y244" s="174" t="n"/>
      <c r="AA244" s="175" t="n"/>
      <c r="AB244" s="176" t="inlineStr">
        <is>
          <t>1219-2170-25, (01.12.2025) [IJZ-MB]</t>
        </is>
      </c>
      <c r="AG244" s="175" t="n"/>
      <c r="AH244" s="176" t="inlineStr">
        <is>
          <t>5700-2025, (02.12.2025) [IJZ]</t>
        </is>
      </c>
      <c r="AK244" s="175" t="n"/>
      <c r="AL244" s="176" t="inlineStr">
        <is>
          <t>5700-2025, (02.12.2025) [IJZ]</t>
        </is>
      </c>
      <c r="AP244" s="175" t="n"/>
      <c r="AQ244" s="174" t="n"/>
      <c r="AS244" s="177" t="n"/>
    </row>
    <row r="245" ht="14" customHeight="1" s="70">
      <c r="A245" s="178" t="n"/>
      <c r="B245" s="179" t="n"/>
      <c r="D245" s="180" t="n"/>
      <c r="E245" s="179" t="n"/>
      <c r="F245" s="181" t="n"/>
      <c r="G245" s="182" t="inlineStr">
        <is>
          <t>Conforms</t>
        </is>
      </c>
      <c r="H245" s="183">
        <f>IFERROR(INDEX('iCoA Register'!$B:$B,MATCH("P050282|I",'iCoA Register'!$P:$P,0)),"iCoA — at issue")&amp;", (03.12.2025) [PP]"</f>
        <v/>
      </c>
      <c r="I245" s="184" t="inlineStr">
        <is>
          <t>✓</t>
        </is>
      </c>
      <c r="J245" s="180" t="n"/>
      <c r="K245" s="179" t="n"/>
      <c r="L245" s="181" t="n"/>
      <c r="M245" s="180" t="n"/>
      <c r="N245" s="179" t="n"/>
      <c r="O245" s="181" t="n"/>
      <c r="P245" s="180" t="n"/>
      <c r="Q245" s="179" t="n"/>
      <c r="R245" s="181" t="n"/>
      <c r="S245" s="180" t="n"/>
      <c r="T245" s="179" t="n"/>
      <c r="U245" s="181" t="n"/>
      <c r="V245" s="180" t="n"/>
      <c r="W245" s="179" t="n"/>
      <c r="X245" s="181" t="n"/>
      <c r="Y245" s="180" t="n"/>
      <c r="Z245" s="179" t="n"/>
      <c r="AA245" s="181" t="n"/>
      <c r="AB245" s="180" t="n"/>
      <c r="AC245" s="179" t="n"/>
      <c r="AD245" s="179" t="n"/>
      <c r="AE245" s="179" t="n"/>
      <c r="AF245" s="179" t="n"/>
      <c r="AG245" s="181" t="n"/>
      <c r="AH245" s="180" t="n"/>
      <c r="AI245" s="179" t="n"/>
      <c r="AJ245" s="179" t="n"/>
      <c r="AK245" s="181" t="n"/>
      <c r="AL245" s="180" t="n"/>
      <c r="AM245" s="179" t="n"/>
      <c r="AN245" s="179" t="n"/>
      <c r="AO245" s="179" t="n"/>
      <c r="AP245" s="181" t="n"/>
      <c r="AQ245" s="180" t="n"/>
      <c r="AR245" s="179" t="n"/>
      <c r="AS245" s="192" t="n"/>
    </row>
    <row r="246" ht="13" customHeight="1" s="70">
      <c r="A246" s="193" t="n"/>
      <c r="B246" s="194" t="n"/>
      <c r="C246" s="194" t="n"/>
      <c r="D246" s="195" t="n"/>
      <c r="E246" s="194" t="n"/>
      <c r="F246" s="196" t="n"/>
      <c r="G246" s="195" t="n"/>
      <c r="H246" s="194" t="n"/>
      <c r="I246" s="196" t="n"/>
      <c r="J246" s="195" t="n"/>
      <c r="K246" s="194" t="n"/>
      <c r="L246" s="196" t="n"/>
      <c r="M246" s="195" t="n"/>
      <c r="N246" s="194" t="n"/>
      <c r="O246" s="196" t="n"/>
      <c r="P246" s="195" t="n"/>
      <c r="Q246" s="194" t="n"/>
      <c r="R246" s="196" t="n"/>
      <c r="S246" s="195" t="n"/>
      <c r="T246" s="194" t="n"/>
      <c r="U246" s="196" t="n"/>
      <c r="V246" s="195" t="n"/>
      <c r="W246" s="194" t="n"/>
      <c r="X246" s="196" t="n"/>
      <c r="Y246" s="195" t="n"/>
      <c r="Z246" s="194" t="n"/>
      <c r="AA246" s="196" t="n"/>
      <c r="AB246" s="195" t="n"/>
      <c r="AC246" s="194" t="n"/>
      <c r="AD246" s="194" t="n"/>
      <c r="AE246" s="194" t="n"/>
      <c r="AF246" s="194" t="n"/>
      <c r="AG246" s="196" t="n"/>
      <c r="AH246" s="195" t="n"/>
      <c r="AI246" s="194" t="n"/>
      <c r="AJ246" s="194" t="n"/>
      <c r="AK246" s="196" t="n"/>
      <c r="AL246" s="195" t="n"/>
      <c r="AM246" s="194" t="n"/>
      <c r="AN246" s="194" t="n"/>
      <c r="AO246" s="194" t="n"/>
      <c r="AP246" s="196" t="n"/>
      <c r="AQ246" s="195" t="n"/>
      <c r="AR246" s="194" t="n"/>
      <c r="AS246" s="198" t="n"/>
    </row>
    <row r="247" ht="17.625" customHeight="1" s="70">
      <c r="A247" s="160" t="inlineStr">
        <is>
          <t>GP072501/1</t>
        </is>
      </c>
      <c r="B247" s="161" t="inlineStr">
        <is>
          <t>P050292</t>
        </is>
      </c>
      <c r="C247" s="162" t="inlineStr">
        <is>
          <t>✓ COMPLETE
2 testing instances
• 1 document(s) on file, not credited</t>
        </is>
      </c>
      <c r="D247" s="163" t="inlineStr">
        <is>
          <t>Conforms</t>
        </is>
      </c>
      <c r="E247" s="164">
        <f>IFERROR(INDEX('iCoA Register'!$B:$B,MATCH("P050292|I",'iCoA Register'!$P:$P,0)),"iCoA — at issue")&amp;", (15.12.2025) [PP]"</f>
        <v/>
      </c>
      <c r="F247" s="165" t="inlineStr">
        <is>
          <t>✓</t>
        </is>
      </c>
      <c r="G247" s="166" t="inlineStr">
        <is>
          <t>not on this certificate</t>
        </is>
      </c>
      <c r="H247" s="167" t="inlineStr">
        <is>
          <t>ППК25378, (12.12.2025) [CNP] · on file, not credited</t>
        </is>
      </c>
      <c r="I247" s="168" t="inlineStr">
        <is>
          <t>•</t>
        </is>
      </c>
      <c r="J247" s="163" t="inlineStr">
        <is>
          <t>Conforms (ImB spec.)</t>
        </is>
      </c>
      <c r="K247" s="164" t="inlineStr">
        <is>
          <t>ППК25378, (12.12.2025) [CNP]</t>
        </is>
      </c>
      <c r="L247" s="165" t="inlineStr">
        <is>
          <t>✓</t>
        </is>
      </c>
      <c r="M247" s="169" t="inlineStr">
        <is>
          <t>21.36</t>
        </is>
      </c>
      <c r="N247" s="164" t="inlineStr">
        <is>
          <t>ППК25378, (12.12.2025) [CNP]</t>
        </is>
      </c>
      <c r="O247" s="165" t="inlineStr">
        <is>
          <t>✓</t>
        </is>
      </c>
      <c r="P247" s="170" t="inlineStr">
        <is>
          <t>0.11</t>
        </is>
      </c>
      <c r="Q247" s="164" t="inlineStr">
        <is>
          <t>ППК25378, (12.12.2025) [CNP]</t>
        </is>
      </c>
      <c r="R247" s="165" t="inlineStr">
        <is>
          <t>✓</t>
        </is>
      </c>
      <c r="S247" s="170" t="inlineStr">
        <is>
          <t>0.02 ᴰ</t>
        </is>
      </c>
      <c r="T247" s="164" t="inlineStr">
        <is>
          <t>ППК25378, (12.12.2025) [CNP]</t>
        </is>
      </c>
      <c r="U247" s="165" t="inlineStr">
        <is>
          <t>✓</t>
        </is>
      </c>
      <c r="V247" s="163" t="inlineStr">
        <is>
          <t>Conforms</t>
        </is>
      </c>
      <c r="W247" s="164">
        <f>IFERROR(INDEX('iCoA Register'!$B:$B,MATCH("P050292|I",'iCoA Register'!$P:$P,0)),"iCoA — at issue")&amp;", (15.12.2025) [PP]"</f>
        <v/>
      </c>
      <c r="X247" s="165" t="inlineStr">
        <is>
          <t>✓</t>
        </is>
      </c>
      <c r="Y247" s="163" t="inlineStr">
        <is>
          <t>6.62</t>
        </is>
      </c>
      <c r="Z247" s="164" t="inlineStr">
        <is>
          <t>ППК25378, (12.12.2025) [CNP]</t>
        </is>
      </c>
      <c r="AA247" s="165" t="inlineStr">
        <is>
          <t>✓</t>
        </is>
      </c>
      <c r="AB247" s="163" t="inlineStr">
        <is>
          <t>6 × 10³</t>
        </is>
      </c>
      <c r="AC247" s="171" t="inlineStr">
        <is>
          <t>6.5 × 10³</t>
        </is>
      </c>
      <c r="AD247" s="171" t="inlineStr">
        <is>
          <t>&lt; 10</t>
        </is>
      </c>
      <c r="AE247" s="171" t="inlineStr">
        <is>
          <t>Absent</t>
        </is>
      </c>
      <c r="AF247" s="171" t="inlineStr">
        <is>
          <t>Absent</t>
        </is>
      </c>
      <c r="AG247" s="165" t="inlineStr">
        <is>
          <t>✓</t>
        </is>
      </c>
      <c r="AH247" s="163" t="inlineStr">
        <is>
          <t>ND</t>
        </is>
      </c>
      <c r="AI247" s="171" t="inlineStr">
        <is>
          <t>&lt; 2</t>
        </is>
      </c>
      <c r="AJ247" s="171" t="inlineStr">
        <is>
          <t>ND</t>
        </is>
      </c>
      <c r="AK247" s="165" t="inlineStr">
        <is>
          <t>✓</t>
        </is>
      </c>
      <c r="AL247" s="163" t="inlineStr">
        <is>
          <t>0.028</t>
        </is>
      </c>
      <c r="AM247" s="171" t="inlineStr">
        <is>
          <t>0.003</t>
        </is>
      </c>
      <c r="AN247" s="171" t="inlineStr">
        <is>
          <t>0.03</t>
        </is>
      </c>
      <c r="AO247" s="171" t="inlineStr">
        <is>
          <t>0.025</t>
        </is>
      </c>
      <c r="AP247" s="165" t="inlineStr">
        <is>
          <t>✓</t>
        </is>
      </c>
      <c r="AQ247" s="163" t="inlineStr">
        <is>
          <t>≤ LOQ (all 28 compounds)</t>
        </is>
      </c>
      <c r="AR247" s="164" t="inlineStr">
        <is>
          <t>5886-2025, (12.12.2025) [IJZ]</t>
        </is>
      </c>
      <c r="AS247" s="172" t="inlineStr">
        <is>
          <t>✓</t>
        </is>
      </c>
    </row>
    <row r="248" ht="13" customHeight="1" s="70">
      <c r="A248" s="173" t="n"/>
      <c r="D248" s="174" t="n"/>
      <c r="F248" s="175" t="n"/>
      <c r="G248" s="174" t="n"/>
      <c r="I248" s="175" t="n"/>
      <c r="J248" s="174" t="n"/>
      <c r="L248" s="175" t="n"/>
      <c r="M248" s="174" t="n"/>
      <c r="O248" s="175" t="n"/>
      <c r="P248" s="174" t="n"/>
      <c r="R248" s="175" t="n"/>
      <c r="S248" s="174" t="n"/>
      <c r="U248" s="175" t="n"/>
      <c r="V248" s="174" t="n"/>
      <c r="X248" s="175" t="n"/>
      <c r="Y248" s="174" t="n"/>
      <c r="AA248" s="175" t="n"/>
      <c r="AB248" s="176" t="inlineStr">
        <is>
          <t>1228-2194-25, (05.12.2025) [IJZ-MB]</t>
        </is>
      </c>
      <c r="AG248" s="175" t="n"/>
      <c r="AH248" s="176" t="inlineStr">
        <is>
          <t>5886-2025, (12.12.2025) [IJZ]</t>
        </is>
      </c>
      <c r="AK248" s="175" t="n"/>
      <c r="AL248" s="176" t="inlineStr">
        <is>
          <t>5886-2025, (12.12.2025) [IJZ]</t>
        </is>
      </c>
      <c r="AP248" s="175" t="n"/>
      <c r="AQ248" s="174" t="n"/>
      <c r="AS248" s="177" t="n"/>
    </row>
    <row r="249" ht="14" customHeight="1" s="70">
      <c r="A249" s="178" t="n"/>
      <c r="B249" s="179" t="n"/>
      <c r="D249" s="180" t="n"/>
      <c r="E249" s="179" t="n"/>
      <c r="F249" s="181" t="n"/>
      <c r="G249" s="182" t="inlineStr">
        <is>
          <t>Conforms</t>
        </is>
      </c>
      <c r="H249" s="183">
        <f>IFERROR(INDEX('iCoA Register'!$B:$B,MATCH("P050292|I",'iCoA Register'!$P:$P,0)),"iCoA — at issue")&amp;", (15.12.2025) [PP]"</f>
        <v/>
      </c>
      <c r="I249" s="184" t="inlineStr">
        <is>
          <t>✓</t>
        </is>
      </c>
      <c r="J249" s="180" t="n"/>
      <c r="K249" s="179" t="n"/>
      <c r="L249" s="181" t="n"/>
      <c r="M249" s="180" t="n"/>
      <c r="N249" s="179" t="n"/>
      <c r="O249" s="181" t="n"/>
      <c r="P249" s="180" t="n"/>
      <c r="Q249" s="179" t="n"/>
      <c r="R249" s="181" t="n"/>
      <c r="S249" s="180" t="n"/>
      <c r="T249" s="179" t="n"/>
      <c r="U249" s="181" t="n"/>
      <c r="V249" s="180" t="n"/>
      <c r="W249" s="179" t="n"/>
      <c r="X249" s="181" t="n"/>
      <c r="Y249" s="180" t="n"/>
      <c r="Z249" s="179" t="n"/>
      <c r="AA249" s="181" t="n"/>
      <c r="AB249" s="190" t="inlineStr">
        <is>
          <t>&lt; 10</t>
        </is>
      </c>
      <c r="AC249" s="191" t="inlineStr">
        <is>
          <t>&lt; 10</t>
        </is>
      </c>
      <c r="AD249" s="191" t="inlineStr">
        <is>
          <t>&lt; 10</t>
        </is>
      </c>
      <c r="AE249" s="191" t="inlineStr">
        <is>
          <t>Absent</t>
        </is>
      </c>
      <c r="AF249" s="191" t="inlineStr">
        <is>
          <t>Absent</t>
        </is>
      </c>
      <c r="AG249" s="184" t="inlineStr">
        <is>
          <t>✓</t>
        </is>
      </c>
      <c r="AH249" s="180" t="n"/>
      <c r="AI249" s="179" t="n"/>
      <c r="AJ249" s="179" t="n"/>
      <c r="AK249" s="181" t="n"/>
      <c r="AL249" s="180" t="n"/>
      <c r="AM249" s="179" t="n"/>
      <c r="AN249" s="179" t="n"/>
      <c r="AO249" s="179" t="n"/>
      <c r="AP249" s="181" t="n"/>
      <c r="AQ249" s="180" t="n"/>
      <c r="AR249" s="179" t="n"/>
      <c r="AS249" s="192" t="n"/>
    </row>
    <row r="250" ht="13" customHeight="1" s="70">
      <c r="A250" s="193" t="n"/>
      <c r="B250" s="194" t="n"/>
      <c r="C250" s="194" t="n"/>
      <c r="D250" s="195" t="n"/>
      <c r="E250" s="194" t="n"/>
      <c r="F250" s="196" t="n"/>
      <c r="G250" s="195" t="n"/>
      <c r="H250" s="194" t="n"/>
      <c r="I250" s="196" t="n"/>
      <c r="J250" s="195" t="n"/>
      <c r="K250" s="194" t="n"/>
      <c r="L250" s="196" t="n"/>
      <c r="M250" s="195" t="n"/>
      <c r="N250" s="194" t="n"/>
      <c r="O250" s="196" t="n"/>
      <c r="P250" s="195" t="n"/>
      <c r="Q250" s="194" t="n"/>
      <c r="R250" s="196" t="n"/>
      <c r="S250" s="195" t="n"/>
      <c r="T250" s="194" t="n"/>
      <c r="U250" s="196" t="n"/>
      <c r="V250" s="195" t="n"/>
      <c r="W250" s="194" t="n"/>
      <c r="X250" s="196" t="n"/>
      <c r="Y250" s="195" t="n"/>
      <c r="Z250" s="194" t="n"/>
      <c r="AA250" s="196" t="n"/>
      <c r="AB250" s="197" t="inlineStr">
        <is>
          <t>553-1084-26, (01.09.2026) [IJZ-MB]</t>
        </is>
      </c>
      <c r="AC250" s="194" t="n"/>
      <c r="AD250" s="194" t="n"/>
      <c r="AE250" s="194" t="n"/>
      <c r="AF250" s="194" t="n"/>
      <c r="AG250" s="196" t="n"/>
      <c r="AH250" s="195" t="n"/>
      <c r="AI250" s="194" t="n"/>
      <c r="AJ250" s="194" t="n"/>
      <c r="AK250" s="196" t="n"/>
      <c r="AL250" s="195" t="n"/>
      <c r="AM250" s="194" t="n"/>
      <c r="AN250" s="194" t="n"/>
      <c r="AO250" s="194" t="n"/>
      <c r="AP250" s="196" t="n"/>
      <c r="AQ250" s="195" t="n"/>
      <c r="AR250" s="194" t="n"/>
      <c r="AS250" s="198" t="n"/>
    </row>
    <row r="251" ht="17.625" customHeight="1" s="70">
      <c r="A251" s="160" t="inlineStr">
        <is>
          <t>GP072501/2</t>
        </is>
      </c>
      <c r="B251" s="161" t="inlineStr">
        <is>
          <t>P050302</t>
        </is>
      </c>
      <c r="C251" s="162" t="inlineStr">
        <is>
          <t>✓ COMPLETE
2 testing instances
• 1 document(s) on file, not credited</t>
        </is>
      </c>
      <c r="D251" s="163" t="inlineStr">
        <is>
          <t>Conforms</t>
        </is>
      </c>
      <c r="E251" s="164">
        <f>IFERROR(INDEX('iCoA Register'!$B:$B,MATCH("P050302|I",'iCoA Register'!$P:$P,0)),"iCoA — at issue")&amp;", (22.12.2025) [PP]"</f>
        <v/>
      </c>
      <c r="F251" s="165" t="inlineStr">
        <is>
          <t>✓</t>
        </is>
      </c>
      <c r="G251" s="166" t="inlineStr">
        <is>
          <t>not on this certificate</t>
        </is>
      </c>
      <c r="H251" s="167" t="inlineStr">
        <is>
          <t>ППК25379, (12.12.2025) [CNP] · on file, not credited</t>
        </is>
      </c>
      <c r="I251" s="168" t="inlineStr">
        <is>
          <t>•</t>
        </is>
      </c>
      <c r="J251" s="163" t="inlineStr">
        <is>
          <t>Conforms (ImB spec.)</t>
        </is>
      </c>
      <c r="K251" s="164" t="inlineStr">
        <is>
          <t>ППК25379, (12.12.2025) [CNP]</t>
        </is>
      </c>
      <c r="L251" s="165" t="inlineStr">
        <is>
          <t>✓</t>
        </is>
      </c>
      <c r="M251" s="169" t="inlineStr">
        <is>
          <t>19.81</t>
        </is>
      </c>
      <c r="N251" s="164" t="inlineStr">
        <is>
          <t>ППК25379, (12.12.2025) [CNP]</t>
        </is>
      </c>
      <c r="O251" s="165" t="inlineStr">
        <is>
          <t>✓</t>
        </is>
      </c>
      <c r="P251" s="170" t="inlineStr">
        <is>
          <t>0.10</t>
        </is>
      </c>
      <c r="Q251" s="164" t="inlineStr">
        <is>
          <t>ППК25379, (12.12.2025) [CNP]</t>
        </is>
      </c>
      <c r="R251" s="165" t="inlineStr">
        <is>
          <t>✓</t>
        </is>
      </c>
      <c r="S251" s="170" t="inlineStr">
        <is>
          <t>0.03 ᴰ</t>
        </is>
      </c>
      <c r="T251" s="164" t="inlineStr">
        <is>
          <t>ППК25379, (12.12.2025) [CNP]</t>
        </is>
      </c>
      <c r="U251" s="165" t="inlineStr">
        <is>
          <t>✓</t>
        </is>
      </c>
      <c r="V251" s="163" t="inlineStr">
        <is>
          <t>Conforms</t>
        </is>
      </c>
      <c r="W251" s="164">
        <f>IFERROR(INDEX('iCoA Register'!$B:$B,MATCH("P050302|I",'iCoA Register'!$P:$P,0)),"iCoA — at issue")&amp;", (22.12.2025) [PP]"</f>
        <v/>
      </c>
      <c r="X251" s="165" t="inlineStr">
        <is>
          <t>✓</t>
        </is>
      </c>
      <c r="Y251" s="163" t="inlineStr">
        <is>
          <t>7.41</t>
        </is>
      </c>
      <c r="Z251" s="164" t="inlineStr">
        <is>
          <t>ППК25379, (12.12.2025) [CNP]</t>
        </is>
      </c>
      <c r="AA251" s="165" t="inlineStr">
        <is>
          <t>✓</t>
        </is>
      </c>
      <c r="AB251" s="163" t="inlineStr">
        <is>
          <t>2 × 10²</t>
        </is>
      </c>
      <c r="AC251" s="171" t="inlineStr">
        <is>
          <t>3 × 10²</t>
        </is>
      </c>
      <c r="AD251" s="171" t="inlineStr">
        <is>
          <t>&lt; 10</t>
        </is>
      </c>
      <c r="AE251" s="171" t="inlineStr">
        <is>
          <t>Absent</t>
        </is>
      </c>
      <c r="AF251" s="171" t="inlineStr">
        <is>
          <t>Absent</t>
        </is>
      </c>
      <c r="AG251" s="165" t="inlineStr">
        <is>
          <t>✓</t>
        </is>
      </c>
      <c r="AH251" s="163" t="inlineStr">
        <is>
          <t>ND</t>
        </is>
      </c>
      <c r="AI251" s="171" t="inlineStr">
        <is>
          <t>&lt; 2</t>
        </is>
      </c>
      <c r="AJ251" s="171" t="inlineStr">
        <is>
          <t>ND</t>
        </is>
      </c>
      <c r="AK251" s="165" t="inlineStr">
        <is>
          <t>✓</t>
        </is>
      </c>
      <c r="AL251" s="163" t="inlineStr">
        <is>
          <t>0.017</t>
        </is>
      </c>
      <c r="AM251" s="171" t="inlineStr">
        <is>
          <t>0.0028</t>
        </is>
      </c>
      <c r="AN251" s="171" t="inlineStr">
        <is>
          <t>0.02</t>
        </is>
      </c>
      <c r="AO251" s="171" t="inlineStr">
        <is>
          <t>0.019</t>
        </is>
      </c>
      <c r="AP251" s="165" t="inlineStr">
        <is>
          <t>✓</t>
        </is>
      </c>
      <c r="AQ251" s="163" t="inlineStr">
        <is>
          <t>≤ LOQ (all 29 compounds)</t>
        </is>
      </c>
      <c r="AR251" s="164" t="inlineStr">
        <is>
          <t>5887-2025, (12.12.2025) [IJZ]</t>
        </is>
      </c>
      <c r="AS251" s="172" t="inlineStr">
        <is>
          <t>✓</t>
        </is>
      </c>
    </row>
    <row r="252" ht="13" customHeight="1" s="70">
      <c r="A252" s="173" t="n"/>
      <c r="D252" s="174" t="n"/>
      <c r="F252" s="175" t="n"/>
      <c r="G252" s="174" t="n"/>
      <c r="I252" s="175" t="n"/>
      <c r="J252" s="174" t="n"/>
      <c r="L252" s="175" t="n"/>
      <c r="M252" s="174" t="n"/>
      <c r="O252" s="175" t="n"/>
      <c r="P252" s="174" t="n"/>
      <c r="R252" s="175" t="n"/>
      <c r="S252" s="174" t="n"/>
      <c r="U252" s="175" t="n"/>
      <c r="V252" s="174" t="n"/>
      <c r="X252" s="175" t="n"/>
      <c r="Y252" s="174" t="n"/>
      <c r="AA252" s="175" t="n"/>
      <c r="AB252" s="176" t="inlineStr">
        <is>
          <t>1229-2195-25, (05.12.2025) [IJZ-MB]</t>
        </is>
      </c>
      <c r="AG252" s="175" t="n"/>
      <c r="AH252" s="176" t="inlineStr">
        <is>
          <t>5887-2025, (12.12.2025) [IJZ]</t>
        </is>
      </c>
      <c r="AK252" s="175" t="n"/>
      <c r="AL252" s="176" t="inlineStr">
        <is>
          <t>5887-2025, (12.12.2025) [IJZ]</t>
        </is>
      </c>
      <c r="AP252" s="175" t="n"/>
      <c r="AQ252" s="174" t="n"/>
      <c r="AS252" s="177" t="n"/>
    </row>
    <row r="253" ht="14" customHeight="1" s="70">
      <c r="A253" s="178" t="n"/>
      <c r="B253" s="179" t="n"/>
      <c r="D253" s="180" t="n"/>
      <c r="E253" s="179" t="n"/>
      <c r="F253" s="181" t="n"/>
      <c r="G253" s="182" t="inlineStr">
        <is>
          <t>Conforms</t>
        </is>
      </c>
      <c r="H253" s="183">
        <f>IFERROR(INDEX('iCoA Register'!$B:$B,MATCH("P050302|I",'iCoA Register'!$P:$P,0)),"iCoA — at issue")&amp;", (22.12.2025) [PP]"</f>
        <v/>
      </c>
      <c r="I253" s="184" t="inlineStr">
        <is>
          <t>✓</t>
        </is>
      </c>
      <c r="J253" s="180" t="n"/>
      <c r="K253" s="179" t="n"/>
      <c r="L253" s="181" t="n"/>
      <c r="M253" s="180" t="n"/>
      <c r="N253" s="179" t="n"/>
      <c r="O253" s="181" t="n"/>
      <c r="P253" s="180" t="n"/>
      <c r="Q253" s="179" t="n"/>
      <c r="R253" s="181" t="n"/>
      <c r="S253" s="180" t="n"/>
      <c r="T253" s="179" t="n"/>
      <c r="U253" s="181" t="n"/>
      <c r="V253" s="180" t="n"/>
      <c r="W253" s="179" t="n"/>
      <c r="X253" s="181" t="n"/>
      <c r="Y253" s="180" t="n"/>
      <c r="Z253" s="179" t="n"/>
      <c r="AA253" s="181" t="n"/>
      <c r="AB253" s="180" t="n"/>
      <c r="AC253" s="179" t="n"/>
      <c r="AD253" s="179" t="n"/>
      <c r="AE253" s="179" t="n"/>
      <c r="AF253" s="179" t="n"/>
      <c r="AG253" s="181" t="n"/>
      <c r="AH253" s="180" t="n"/>
      <c r="AI253" s="179" t="n"/>
      <c r="AJ253" s="179" t="n"/>
      <c r="AK253" s="181" t="n"/>
      <c r="AL253" s="180" t="n"/>
      <c r="AM253" s="179" t="n"/>
      <c r="AN253" s="179" t="n"/>
      <c r="AO253" s="179" t="n"/>
      <c r="AP253" s="181" t="n"/>
      <c r="AQ253" s="180" t="n"/>
      <c r="AR253" s="179" t="n"/>
      <c r="AS253" s="192" t="n"/>
    </row>
    <row r="254" ht="13" customHeight="1" s="70">
      <c r="A254" s="193" t="n"/>
      <c r="B254" s="194" t="n"/>
      <c r="C254" s="194" t="n"/>
      <c r="D254" s="195" t="n"/>
      <c r="E254" s="194" t="n"/>
      <c r="F254" s="196" t="n"/>
      <c r="G254" s="195" t="n"/>
      <c r="H254" s="194" t="n"/>
      <c r="I254" s="196" t="n"/>
      <c r="J254" s="195" t="n"/>
      <c r="K254" s="194" t="n"/>
      <c r="L254" s="196" t="n"/>
      <c r="M254" s="195" t="n"/>
      <c r="N254" s="194" t="n"/>
      <c r="O254" s="196" t="n"/>
      <c r="P254" s="195" t="n"/>
      <c r="Q254" s="194" t="n"/>
      <c r="R254" s="196" t="n"/>
      <c r="S254" s="195" t="n"/>
      <c r="T254" s="194" t="n"/>
      <c r="U254" s="196" t="n"/>
      <c r="V254" s="195" t="n"/>
      <c r="W254" s="194" t="n"/>
      <c r="X254" s="196" t="n"/>
      <c r="Y254" s="195" t="n"/>
      <c r="Z254" s="194" t="n"/>
      <c r="AA254" s="196" t="n"/>
      <c r="AB254" s="195" t="n"/>
      <c r="AC254" s="194" t="n"/>
      <c r="AD254" s="194" t="n"/>
      <c r="AE254" s="194" t="n"/>
      <c r="AF254" s="194" t="n"/>
      <c r="AG254" s="196" t="n"/>
      <c r="AH254" s="195" t="n"/>
      <c r="AI254" s="194" t="n"/>
      <c r="AJ254" s="194" t="n"/>
      <c r="AK254" s="196" t="n"/>
      <c r="AL254" s="195" t="n"/>
      <c r="AM254" s="194" t="n"/>
      <c r="AN254" s="194" t="n"/>
      <c r="AO254" s="194" t="n"/>
      <c r="AP254" s="196" t="n"/>
      <c r="AQ254" s="195" t="n"/>
      <c r="AR254" s="194" t="n"/>
      <c r="AS254" s="198" t="n"/>
    </row>
    <row r="255" ht="21" customHeight="1" s="70">
      <c r="A255" s="160" t="inlineStr">
        <is>
          <t>GP082501/1</t>
        </is>
      </c>
      <c r="B255" s="161" t="inlineStr">
        <is>
          <t>P050312</t>
        </is>
      </c>
      <c r="C255" s="162" t="inlineStr">
        <is>
          <t>✓ COMPLETE
2 testing instances
• 1 document(s) on file, not credited</t>
        </is>
      </c>
      <c r="D255" s="163" t="inlineStr">
        <is>
          <t>Conforms</t>
        </is>
      </c>
      <c r="E255" s="164">
        <f>IFERROR(INDEX('iCoA Register'!$B:$B,MATCH("P050312|I",'iCoA Register'!$P:$P,0)),"iCoA — at issue")&amp;", (23.12.2025) [PP]"</f>
        <v/>
      </c>
      <c r="F255" s="165" t="inlineStr">
        <is>
          <t>✓</t>
        </is>
      </c>
      <c r="G255" s="166" t="inlineStr">
        <is>
          <t>not on this certificate</t>
        </is>
      </c>
      <c r="H255" s="167" t="inlineStr">
        <is>
          <t>ППК25380, (12.12.2025) [CNP] · on file, not credited</t>
        </is>
      </c>
      <c r="I255" s="168" t="inlineStr">
        <is>
          <t>•</t>
        </is>
      </c>
      <c r="J255" s="163" t="inlineStr">
        <is>
          <t>Conforms (ImB spec.)</t>
        </is>
      </c>
      <c r="K255" s="164" t="inlineStr">
        <is>
          <t>ППК25380, (12.12.2025) [CNP]</t>
        </is>
      </c>
      <c r="L255" s="165" t="inlineStr">
        <is>
          <t>✓</t>
        </is>
      </c>
      <c r="M255" s="169" t="inlineStr">
        <is>
          <t>21.29</t>
        </is>
      </c>
      <c r="N255" s="164" t="inlineStr">
        <is>
          <t>ППК25380, (12.12.2025) [CNP]</t>
        </is>
      </c>
      <c r="O255" s="165" t="inlineStr">
        <is>
          <t>✓</t>
        </is>
      </c>
      <c r="P255" s="170" t="inlineStr">
        <is>
          <t>0.08</t>
        </is>
      </c>
      <c r="Q255" s="164" t="inlineStr">
        <is>
          <t>ППК25380, (12.12.2025) [CNP]</t>
        </is>
      </c>
      <c r="R255" s="165" t="inlineStr">
        <is>
          <t>✓</t>
        </is>
      </c>
      <c r="S255" s="170" t="inlineStr">
        <is>
          <t>0.03 ᴰ</t>
        </is>
      </c>
      <c r="T255" s="164" t="inlineStr">
        <is>
          <t>ППК25380, (12.12.2025) [CNP]</t>
        </is>
      </c>
      <c r="U255" s="165" t="inlineStr">
        <is>
          <t>✓</t>
        </is>
      </c>
      <c r="V255" s="163" t="inlineStr">
        <is>
          <t>Conforms</t>
        </is>
      </c>
      <c r="W255" s="164">
        <f>IFERROR(INDEX('iCoA Register'!$B:$B,MATCH("P050312|I",'iCoA Register'!$P:$P,0)),"iCoA — at issue")&amp;", (23.12.2025) [PP]"</f>
        <v/>
      </c>
      <c r="X255" s="165" t="inlineStr">
        <is>
          <t>✓</t>
        </is>
      </c>
      <c r="Y255" s="163" t="inlineStr">
        <is>
          <t>6.29</t>
        </is>
      </c>
      <c r="Z255" s="164" t="inlineStr">
        <is>
          <t>ППК25380, (12.12.2025) [CNP]</t>
        </is>
      </c>
      <c r="AA255" s="165" t="inlineStr">
        <is>
          <t>✓</t>
        </is>
      </c>
      <c r="AB255" s="163" t="inlineStr">
        <is>
          <t>4.3 × 10²</t>
        </is>
      </c>
      <c r="AC255" s="171" t="inlineStr">
        <is>
          <t>1 × 10³</t>
        </is>
      </c>
      <c r="AD255" s="171" t="inlineStr">
        <is>
          <t>&lt; 10³ and &gt; 10² ᴿ</t>
        </is>
      </c>
      <c r="AE255" s="171" t="inlineStr">
        <is>
          <t>Absent</t>
        </is>
      </c>
      <c r="AF255" s="171" t="inlineStr">
        <is>
          <t>Absent</t>
        </is>
      </c>
      <c r="AG255" s="165" t="inlineStr">
        <is>
          <t>✓</t>
        </is>
      </c>
      <c r="AH255" s="163" t="inlineStr">
        <is>
          <t>ND</t>
        </is>
      </c>
      <c r="AI255" s="171" t="inlineStr">
        <is>
          <t>&lt; 2</t>
        </is>
      </c>
      <c r="AJ255" s="171" t="inlineStr">
        <is>
          <t>ND</t>
        </is>
      </c>
      <c r="AK255" s="165" t="inlineStr">
        <is>
          <t>✓</t>
        </is>
      </c>
      <c r="AL255" s="163" t="inlineStr">
        <is>
          <t>0.014</t>
        </is>
      </c>
      <c r="AM255" s="171" t="inlineStr">
        <is>
          <t>0.003</t>
        </is>
      </c>
      <c r="AN255" s="171" t="inlineStr">
        <is>
          <t>0.02</t>
        </is>
      </c>
      <c r="AO255" s="171" t="inlineStr">
        <is>
          <t>0.017</t>
        </is>
      </c>
      <c r="AP255" s="165" t="inlineStr">
        <is>
          <t>✓</t>
        </is>
      </c>
      <c r="AQ255" s="163" t="inlineStr">
        <is>
          <t>≤ LOQ (all 28 compounds)</t>
        </is>
      </c>
      <c r="AR255" s="164" t="inlineStr">
        <is>
          <t>5888-2025, (12.12.2025) [IJZ]</t>
        </is>
      </c>
      <c r="AS255" s="172" t="inlineStr">
        <is>
          <t>✓</t>
        </is>
      </c>
    </row>
    <row r="256" ht="13" customHeight="1" s="70">
      <c r="A256" s="173" t="n"/>
      <c r="D256" s="174" t="n"/>
      <c r="F256" s="175" t="n"/>
      <c r="G256" s="174" t="n"/>
      <c r="I256" s="175" t="n"/>
      <c r="J256" s="174" t="n"/>
      <c r="L256" s="175" t="n"/>
      <c r="M256" s="174" t="n"/>
      <c r="O256" s="175" t="n"/>
      <c r="P256" s="174" t="n"/>
      <c r="R256" s="175" t="n"/>
      <c r="S256" s="174" t="n"/>
      <c r="U256" s="175" t="n"/>
      <c r="V256" s="174" t="n"/>
      <c r="X256" s="175" t="n"/>
      <c r="Y256" s="174" t="n"/>
      <c r="AA256" s="175" t="n"/>
      <c r="AB256" s="176" t="inlineStr">
        <is>
          <t>1226-2192-25, (05.12.2025) [IJZ-MB]</t>
        </is>
      </c>
      <c r="AG256" s="175" t="n"/>
      <c r="AH256" s="176" t="inlineStr">
        <is>
          <t>5888-2025, (12.12.2025) [IJZ]</t>
        </is>
      </c>
      <c r="AK256" s="175" t="n"/>
      <c r="AL256" s="176" t="inlineStr">
        <is>
          <t>5888-2025, (12.12.2025) [IJZ]</t>
        </is>
      </c>
      <c r="AP256" s="175" t="n"/>
      <c r="AQ256" s="174" t="n"/>
      <c r="AS256" s="177" t="n"/>
    </row>
    <row r="257" ht="14" customHeight="1" s="70">
      <c r="A257" s="178" t="n"/>
      <c r="B257" s="179" t="n"/>
      <c r="D257" s="180" t="n"/>
      <c r="E257" s="179" t="n"/>
      <c r="F257" s="181" t="n"/>
      <c r="G257" s="182" t="inlineStr">
        <is>
          <t>Conforms</t>
        </is>
      </c>
      <c r="H257" s="183">
        <f>IFERROR(INDEX('iCoA Register'!$B:$B,MATCH("P050312|I",'iCoA Register'!$P:$P,0)),"iCoA — at issue")&amp;", (23.12.2025) [PP]"</f>
        <v/>
      </c>
      <c r="I257" s="184" t="inlineStr">
        <is>
          <t>✓</t>
        </is>
      </c>
      <c r="J257" s="180" t="n"/>
      <c r="K257" s="179" t="n"/>
      <c r="L257" s="181" t="n"/>
      <c r="M257" s="180" t="n"/>
      <c r="N257" s="179" t="n"/>
      <c r="O257" s="181" t="n"/>
      <c r="P257" s="180" t="n"/>
      <c r="Q257" s="179" t="n"/>
      <c r="R257" s="181" t="n"/>
      <c r="S257" s="180" t="n"/>
      <c r="T257" s="179" t="n"/>
      <c r="U257" s="181" t="n"/>
      <c r="V257" s="180" t="n"/>
      <c r="W257" s="179" t="n"/>
      <c r="X257" s="181" t="n"/>
      <c r="Y257" s="180" t="n"/>
      <c r="Z257" s="179" t="n"/>
      <c r="AA257" s="181" t="n"/>
      <c r="AB257" s="180" t="n"/>
      <c r="AC257" s="179" t="n"/>
      <c r="AD257" s="179" t="n"/>
      <c r="AE257" s="179" t="n"/>
      <c r="AF257" s="179" t="n"/>
      <c r="AG257" s="181" t="n"/>
      <c r="AH257" s="180" t="n"/>
      <c r="AI257" s="179" t="n"/>
      <c r="AJ257" s="179" t="n"/>
      <c r="AK257" s="181" t="n"/>
      <c r="AL257" s="180" t="n"/>
      <c r="AM257" s="179" t="n"/>
      <c r="AN257" s="179" t="n"/>
      <c r="AO257" s="179" t="n"/>
      <c r="AP257" s="181" t="n"/>
      <c r="AQ257" s="180" t="n"/>
      <c r="AR257" s="179" t="n"/>
      <c r="AS257" s="192" t="n"/>
    </row>
    <row r="258" ht="13" customHeight="1" s="70">
      <c r="A258" s="193" t="n"/>
      <c r="B258" s="194" t="n"/>
      <c r="C258" s="194" t="n"/>
      <c r="D258" s="195" t="n"/>
      <c r="E258" s="194" t="n"/>
      <c r="F258" s="196" t="n"/>
      <c r="G258" s="195" t="n"/>
      <c r="H258" s="194" t="n"/>
      <c r="I258" s="196" t="n"/>
      <c r="J258" s="195" t="n"/>
      <c r="K258" s="194" t="n"/>
      <c r="L258" s="196" t="n"/>
      <c r="M258" s="195" t="n"/>
      <c r="N258" s="194" t="n"/>
      <c r="O258" s="196" t="n"/>
      <c r="P258" s="195" t="n"/>
      <c r="Q258" s="194" t="n"/>
      <c r="R258" s="196" t="n"/>
      <c r="S258" s="195" t="n"/>
      <c r="T258" s="194" t="n"/>
      <c r="U258" s="196" t="n"/>
      <c r="V258" s="195" t="n"/>
      <c r="W258" s="194" t="n"/>
      <c r="X258" s="196" t="n"/>
      <c r="Y258" s="195" t="n"/>
      <c r="Z258" s="194" t="n"/>
      <c r="AA258" s="196" t="n"/>
      <c r="AB258" s="195" t="n"/>
      <c r="AC258" s="194" t="n"/>
      <c r="AD258" s="194" t="n"/>
      <c r="AE258" s="194" t="n"/>
      <c r="AF258" s="194" t="n"/>
      <c r="AG258" s="196" t="n"/>
      <c r="AH258" s="195" t="n"/>
      <c r="AI258" s="194" t="n"/>
      <c r="AJ258" s="194" t="n"/>
      <c r="AK258" s="196" t="n"/>
      <c r="AL258" s="195" t="n"/>
      <c r="AM258" s="194" t="n"/>
      <c r="AN258" s="194" t="n"/>
      <c r="AO258" s="194" t="n"/>
      <c r="AP258" s="196" t="n"/>
      <c r="AQ258" s="195" t="n"/>
      <c r="AR258" s="194" t="n"/>
      <c r="AS258" s="198" t="n"/>
    </row>
    <row r="259" ht="21" customHeight="1" s="70">
      <c r="A259" s="160" t="inlineStr">
        <is>
          <t>GP082501/2</t>
        </is>
      </c>
      <c r="B259" s="161" t="inlineStr">
        <is>
          <t>P050322</t>
        </is>
      </c>
      <c r="C259" s="162" t="inlineStr">
        <is>
          <t>✓ COMPLETE
2 testing instances
• 2 document(s) on file, not credited</t>
        </is>
      </c>
      <c r="D259" s="163" t="inlineStr">
        <is>
          <t>Conforms</t>
        </is>
      </c>
      <c r="E259" s="164">
        <f>IFERROR(INDEX('iCoA Register'!$B:$B,MATCH("P050322|I",'iCoA Register'!$P:$P,0)),"iCoA — at issue")&amp;", (26.12.2025) [PP]"</f>
        <v/>
      </c>
      <c r="F259" s="165" t="inlineStr">
        <is>
          <t>✓</t>
        </is>
      </c>
      <c r="G259" s="166" t="inlineStr">
        <is>
          <t>not on this certificate</t>
        </is>
      </c>
      <c r="H259" s="167" t="inlineStr">
        <is>
          <t>ППК25381, (12.12.2025) [CNP] · on file, not credited</t>
        </is>
      </c>
      <c r="I259" s="168" t="inlineStr">
        <is>
          <t>•</t>
        </is>
      </c>
      <c r="J259" s="163" t="inlineStr">
        <is>
          <t>Conforms (ImB spec.)</t>
        </is>
      </c>
      <c r="K259" s="164" t="inlineStr">
        <is>
          <t>ППК25381, (12.12.2025) [CNP]</t>
        </is>
      </c>
      <c r="L259" s="165" t="inlineStr">
        <is>
          <t>✓</t>
        </is>
      </c>
      <c r="M259" s="169" t="inlineStr">
        <is>
          <t>14.83</t>
        </is>
      </c>
      <c r="N259" s="164" t="inlineStr">
        <is>
          <t>ППК25381, (12.12.2025) [CNP]</t>
        </is>
      </c>
      <c r="O259" s="165" t="inlineStr">
        <is>
          <t>✓</t>
        </is>
      </c>
      <c r="P259" s="170" t="inlineStr">
        <is>
          <t>0.11</t>
        </is>
      </c>
      <c r="Q259" s="164" t="inlineStr">
        <is>
          <t>ППК25381, (12.12.2025) [CNP]</t>
        </is>
      </c>
      <c r="R259" s="165" t="inlineStr">
        <is>
          <t>✓</t>
        </is>
      </c>
      <c r="S259" s="170" t="inlineStr">
        <is>
          <t>0.02 ᴰ</t>
        </is>
      </c>
      <c r="T259" s="164" t="inlineStr">
        <is>
          <t>ППК25381, (12.12.2025) [CNP]</t>
        </is>
      </c>
      <c r="U259" s="165" t="inlineStr">
        <is>
          <t>✓</t>
        </is>
      </c>
      <c r="V259" s="163" t="inlineStr">
        <is>
          <t>Conforms</t>
        </is>
      </c>
      <c r="W259" s="164">
        <f>IFERROR(INDEX('iCoA Register'!$B:$B,MATCH("P050322|I",'iCoA Register'!$P:$P,0)),"iCoA — at issue")&amp;", (26.12.2025) [PP]"</f>
        <v/>
      </c>
      <c r="X259" s="165" t="inlineStr">
        <is>
          <t>✓</t>
        </is>
      </c>
      <c r="Y259" s="163" t="inlineStr">
        <is>
          <t>6.88</t>
        </is>
      </c>
      <c r="Z259" s="164" t="inlineStr">
        <is>
          <t>ППК25381, (12.12.2025) [CNP]</t>
        </is>
      </c>
      <c r="AA259" s="165" t="inlineStr">
        <is>
          <t>✓</t>
        </is>
      </c>
      <c r="AB259" s="163" t="inlineStr">
        <is>
          <t>3.2 × 10³</t>
        </is>
      </c>
      <c r="AC259" s="171" t="inlineStr">
        <is>
          <t>5.8 × 10³</t>
        </is>
      </c>
      <c r="AD259" s="171" t="inlineStr">
        <is>
          <t>&lt; 10⁴ and &gt; 10³</t>
        </is>
      </c>
      <c r="AE259" s="171" t="inlineStr">
        <is>
          <t>Absent</t>
        </is>
      </c>
      <c r="AF259" s="171" t="inlineStr">
        <is>
          <t>Absent</t>
        </is>
      </c>
      <c r="AG259" s="165" t="inlineStr">
        <is>
          <t>✓</t>
        </is>
      </c>
      <c r="AH259" s="163" t="inlineStr">
        <is>
          <t>ND</t>
        </is>
      </c>
      <c r="AI259" s="171" t="inlineStr">
        <is>
          <t>&lt; 2</t>
        </is>
      </c>
      <c r="AJ259" s="171" t="inlineStr">
        <is>
          <t>ND</t>
        </is>
      </c>
      <c r="AK259" s="165" t="inlineStr">
        <is>
          <t>✓</t>
        </is>
      </c>
      <c r="AL259" s="163" t="inlineStr">
        <is>
          <t>0.013</t>
        </is>
      </c>
      <c r="AM259" s="171" t="inlineStr">
        <is>
          <t>0.003</t>
        </is>
      </c>
      <c r="AN259" s="171" t="inlineStr">
        <is>
          <t>0.02</t>
        </is>
      </c>
      <c r="AO259" s="171" t="inlineStr">
        <is>
          <t>0.016</t>
        </is>
      </c>
      <c r="AP259" s="165" t="inlineStr">
        <is>
          <t>✓</t>
        </is>
      </c>
      <c r="AQ259" s="163" t="inlineStr">
        <is>
          <t>≤ LOQ (all 29 compounds)</t>
        </is>
      </c>
      <c r="AR259" s="164" t="inlineStr">
        <is>
          <t>5889-2025, (12.12.2025) [IJZ]</t>
        </is>
      </c>
      <c r="AS259" s="172" t="inlineStr">
        <is>
          <t>✓</t>
        </is>
      </c>
    </row>
    <row r="260" ht="13" customHeight="1" s="70">
      <c r="A260" s="173" t="n"/>
      <c r="D260" s="174" t="n"/>
      <c r="F260" s="175" t="n"/>
      <c r="G260" s="174" t="n"/>
      <c r="I260" s="175" t="n"/>
      <c r="J260" s="174" t="n"/>
      <c r="L260" s="175" t="n"/>
      <c r="M260" s="174" t="n"/>
      <c r="O260" s="175" t="n"/>
      <c r="P260" s="174" t="n"/>
      <c r="R260" s="175" t="n"/>
      <c r="S260" s="174" t="n"/>
      <c r="U260" s="175" t="n"/>
      <c r="V260" s="174" t="n"/>
      <c r="X260" s="175" t="n"/>
      <c r="Y260" s="174" t="n"/>
      <c r="AA260" s="175" t="n"/>
      <c r="AB260" s="176" t="inlineStr">
        <is>
          <t>1227-2193-25, (05.12.2025) [IJZ-MB]</t>
        </is>
      </c>
      <c r="AG260" s="175" t="n"/>
      <c r="AH260" s="176" t="inlineStr">
        <is>
          <t>5889-2025, (12.12.2025) [IJZ]</t>
        </is>
      </c>
      <c r="AK260" s="175" t="n"/>
      <c r="AL260" s="176" t="inlineStr">
        <is>
          <t>5889-2025, (12.12.2025) [IJZ]</t>
        </is>
      </c>
      <c r="AP260" s="175" t="n"/>
      <c r="AQ260" s="174" t="n"/>
      <c r="AS260" s="177" t="n"/>
    </row>
    <row r="261" ht="17.625" customHeight="1" s="70">
      <c r="A261" s="178" t="n"/>
      <c r="B261" s="179" t="n"/>
      <c r="D261" s="180" t="n"/>
      <c r="E261" s="179" t="n"/>
      <c r="F261" s="181" t="n"/>
      <c r="G261" s="182" t="inlineStr">
        <is>
          <t>Conforms</t>
        </is>
      </c>
      <c r="H261" s="183">
        <f>IFERROR(INDEX('iCoA Register'!$B:$B,MATCH("P050322|I",'iCoA Register'!$P:$P,0)),"iCoA — at issue")&amp;", (26.12.2025) [PP]"</f>
        <v/>
      </c>
      <c r="I261" s="184" t="inlineStr">
        <is>
          <t>✓</t>
        </is>
      </c>
      <c r="J261" s="182" t="inlineStr">
        <is>
          <t>Conforms (ImB spec.) ᴿ</t>
        </is>
      </c>
      <c r="K261" s="183" t="inlineStr">
        <is>
          <t>197-12-K-26, (07.08.2026) [FHM-K]</t>
        </is>
      </c>
      <c r="L261" s="184" t="inlineStr">
        <is>
          <t>✓</t>
        </is>
      </c>
      <c r="M261" s="185" t="inlineStr">
        <is>
          <t>15.70</t>
        </is>
      </c>
      <c r="N261" s="183" t="inlineStr">
        <is>
          <t>197-12-K-26, (07.08.2026) [FHM-K]</t>
        </is>
      </c>
      <c r="O261" s="184" t="inlineStr">
        <is>
          <t>✓</t>
        </is>
      </c>
      <c r="P261" s="186" t="inlineStr">
        <is>
          <t>&lt; LOQ</t>
        </is>
      </c>
      <c r="Q261" s="183" t="inlineStr">
        <is>
          <t>197-12-K-26, (07.08.2026) [FHM-K]</t>
        </is>
      </c>
      <c r="R261" s="184" t="inlineStr">
        <is>
          <t>✓</t>
        </is>
      </c>
      <c r="S261" s="186" t="inlineStr">
        <is>
          <t>&lt; LOQ</t>
        </is>
      </c>
      <c r="T261" s="183" t="inlineStr">
        <is>
          <t>197-12-K-26, (07.08.2026) [FHM-K]</t>
        </is>
      </c>
      <c r="U261" s="184" t="inlineStr">
        <is>
          <t>✓</t>
        </is>
      </c>
      <c r="V261" s="180" t="n"/>
      <c r="W261" s="179" t="n"/>
      <c r="X261" s="181" t="n"/>
      <c r="Y261" s="187" t="inlineStr">
        <is>
          <t>not on this certificate</t>
        </is>
      </c>
      <c r="Z261" s="188" t="inlineStr">
        <is>
          <t>197-12-K-26, (07.08.2026) [FHM-K] · on file, not credited</t>
        </is>
      </c>
      <c r="AA261" s="189" t="inlineStr">
        <is>
          <t>•</t>
        </is>
      </c>
      <c r="AB261" s="180" t="n"/>
      <c r="AC261" s="179" t="n"/>
      <c r="AD261" s="179" t="n"/>
      <c r="AE261" s="179" t="n"/>
      <c r="AF261" s="179" t="n"/>
      <c r="AG261" s="181" t="n"/>
      <c r="AH261" s="190" t="inlineStr">
        <is>
          <t>ND</t>
        </is>
      </c>
      <c r="AI261" s="191" t="inlineStr">
        <is>
          <t>ND</t>
        </is>
      </c>
      <c r="AJ261" s="191" t="inlineStr">
        <is>
          <t>ND</t>
        </is>
      </c>
      <c r="AK261" s="184" t="inlineStr">
        <is>
          <t>✓</t>
        </is>
      </c>
      <c r="AL261" s="180" t="n"/>
      <c r="AM261" s="179" t="n"/>
      <c r="AN261" s="179" t="n"/>
      <c r="AO261" s="179" t="n"/>
      <c r="AP261" s="181" t="n"/>
      <c r="AQ261" s="180" t="n"/>
      <c r="AR261" s="179" t="n"/>
      <c r="AS261" s="192" t="n"/>
    </row>
    <row r="262" ht="15.375" customHeight="1" s="70">
      <c r="A262" s="193" t="n"/>
      <c r="B262" s="194" t="n"/>
      <c r="C262" s="194" t="n"/>
      <c r="D262" s="195" t="n"/>
      <c r="E262" s="194" t="n"/>
      <c r="F262" s="196" t="n"/>
      <c r="G262" s="195" t="n"/>
      <c r="H262" s="194" t="n"/>
      <c r="I262" s="196" t="n"/>
      <c r="J262" s="195" t="n"/>
      <c r="K262" s="194" t="n"/>
      <c r="L262" s="196" t="n"/>
      <c r="M262" s="195" t="n"/>
      <c r="N262" s="194" t="n"/>
      <c r="O262" s="196" t="n"/>
      <c r="P262" s="195" t="n"/>
      <c r="Q262" s="194" t="n"/>
      <c r="R262" s="196" t="n"/>
      <c r="S262" s="195" t="n"/>
      <c r="T262" s="194" t="n"/>
      <c r="U262" s="196" t="n"/>
      <c r="V262" s="195" t="n"/>
      <c r="W262" s="194" t="n"/>
      <c r="X262" s="196" t="n"/>
      <c r="Y262" s="195" t="n"/>
      <c r="Z262" s="194" t="n"/>
      <c r="AA262" s="196" t="n"/>
      <c r="AB262" s="195" t="n"/>
      <c r="AC262" s="194" t="n"/>
      <c r="AD262" s="194" t="n"/>
      <c r="AE262" s="194" t="n"/>
      <c r="AF262" s="194" t="n"/>
      <c r="AG262" s="196" t="n"/>
      <c r="AH262" s="197" t="inlineStr">
        <is>
          <t>197-12-M-26, (10.08.2026) [FHM-M]</t>
        </is>
      </c>
      <c r="AI262" s="194" t="n"/>
      <c r="AJ262" s="194" t="n"/>
      <c r="AK262" s="196" t="n"/>
      <c r="AL262" s="195" t="n"/>
      <c r="AM262" s="194" t="n"/>
      <c r="AN262" s="194" t="n"/>
      <c r="AO262" s="194" t="n"/>
      <c r="AP262" s="196" t="n"/>
      <c r="AQ262" s="195" t="n"/>
      <c r="AR262" s="194" t="n"/>
      <c r="AS262" s="198" t="n"/>
    </row>
    <row r="263" ht="17.625" customHeight="1" s="70">
      <c r="A263" s="160" t="inlineStr">
        <is>
          <t>WC082501</t>
        </is>
      </c>
      <c r="B263" s="161" t="inlineStr">
        <is>
          <t>P060012</t>
        </is>
      </c>
      <c r="C263" s="162" t="inlineStr">
        <is>
          <t>✓ COMPLETE
2 testing instances
• 1 document(s) on file, not credited</t>
        </is>
      </c>
      <c r="D263" s="163" t="inlineStr">
        <is>
          <t>Conforms</t>
        </is>
      </c>
      <c r="E263" s="164">
        <f>IFERROR(INDEX('iCoA Register'!$B:$B,MATCH("P060012|I",'iCoA Register'!$P:$P,0)),"iCoA — at issue")&amp;", (13.01.2026) [PP]"</f>
        <v/>
      </c>
      <c r="F263" s="165" t="inlineStr">
        <is>
          <t>✓</t>
        </is>
      </c>
      <c r="G263" s="163" t="inlineStr">
        <is>
          <t>Conforms</t>
        </is>
      </c>
      <c r="H263" s="164">
        <f>IFERROR(INDEX('iCoA Register'!$B:$B,MATCH("P060012|I",'iCoA Register'!$P:$P,0)),"iCoA — at issue")&amp;", (13.01.2026) [PP]"</f>
        <v/>
      </c>
      <c r="I263" s="165" t="inlineStr">
        <is>
          <t>✓</t>
        </is>
      </c>
      <c r="J263" s="163" t="inlineStr">
        <is>
          <t>Conforms (ImB spec.)</t>
        </is>
      </c>
      <c r="K263" s="164" t="inlineStr">
        <is>
          <t>ППК26001, (21.01.2026) [CNP]</t>
        </is>
      </c>
      <c r="L263" s="165" t="inlineStr">
        <is>
          <t>✓</t>
        </is>
      </c>
      <c r="M263" s="169" t="inlineStr">
        <is>
          <t>21.67</t>
        </is>
      </c>
      <c r="N263" s="164" t="inlineStr">
        <is>
          <t>ППК26001, (21.01.2026) [CNP]</t>
        </is>
      </c>
      <c r="O263" s="165" t="inlineStr">
        <is>
          <t>✓</t>
        </is>
      </c>
      <c r="P263" s="170" t="inlineStr">
        <is>
          <t>0.08</t>
        </is>
      </c>
      <c r="Q263" s="164" t="inlineStr">
        <is>
          <t>ППК26001, (21.01.2026) [CNP]</t>
        </is>
      </c>
      <c r="R263" s="165" t="inlineStr">
        <is>
          <t>✓</t>
        </is>
      </c>
      <c r="S263" s="170" t="inlineStr">
        <is>
          <t>0.02 ᴰ</t>
        </is>
      </c>
      <c r="T263" s="164" t="inlineStr">
        <is>
          <t>ППК26001, (21.01.2026) [CNP]</t>
        </is>
      </c>
      <c r="U263" s="165" t="inlineStr">
        <is>
          <t>✓</t>
        </is>
      </c>
      <c r="V263" s="163" t="inlineStr">
        <is>
          <t>Conforms</t>
        </is>
      </c>
      <c r="W263" s="164">
        <f>IFERROR(INDEX('iCoA Register'!$B:$B,MATCH("P060012|I",'iCoA Register'!$P:$P,0)),"iCoA — at issue")&amp;", (13.01.2026) [PP]"</f>
        <v/>
      </c>
      <c r="X263" s="165" t="inlineStr">
        <is>
          <t>✓</t>
        </is>
      </c>
      <c r="Y263" s="163" t="inlineStr">
        <is>
          <t>7.50</t>
        </is>
      </c>
      <c r="Z263" s="164" t="inlineStr">
        <is>
          <t>ППК26001, (21.01.2026) [CNP]</t>
        </is>
      </c>
      <c r="AA263" s="165" t="inlineStr">
        <is>
          <t>✓</t>
        </is>
      </c>
      <c r="AB263" s="163" t="inlineStr">
        <is>
          <t>10</t>
        </is>
      </c>
      <c r="AC263" s="171" t="inlineStr">
        <is>
          <t>30</t>
        </is>
      </c>
      <c r="AD263" s="171" t="inlineStr">
        <is>
          <t>&lt; 10</t>
        </is>
      </c>
      <c r="AE263" s="171" t="inlineStr">
        <is>
          <t>Absent</t>
        </is>
      </c>
      <c r="AF263" s="171" t="inlineStr">
        <is>
          <t>Absent</t>
        </is>
      </c>
      <c r="AG263" s="165" t="inlineStr">
        <is>
          <t>✓</t>
        </is>
      </c>
      <c r="AH263" s="163" t="inlineStr">
        <is>
          <t>ND</t>
        </is>
      </c>
      <c r="AI263" s="171" t="inlineStr">
        <is>
          <t>&lt; 2</t>
        </is>
      </c>
      <c r="AJ263" s="171" t="inlineStr">
        <is>
          <t>ND</t>
        </is>
      </c>
      <c r="AK263" s="165" t="inlineStr">
        <is>
          <t>✓</t>
        </is>
      </c>
      <c r="AL263" s="163" t="inlineStr">
        <is>
          <t>ND</t>
        </is>
      </c>
      <c r="AM263" s="171" t="inlineStr">
        <is>
          <t>ND</t>
        </is>
      </c>
      <c r="AN263" s="171" t="inlineStr">
        <is>
          <t>ND</t>
        </is>
      </c>
      <c r="AO263" s="171" t="inlineStr">
        <is>
          <t>ND</t>
        </is>
      </c>
      <c r="AP263" s="165" t="inlineStr">
        <is>
          <t>✓</t>
        </is>
      </c>
      <c r="AQ263" s="163" t="inlineStr">
        <is>
          <t>≤ LOQ (all 29 compounds)</t>
        </is>
      </c>
      <c r="AR263" s="164" t="inlineStr">
        <is>
          <t>80-2026, (02.02.2026) [IJZ]</t>
        </is>
      </c>
      <c r="AS263" s="172" t="inlineStr">
        <is>
          <t>✓</t>
        </is>
      </c>
    </row>
    <row r="264" ht="13" customHeight="1" s="70">
      <c r="A264" s="173" t="n"/>
      <c r="D264" s="174" t="n"/>
      <c r="F264" s="175" t="n"/>
      <c r="G264" s="174" t="n"/>
      <c r="I264" s="175" t="n"/>
      <c r="J264" s="174" t="n"/>
      <c r="L264" s="175" t="n"/>
      <c r="M264" s="174" t="n"/>
      <c r="O264" s="175" t="n"/>
      <c r="P264" s="174" t="n"/>
      <c r="R264" s="175" t="n"/>
      <c r="S264" s="174" t="n"/>
      <c r="U264" s="175" t="n"/>
      <c r="V264" s="174" t="n"/>
      <c r="X264" s="175" t="n"/>
      <c r="Y264" s="174" t="n"/>
      <c r="AA264" s="175" t="n"/>
      <c r="AB264" s="176" t="inlineStr">
        <is>
          <t>3-0006-26, (20.01.2026) [IJZ-MB]</t>
        </is>
      </c>
      <c r="AG264" s="175" t="n"/>
      <c r="AH264" s="176" t="inlineStr">
        <is>
          <t>80-2026, (02.02.2026) [IJZ]</t>
        </is>
      </c>
      <c r="AK264" s="175" t="n"/>
      <c r="AL264" s="176" t="inlineStr">
        <is>
          <t>80-2026, (02.02.2026) [IJZ]</t>
        </is>
      </c>
      <c r="AP264" s="175" t="n"/>
      <c r="AQ264" s="174" t="n"/>
      <c r="AS264" s="177" t="n"/>
    </row>
    <row r="265" ht="14" customHeight="1" s="70">
      <c r="A265" s="178" t="n"/>
      <c r="B265" s="179" t="n"/>
      <c r="D265" s="180" t="n"/>
      <c r="E265" s="179" t="n"/>
      <c r="F265" s="181" t="n"/>
      <c r="G265" s="187" t="inlineStr">
        <is>
          <t>not on this certificate</t>
        </is>
      </c>
      <c r="H265" s="188" t="inlineStr">
        <is>
          <t>ППК26001, (21.01.2026) [CNP] · on file, not credited</t>
        </is>
      </c>
      <c r="I265" s="189" t="inlineStr">
        <is>
          <t>•</t>
        </is>
      </c>
      <c r="J265" s="180" t="n"/>
      <c r="K265" s="179" t="n"/>
      <c r="L265" s="181" t="n"/>
      <c r="M265" s="180" t="n"/>
      <c r="N265" s="179" t="n"/>
      <c r="O265" s="181" t="n"/>
      <c r="P265" s="180" t="n"/>
      <c r="Q265" s="179" t="n"/>
      <c r="R265" s="181" t="n"/>
      <c r="S265" s="180" t="n"/>
      <c r="T265" s="179" t="n"/>
      <c r="U265" s="181" t="n"/>
      <c r="V265" s="180" t="n"/>
      <c r="W265" s="179" t="n"/>
      <c r="X265" s="181" t="n"/>
      <c r="Y265" s="180" t="n"/>
      <c r="Z265" s="179" t="n"/>
      <c r="AA265" s="181" t="n"/>
      <c r="AB265" s="180" t="n"/>
      <c r="AC265" s="179" t="n"/>
      <c r="AD265" s="179" t="n"/>
      <c r="AE265" s="179" t="n"/>
      <c r="AF265" s="179" t="n"/>
      <c r="AG265" s="181" t="n"/>
      <c r="AH265" s="180" t="n"/>
      <c r="AI265" s="179" t="n"/>
      <c r="AJ265" s="179" t="n"/>
      <c r="AK265" s="181" t="n"/>
      <c r="AL265" s="180" t="n"/>
      <c r="AM265" s="179" t="n"/>
      <c r="AN265" s="179" t="n"/>
      <c r="AO265" s="179" t="n"/>
      <c r="AP265" s="181" t="n"/>
      <c r="AQ265" s="180" t="n"/>
      <c r="AR265" s="179" t="n"/>
      <c r="AS265" s="192" t="n"/>
    </row>
    <row r="266" ht="13" customHeight="1" s="70">
      <c r="A266" s="193" t="n"/>
      <c r="B266" s="194" t="n"/>
      <c r="C266" s="194" t="n"/>
      <c r="D266" s="195" t="n"/>
      <c r="E266" s="194" t="n"/>
      <c r="F266" s="196" t="n"/>
      <c r="G266" s="195" t="n"/>
      <c r="H266" s="194" t="n"/>
      <c r="I266" s="196" t="n"/>
      <c r="J266" s="195" t="n"/>
      <c r="K266" s="194" t="n"/>
      <c r="L266" s="196" t="n"/>
      <c r="M266" s="195" t="n"/>
      <c r="N266" s="194" t="n"/>
      <c r="O266" s="196" t="n"/>
      <c r="P266" s="195" t="n"/>
      <c r="Q266" s="194" t="n"/>
      <c r="R266" s="196" t="n"/>
      <c r="S266" s="195" t="n"/>
      <c r="T266" s="194" t="n"/>
      <c r="U266" s="196" t="n"/>
      <c r="V266" s="195" t="n"/>
      <c r="W266" s="194" t="n"/>
      <c r="X266" s="196" t="n"/>
      <c r="Y266" s="195" t="n"/>
      <c r="Z266" s="194" t="n"/>
      <c r="AA266" s="196" t="n"/>
      <c r="AB266" s="195" t="n"/>
      <c r="AC266" s="194" t="n"/>
      <c r="AD266" s="194" t="n"/>
      <c r="AE266" s="194" t="n"/>
      <c r="AF266" s="194" t="n"/>
      <c r="AG266" s="196" t="n"/>
      <c r="AH266" s="195" t="n"/>
      <c r="AI266" s="194" t="n"/>
      <c r="AJ266" s="194" t="n"/>
      <c r="AK266" s="196" t="n"/>
      <c r="AL266" s="195" t="n"/>
      <c r="AM266" s="194" t="n"/>
      <c r="AN266" s="194" t="n"/>
      <c r="AO266" s="194" t="n"/>
      <c r="AP266" s="196" t="n"/>
      <c r="AQ266" s="195" t="n"/>
      <c r="AR266" s="194" t="n"/>
      <c r="AS266" s="198" t="n"/>
    </row>
    <row r="267" ht="17.625" customHeight="1" s="70">
      <c r="A267" s="160" t="inlineStr">
        <is>
          <t>CJ082501/1</t>
        </is>
      </c>
      <c r="B267" s="161" t="inlineStr">
        <is>
          <t>P060022</t>
        </is>
      </c>
      <c r="C267" s="162" t="inlineStr">
        <is>
          <t>✓ COMPLETE
2 testing instances
• 1 document(s) on file, not credited</t>
        </is>
      </c>
      <c r="D267" s="163" t="inlineStr">
        <is>
          <t>Conforms</t>
        </is>
      </c>
      <c r="E267" s="164">
        <f>IFERROR(INDEX('iCoA Register'!$B:$B,MATCH("P060022|I",'iCoA Register'!$P:$P,0)),"iCoA — at issue")&amp;", (16.01.2026) [PP]"</f>
        <v/>
      </c>
      <c r="F267" s="165" t="inlineStr">
        <is>
          <t>✓</t>
        </is>
      </c>
      <c r="G267" s="163" t="inlineStr">
        <is>
          <t>Conforms</t>
        </is>
      </c>
      <c r="H267" s="164">
        <f>IFERROR(INDEX('iCoA Register'!$B:$B,MATCH("P060022|I",'iCoA Register'!$P:$P,0)),"iCoA — at issue")&amp;", (16.01.2026) [PP]"</f>
        <v/>
      </c>
      <c r="I267" s="165" t="inlineStr">
        <is>
          <t>✓</t>
        </is>
      </c>
      <c r="J267" s="163" t="inlineStr">
        <is>
          <t>Conforms (ImB spec.)</t>
        </is>
      </c>
      <c r="K267" s="164" t="inlineStr">
        <is>
          <t>ППК26002, (21.01.2026) [CNP]</t>
        </is>
      </c>
      <c r="L267" s="165" t="inlineStr">
        <is>
          <t>✓</t>
        </is>
      </c>
      <c r="M267" s="169" t="inlineStr">
        <is>
          <t>24.96</t>
        </is>
      </c>
      <c r="N267" s="164" t="inlineStr">
        <is>
          <t>ППК26002, (21.01.2026) [CNP]</t>
        </is>
      </c>
      <c r="O267" s="165" t="inlineStr">
        <is>
          <t>✓</t>
        </is>
      </c>
      <c r="P267" s="170" t="inlineStr">
        <is>
          <t>0.09</t>
        </is>
      </c>
      <c r="Q267" s="164" t="inlineStr">
        <is>
          <t>ППК26002, (21.01.2026) [CNP]</t>
        </is>
      </c>
      <c r="R267" s="165" t="inlineStr">
        <is>
          <t>✓</t>
        </is>
      </c>
      <c r="S267" s="170" t="inlineStr">
        <is>
          <t>0.02 ᴰ</t>
        </is>
      </c>
      <c r="T267" s="164" t="inlineStr">
        <is>
          <t>ППК26002, (21.01.2026) [CNP]</t>
        </is>
      </c>
      <c r="U267" s="165" t="inlineStr">
        <is>
          <t>✓</t>
        </is>
      </c>
      <c r="V267" s="163" t="inlineStr">
        <is>
          <t>Conforms</t>
        </is>
      </c>
      <c r="W267" s="164">
        <f>IFERROR(INDEX('iCoA Register'!$B:$B,MATCH("P060022|I",'iCoA Register'!$P:$P,0)),"iCoA — at issue")&amp;", (16.01.2026) [PP]"</f>
        <v/>
      </c>
      <c r="X267" s="165" t="inlineStr">
        <is>
          <t>✓</t>
        </is>
      </c>
      <c r="Y267" s="163" t="inlineStr">
        <is>
          <t>7.21</t>
        </is>
      </c>
      <c r="Z267" s="164" t="inlineStr">
        <is>
          <t>ППК26002, (21.01.2026) [CNP]</t>
        </is>
      </c>
      <c r="AA267" s="165" t="inlineStr">
        <is>
          <t>✓</t>
        </is>
      </c>
      <c r="AB267" s="163" t="inlineStr">
        <is>
          <t>1.5 × 10²</t>
        </is>
      </c>
      <c r="AC267" s="171" t="inlineStr">
        <is>
          <t>1.3 × 10²</t>
        </is>
      </c>
      <c r="AD267" s="171" t="inlineStr">
        <is>
          <t>&lt; 10</t>
        </is>
      </c>
      <c r="AE267" s="171" t="inlineStr">
        <is>
          <t>Absent</t>
        </is>
      </c>
      <c r="AF267" s="171" t="inlineStr">
        <is>
          <t>Absent</t>
        </is>
      </c>
      <c r="AG267" s="165" t="inlineStr">
        <is>
          <t>✓</t>
        </is>
      </c>
      <c r="AH267" s="163" t="inlineStr">
        <is>
          <t>ND</t>
        </is>
      </c>
      <c r="AI267" s="171" t="inlineStr">
        <is>
          <t>&lt; 2</t>
        </is>
      </c>
      <c r="AJ267" s="171" t="inlineStr">
        <is>
          <t>ND</t>
        </is>
      </c>
      <c r="AK267" s="165" t="inlineStr">
        <is>
          <t>✓</t>
        </is>
      </c>
      <c r="AL267" s="163" t="inlineStr">
        <is>
          <t>0.075</t>
        </is>
      </c>
      <c r="AM267" s="171" t="inlineStr">
        <is>
          <t>ND</t>
        </is>
      </c>
      <c r="AN267" s="171" t="inlineStr">
        <is>
          <t>ND</t>
        </is>
      </c>
      <c r="AO267" s="171" t="inlineStr">
        <is>
          <t>ND</t>
        </is>
      </c>
      <c r="AP267" s="165" t="inlineStr">
        <is>
          <t>✓</t>
        </is>
      </c>
      <c r="AQ267" s="163" t="inlineStr">
        <is>
          <t>≤ LOQ (all 26 compounds)</t>
        </is>
      </c>
      <c r="AR267" s="164" t="inlineStr">
        <is>
          <t>81-2026, (02.02.2026) [IJZ]</t>
        </is>
      </c>
      <c r="AS267" s="172" t="inlineStr">
        <is>
          <t>✓</t>
        </is>
      </c>
    </row>
    <row r="268" ht="13" customHeight="1" s="70">
      <c r="A268" s="173" t="n"/>
      <c r="D268" s="174" t="n"/>
      <c r="F268" s="175" t="n"/>
      <c r="G268" s="174" t="n"/>
      <c r="I268" s="175" t="n"/>
      <c r="J268" s="174" t="n"/>
      <c r="L268" s="175" t="n"/>
      <c r="M268" s="174" t="n"/>
      <c r="O268" s="175" t="n"/>
      <c r="P268" s="174" t="n"/>
      <c r="R268" s="175" t="n"/>
      <c r="S268" s="174" t="n"/>
      <c r="U268" s="175" t="n"/>
      <c r="V268" s="174" t="n"/>
      <c r="X268" s="175" t="n"/>
      <c r="Y268" s="174" t="n"/>
      <c r="AA268" s="175" t="n"/>
      <c r="AB268" s="176" t="inlineStr">
        <is>
          <t>8-0011-26, (20.01.2026) [IJZ-MB]</t>
        </is>
      </c>
      <c r="AG268" s="175" t="n"/>
      <c r="AH268" s="176" t="inlineStr">
        <is>
          <t>81-2026, (02.02.2026) [IJZ]</t>
        </is>
      </c>
      <c r="AK268" s="175" t="n"/>
      <c r="AL268" s="176" t="inlineStr">
        <is>
          <t>81-2026, (02.02.2026) [IJZ]</t>
        </is>
      </c>
      <c r="AP268" s="175" t="n"/>
      <c r="AQ268" s="174" t="n"/>
      <c r="AS268" s="177" t="n"/>
    </row>
    <row r="269" ht="14" customHeight="1" s="70">
      <c r="A269" s="178" t="n"/>
      <c r="B269" s="179" t="n"/>
      <c r="D269" s="180" t="n"/>
      <c r="E269" s="179" t="n"/>
      <c r="F269" s="181" t="n"/>
      <c r="G269" s="187" t="inlineStr">
        <is>
          <t>not on this certificate</t>
        </is>
      </c>
      <c r="H269" s="188" t="inlineStr">
        <is>
          <t>ППК26002, (21.01.2026) [CNP] · on file, not credited</t>
        </is>
      </c>
      <c r="I269" s="189" t="inlineStr">
        <is>
          <t>•</t>
        </is>
      </c>
      <c r="J269" s="180" t="n"/>
      <c r="K269" s="179" t="n"/>
      <c r="L269" s="181" t="n"/>
      <c r="M269" s="180" t="n"/>
      <c r="N269" s="179" t="n"/>
      <c r="O269" s="181" t="n"/>
      <c r="P269" s="180" t="n"/>
      <c r="Q269" s="179" t="n"/>
      <c r="R269" s="181" t="n"/>
      <c r="S269" s="180" t="n"/>
      <c r="T269" s="179" t="n"/>
      <c r="U269" s="181" t="n"/>
      <c r="V269" s="180" t="n"/>
      <c r="W269" s="179" t="n"/>
      <c r="X269" s="181" t="n"/>
      <c r="Y269" s="180" t="n"/>
      <c r="Z269" s="179" t="n"/>
      <c r="AA269" s="181" t="n"/>
      <c r="AB269" s="180" t="n"/>
      <c r="AC269" s="179" t="n"/>
      <c r="AD269" s="179" t="n"/>
      <c r="AE269" s="179" t="n"/>
      <c r="AF269" s="179" t="n"/>
      <c r="AG269" s="181" t="n"/>
      <c r="AH269" s="180" t="n"/>
      <c r="AI269" s="179" t="n"/>
      <c r="AJ269" s="179" t="n"/>
      <c r="AK269" s="181" t="n"/>
      <c r="AL269" s="180" t="n"/>
      <c r="AM269" s="179" t="n"/>
      <c r="AN269" s="179" t="n"/>
      <c r="AO269" s="179" t="n"/>
      <c r="AP269" s="181" t="n"/>
      <c r="AQ269" s="180" t="n"/>
      <c r="AR269" s="179" t="n"/>
      <c r="AS269" s="192" t="n"/>
    </row>
    <row r="270" ht="13" customHeight="1" s="70">
      <c r="A270" s="193" t="n"/>
      <c r="B270" s="194" t="n"/>
      <c r="C270" s="194" t="n"/>
      <c r="D270" s="195" t="n"/>
      <c r="E270" s="194" t="n"/>
      <c r="F270" s="196" t="n"/>
      <c r="G270" s="195" t="n"/>
      <c r="H270" s="194" t="n"/>
      <c r="I270" s="196" t="n"/>
      <c r="J270" s="195" t="n"/>
      <c r="K270" s="194" t="n"/>
      <c r="L270" s="196" t="n"/>
      <c r="M270" s="195" t="n"/>
      <c r="N270" s="194" t="n"/>
      <c r="O270" s="196" t="n"/>
      <c r="P270" s="195" t="n"/>
      <c r="Q270" s="194" t="n"/>
      <c r="R270" s="196" t="n"/>
      <c r="S270" s="195" t="n"/>
      <c r="T270" s="194" t="n"/>
      <c r="U270" s="196" t="n"/>
      <c r="V270" s="195" t="n"/>
      <c r="W270" s="194" t="n"/>
      <c r="X270" s="196" t="n"/>
      <c r="Y270" s="195" t="n"/>
      <c r="Z270" s="194" t="n"/>
      <c r="AA270" s="196" t="n"/>
      <c r="AB270" s="195" t="n"/>
      <c r="AC270" s="194" t="n"/>
      <c r="AD270" s="194" t="n"/>
      <c r="AE270" s="194" t="n"/>
      <c r="AF270" s="194" t="n"/>
      <c r="AG270" s="196" t="n"/>
      <c r="AH270" s="195" t="n"/>
      <c r="AI270" s="194" t="n"/>
      <c r="AJ270" s="194" t="n"/>
      <c r="AK270" s="196" t="n"/>
      <c r="AL270" s="195" t="n"/>
      <c r="AM270" s="194" t="n"/>
      <c r="AN270" s="194" t="n"/>
      <c r="AO270" s="194" t="n"/>
      <c r="AP270" s="196" t="n"/>
      <c r="AQ270" s="195" t="n"/>
      <c r="AR270" s="194" t="n"/>
      <c r="AS270" s="198" t="n"/>
    </row>
    <row r="271" ht="17.625" customHeight="1" s="70">
      <c r="A271" s="160" t="inlineStr">
        <is>
          <t>CJ082501/2</t>
        </is>
      </c>
      <c r="B271" s="161" t="inlineStr">
        <is>
          <t>P060032</t>
        </is>
      </c>
      <c r="C271" s="162" t="inlineStr">
        <is>
          <t>✓ COMPLETE
2 testing instances
• 2 document(s) on file, not credited</t>
        </is>
      </c>
      <c r="D271" s="163" t="inlineStr">
        <is>
          <t>Conforms</t>
        </is>
      </c>
      <c r="E271" s="164">
        <f>IFERROR(INDEX('iCoA Register'!$B:$B,MATCH("P060032|I",'iCoA Register'!$P:$P,0)),"iCoA — at issue")&amp;", (29.01.2026) [PP]"</f>
        <v/>
      </c>
      <c r="F271" s="165" t="inlineStr">
        <is>
          <t>✓</t>
        </is>
      </c>
      <c r="G271" s="166" t="inlineStr">
        <is>
          <t>not on this certificate</t>
        </is>
      </c>
      <c r="H271" s="167" t="inlineStr">
        <is>
          <t>ППК26003, (21.01.2026) [CNP] · on file, not credited</t>
        </is>
      </c>
      <c r="I271" s="168" t="inlineStr">
        <is>
          <t>•</t>
        </is>
      </c>
      <c r="J271" s="163" t="inlineStr">
        <is>
          <t>Conforms (ImB spec.)</t>
        </is>
      </c>
      <c r="K271" s="164" t="inlineStr">
        <is>
          <t>ППК26003, (21.01.2026) [CNP]</t>
        </is>
      </c>
      <c r="L271" s="165" t="inlineStr">
        <is>
          <t>✓</t>
        </is>
      </c>
      <c r="M271" s="169" t="inlineStr">
        <is>
          <t>20.84</t>
        </is>
      </c>
      <c r="N271" s="164" t="inlineStr">
        <is>
          <t>ППК26003, (21.01.2026) [CNP]</t>
        </is>
      </c>
      <c r="O271" s="165" t="inlineStr">
        <is>
          <t>✓</t>
        </is>
      </c>
      <c r="P271" s="170" t="inlineStr">
        <is>
          <t>0.08</t>
        </is>
      </c>
      <c r="Q271" s="164" t="inlineStr">
        <is>
          <t>ППК26003, (21.01.2026) [CNP]</t>
        </is>
      </c>
      <c r="R271" s="165" t="inlineStr">
        <is>
          <t>✓</t>
        </is>
      </c>
      <c r="S271" s="170" t="inlineStr">
        <is>
          <t>ND ᴰ</t>
        </is>
      </c>
      <c r="T271" s="164" t="inlineStr">
        <is>
          <t>ППК26003, (21.01.2026) [CNP]</t>
        </is>
      </c>
      <c r="U271" s="165" t="inlineStr">
        <is>
          <t>✓</t>
        </is>
      </c>
      <c r="V271" s="163" t="inlineStr">
        <is>
          <t>Conforms</t>
        </is>
      </c>
      <c r="W271" s="164">
        <f>IFERROR(INDEX('iCoA Register'!$B:$B,MATCH("P060032|I",'iCoA Register'!$P:$P,0)),"iCoA — at issue")&amp;", (29.01.2026) [PP]"</f>
        <v/>
      </c>
      <c r="X271" s="165" t="inlineStr">
        <is>
          <t>✓</t>
        </is>
      </c>
      <c r="Y271" s="163" t="inlineStr">
        <is>
          <t>7.37</t>
        </is>
      </c>
      <c r="Z271" s="164" t="inlineStr">
        <is>
          <t>ППК26003, (21.01.2026) [CNP]</t>
        </is>
      </c>
      <c r="AA271" s="165" t="inlineStr">
        <is>
          <t>✓</t>
        </is>
      </c>
      <c r="AB271" s="163" t="inlineStr">
        <is>
          <t>9.5 × 10²</t>
        </is>
      </c>
      <c r="AC271" s="171" t="inlineStr">
        <is>
          <t>1.2 × 10³</t>
        </is>
      </c>
      <c r="AD271" s="171" t="inlineStr">
        <is>
          <t>&lt; 10</t>
        </is>
      </c>
      <c r="AE271" s="171" t="inlineStr">
        <is>
          <t>Absent</t>
        </is>
      </c>
      <c r="AF271" s="171" t="inlineStr">
        <is>
          <t>Absent</t>
        </is>
      </c>
      <c r="AG271" s="165" t="inlineStr">
        <is>
          <t>✓</t>
        </is>
      </c>
      <c r="AH271" s="163" t="inlineStr">
        <is>
          <t>ND</t>
        </is>
      </c>
      <c r="AI271" s="171" t="inlineStr">
        <is>
          <t>&lt; 2</t>
        </is>
      </c>
      <c r="AJ271" s="171" t="inlineStr">
        <is>
          <t>ND</t>
        </is>
      </c>
      <c r="AK271" s="165" t="inlineStr">
        <is>
          <t>✓</t>
        </is>
      </c>
      <c r="AL271" s="163" t="inlineStr">
        <is>
          <t>0.073</t>
        </is>
      </c>
      <c r="AM271" s="171" t="inlineStr">
        <is>
          <t>ND</t>
        </is>
      </c>
      <c r="AN271" s="171" t="inlineStr">
        <is>
          <t>ND</t>
        </is>
      </c>
      <c r="AO271" s="171" t="inlineStr">
        <is>
          <t>ND</t>
        </is>
      </c>
      <c r="AP271" s="165" t="inlineStr">
        <is>
          <t>✓</t>
        </is>
      </c>
      <c r="AQ271" s="163" t="inlineStr">
        <is>
          <t>≤ LOQ (all 29 compounds)</t>
        </is>
      </c>
      <c r="AR271" s="164" t="inlineStr">
        <is>
          <t>82-2026, (02.02.2026) [IJZ]</t>
        </is>
      </c>
      <c r="AS271" s="172" t="inlineStr">
        <is>
          <t>✓</t>
        </is>
      </c>
    </row>
    <row r="272" ht="13" customHeight="1" s="70">
      <c r="A272" s="173" t="n"/>
      <c r="D272" s="174" t="n"/>
      <c r="F272" s="175" t="n"/>
      <c r="G272" s="174" t="n"/>
      <c r="I272" s="175" t="n"/>
      <c r="J272" s="174" t="n"/>
      <c r="L272" s="175" t="n"/>
      <c r="M272" s="174" t="n"/>
      <c r="O272" s="175" t="n"/>
      <c r="P272" s="174" t="n"/>
      <c r="R272" s="175" t="n"/>
      <c r="S272" s="174" t="n"/>
      <c r="U272" s="175" t="n"/>
      <c r="V272" s="174" t="n"/>
      <c r="X272" s="175" t="n"/>
      <c r="Y272" s="174" t="n"/>
      <c r="AA272" s="175" t="n"/>
      <c r="AB272" s="176" t="inlineStr">
        <is>
          <t>4-0007-26, (20.01.2026) [IJZ-MB]</t>
        </is>
      </c>
      <c r="AG272" s="175" t="n"/>
      <c r="AH272" s="176" t="inlineStr">
        <is>
          <t>82-2026, (02.02.2026) [IJZ]</t>
        </is>
      </c>
      <c r="AK272" s="175" t="n"/>
      <c r="AL272" s="176" t="inlineStr">
        <is>
          <t>82-2026, (02.02.2026) [IJZ]</t>
        </is>
      </c>
      <c r="AP272" s="175" t="n"/>
      <c r="AQ272" s="174" t="n"/>
      <c r="AS272" s="177" t="n"/>
    </row>
    <row r="273" ht="17.625" customHeight="1" s="70">
      <c r="A273" s="178" t="n"/>
      <c r="B273" s="179" t="n"/>
      <c r="D273" s="180" t="n"/>
      <c r="E273" s="179" t="n"/>
      <c r="F273" s="181" t="n"/>
      <c r="G273" s="182" t="inlineStr">
        <is>
          <t>Conforms</t>
        </is>
      </c>
      <c r="H273" s="183">
        <f>IFERROR(INDEX('iCoA Register'!$B:$B,MATCH("P060032|I",'iCoA Register'!$P:$P,0)),"iCoA — at issue")&amp;", (29.01.2026) [PP]"</f>
        <v/>
      </c>
      <c r="I273" s="184" t="inlineStr">
        <is>
          <t>✓</t>
        </is>
      </c>
      <c r="J273" s="182" t="inlineStr">
        <is>
          <t>Conforms (ImB spec.) ᴿ</t>
        </is>
      </c>
      <c r="K273" s="183" t="inlineStr">
        <is>
          <t>197-5-K-26, (07.08.2026) [FHM-K]</t>
        </is>
      </c>
      <c r="L273" s="184" t="inlineStr">
        <is>
          <t>✓</t>
        </is>
      </c>
      <c r="M273" s="185" t="inlineStr">
        <is>
          <t>18.29</t>
        </is>
      </c>
      <c r="N273" s="183" t="inlineStr">
        <is>
          <t>197-5-K-26, (07.08.2026) [FHM-K]</t>
        </is>
      </c>
      <c r="O273" s="184" t="inlineStr">
        <is>
          <t>✓</t>
        </is>
      </c>
      <c r="P273" s="186" t="inlineStr">
        <is>
          <t>&lt; LOQ</t>
        </is>
      </c>
      <c r="Q273" s="183" t="inlineStr">
        <is>
          <t>197-5-K-26, (07.08.2026) [FHM-K]</t>
        </is>
      </c>
      <c r="R273" s="184" t="inlineStr">
        <is>
          <t>✓</t>
        </is>
      </c>
      <c r="S273" s="186" t="inlineStr">
        <is>
          <t>&lt; LOQ</t>
        </is>
      </c>
      <c r="T273" s="183" t="inlineStr">
        <is>
          <t>197-5-K-26, (07.08.2026) [FHM-K]</t>
        </is>
      </c>
      <c r="U273" s="184" t="inlineStr">
        <is>
          <t>✓</t>
        </is>
      </c>
      <c r="V273" s="180" t="n"/>
      <c r="W273" s="179" t="n"/>
      <c r="X273" s="181" t="n"/>
      <c r="Y273" s="187" t="inlineStr">
        <is>
          <t>not on this certificate</t>
        </is>
      </c>
      <c r="Z273" s="188" t="inlineStr">
        <is>
          <t>197-5-K-26, (07.08.2026) [FHM-K] · on file, not credited</t>
        </is>
      </c>
      <c r="AA273" s="189" t="inlineStr">
        <is>
          <t>•</t>
        </is>
      </c>
      <c r="AB273" s="180" t="n"/>
      <c r="AC273" s="179" t="n"/>
      <c r="AD273" s="179" t="n"/>
      <c r="AE273" s="179" t="n"/>
      <c r="AF273" s="179" t="n"/>
      <c r="AG273" s="181" t="n"/>
      <c r="AH273" s="190" t="inlineStr">
        <is>
          <t>ND</t>
        </is>
      </c>
      <c r="AI273" s="191" t="inlineStr">
        <is>
          <t>ND</t>
        </is>
      </c>
      <c r="AJ273" s="191" t="inlineStr">
        <is>
          <t>ND</t>
        </is>
      </c>
      <c r="AK273" s="184" t="inlineStr">
        <is>
          <t>✓</t>
        </is>
      </c>
      <c r="AL273" s="180" t="n"/>
      <c r="AM273" s="179" t="n"/>
      <c r="AN273" s="179" t="n"/>
      <c r="AO273" s="179" t="n"/>
      <c r="AP273" s="181" t="n"/>
      <c r="AQ273" s="180" t="n"/>
      <c r="AR273" s="179" t="n"/>
      <c r="AS273" s="192" t="n"/>
    </row>
    <row r="274" ht="15.375" customHeight="1" s="70">
      <c r="A274" s="193" t="n"/>
      <c r="B274" s="194" t="n"/>
      <c r="C274" s="194" t="n"/>
      <c r="D274" s="195" t="n"/>
      <c r="E274" s="194" t="n"/>
      <c r="F274" s="196" t="n"/>
      <c r="G274" s="195" t="n"/>
      <c r="H274" s="194" t="n"/>
      <c r="I274" s="196" t="n"/>
      <c r="J274" s="195" t="n"/>
      <c r="K274" s="194" t="n"/>
      <c r="L274" s="196" t="n"/>
      <c r="M274" s="195" t="n"/>
      <c r="N274" s="194" t="n"/>
      <c r="O274" s="196" t="n"/>
      <c r="P274" s="195" t="n"/>
      <c r="Q274" s="194" t="n"/>
      <c r="R274" s="196" t="n"/>
      <c r="S274" s="195" t="n"/>
      <c r="T274" s="194" t="n"/>
      <c r="U274" s="196" t="n"/>
      <c r="V274" s="195" t="n"/>
      <c r="W274" s="194" t="n"/>
      <c r="X274" s="196" t="n"/>
      <c r="Y274" s="195" t="n"/>
      <c r="Z274" s="194" t="n"/>
      <c r="AA274" s="196" t="n"/>
      <c r="AB274" s="195" t="n"/>
      <c r="AC274" s="194" t="n"/>
      <c r="AD274" s="194" t="n"/>
      <c r="AE274" s="194" t="n"/>
      <c r="AF274" s="194" t="n"/>
      <c r="AG274" s="196" t="n"/>
      <c r="AH274" s="197" t="inlineStr">
        <is>
          <t>197-5-M-26, (10.08.2026) [FHM-M]</t>
        </is>
      </c>
      <c r="AI274" s="194" t="n"/>
      <c r="AJ274" s="194" t="n"/>
      <c r="AK274" s="196" t="n"/>
      <c r="AL274" s="195" t="n"/>
      <c r="AM274" s="194" t="n"/>
      <c r="AN274" s="194" t="n"/>
      <c r="AO274" s="194" t="n"/>
      <c r="AP274" s="196" t="n"/>
      <c r="AQ274" s="195" t="n"/>
      <c r="AR274" s="194" t="n"/>
      <c r="AS274" s="198" t="n"/>
    </row>
    <row r="275" ht="21" customHeight="1" s="70">
      <c r="A275" s="160" t="inlineStr">
        <is>
          <t>OPM092501</t>
        </is>
      </c>
      <c r="B275" s="161" t="inlineStr">
        <is>
          <t>P060042</t>
        </is>
      </c>
      <c r="C275" s="162" t="inlineStr">
        <is>
          <t>✓ COMPLETE
2 testing instances
• 1 document(s) on file, not credited</t>
        </is>
      </c>
      <c r="D275" s="163" t="inlineStr">
        <is>
          <t>Conforms</t>
        </is>
      </c>
      <c r="E275" s="164">
        <f>IFERROR(INDEX('iCoA Register'!$B:$B,MATCH("P060042|I",'iCoA Register'!$P:$P,0)),"iCoA — at issue")&amp;", (29.01.2026) [PP]"</f>
        <v/>
      </c>
      <c r="F275" s="165" t="inlineStr">
        <is>
          <t>✓</t>
        </is>
      </c>
      <c r="G275" s="166" t="inlineStr">
        <is>
          <t>not on this certificate</t>
        </is>
      </c>
      <c r="H275" s="167" t="inlineStr">
        <is>
          <t>ППК26008, (21.01.2026) [CNP] · on file, not credited</t>
        </is>
      </c>
      <c r="I275" s="168" t="inlineStr">
        <is>
          <t>•</t>
        </is>
      </c>
      <c r="J275" s="163" t="inlineStr">
        <is>
          <t>Conforms (ImB spec.)</t>
        </is>
      </c>
      <c r="K275" s="164" t="inlineStr">
        <is>
          <t>ППК26008, (21.01.2026) [CNP]</t>
        </is>
      </c>
      <c r="L275" s="165" t="inlineStr">
        <is>
          <t>✓</t>
        </is>
      </c>
      <c r="M275" s="169" t="inlineStr">
        <is>
          <t>9.43</t>
        </is>
      </c>
      <c r="N275" s="164" t="inlineStr">
        <is>
          <t>ППК26008, (21.01.2026) [CNP]</t>
        </is>
      </c>
      <c r="O275" s="165" t="inlineStr">
        <is>
          <t>✓</t>
        </is>
      </c>
      <c r="P275" s="170" t="inlineStr">
        <is>
          <t>0.04</t>
        </is>
      </c>
      <c r="Q275" s="164" t="inlineStr">
        <is>
          <t>ППК26008, (21.01.2026) [CNP]</t>
        </is>
      </c>
      <c r="R275" s="165" t="inlineStr">
        <is>
          <t>✓</t>
        </is>
      </c>
      <c r="S275" s="170" t="inlineStr">
        <is>
          <t>ND ᴰ</t>
        </is>
      </c>
      <c r="T275" s="164" t="inlineStr">
        <is>
          <t>ППК26008, (21.01.2026) [CNP]</t>
        </is>
      </c>
      <c r="U275" s="165" t="inlineStr">
        <is>
          <t>✓</t>
        </is>
      </c>
      <c r="V275" s="163" t="inlineStr">
        <is>
          <t>Conforms</t>
        </is>
      </c>
      <c r="W275" s="164">
        <f>IFERROR(INDEX('iCoA Register'!$B:$B,MATCH("P060042|I",'iCoA Register'!$P:$P,0)),"iCoA — at issue")&amp;", (29.01.2026) [PP]"</f>
        <v/>
      </c>
      <c r="X275" s="165" t="inlineStr">
        <is>
          <t>✓</t>
        </is>
      </c>
      <c r="Y275" s="163" t="inlineStr">
        <is>
          <t>7.85</t>
        </is>
      </c>
      <c r="Z275" s="164" t="inlineStr">
        <is>
          <t>ППК26008, (21.01.2026) [CNP]</t>
        </is>
      </c>
      <c r="AA275" s="165" t="inlineStr">
        <is>
          <t>✓</t>
        </is>
      </c>
      <c r="AB275" s="163" t="inlineStr">
        <is>
          <t>10</t>
        </is>
      </c>
      <c r="AC275" s="171" t="inlineStr">
        <is>
          <t>10</t>
        </is>
      </c>
      <c r="AD275" s="171" t="inlineStr">
        <is>
          <t>&lt; 10² and &gt; 10</t>
        </is>
      </c>
      <c r="AE275" s="171" t="inlineStr">
        <is>
          <t>Absent</t>
        </is>
      </c>
      <c r="AF275" s="171" t="inlineStr">
        <is>
          <t>Absent</t>
        </is>
      </c>
      <c r="AG275" s="165" t="inlineStr">
        <is>
          <t>✓</t>
        </is>
      </c>
      <c r="AH275" s="163" t="inlineStr">
        <is>
          <t>ND</t>
        </is>
      </c>
      <c r="AI275" s="171" t="inlineStr">
        <is>
          <t>2.2</t>
        </is>
      </c>
      <c r="AJ275" s="171" t="inlineStr">
        <is>
          <t>ND</t>
        </is>
      </c>
      <c r="AK275" s="165" t="inlineStr">
        <is>
          <t>✓</t>
        </is>
      </c>
      <c r="AL275" s="163" t="inlineStr">
        <is>
          <t>0.022</t>
        </is>
      </c>
      <c r="AM275" s="171" t="inlineStr">
        <is>
          <t>ND</t>
        </is>
      </c>
      <c r="AN275" s="171" t="inlineStr">
        <is>
          <t>ND</t>
        </is>
      </c>
      <c r="AO275" s="171" t="inlineStr">
        <is>
          <t>ND</t>
        </is>
      </c>
      <c r="AP275" s="165" t="inlineStr">
        <is>
          <t>✓</t>
        </is>
      </c>
      <c r="AQ275" s="163" t="inlineStr">
        <is>
          <t>≤ LOQ (all 29 compounds)</t>
        </is>
      </c>
      <c r="AR275" s="164" t="inlineStr">
        <is>
          <t>87-2026, (03.02.2026) [IJZ]</t>
        </is>
      </c>
      <c r="AS275" s="172" t="inlineStr">
        <is>
          <t>✓</t>
        </is>
      </c>
    </row>
    <row r="276" ht="13" customHeight="1" s="70">
      <c r="A276" s="173" t="n"/>
      <c r="D276" s="174" t="n"/>
      <c r="F276" s="175" t="n"/>
      <c r="G276" s="174" t="n"/>
      <c r="I276" s="175" t="n"/>
      <c r="J276" s="174" t="n"/>
      <c r="L276" s="175" t="n"/>
      <c r="M276" s="174" t="n"/>
      <c r="O276" s="175" t="n"/>
      <c r="P276" s="174" t="n"/>
      <c r="R276" s="175" t="n"/>
      <c r="S276" s="174" t="n"/>
      <c r="U276" s="175" t="n"/>
      <c r="V276" s="174" t="n"/>
      <c r="X276" s="175" t="n"/>
      <c r="Y276" s="174" t="n"/>
      <c r="AA276" s="175" t="n"/>
      <c r="AB276" s="176" t="inlineStr">
        <is>
          <t>2-0005-26, (20.01.2026) [IJZ-MB]</t>
        </is>
      </c>
      <c r="AG276" s="175" t="n"/>
      <c r="AH276" s="176" t="inlineStr">
        <is>
          <t>87-2026, (03.02.2026) [IJZ]</t>
        </is>
      </c>
      <c r="AK276" s="175" t="n"/>
      <c r="AL276" s="176" t="inlineStr">
        <is>
          <t>87-2026, (03.02.2026) [IJZ]</t>
        </is>
      </c>
      <c r="AP276" s="175" t="n"/>
      <c r="AQ276" s="174" t="n"/>
      <c r="AS276" s="177" t="n"/>
    </row>
    <row r="277" ht="14" customHeight="1" s="70">
      <c r="A277" s="178" t="n"/>
      <c r="B277" s="179" t="n"/>
      <c r="D277" s="180" t="n"/>
      <c r="E277" s="179" t="n"/>
      <c r="F277" s="181" t="n"/>
      <c r="G277" s="182" t="inlineStr">
        <is>
          <t>Conforms</t>
        </is>
      </c>
      <c r="H277" s="183">
        <f>IFERROR(INDEX('iCoA Register'!$B:$B,MATCH("P060042|I",'iCoA Register'!$P:$P,0)),"iCoA — at issue")&amp;", (29.01.2026) [PP]"</f>
        <v/>
      </c>
      <c r="I277" s="184" t="inlineStr">
        <is>
          <t>✓</t>
        </is>
      </c>
      <c r="J277" s="180" t="n"/>
      <c r="K277" s="179" t="n"/>
      <c r="L277" s="181" t="n"/>
      <c r="M277" s="180" t="n"/>
      <c r="N277" s="179" t="n"/>
      <c r="O277" s="181" t="n"/>
      <c r="P277" s="180" t="n"/>
      <c r="Q277" s="179" t="n"/>
      <c r="R277" s="181" t="n"/>
      <c r="S277" s="180" t="n"/>
      <c r="T277" s="179" t="n"/>
      <c r="U277" s="181" t="n"/>
      <c r="V277" s="180" t="n"/>
      <c r="W277" s="179" t="n"/>
      <c r="X277" s="181" t="n"/>
      <c r="Y277" s="180" t="n"/>
      <c r="Z277" s="179" t="n"/>
      <c r="AA277" s="181" t="n"/>
      <c r="AB277" s="180" t="n"/>
      <c r="AC277" s="179" t="n"/>
      <c r="AD277" s="179" t="n"/>
      <c r="AE277" s="179" t="n"/>
      <c r="AF277" s="179" t="n"/>
      <c r="AG277" s="181" t="n"/>
      <c r="AH277" s="180" t="n"/>
      <c r="AI277" s="179" t="n"/>
      <c r="AJ277" s="179" t="n"/>
      <c r="AK277" s="181" t="n"/>
      <c r="AL277" s="180" t="n"/>
      <c r="AM277" s="179" t="n"/>
      <c r="AN277" s="179" t="n"/>
      <c r="AO277" s="179" t="n"/>
      <c r="AP277" s="181" t="n"/>
      <c r="AQ277" s="180" t="n"/>
      <c r="AR277" s="179" t="n"/>
      <c r="AS277" s="192" t="n"/>
    </row>
    <row r="278" ht="13" customHeight="1" s="70">
      <c r="A278" s="193" t="n"/>
      <c r="B278" s="194" t="n"/>
      <c r="C278" s="194" t="n"/>
      <c r="D278" s="195" t="n"/>
      <c r="E278" s="194" t="n"/>
      <c r="F278" s="196" t="n"/>
      <c r="G278" s="195" t="n"/>
      <c r="H278" s="194" t="n"/>
      <c r="I278" s="196" t="n"/>
      <c r="J278" s="195" t="n"/>
      <c r="K278" s="194" t="n"/>
      <c r="L278" s="196" t="n"/>
      <c r="M278" s="195" t="n"/>
      <c r="N278" s="194" t="n"/>
      <c r="O278" s="196" t="n"/>
      <c r="P278" s="195" t="n"/>
      <c r="Q278" s="194" t="n"/>
      <c r="R278" s="196" t="n"/>
      <c r="S278" s="195" t="n"/>
      <c r="T278" s="194" t="n"/>
      <c r="U278" s="196" t="n"/>
      <c r="V278" s="195" t="n"/>
      <c r="W278" s="194" t="n"/>
      <c r="X278" s="196" t="n"/>
      <c r="Y278" s="195" t="n"/>
      <c r="Z278" s="194" t="n"/>
      <c r="AA278" s="196" t="n"/>
      <c r="AB278" s="195" t="n"/>
      <c r="AC278" s="194" t="n"/>
      <c r="AD278" s="194" t="n"/>
      <c r="AE278" s="194" t="n"/>
      <c r="AF278" s="194" t="n"/>
      <c r="AG278" s="196" t="n"/>
      <c r="AH278" s="195" t="n"/>
      <c r="AI278" s="194" t="n"/>
      <c r="AJ278" s="194" t="n"/>
      <c r="AK278" s="196" t="n"/>
      <c r="AL278" s="195" t="n"/>
      <c r="AM278" s="194" t="n"/>
      <c r="AN278" s="194" t="n"/>
      <c r="AO278" s="194" t="n"/>
      <c r="AP278" s="196" t="n"/>
      <c r="AQ278" s="195" t="n"/>
      <c r="AR278" s="194" t="n"/>
      <c r="AS278" s="198" t="n"/>
    </row>
    <row r="279" ht="17.625" customHeight="1" s="70">
      <c r="A279" s="160" t="inlineStr">
        <is>
          <t>AB092501</t>
        </is>
      </c>
      <c r="B279" s="161" t="inlineStr">
        <is>
          <t>P060052</t>
        </is>
      </c>
      <c r="C279" s="162" t="inlineStr">
        <is>
          <t>✓ COMPLETE
2 testing instances
• 1 document(s) on file, not credited</t>
        </is>
      </c>
      <c r="D279" s="163" t="inlineStr">
        <is>
          <t>Conforms</t>
        </is>
      </c>
      <c r="E279" s="164">
        <f>IFERROR(INDEX('iCoA Register'!$B:$B,MATCH("P060052|I",'iCoA Register'!$P:$P,0)),"iCoA — at issue")&amp;", (30.01.2026) [PP]"</f>
        <v/>
      </c>
      <c r="F279" s="165" t="inlineStr">
        <is>
          <t>✓</t>
        </is>
      </c>
      <c r="G279" s="166" t="inlineStr">
        <is>
          <t>not on this certificate</t>
        </is>
      </c>
      <c r="H279" s="167" t="inlineStr">
        <is>
          <t>ППК26005, (21.01.2026) [CNP] · on file, not credited</t>
        </is>
      </c>
      <c r="I279" s="168" t="inlineStr">
        <is>
          <t>•</t>
        </is>
      </c>
      <c r="J279" s="163" t="inlineStr">
        <is>
          <t>Conforms (ImB spec.)</t>
        </is>
      </c>
      <c r="K279" s="164" t="inlineStr">
        <is>
          <t>ППК26005, (21.01.2026) [CNP]</t>
        </is>
      </c>
      <c r="L279" s="165" t="inlineStr">
        <is>
          <t>✓</t>
        </is>
      </c>
      <c r="M279" s="169" t="inlineStr">
        <is>
          <t>16.93</t>
        </is>
      </c>
      <c r="N279" s="164" t="inlineStr">
        <is>
          <t>ППК26005, (21.01.2026) [CNP]</t>
        </is>
      </c>
      <c r="O279" s="165" t="inlineStr">
        <is>
          <t>✓</t>
        </is>
      </c>
      <c r="P279" s="170" t="inlineStr">
        <is>
          <t>0.07</t>
        </is>
      </c>
      <c r="Q279" s="164" t="inlineStr">
        <is>
          <t>ППК26005, (21.01.2026) [CNP]</t>
        </is>
      </c>
      <c r="R279" s="165" t="inlineStr">
        <is>
          <t>✓</t>
        </is>
      </c>
      <c r="S279" s="170" t="inlineStr">
        <is>
          <t>ND ᴰ</t>
        </is>
      </c>
      <c r="T279" s="164" t="inlineStr">
        <is>
          <t>ППК26005, (21.01.2026) [CNP]</t>
        </is>
      </c>
      <c r="U279" s="165" t="inlineStr">
        <is>
          <t>✓</t>
        </is>
      </c>
      <c r="V279" s="163" t="inlineStr">
        <is>
          <t>Conforms</t>
        </is>
      </c>
      <c r="W279" s="164">
        <f>IFERROR(INDEX('iCoA Register'!$B:$B,MATCH("P060052|I",'iCoA Register'!$P:$P,0)),"iCoA — at issue")&amp;", (30.01.2026) [PP]"</f>
        <v/>
      </c>
      <c r="X279" s="165" t="inlineStr">
        <is>
          <t>✓</t>
        </is>
      </c>
      <c r="Y279" s="163" t="inlineStr">
        <is>
          <t>6.77</t>
        </is>
      </c>
      <c r="Z279" s="164" t="inlineStr">
        <is>
          <t>ППК26005, (21.01.2026) [CNP]</t>
        </is>
      </c>
      <c r="AA279" s="165" t="inlineStr">
        <is>
          <t>✓</t>
        </is>
      </c>
      <c r="AB279" s="163" t="inlineStr">
        <is>
          <t>&lt; 10</t>
        </is>
      </c>
      <c r="AC279" s="171" t="inlineStr">
        <is>
          <t>&lt; 10</t>
        </is>
      </c>
      <c r="AD279" s="171" t="inlineStr">
        <is>
          <t>&lt; 10</t>
        </is>
      </c>
      <c r="AE279" s="171" t="inlineStr">
        <is>
          <t>Absent</t>
        </is>
      </c>
      <c r="AF279" s="171" t="inlineStr">
        <is>
          <t>Absent</t>
        </is>
      </c>
      <c r="AG279" s="165" t="inlineStr">
        <is>
          <t>✓</t>
        </is>
      </c>
      <c r="AH279" s="163" t="inlineStr">
        <is>
          <t>ND</t>
        </is>
      </c>
      <c r="AI279" s="171" t="inlineStr">
        <is>
          <t>&lt; 2</t>
        </is>
      </c>
      <c r="AJ279" s="171" t="inlineStr">
        <is>
          <t>ND</t>
        </is>
      </c>
      <c r="AK279" s="165" t="inlineStr">
        <is>
          <t>✓</t>
        </is>
      </c>
      <c r="AL279" s="163" t="inlineStr">
        <is>
          <t>0.05</t>
        </is>
      </c>
      <c r="AM279" s="171" t="inlineStr">
        <is>
          <t>ND</t>
        </is>
      </c>
      <c r="AN279" s="171" t="inlineStr">
        <is>
          <t>ND</t>
        </is>
      </c>
      <c r="AO279" s="171" t="inlineStr">
        <is>
          <t>0.003</t>
        </is>
      </c>
      <c r="AP279" s="165" t="inlineStr">
        <is>
          <t>✓</t>
        </is>
      </c>
      <c r="AQ279" s="163" t="inlineStr">
        <is>
          <t>≤ LOQ (all 29 compounds)</t>
        </is>
      </c>
      <c r="AR279" s="164" t="inlineStr">
        <is>
          <t>84-2026, (02.02.2026) [IJZ]</t>
        </is>
      </c>
      <c r="AS279" s="172" t="inlineStr">
        <is>
          <t>✓</t>
        </is>
      </c>
    </row>
    <row r="280" ht="13" customHeight="1" s="70">
      <c r="A280" s="173" t="n"/>
      <c r="D280" s="174" t="n"/>
      <c r="F280" s="175" t="n"/>
      <c r="G280" s="174" t="n"/>
      <c r="I280" s="175" t="n"/>
      <c r="J280" s="174" t="n"/>
      <c r="L280" s="175" t="n"/>
      <c r="M280" s="174" t="n"/>
      <c r="O280" s="175" t="n"/>
      <c r="P280" s="174" t="n"/>
      <c r="R280" s="175" t="n"/>
      <c r="S280" s="174" t="n"/>
      <c r="U280" s="175" t="n"/>
      <c r="V280" s="174" t="n"/>
      <c r="X280" s="175" t="n"/>
      <c r="Y280" s="174" t="n"/>
      <c r="AA280" s="175" t="n"/>
      <c r="AB280" s="176" t="inlineStr">
        <is>
          <t>7-0010-26, (20.01.2026) [IJZ-MB]</t>
        </is>
      </c>
      <c r="AG280" s="175" t="n"/>
      <c r="AH280" s="176" t="inlineStr">
        <is>
          <t>84-2026, (02.02.2026) [IJZ]</t>
        </is>
      </c>
      <c r="AK280" s="175" t="n"/>
      <c r="AL280" s="176" t="inlineStr">
        <is>
          <t>84-2026, (02.02.2026) [IJZ]</t>
        </is>
      </c>
      <c r="AP280" s="175" t="n"/>
      <c r="AQ280" s="174" t="n"/>
      <c r="AS280" s="177" t="n"/>
    </row>
    <row r="281" ht="14" customHeight="1" s="70">
      <c r="A281" s="178" t="n"/>
      <c r="B281" s="179" t="n"/>
      <c r="D281" s="180" t="n"/>
      <c r="E281" s="179" t="n"/>
      <c r="F281" s="181" t="n"/>
      <c r="G281" s="182" t="inlineStr">
        <is>
          <t>Conforms</t>
        </is>
      </c>
      <c r="H281" s="183">
        <f>IFERROR(INDEX('iCoA Register'!$B:$B,MATCH("P060052|I",'iCoA Register'!$P:$P,0)),"iCoA — at issue")&amp;", (30.01.2026) [PP]"</f>
        <v/>
      </c>
      <c r="I281" s="184" t="inlineStr">
        <is>
          <t>✓</t>
        </is>
      </c>
      <c r="J281" s="180" t="n"/>
      <c r="K281" s="179" t="n"/>
      <c r="L281" s="181" t="n"/>
      <c r="M281" s="180" t="n"/>
      <c r="N281" s="179" t="n"/>
      <c r="O281" s="181" t="n"/>
      <c r="P281" s="180" t="n"/>
      <c r="Q281" s="179" t="n"/>
      <c r="R281" s="181" t="n"/>
      <c r="S281" s="180" t="n"/>
      <c r="T281" s="179" t="n"/>
      <c r="U281" s="181" t="n"/>
      <c r="V281" s="180" t="n"/>
      <c r="W281" s="179" t="n"/>
      <c r="X281" s="181" t="n"/>
      <c r="Y281" s="180" t="n"/>
      <c r="Z281" s="179" t="n"/>
      <c r="AA281" s="181" t="n"/>
      <c r="AB281" s="190" t="inlineStr">
        <is>
          <t>&lt; 10</t>
        </is>
      </c>
      <c r="AC281" s="191" t="inlineStr">
        <is>
          <t>&lt; 10</t>
        </is>
      </c>
      <c r="AD281" s="191" t="inlineStr">
        <is>
          <t>&lt; 10</t>
        </is>
      </c>
      <c r="AE281" s="191" t="inlineStr">
        <is>
          <t>Absent</t>
        </is>
      </c>
      <c r="AF281" s="191" t="inlineStr">
        <is>
          <t>Absent</t>
        </is>
      </c>
      <c r="AG281" s="184" t="inlineStr">
        <is>
          <t>✓</t>
        </is>
      </c>
      <c r="AH281" s="180" t="n"/>
      <c r="AI281" s="179" t="n"/>
      <c r="AJ281" s="179" t="n"/>
      <c r="AK281" s="181" t="n"/>
      <c r="AL281" s="180" t="n"/>
      <c r="AM281" s="179" t="n"/>
      <c r="AN281" s="179" t="n"/>
      <c r="AO281" s="179" t="n"/>
      <c r="AP281" s="181" t="n"/>
      <c r="AQ281" s="180" t="n"/>
      <c r="AR281" s="179" t="n"/>
      <c r="AS281" s="192" t="n"/>
    </row>
    <row r="282" ht="13" customHeight="1" s="70">
      <c r="A282" s="193" t="n"/>
      <c r="B282" s="194" t="n"/>
      <c r="C282" s="194" t="n"/>
      <c r="D282" s="195" t="n"/>
      <c r="E282" s="194" t="n"/>
      <c r="F282" s="196" t="n"/>
      <c r="G282" s="195" t="n"/>
      <c r="H282" s="194" t="n"/>
      <c r="I282" s="196" t="n"/>
      <c r="J282" s="195" t="n"/>
      <c r="K282" s="194" t="n"/>
      <c r="L282" s="196" t="n"/>
      <c r="M282" s="195" t="n"/>
      <c r="N282" s="194" t="n"/>
      <c r="O282" s="196" t="n"/>
      <c r="P282" s="195" t="n"/>
      <c r="Q282" s="194" t="n"/>
      <c r="R282" s="196" t="n"/>
      <c r="S282" s="195" t="n"/>
      <c r="T282" s="194" t="n"/>
      <c r="U282" s="196" t="n"/>
      <c r="V282" s="195" t="n"/>
      <c r="W282" s="194" t="n"/>
      <c r="X282" s="196" t="n"/>
      <c r="Y282" s="195" t="n"/>
      <c r="Z282" s="194" t="n"/>
      <c r="AA282" s="196" t="n"/>
      <c r="AB282" s="197" t="inlineStr">
        <is>
          <t>552-1083-26, (01.09.2026) [IJZ-MB]</t>
        </is>
      </c>
      <c r="AC282" s="194" t="n"/>
      <c r="AD282" s="194" t="n"/>
      <c r="AE282" s="194" t="n"/>
      <c r="AF282" s="194" t="n"/>
      <c r="AG282" s="196" t="n"/>
      <c r="AH282" s="195" t="n"/>
      <c r="AI282" s="194" t="n"/>
      <c r="AJ282" s="194" t="n"/>
      <c r="AK282" s="196" t="n"/>
      <c r="AL282" s="195" t="n"/>
      <c r="AM282" s="194" t="n"/>
      <c r="AN282" s="194" t="n"/>
      <c r="AO282" s="194" t="n"/>
      <c r="AP282" s="196" t="n"/>
      <c r="AQ282" s="195" t="n"/>
      <c r="AR282" s="194" t="n"/>
      <c r="AS282" s="198" t="n"/>
    </row>
    <row r="283" ht="17.625" customHeight="1" s="70">
      <c r="A283" s="160" t="inlineStr">
        <is>
          <t>PM092501</t>
        </is>
      </c>
      <c r="B283" s="161" t="inlineStr">
        <is>
          <t>P060062</t>
        </is>
      </c>
      <c r="C283" s="162" t="inlineStr">
        <is>
          <t>✓ COMPLETE
2 testing instances
• 2 document(s) on file, not credited</t>
        </is>
      </c>
      <c r="D283" s="163" t="inlineStr">
        <is>
          <t>Conforms</t>
        </is>
      </c>
      <c r="E283" s="164">
        <f>IFERROR(INDEX('iCoA Register'!$B:$B,MATCH("P060062|I",'iCoA Register'!$P:$P,0)),"iCoA — at issue")&amp;", (30.01.2026) [PP]"</f>
        <v/>
      </c>
      <c r="F283" s="165" t="inlineStr">
        <is>
          <t>✓</t>
        </is>
      </c>
      <c r="G283" s="166" t="inlineStr">
        <is>
          <t>not on this certificate</t>
        </is>
      </c>
      <c r="H283" s="167" t="inlineStr">
        <is>
          <t>ППК26004, (21.01.2026) [CNP] · on file, not credited</t>
        </is>
      </c>
      <c r="I283" s="168" t="inlineStr">
        <is>
          <t>•</t>
        </is>
      </c>
      <c r="J283" s="163" t="inlineStr">
        <is>
          <t>Conforms (ImB spec.) ᴿ</t>
        </is>
      </c>
      <c r="K283" s="164" t="inlineStr">
        <is>
          <t>ППК26004, (21.01.2026) [CNP]</t>
        </is>
      </c>
      <c r="L283" s="165" t="inlineStr">
        <is>
          <t>✓</t>
        </is>
      </c>
      <c r="M283" s="169" t="inlineStr">
        <is>
          <t>14.06 ᴿ</t>
        </is>
      </c>
      <c r="N283" s="164" t="inlineStr">
        <is>
          <t>ППК26004, (21.01.2026) [CNP]</t>
        </is>
      </c>
      <c r="O283" s="165" t="inlineStr">
        <is>
          <t>✓</t>
        </is>
      </c>
      <c r="P283" s="170" t="inlineStr">
        <is>
          <t>0.05</t>
        </is>
      </c>
      <c r="Q283" s="164" t="inlineStr">
        <is>
          <t>ППК26004, (21.01.2026) [CNP]</t>
        </is>
      </c>
      <c r="R283" s="165" t="inlineStr">
        <is>
          <t>✓</t>
        </is>
      </c>
      <c r="S283" s="170" t="inlineStr">
        <is>
          <t>&lt; LOQ ᴰ</t>
        </is>
      </c>
      <c r="T283" s="164" t="inlineStr">
        <is>
          <t>ППК26004, (21.01.2026) [CNP]</t>
        </is>
      </c>
      <c r="U283" s="165" t="inlineStr">
        <is>
          <t>✓</t>
        </is>
      </c>
      <c r="V283" s="163" t="inlineStr">
        <is>
          <t>Conforms</t>
        </is>
      </c>
      <c r="W283" s="164">
        <f>IFERROR(INDEX('iCoA Register'!$B:$B,MATCH("P060062|I",'iCoA Register'!$P:$P,0)),"iCoA — at issue")&amp;", (30.01.2026) [PP]"</f>
        <v/>
      </c>
      <c r="X283" s="165" t="inlineStr">
        <is>
          <t>✓</t>
        </is>
      </c>
      <c r="Y283" s="163" t="inlineStr">
        <is>
          <t>7.97</t>
        </is>
      </c>
      <c r="Z283" s="164" t="inlineStr">
        <is>
          <t>ППК26004, (21.01.2026) [CNP]</t>
        </is>
      </c>
      <c r="AA283" s="165" t="inlineStr">
        <is>
          <t>✓</t>
        </is>
      </c>
      <c r="AB283" s="163" t="inlineStr">
        <is>
          <t>2 × 10³</t>
        </is>
      </c>
      <c r="AC283" s="171" t="inlineStr">
        <is>
          <t>2.2 × 10³</t>
        </is>
      </c>
      <c r="AD283" s="171" t="inlineStr">
        <is>
          <t>&lt; 10</t>
        </is>
      </c>
      <c r="AE283" s="171" t="inlineStr">
        <is>
          <t>Absent</t>
        </is>
      </c>
      <c r="AF283" s="171" t="inlineStr">
        <is>
          <t>Absent</t>
        </is>
      </c>
      <c r="AG283" s="165" t="inlineStr">
        <is>
          <t>✓</t>
        </is>
      </c>
      <c r="AH283" s="163" t="inlineStr">
        <is>
          <t>ND</t>
        </is>
      </c>
      <c r="AI283" s="171" t="inlineStr">
        <is>
          <t>&lt; 2</t>
        </is>
      </c>
      <c r="AJ283" s="171" t="inlineStr">
        <is>
          <t>ND</t>
        </is>
      </c>
      <c r="AK283" s="165" t="inlineStr">
        <is>
          <t>✓</t>
        </is>
      </c>
      <c r="AL283" s="163" t="inlineStr">
        <is>
          <t>0.03</t>
        </is>
      </c>
      <c r="AM283" s="171" t="inlineStr">
        <is>
          <t>ND</t>
        </is>
      </c>
      <c r="AN283" s="171" t="inlineStr">
        <is>
          <t>ND</t>
        </is>
      </c>
      <c r="AO283" s="171" t="inlineStr">
        <is>
          <t>ND</t>
        </is>
      </c>
      <c r="AP283" s="165" t="inlineStr">
        <is>
          <t>✓</t>
        </is>
      </c>
      <c r="AQ283" s="163" t="inlineStr">
        <is>
          <t>≤ LOQ (all 28 compounds)</t>
        </is>
      </c>
      <c r="AR283" s="164" t="inlineStr">
        <is>
          <t>83-2026, (02.02.2026) [IJZ]</t>
        </is>
      </c>
      <c r="AS283" s="172" t="inlineStr">
        <is>
          <t>✓</t>
        </is>
      </c>
    </row>
    <row r="284" ht="13" customHeight="1" s="70">
      <c r="A284" s="173" t="n"/>
      <c r="D284" s="174" t="n"/>
      <c r="F284" s="175" t="n"/>
      <c r="G284" s="174" t="n"/>
      <c r="I284" s="175" t="n"/>
      <c r="J284" s="174" t="n"/>
      <c r="L284" s="175" t="n"/>
      <c r="M284" s="174" t="n"/>
      <c r="O284" s="175" t="n"/>
      <c r="P284" s="174" t="n"/>
      <c r="R284" s="175" t="n"/>
      <c r="S284" s="174" t="n"/>
      <c r="U284" s="175" t="n"/>
      <c r="V284" s="174" t="n"/>
      <c r="X284" s="175" t="n"/>
      <c r="Y284" s="174" t="n"/>
      <c r="AA284" s="175" t="n"/>
      <c r="AB284" s="176" t="inlineStr">
        <is>
          <t>6-0009-26, (20.01.2026) [IJZ-MB]</t>
        </is>
      </c>
      <c r="AG284" s="175" t="n"/>
      <c r="AH284" s="176" t="inlineStr">
        <is>
          <t>83-2026, (02.02.2026) [IJZ]</t>
        </is>
      </c>
      <c r="AK284" s="175" t="n"/>
      <c r="AL284" s="176" t="inlineStr">
        <is>
          <t>83-2026, (02.02.2026) [IJZ]</t>
        </is>
      </c>
      <c r="AP284" s="175" t="n"/>
      <c r="AQ284" s="174" t="n"/>
      <c r="AS284" s="177" t="n"/>
    </row>
    <row r="285" ht="17.625" customHeight="1" s="70">
      <c r="A285" s="178" t="n"/>
      <c r="B285" s="179" t="n"/>
      <c r="D285" s="180" t="n"/>
      <c r="E285" s="179" t="n"/>
      <c r="F285" s="181" t="n"/>
      <c r="G285" s="182" t="inlineStr">
        <is>
          <t>Conforms</t>
        </is>
      </c>
      <c r="H285" s="183">
        <f>IFERROR(INDEX('iCoA Register'!$B:$B,MATCH("P060062|I",'iCoA Register'!$P:$P,0)),"iCoA — at issue")&amp;", (30.01.2026) [PP]"</f>
        <v/>
      </c>
      <c r="I285" s="184" t="inlineStr">
        <is>
          <t>✓</t>
        </is>
      </c>
      <c r="J285" s="182" t="inlineStr">
        <is>
          <t>Conforms (ImB spec.)</t>
        </is>
      </c>
      <c r="K285" s="183" t="inlineStr">
        <is>
          <t>197-20-K-26, (07.08.2026) [FHM-K]</t>
        </is>
      </c>
      <c r="L285" s="184" t="inlineStr">
        <is>
          <t>✓</t>
        </is>
      </c>
      <c r="M285" s="185" t="inlineStr">
        <is>
          <t>12.25</t>
        </is>
      </c>
      <c r="N285" s="183" t="inlineStr">
        <is>
          <t>197-20-K-26, (07.08.2026) [FHM-K]</t>
        </is>
      </c>
      <c r="O285" s="184" t="inlineStr">
        <is>
          <t>✓</t>
        </is>
      </c>
      <c r="P285" s="186" t="inlineStr">
        <is>
          <t>&lt; LOQ</t>
        </is>
      </c>
      <c r="Q285" s="183" t="inlineStr">
        <is>
          <t>197-20-K-26, (07.08.2026) [FHM-K]</t>
        </is>
      </c>
      <c r="R285" s="184" t="inlineStr">
        <is>
          <t>✓</t>
        </is>
      </c>
      <c r="S285" s="186" t="inlineStr">
        <is>
          <t>&lt; LOQ</t>
        </is>
      </c>
      <c r="T285" s="183" t="inlineStr">
        <is>
          <t>197-20-K-26, (07.08.2026) [FHM-K]</t>
        </is>
      </c>
      <c r="U285" s="184" t="inlineStr">
        <is>
          <t>✓</t>
        </is>
      </c>
      <c r="V285" s="180" t="n"/>
      <c r="W285" s="179" t="n"/>
      <c r="X285" s="181" t="n"/>
      <c r="Y285" s="187" t="inlineStr">
        <is>
          <t>not on this certificate</t>
        </is>
      </c>
      <c r="Z285" s="188" t="inlineStr">
        <is>
          <t>197-20-K-26, (07.08.2026) [FHM-K] · on file, not credited</t>
        </is>
      </c>
      <c r="AA285" s="189" t="inlineStr">
        <is>
          <t>•</t>
        </is>
      </c>
      <c r="AB285" s="180" t="n"/>
      <c r="AC285" s="179" t="n"/>
      <c r="AD285" s="179" t="n"/>
      <c r="AE285" s="179" t="n"/>
      <c r="AF285" s="179" t="n"/>
      <c r="AG285" s="181" t="n"/>
      <c r="AH285" s="190" t="inlineStr">
        <is>
          <t>ND</t>
        </is>
      </c>
      <c r="AI285" s="191" t="inlineStr">
        <is>
          <t>ND</t>
        </is>
      </c>
      <c r="AJ285" s="191" t="inlineStr">
        <is>
          <t>ND</t>
        </is>
      </c>
      <c r="AK285" s="184" t="inlineStr">
        <is>
          <t>✓</t>
        </is>
      </c>
      <c r="AL285" s="180" t="n"/>
      <c r="AM285" s="179" t="n"/>
      <c r="AN285" s="179" t="n"/>
      <c r="AO285" s="179" t="n"/>
      <c r="AP285" s="181" t="n"/>
      <c r="AQ285" s="180" t="n"/>
      <c r="AR285" s="179" t="n"/>
      <c r="AS285" s="192" t="n"/>
    </row>
    <row r="286" ht="15.375" customHeight="1" s="70">
      <c r="A286" s="193" t="n"/>
      <c r="B286" s="194" t="n"/>
      <c r="C286" s="194" t="n"/>
      <c r="D286" s="195" t="n"/>
      <c r="E286" s="194" t="n"/>
      <c r="F286" s="196" t="n"/>
      <c r="G286" s="195" t="n"/>
      <c r="H286" s="194" t="n"/>
      <c r="I286" s="196" t="n"/>
      <c r="J286" s="195" t="n"/>
      <c r="K286" s="194" t="n"/>
      <c r="L286" s="196" t="n"/>
      <c r="M286" s="195" t="n"/>
      <c r="N286" s="194" t="n"/>
      <c r="O286" s="196" t="n"/>
      <c r="P286" s="195" t="n"/>
      <c r="Q286" s="194" t="n"/>
      <c r="R286" s="196" t="n"/>
      <c r="S286" s="195" t="n"/>
      <c r="T286" s="194" t="n"/>
      <c r="U286" s="196" t="n"/>
      <c r="V286" s="195" t="n"/>
      <c r="W286" s="194" t="n"/>
      <c r="X286" s="196" t="n"/>
      <c r="Y286" s="195" t="n"/>
      <c r="Z286" s="194" t="n"/>
      <c r="AA286" s="196" t="n"/>
      <c r="AB286" s="195" t="n"/>
      <c r="AC286" s="194" t="n"/>
      <c r="AD286" s="194" t="n"/>
      <c r="AE286" s="194" t="n"/>
      <c r="AF286" s="194" t="n"/>
      <c r="AG286" s="196" t="n"/>
      <c r="AH286" s="197" t="inlineStr">
        <is>
          <t>197-20-M-26, (10.08.2026) [FHM-M]</t>
        </is>
      </c>
      <c r="AI286" s="194" t="n"/>
      <c r="AJ286" s="194" t="n"/>
      <c r="AK286" s="196" t="n"/>
      <c r="AL286" s="195" t="n"/>
      <c r="AM286" s="194" t="n"/>
      <c r="AN286" s="194" t="n"/>
      <c r="AO286" s="194" t="n"/>
      <c r="AP286" s="196" t="n"/>
      <c r="AQ286" s="195" t="n"/>
      <c r="AR286" s="194" t="n"/>
      <c r="AS286" s="198" t="n"/>
    </row>
    <row r="287" ht="17.625" customHeight="1" s="70">
      <c r="A287" s="160" t="inlineStr">
        <is>
          <t>CJ092501</t>
        </is>
      </c>
      <c r="B287" s="161" t="inlineStr">
        <is>
          <t>P060072</t>
        </is>
      </c>
      <c r="C287" s="162" t="inlineStr">
        <is>
          <t>✓ COMPLETE
2 testing instances
• 1 document(s) on file, not credited</t>
        </is>
      </c>
      <c r="D287" s="163" t="inlineStr">
        <is>
          <t>Conforms</t>
        </is>
      </c>
      <c r="E287" s="164">
        <f>IFERROR(INDEX('iCoA Register'!$B:$B,MATCH("P060072|I",'iCoA Register'!$P:$P,0)),"iCoA — at issue")&amp;", (02.02.2026) [PP]"</f>
        <v/>
      </c>
      <c r="F287" s="165" t="inlineStr">
        <is>
          <t>✓</t>
        </is>
      </c>
      <c r="G287" s="166" t="inlineStr">
        <is>
          <t>not on this certificate</t>
        </is>
      </c>
      <c r="H287" s="167" t="inlineStr">
        <is>
          <t>ППК26007, (21.01.2026) [CNP] · on file, not credited</t>
        </is>
      </c>
      <c r="I287" s="168" t="inlineStr">
        <is>
          <t>•</t>
        </is>
      </c>
      <c r="J287" s="163" t="inlineStr">
        <is>
          <t>Conforms (ImB spec.)</t>
        </is>
      </c>
      <c r="K287" s="164" t="inlineStr">
        <is>
          <t>ППК26007, (21.01.2026) [CNP]</t>
        </is>
      </c>
      <c r="L287" s="165" t="inlineStr">
        <is>
          <t>✓</t>
        </is>
      </c>
      <c r="M287" s="169" t="inlineStr">
        <is>
          <t>22.30</t>
        </is>
      </c>
      <c r="N287" s="164" t="inlineStr">
        <is>
          <t>ППК26007, (21.01.2026) [CNP]</t>
        </is>
      </c>
      <c r="O287" s="165" t="inlineStr">
        <is>
          <t>✓</t>
        </is>
      </c>
      <c r="P287" s="170" t="inlineStr">
        <is>
          <t>0.10</t>
        </is>
      </c>
      <c r="Q287" s="164" t="inlineStr">
        <is>
          <t>ППК26007, (21.01.2026) [CNP]</t>
        </is>
      </c>
      <c r="R287" s="165" t="inlineStr">
        <is>
          <t>✓</t>
        </is>
      </c>
      <c r="S287" s="170" t="inlineStr">
        <is>
          <t>ND ᴰ</t>
        </is>
      </c>
      <c r="T287" s="164" t="inlineStr">
        <is>
          <t>ППК26007, (21.01.2026) [CNP]</t>
        </is>
      </c>
      <c r="U287" s="165" t="inlineStr">
        <is>
          <t>✓</t>
        </is>
      </c>
      <c r="V287" s="163" t="inlineStr">
        <is>
          <t>Conforms</t>
        </is>
      </c>
      <c r="W287" s="164">
        <f>IFERROR(INDEX('iCoA Register'!$B:$B,MATCH("P060072|I",'iCoA Register'!$P:$P,0)),"iCoA — at issue")&amp;", (02.02.2026) [PP]"</f>
        <v/>
      </c>
      <c r="X287" s="165" t="inlineStr">
        <is>
          <t>✓</t>
        </is>
      </c>
      <c r="Y287" s="163" t="inlineStr">
        <is>
          <t>7.64</t>
        </is>
      </c>
      <c r="Z287" s="164" t="inlineStr">
        <is>
          <t>ППК26007, (21.01.2026) [CNP]</t>
        </is>
      </c>
      <c r="AA287" s="165" t="inlineStr">
        <is>
          <t>✓</t>
        </is>
      </c>
      <c r="AB287" s="163" t="inlineStr">
        <is>
          <t>&lt; 10</t>
        </is>
      </c>
      <c r="AC287" s="171" t="inlineStr">
        <is>
          <t>&lt; 10</t>
        </is>
      </c>
      <c r="AD287" s="171" t="inlineStr">
        <is>
          <t>&lt; 10</t>
        </is>
      </c>
      <c r="AE287" s="171" t="inlineStr">
        <is>
          <t>Absent</t>
        </is>
      </c>
      <c r="AF287" s="171" t="inlineStr">
        <is>
          <t>Absent</t>
        </is>
      </c>
      <c r="AG287" s="165" t="inlineStr">
        <is>
          <t>✓</t>
        </is>
      </c>
      <c r="AH287" s="163" t="inlineStr">
        <is>
          <t>ND</t>
        </is>
      </c>
      <c r="AI287" s="171" t="inlineStr">
        <is>
          <t>&lt; 2</t>
        </is>
      </c>
      <c r="AJ287" s="171" t="inlineStr">
        <is>
          <t>ND</t>
        </is>
      </c>
      <c r="AK287" s="165" t="inlineStr">
        <is>
          <t>✓</t>
        </is>
      </c>
      <c r="AL287" s="163" t="inlineStr">
        <is>
          <t>0.04</t>
        </is>
      </c>
      <c r="AM287" s="171" t="inlineStr">
        <is>
          <t>ND</t>
        </is>
      </c>
      <c r="AN287" s="171" t="inlineStr">
        <is>
          <t>ND</t>
        </is>
      </c>
      <c r="AO287" s="171" t="inlineStr">
        <is>
          <t>0.004</t>
        </is>
      </c>
      <c r="AP287" s="165" t="inlineStr">
        <is>
          <t>✓</t>
        </is>
      </c>
      <c r="AQ287" s="163" t="inlineStr">
        <is>
          <t>≤ LOQ (all 29 compounds)</t>
        </is>
      </c>
      <c r="AR287" s="164" t="inlineStr">
        <is>
          <t>86-2026, (02.02.2026) [IJZ]</t>
        </is>
      </c>
      <c r="AS287" s="172" t="inlineStr">
        <is>
          <t>✓</t>
        </is>
      </c>
    </row>
    <row r="288" ht="13" customHeight="1" s="70">
      <c r="A288" s="173" t="n"/>
      <c r="D288" s="174" t="n"/>
      <c r="F288" s="175" t="n"/>
      <c r="G288" s="174" t="n"/>
      <c r="I288" s="175" t="n"/>
      <c r="J288" s="174" t="n"/>
      <c r="L288" s="175" t="n"/>
      <c r="M288" s="174" t="n"/>
      <c r="O288" s="175" t="n"/>
      <c r="P288" s="174" t="n"/>
      <c r="R288" s="175" t="n"/>
      <c r="S288" s="174" t="n"/>
      <c r="U288" s="175" t="n"/>
      <c r="V288" s="174" t="n"/>
      <c r="X288" s="175" t="n"/>
      <c r="Y288" s="174" t="n"/>
      <c r="AA288" s="175" t="n"/>
      <c r="AB288" s="176" t="inlineStr">
        <is>
          <t>10-0013-26, (20.01.2026) [IJZ-MB]</t>
        </is>
      </c>
      <c r="AG288" s="175" t="n"/>
      <c r="AH288" s="176" t="inlineStr">
        <is>
          <t>86-2026, (02.02.2026) [IJZ]</t>
        </is>
      </c>
      <c r="AK288" s="175" t="n"/>
      <c r="AL288" s="176" t="inlineStr">
        <is>
          <t>86-2026, (02.02.2026) [IJZ]</t>
        </is>
      </c>
      <c r="AP288" s="175" t="n"/>
      <c r="AQ288" s="174" t="n"/>
      <c r="AS288" s="177" t="n"/>
    </row>
    <row r="289" ht="14" customHeight="1" s="70">
      <c r="A289" s="178" t="n"/>
      <c r="B289" s="179" t="n"/>
      <c r="D289" s="180" t="n"/>
      <c r="E289" s="179" t="n"/>
      <c r="F289" s="181" t="n"/>
      <c r="G289" s="182" t="inlineStr">
        <is>
          <t>Conforms</t>
        </is>
      </c>
      <c r="H289" s="183">
        <f>IFERROR(INDEX('iCoA Register'!$B:$B,MATCH("P060072|I",'iCoA Register'!$P:$P,0)),"iCoA — at issue")&amp;", (02.02.2026) [PP]"</f>
        <v/>
      </c>
      <c r="I289" s="184" t="inlineStr">
        <is>
          <t>✓</t>
        </is>
      </c>
      <c r="J289" s="180" t="n"/>
      <c r="K289" s="179" t="n"/>
      <c r="L289" s="181" t="n"/>
      <c r="M289" s="180" t="n"/>
      <c r="N289" s="179" t="n"/>
      <c r="O289" s="181" t="n"/>
      <c r="P289" s="180" t="n"/>
      <c r="Q289" s="179" t="n"/>
      <c r="R289" s="181" t="n"/>
      <c r="S289" s="180" t="n"/>
      <c r="T289" s="179" t="n"/>
      <c r="U289" s="181" t="n"/>
      <c r="V289" s="180" t="n"/>
      <c r="W289" s="179" t="n"/>
      <c r="X289" s="181" t="n"/>
      <c r="Y289" s="180" t="n"/>
      <c r="Z289" s="179" t="n"/>
      <c r="AA289" s="181" t="n"/>
      <c r="AB289" s="180" t="n"/>
      <c r="AC289" s="179" t="n"/>
      <c r="AD289" s="179" t="n"/>
      <c r="AE289" s="179" t="n"/>
      <c r="AF289" s="179" t="n"/>
      <c r="AG289" s="181" t="n"/>
      <c r="AH289" s="180" t="n"/>
      <c r="AI289" s="179" t="n"/>
      <c r="AJ289" s="179" t="n"/>
      <c r="AK289" s="181" t="n"/>
      <c r="AL289" s="180" t="n"/>
      <c r="AM289" s="179" t="n"/>
      <c r="AN289" s="179" t="n"/>
      <c r="AO289" s="179" t="n"/>
      <c r="AP289" s="181" t="n"/>
      <c r="AQ289" s="180" t="n"/>
      <c r="AR289" s="179" t="n"/>
      <c r="AS289" s="192" t="n"/>
    </row>
    <row r="290" ht="13" customHeight="1" s="70">
      <c r="A290" s="193" t="n"/>
      <c r="B290" s="194" t="n"/>
      <c r="C290" s="194" t="n"/>
      <c r="D290" s="195" t="n"/>
      <c r="E290" s="194" t="n"/>
      <c r="F290" s="196" t="n"/>
      <c r="G290" s="195" t="n"/>
      <c r="H290" s="194" t="n"/>
      <c r="I290" s="196" t="n"/>
      <c r="J290" s="195" t="n"/>
      <c r="K290" s="194" t="n"/>
      <c r="L290" s="196" t="n"/>
      <c r="M290" s="195" t="n"/>
      <c r="N290" s="194" t="n"/>
      <c r="O290" s="196" t="n"/>
      <c r="P290" s="195" t="n"/>
      <c r="Q290" s="194" t="n"/>
      <c r="R290" s="196" t="n"/>
      <c r="S290" s="195" t="n"/>
      <c r="T290" s="194" t="n"/>
      <c r="U290" s="196" t="n"/>
      <c r="V290" s="195" t="n"/>
      <c r="W290" s="194" t="n"/>
      <c r="X290" s="196" t="n"/>
      <c r="Y290" s="195" t="n"/>
      <c r="Z290" s="194" t="n"/>
      <c r="AA290" s="196" t="n"/>
      <c r="AB290" s="195" t="n"/>
      <c r="AC290" s="194" t="n"/>
      <c r="AD290" s="194" t="n"/>
      <c r="AE290" s="194" t="n"/>
      <c r="AF290" s="194" t="n"/>
      <c r="AG290" s="196" t="n"/>
      <c r="AH290" s="195" t="n"/>
      <c r="AI290" s="194" t="n"/>
      <c r="AJ290" s="194" t="n"/>
      <c r="AK290" s="196" t="n"/>
      <c r="AL290" s="195" t="n"/>
      <c r="AM290" s="194" t="n"/>
      <c r="AN290" s="194" t="n"/>
      <c r="AO290" s="194" t="n"/>
      <c r="AP290" s="196" t="n"/>
      <c r="AQ290" s="195" t="n"/>
      <c r="AR290" s="194" t="n"/>
      <c r="AS290" s="198" t="n"/>
    </row>
    <row r="291" ht="17.625" customHeight="1" s="70">
      <c r="A291" s="160" t="inlineStr">
        <is>
          <t>SJ0925021</t>
        </is>
      </c>
      <c r="B291" s="161" t="inlineStr">
        <is>
          <t>P060082</t>
        </is>
      </c>
      <c r="C291" s="162" t="inlineStr">
        <is>
          <t>✓ COMPLETE
2 testing instances
• 1 document(s) on file, not credited</t>
        </is>
      </c>
      <c r="D291" s="163" t="inlineStr">
        <is>
          <t>Conforms</t>
        </is>
      </c>
      <c r="E291" s="164">
        <f>IFERROR(INDEX('iCoA Register'!$B:$B,MATCH("P060082|I",'iCoA Register'!$P:$P,0)),"iCoA — at issue")&amp;", (02.02.2026) [PP]"</f>
        <v/>
      </c>
      <c r="F291" s="165" t="inlineStr">
        <is>
          <t>✓</t>
        </is>
      </c>
      <c r="G291" s="166" t="inlineStr">
        <is>
          <t>not on this certificate</t>
        </is>
      </c>
      <c r="H291" s="167" t="inlineStr">
        <is>
          <t>ППК26006, (21.01.2026) [CNP] · on file, not credited</t>
        </is>
      </c>
      <c r="I291" s="168" t="inlineStr">
        <is>
          <t>•</t>
        </is>
      </c>
      <c r="J291" s="163" t="inlineStr">
        <is>
          <t>Conforms (ImB spec.)</t>
        </is>
      </c>
      <c r="K291" s="164" t="inlineStr">
        <is>
          <t>ППК26006, (21.01.2026) [CNP]</t>
        </is>
      </c>
      <c r="L291" s="165" t="inlineStr">
        <is>
          <t>✓</t>
        </is>
      </c>
      <c r="M291" s="169" t="inlineStr">
        <is>
          <t>10.96</t>
        </is>
      </c>
      <c r="N291" s="164" t="inlineStr">
        <is>
          <t>ППК26006, (21.01.2026) [CNP]</t>
        </is>
      </c>
      <c r="O291" s="165" t="inlineStr">
        <is>
          <t>✓</t>
        </is>
      </c>
      <c r="P291" s="170" t="inlineStr">
        <is>
          <t>0.07</t>
        </is>
      </c>
      <c r="Q291" s="164" t="inlineStr">
        <is>
          <t>ППК26006, (21.01.2026) [CNP]</t>
        </is>
      </c>
      <c r="R291" s="165" t="inlineStr">
        <is>
          <t>✓</t>
        </is>
      </c>
      <c r="S291" s="170" t="inlineStr">
        <is>
          <t>&lt; LOQ ᴰ</t>
        </is>
      </c>
      <c r="T291" s="164" t="inlineStr">
        <is>
          <t>ППК26006, (21.01.2026) [CNP]</t>
        </is>
      </c>
      <c r="U291" s="165" t="inlineStr">
        <is>
          <t>✓</t>
        </is>
      </c>
      <c r="V291" s="163" t="inlineStr">
        <is>
          <t>Conforms</t>
        </is>
      </c>
      <c r="W291" s="164">
        <f>IFERROR(INDEX('iCoA Register'!$B:$B,MATCH("P060082|I",'iCoA Register'!$P:$P,0)),"iCoA — at issue")&amp;", (02.02.2026) [PP]"</f>
        <v/>
      </c>
      <c r="X291" s="165" t="inlineStr">
        <is>
          <t>✓</t>
        </is>
      </c>
      <c r="Y291" s="163" t="inlineStr">
        <is>
          <t>8.68</t>
        </is>
      </c>
      <c r="Z291" s="164" t="inlineStr">
        <is>
          <t>ППК26006, (21.01.2026) [CNP]</t>
        </is>
      </c>
      <c r="AA291" s="165" t="inlineStr">
        <is>
          <t>✓</t>
        </is>
      </c>
      <c r="AB291" s="163" t="inlineStr">
        <is>
          <t>&lt; 10</t>
        </is>
      </c>
      <c r="AC291" s="171" t="inlineStr">
        <is>
          <t>&lt; 10</t>
        </is>
      </c>
      <c r="AD291" s="171" t="inlineStr">
        <is>
          <t>10</t>
        </is>
      </c>
      <c r="AE291" s="171" t="inlineStr">
        <is>
          <t>Absent</t>
        </is>
      </c>
      <c r="AF291" s="171" t="inlineStr">
        <is>
          <t>Absent</t>
        </is>
      </c>
      <c r="AG291" s="165" t="inlineStr">
        <is>
          <t>✓</t>
        </is>
      </c>
      <c r="AH291" s="163" t="inlineStr">
        <is>
          <t>ND</t>
        </is>
      </c>
      <c r="AI291" s="171" t="inlineStr">
        <is>
          <t>2</t>
        </is>
      </c>
      <c r="AJ291" s="171" t="inlineStr">
        <is>
          <t>ND</t>
        </is>
      </c>
      <c r="AK291" s="165" t="inlineStr">
        <is>
          <t>✓</t>
        </is>
      </c>
      <c r="AL291" s="163" t="inlineStr">
        <is>
          <t>0.08</t>
        </is>
      </c>
      <c r="AM291" s="171" t="inlineStr">
        <is>
          <t>ND</t>
        </is>
      </c>
      <c r="AN291" s="171" t="inlineStr">
        <is>
          <t>ND</t>
        </is>
      </c>
      <c r="AO291" s="171" t="inlineStr">
        <is>
          <t>0.003</t>
        </is>
      </c>
      <c r="AP291" s="165" t="inlineStr">
        <is>
          <t>✓</t>
        </is>
      </c>
      <c r="AQ291" s="163" t="inlineStr">
        <is>
          <t>≤ LOQ (all 29 compounds)</t>
        </is>
      </c>
      <c r="AR291" s="164" t="inlineStr">
        <is>
          <t>85-2026, (02.02.2026) [IJZ]</t>
        </is>
      </c>
      <c r="AS291" s="172" t="inlineStr">
        <is>
          <t>✓</t>
        </is>
      </c>
    </row>
    <row r="292" ht="13" customHeight="1" s="70">
      <c r="A292" s="173" t="n"/>
      <c r="D292" s="174" t="n"/>
      <c r="F292" s="175" t="n"/>
      <c r="G292" s="174" t="n"/>
      <c r="I292" s="175" t="n"/>
      <c r="J292" s="174" t="n"/>
      <c r="L292" s="175" t="n"/>
      <c r="M292" s="174" t="n"/>
      <c r="O292" s="175" t="n"/>
      <c r="P292" s="174" t="n"/>
      <c r="R292" s="175" t="n"/>
      <c r="S292" s="174" t="n"/>
      <c r="U292" s="175" t="n"/>
      <c r="V292" s="174" t="n"/>
      <c r="X292" s="175" t="n"/>
      <c r="Y292" s="174" t="n"/>
      <c r="AA292" s="175" t="n"/>
      <c r="AB292" s="176" t="inlineStr">
        <is>
          <t>9-0012-26, (20.01.2026) [IJZ-MB]</t>
        </is>
      </c>
      <c r="AG292" s="175" t="n"/>
      <c r="AH292" s="176" t="inlineStr">
        <is>
          <t>85-2026, (02.02.2026) [IJZ]</t>
        </is>
      </c>
      <c r="AK292" s="175" t="n"/>
      <c r="AL292" s="176" t="inlineStr">
        <is>
          <t>85-2026, (02.02.2026) [IJZ]</t>
        </is>
      </c>
      <c r="AP292" s="175" t="n"/>
      <c r="AQ292" s="174" t="n"/>
      <c r="AS292" s="177" t="n"/>
    </row>
    <row r="293" ht="14" customHeight="1" s="70">
      <c r="A293" s="178" t="n"/>
      <c r="B293" s="179" t="n"/>
      <c r="D293" s="180" t="n"/>
      <c r="E293" s="179" t="n"/>
      <c r="F293" s="181" t="n"/>
      <c r="G293" s="182" t="inlineStr">
        <is>
          <t>Conforms</t>
        </is>
      </c>
      <c r="H293" s="183">
        <f>IFERROR(INDEX('iCoA Register'!$B:$B,MATCH("P060082|I",'iCoA Register'!$P:$P,0)),"iCoA — at issue")&amp;", (02.02.2026) [PP]"</f>
        <v/>
      </c>
      <c r="I293" s="184" t="inlineStr">
        <is>
          <t>✓</t>
        </is>
      </c>
      <c r="J293" s="180" t="n"/>
      <c r="K293" s="179" t="n"/>
      <c r="L293" s="181" t="n"/>
      <c r="M293" s="180" t="n"/>
      <c r="N293" s="179" t="n"/>
      <c r="O293" s="181" t="n"/>
      <c r="P293" s="180" t="n"/>
      <c r="Q293" s="179" t="n"/>
      <c r="R293" s="181" t="n"/>
      <c r="S293" s="180" t="n"/>
      <c r="T293" s="179" t="n"/>
      <c r="U293" s="181" t="n"/>
      <c r="V293" s="180" t="n"/>
      <c r="W293" s="179" t="n"/>
      <c r="X293" s="181" t="n"/>
      <c r="Y293" s="180" t="n"/>
      <c r="Z293" s="179" t="n"/>
      <c r="AA293" s="181" t="n"/>
      <c r="AB293" s="180" t="n"/>
      <c r="AC293" s="179" t="n"/>
      <c r="AD293" s="179" t="n"/>
      <c r="AE293" s="179" t="n"/>
      <c r="AF293" s="179" t="n"/>
      <c r="AG293" s="181" t="n"/>
      <c r="AH293" s="180" t="n"/>
      <c r="AI293" s="179" t="n"/>
      <c r="AJ293" s="179" t="n"/>
      <c r="AK293" s="181" t="n"/>
      <c r="AL293" s="180" t="n"/>
      <c r="AM293" s="179" t="n"/>
      <c r="AN293" s="179" t="n"/>
      <c r="AO293" s="179" t="n"/>
      <c r="AP293" s="181" t="n"/>
      <c r="AQ293" s="180" t="n"/>
      <c r="AR293" s="179" t="n"/>
      <c r="AS293" s="192" t="n"/>
    </row>
    <row r="294" ht="13" customHeight="1" s="70">
      <c r="A294" s="193" t="n"/>
      <c r="B294" s="194" t="n"/>
      <c r="C294" s="194" t="n"/>
      <c r="D294" s="195" t="n"/>
      <c r="E294" s="194" t="n"/>
      <c r="F294" s="196" t="n"/>
      <c r="G294" s="195" t="n"/>
      <c r="H294" s="194" t="n"/>
      <c r="I294" s="196" t="n"/>
      <c r="J294" s="195" t="n"/>
      <c r="K294" s="194" t="n"/>
      <c r="L294" s="196" t="n"/>
      <c r="M294" s="195" t="n"/>
      <c r="N294" s="194" t="n"/>
      <c r="O294" s="196" t="n"/>
      <c r="P294" s="195" t="n"/>
      <c r="Q294" s="194" t="n"/>
      <c r="R294" s="196" t="n"/>
      <c r="S294" s="195" t="n"/>
      <c r="T294" s="194" t="n"/>
      <c r="U294" s="196" t="n"/>
      <c r="V294" s="195" t="n"/>
      <c r="W294" s="194" t="n"/>
      <c r="X294" s="196" t="n"/>
      <c r="Y294" s="195" t="n"/>
      <c r="Z294" s="194" t="n"/>
      <c r="AA294" s="196" t="n"/>
      <c r="AB294" s="195" t="n"/>
      <c r="AC294" s="194" t="n"/>
      <c r="AD294" s="194" t="n"/>
      <c r="AE294" s="194" t="n"/>
      <c r="AF294" s="194" t="n"/>
      <c r="AG294" s="196" t="n"/>
      <c r="AH294" s="195" t="n"/>
      <c r="AI294" s="194" t="n"/>
      <c r="AJ294" s="194" t="n"/>
      <c r="AK294" s="196" t="n"/>
      <c r="AL294" s="195" t="n"/>
      <c r="AM294" s="194" t="n"/>
      <c r="AN294" s="194" t="n"/>
      <c r="AO294" s="194" t="n"/>
      <c r="AP294" s="196" t="n"/>
      <c r="AQ294" s="195" t="n"/>
      <c r="AR294" s="194" t="n"/>
      <c r="AS294" s="198" t="n"/>
    </row>
    <row r="295" ht="21" customHeight="1" s="70">
      <c r="A295" s="160" t="inlineStr">
        <is>
          <t>GP092501</t>
        </is>
      </c>
      <c r="B295" s="161" t="inlineStr">
        <is>
          <t>P060092</t>
        </is>
      </c>
      <c r="C295" s="162" t="inlineStr">
        <is>
          <t>✓ COMPLETE
2 testing instances
• 1 document(s) on file, not credited</t>
        </is>
      </c>
      <c r="D295" s="163" t="inlineStr">
        <is>
          <t>Conforms</t>
        </is>
      </c>
      <c r="E295" s="164">
        <f>IFERROR(INDEX('iCoA Register'!$B:$B,MATCH("P060092|I",'iCoA Register'!$P:$P,0)),"iCoA — at issue")&amp;", (03.02.2026) [PP]"</f>
        <v/>
      </c>
      <c r="F295" s="165" t="inlineStr">
        <is>
          <t>✓</t>
        </is>
      </c>
      <c r="G295" s="166" t="inlineStr">
        <is>
          <t>not on this certificate</t>
        </is>
      </c>
      <c r="H295" s="167" t="inlineStr">
        <is>
          <t>ППК26009, (21.01.2026) [CNP] · on file, not credited</t>
        </is>
      </c>
      <c r="I295" s="168" t="inlineStr">
        <is>
          <t>•</t>
        </is>
      </c>
      <c r="J295" s="163" t="inlineStr">
        <is>
          <t>Conforms (ImB spec.)</t>
        </is>
      </c>
      <c r="K295" s="164" t="inlineStr">
        <is>
          <t>ППК26009, (21.01.2026) [CNP]</t>
        </is>
      </c>
      <c r="L295" s="165" t="inlineStr">
        <is>
          <t>✓</t>
        </is>
      </c>
      <c r="M295" s="169" t="inlineStr">
        <is>
          <t>25.73</t>
        </is>
      </c>
      <c r="N295" s="164" t="inlineStr">
        <is>
          <t>ППК26009, (21.01.2026) [CNP]</t>
        </is>
      </c>
      <c r="O295" s="165" t="inlineStr">
        <is>
          <t>✓</t>
        </is>
      </c>
      <c r="P295" s="170" t="inlineStr">
        <is>
          <t>0.11</t>
        </is>
      </c>
      <c r="Q295" s="164" t="inlineStr">
        <is>
          <t>ППК26009, (21.01.2026) [CNP]</t>
        </is>
      </c>
      <c r="R295" s="165" t="inlineStr">
        <is>
          <t>✓</t>
        </is>
      </c>
      <c r="S295" s="170" t="inlineStr">
        <is>
          <t>0.02 ᴰ</t>
        </is>
      </c>
      <c r="T295" s="164" t="inlineStr">
        <is>
          <t>ППК26009, (21.01.2026) [CNP]</t>
        </is>
      </c>
      <c r="U295" s="165" t="inlineStr">
        <is>
          <t>✓</t>
        </is>
      </c>
      <c r="V295" s="163" t="inlineStr">
        <is>
          <t>Conforms</t>
        </is>
      </c>
      <c r="W295" s="164">
        <f>IFERROR(INDEX('iCoA Register'!$B:$B,MATCH("P060092|I",'iCoA Register'!$P:$P,0)),"iCoA — at issue")&amp;", (03.02.2026) [PP]"</f>
        <v/>
      </c>
      <c r="X295" s="165" t="inlineStr">
        <is>
          <t>✓</t>
        </is>
      </c>
      <c r="Y295" s="163" t="inlineStr">
        <is>
          <t>6.91</t>
        </is>
      </c>
      <c r="Z295" s="164" t="inlineStr">
        <is>
          <t>ППК26009, (21.01.2026) [CNP]</t>
        </is>
      </c>
      <c r="AA295" s="165" t="inlineStr">
        <is>
          <t>✓</t>
        </is>
      </c>
      <c r="AB295" s="163" t="inlineStr">
        <is>
          <t>&lt; 1 × 10²</t>
        </is>
      </c>
      <c r="AC295" s="171" t="inlineStr">
        <is>
          <t>&lt; 10</t>
        </is>
      </c>
      <c r="AD295" s="171" t="inlineStr">
        <is>
          <t>&lt; 10² and &gt; 10</t>
        </is>
      </c>
      <c r="AE295" s="171" t="inlineStr">
        <is>
          <t>Absent</t>
        </is>
      </c>
      <c r="AF295" s="171" t="inlineStr">
        <is>
          <t>Absent</t>
        </is>
      </c>
      <c r="AG295" s="165" t="inlineStr">
        <is>
          <t>✓</t>
        </is>
      </c>
      <c r="AH295" s="163" t="inlineStr">
        <is>
          <t>ND</t>
        </is>
      </c>
      <c r="AI295" s="171" t="inlineStr">
        <is>
          <t>&lt; 2</t>
        </is>
      </c>
      <c r="AJ295" s="171" t="inlineStr">
        <is>
          <t>ND</t>
        </is>
      </c>
      <c r="AK295" s="165" t="inlineStr">
        <is>
          <t>✓</t>
        </is>
      </c>
      <c r="AL295" s="163" t="inlineStr">
        <is>
          <t>0.022</t>
        </is>
      </c>
      <c r="AM295" s="171" t="inlineStr">
        <is>
          <t>ND</t>
        </is>
      </c>
      <c r="AN295" s="171" t="inlineStr">
        <is>
          <t>ND</t>
        </is>
      </c>
      <c r="AO295" s="171" t="inlineStr">
        <is>
          <t>0.007</t>
        </is>
      </c>
      <c r="AP295" s="165" t="inlineStr">
        <is>
          <t>✓</t>
        </is>
      </c>
      <c r="AQ295" s="163" t="inlineStr">
        <is>
          <t>≤ LOQ (all 29 compounds)</t>
        </is>
      </c>
      <c r="AR295" s="164" t="inlineStr">
        <is>
          <t>88-2026, (03.02.2026) [IJZ]</t>
        </is>
      </c>
      <c r="AS295" s="172" t="inlineStr">
        <is>
          <t>✓</t>
        </is>
      </c>
    </row>
    <row r="296" ht="13" customHeight="1" s="70">
      <c r="A296" s="173" t="n"/>
      <c r="D296" s="174" t="n"/>
      <c r="F296" s="175" t="n"/>
      <c r="G296" s="174" t="n"/>
      <c r="I296" s="175" t="n"/>
      <c r="J296" s="174" t="n"/>
      <c r="L296" s="175" t="n"/>
      <c r="M296" s="174" t="n"/>
      <c r="O296" s="175" t="n"/>
      <c r="P296" s="174" t="n"/>
      <c r="R296" s="175" t="n"/>
      <c r="S296" s="174" t="n"/>
      <c r="U296" s="175" t="n"/>
      <c r="V296" s="174" t="n"/>
      <c r="X296" s="175" t="n"/>
      <c r="Y296" s="174" t="n"/>
      <c r="AA296" s="175" t="n"/>
      <c r="AB296" s="176" t="inlineStr">
        <is>
          <t>5-0008-26, (20.01.2026) [IJZ-MB]</t>
        </is>
      </c>
      <c r="AG296" s="175" t="n"/>
      <c r="AH296" s="176" t="inlineStr">
        <is>
          <t>88-2026, (03.02.2026) [IJZ]</t>
        </is>
      </c>
      <c r="AK296" s="175" t="n"/>
      <c r="AL296" s="176" t="inlineStr">
        <is>
          <t>88-2026, (03.02.2026) [IJZ]</t>
        </is>
      </c>
      <c r="AP296" s="175" t="n"/>
      <c r="AQ296" s="174" t="n"/>
      <c r="AS296" s="177" t="n"/>
    </row>
    <row r="297" ht="14" customHeight="1" s="70">
      <c r="A297" s="178" t="n"/>
      <c r="B297" s="179" t="n"/>
      <c r="D297" s="180" t="n"/>
      <c r="E297" s="179" t="n"/>
      <c r="F297" s="181" t="n"/>
      <c r="G297" s="182" t="inlineStr">
        <is>
          <t>Conforms</t>
        </is>
      </c>
      <c r="H297" s="183">
        <f>IFERROR(INDEX('iCoA Register'!$B:$B,MATCH("P060092|I",'iCoA Register'!$P:$P,0)),"iCoA — at issue")&amp;", (03.02.2026) [PP]"</f>
        <v/>
      </c>
      <c r="I297" s="184" t="inlineStr">
        <is>
          <t>✓</t>
        </is>
      </c>
      <c r="J297" s="180" t="n"/>
      <c r="K297" s="179" t="n"/>
      <c r="L297" s="181" t="n"/>
      <c r="M297" s="180" t="n"/>
      <c r="N297" s="179" t="n"/>
      <c r="O297" s="181" t="n"/>
      <c r="P297" s="180" t="n"/>
      <c r="Q297" s="179" t="n"/>
      <c r="R297" s="181" t="n"/>
      <c r="S297" s="180" t="n"/>
      <c r="T297" s="179" t="n"/>
      <c r="U297" s="181" t="n"/>
      <c r="V297" s="180" t="n"/>
      <c r="W297" s="179" t="n"/>
      <c r="X297" s="181" t="n"/>
      <c r="Y297" s="180" t="n"/>
      <c r="Z297" s="179" t="n"/>
      <c r="AA297" s="181" t="n"/>
      <c r="AB297" s="180" t="n"/>
      <c r="AC297" s="179" t="n"/>
      <c r="AD297" s="179" t="n"/>
      <c r="AE297" s="179" t="n"/>
      <c r="AF297" s="179" t="n"/>
      <c r="AG297" s="181" t="n"/>
      <c r="AH297" s="180" t="n"/>
      <c r="AI297" s="179" t="n"/>
      <c r="AJ297" s="179" t="n"/>
      <c r="AK297" s="181" t="n"/>
      <c r="AL297" s="180" t="n"/>
      <c r="AM297" s="179" t="n"/>
      <c r="AN297" s="179" t="n"/>
      <c r="AO297" s="179" t="n"/>
      <c r="AP297" s="181" t="n"/>
      <c r="AQ297" s="180" t="n"/>
      <c r="AR297" s="179" t="n"/>
      <c r="AS297" s="192" t="n"/>
    </row>
    <row r="298" ht="13" customHeight="1" s="70">
      <c r="A298" s="193" t="n"/>
      <c r="B298" s="194" t="n"/>
      <c r="C298" s="194" t="n"/>
      <c r="D298" s="195" t="n"/>
      <c r="E298" s="194" t="n"/>
      <c r="F298" s="196" t="n"/>
      <c r="G298" s="195" t="n"/>
      <c r="H298" s="194" t="n"/>
      <c r="I298" s="196" t="n"/>
      <c r="J298" s="195" t="n"/>
      <c r="K298" s="194" t="n"/>
      <c r="L298" s="196" t="n"/>
      <c r="M298" s="195" t="n"/>
      <c r="N298" s="194" t="n"/>
      <c r="O298" s="196" t="n"/>
      <c r="P298" s="195" t="n"/>
      <c r="Q298" s="194" t="n"/>
      <c r="R298" s="196" t="n"/>
      <c r="S298" s="195" t="n"/>
      <c r="T298" s="194" t="n"/>
      <c r="U298" s="196" t="n"/>
      <c r="V298" s="195" t="n"/>
      <c r="W298" s="194" t="n"/>
      <c r="X298" s="196" t="n"/>
      <c r="Y298" s="195" t="n"/>
      <c r="Z298" s="194" t="n"/>
      <c r="AA298" s="196" t="n"/>
      <c r="AB298" s="195" t="n"/>
      <c r="AC298" s="194" t="n"/>
      <c r="AD298" s="194" t="n"/>
      <c r="AE298" s="194" t="n"/>
      <c r="AF298" s="194" t="n"/>
      <c r="AG298" s="196" t="n"/>
      <c r="AH298" s="195" t="n"/>
      <c r="AI298" s="194" t="n"/>
      <c r="AJ298" s="194" t="n"/>
      <c r="AK298" s="196" t="n"/>
      <c r="AL298" s="195" t="n"/>
      <c r="AM298" s="194" t="n"/>
      <c r="AN298" s="194" t="n"/>
      <c r="AO298" s="194" t="n"/>
      <c r="AP298" s="196" t="n"/>
      <c r="AQ298" s="195" t="n"/>
      <c r="AR298" s="194" t="n"/>
      <c r="AS298" s="198" t="n"/>
    </row>
    <row r="299" ht="21" customHeight="1" s="70">
      <c r="A299" s="160" t="inlineStr">
        <is>
          <t>CC012601/1</t>
        </is>
      </c>
      <c r="B299" s="161" t="inlineStr">
        <is>
          <t>P060332</t>
        </is>
      </c>
      <c r="C299" s="212" t="inlineStr">
        <is>
          <t>✗ 4 NO RESULT
(4 no cert / 0 cert w/o result)
• 1 document(s) on file, not credited</t>
        </is>
      </c>
      <c r="D299" s="200" t="inlineStr">
        <is>
          <t>Conforms</t>
        </is>
      </c>
      <c r="E299" s="201">
        <f>IFERROR(INDEX('iCoA Register'!$B:$B,MATCH("P060332|I",'iCoA Register'!$P:$P,0)),"iCoA — at issue")&amp;", (22.05.2026) [PP]"</f>
        <v/>
      </c>
      <c r="F299" s="202" t="inlineStr">
        <is>
          <t>✓</t>
        </is>
      </c>
      <c r="G299" s="200" t="inlineStr">
        <is>
          <t>Conforms</t>
        </is>
      </c>
      <c r="H299" s="201">
        <f>IFERROR(INDEX('iCoA Register'!$B:$B,MATCH("P060332|I",'iCoA Register'!$P:$P,0)),"iCoA — at issue")&amp;", (22.05.2026) [PP]"</f>
        <v/>
      </c>
      <c r="I299" s="202" t="inlineStr">
        <is>
          <t>✓</t>
        </is>
      </c>
      <c r="J299" s="200" t="inlineStr">
        <is>
          <t>Conforms (ImB spec.) ᴿ</t>
        </is>
      </c>
      <c r="K299" s="201" t="inlineStr">
        <is>
          <t>197-6-K-26, (07.08.2026) [FHM-K]</t>
        </is>
      </c>
      <c r="L299" s="202" t="inlineStr">
        <is>
          <t>✓</t>
        </is>
      </c>
      <c r="M299" s="203" t="inlineStr">
        <is>
          <t>17.67</t>
        </is>
      </c>
      <c r="N299" s="201" t="inlineStr">
        <is>
          <t>197-6-K-26, (07.08.2026) [FHM-K]</t>
        </is>
      </c>
      <c r="O299" s="202" t="inlineStr">
        <is>
          <t>✓</t>
        </is>
      </c>
      <c r="P299" s="204" t="inlineStr">
        <is>
          <t>&lt; LOQ</t>
        </is>
      </c>
      <c r="Q299" s="201" t="inlineStr">
        <is>
          <t>197-6-K-26, (07.08.2026) [FHM-K]</t>
        </is>
      </c>
      <c r="R299" s="202" t="inlineStr">
        <is>
          <t>✓</t>
        </is>
      </c>
      <c r="S299" s="204" t="inlineStr">
        <is>
          <t>&lt; LOQ</t>
        </is>
      </c>
      <c r="T299" s="201" t="inlineStr">
        <is>
          <t>197-6-K-26, (07.08.2026) [FHM-K]</t>
        </is>
      </c>
      <c r="U299" s="202" t="inlineStr">
        <is>
          <t>✓</t>
        </is>
      </c>
      <c r="V299" s="200" t="inlineStr">
        <is>
          <t>Conforms</t>
        </is>
      </c>
      <c r="W299" s="201">
        <f>IFERROR(INDEX('iCoA Register'!$B:$B,MATCH("P060332|I",'iCoA Register'!$P:$P,0)),"iCoA — at issue")&amp;", (22.05.2026) [PP]"</f>
        <v/>
      </c>
      <c r="X299" s="202" t="inlineStr">
        <is>
          <t>✓</t>
        </is>
      </c>
      <c r="Y299" s="271" t="inlineStr">
        <is>
          <t>not on this certificate</t>
        </is>
      </c>
      <c r="Z299" s="272" t="inlineStr">
        <is>
          <t>197-6-K-26, (07.08.2026) [FHM-K] · on file, not credited</t>
        </is>
      </c>
      <c r="AA299" s="273" t="inlineStr">
        <is>
          <t>•</t>
        </is>
      </c>
      <c r="AB299" s="205" t="inlineStr">
        <is>
          <t>— MISSING —</t>
        </is>
      </c>
      <c r="AC299" s="206" t="inlineStr">
        <is>
          <t>— MISSING —</t>
        </is>
      </c>
      <c r="AD299" s="206" t="inlineStr">
        <is>
          <t>— MISSING —</t>
        </is>
      </c>
      <c r="AE299" s="206" t="inlineStr">
        <is>
          <t>— MISSING —</t>
        </is>
      </c>
      <c r="AF299" s="206" t="inlineStr">
        <is>
          <t>— MISSING —</t>
        </is>
      </c>
      <c r="AG299" s="207" t="inlineStr">
        <is>
          <t>✗</t>
        </is>
      </c>
      <c r="AH299" s="163" t="inlineStr">
        <is>
          <t>ND</t>
        </is>
      </c>
      <c r="AI299" s="171" t="inlineStr">
        <is>
          <t>ND</t>
        </is>
      </c>
      <c r="AJ299" s="171" t="inlineStr">
        <is>
          <t>ND</t>
        </is>
      </c>
      <c r="AK299" s="202" t="inlineStr">
        <is>
          <t>✓</t>
        </is>
      </c>
      <c r="AL299" s="205" t="inlineStr">
        <is>
          <t>— MISSING —</t>
        </is>
      </c>
      <c r="AM299" s="206" t="inlineStr">
        <is>
          <t>— MISSING —</t>
        </is>
      </c>
      <c r="AN299" s="206" t="inlineStr">
        <is>
          <t>— MISSING —</t>
        </is>
      </c>
      <c r="AO299" s="206" t="inlineStr">
        <is>
          <t>— MISSING —</t>
        </is>
      </c>
      <c r="AP299" s="207" t="inlineStr">
        <is>
          <t>✗</t>
        </is>
      </c>
      <c r="AQ299" s="208" t="inlineStr">
        <is>
          <t>— MISSING —</t>
        </is>
      </c>
      <c r="AR299" s="209" t="inlineStr">
        <is>
          <t>— no certificate —</t>
        </is>
      </c>
      <c r="AS299" s="210" t="inlineStr">
        <is>
          <t>✗</t>
        </is>
      </c>
    </row>
    <row r="300" ht="15.375" customHeight="1" s="70">
      <c r="A300" s="193" t="n"/>
      <c r="B300" s="194" t="n"/>
      <c r="C300" s="194" t="n"/>
      <c r="D300" s="195" t="n"/>
      <c r="E300" s="194" t="n"/>
      <c r="F300" s="196" t="n"/>
      <c r="G300" s="195" t="n"/>
      <c r="H300" s="194" t="n"/>
      <c r="I300" s="196" t="n"/>
      <c r="J300" s="195" t="n"/>
      <c r="K300" s="194" t="n"/>
      <c r="L300" s="196" t="n"/>
      <c r="M300" s="195" t="n"/>
      <c r="N300" s="194" t="n"/>
      <c r="O300" s="196" t="n"/>
      <c r="P300" s="195" t="n"/>
      <c r="Q300" s="194" t="n"/>
      <c r="R300" s="196" t="n"/>
      <c r="S300" s="195" t="n"/>
      <c r="T300" s="194" t="n"/>
      <c r="U300" s="196" t="n"/>
      <c r="V300" s="195" t="n"/>
      <c r="W300" s="194" t="n"/>
      <c r="X300" s="196" t="n"/>
      <c r="Y300" s="195" t="n"/>
      <c r="Z300" s="194" t="n"/>
      <c r="AA300" s="196" t="n"/>
      <c r="AB300" s="211" t="inlineStr">
        <is>
          <t>— no certificate —</t>
        </is>
      </c>
      <c r="AC300" s="194" t="n"/>
      <c r="AD300" s="194" t="n"/>
      <c r="AE300" s="194" t="n"/>
      <c r="AF300" s="194" t="n"/>
      <c r="AG300" s="196" t="n"/>
      <c r="AH300" s="197" t="inlineStr">
        <is>
          <t>197-6-M-26, (10.08.2026) [FHM-M]</t>
        </is>
      </c>
      <c r="AI300" s="194" t="n"/>
      <c r="AJ300" s="194" t="n"/>
      <c r="AK300" s="196" t="n"/>
      <c r="AL300" s="211" t="inlineStr">
        <is>
          <t>— no certificate —</t>
        </is>
      </c>
      <c r="AM300" s="194" t="n"/>
      <c r="AN300" s="194" t="n"/>
      <c r="AO300" s="194" t="n"/>
      <c r="AP300" s="196" t="n"/>
      <c r="AQ300" s="195" t="n"/>
      <c r="AR300" s="194" t="n"/>
      <c r="AS300" s="198" t="n"/>
    </row>
    <row r="301" ht="21" customHeight="1" s="70">
      <c r="A301" s="160" t="inlineStr">
        <is>
          <t>FB012602*</t>
        </is>
      </c>
      <c r="B301" s="161" t="inlineStr">
        <is>
          <t>P060352</t>
        </is>
      </c>
      <c r="C301" s="212" t="inlineStr">
        <is>
          <t>✗ 4 NO RESULT
(4 no cert / 0 cert w/o result)
• 1 document(s) on file, not credited</t>
        </is>
      </c>
      <c r="D301" s="200" t="inlineStr">
        <is>
          <t>Conforms</t>
        </is>
      </c>
      <c r="E301" s="201">
        <f>IFERROR(INDEX('iCoA Register'!$B:$B,MATCH("P060352|I",'iCoA Register'!$P:$P,0)),"iCoA — at issue")&amp;", (23.05.2026) [PP]"</f>
        <v/>
      </c>
      <c r="F301" s="202" t="inlineStr">
        <is>
          <t>✓</t>
        </is>
      </c>
      <c r="G301" s="200" t="inlineStr">
        <is>
          <t>Conforms</t>
        </is>
      </c>
      <c r="H301" s="201">
        <f>IFERROR(INDEX('iCoA Register'!$B:$B,MATCH("P060352|I",'iCoA Register'!$P:$P,0)),"iCoA — at issue")&amp;", (23.05.2026) [PP]"</f>
        <v/>
      </c>
      <c r="I301" s="202" t="inlineStr">
        <is>
          <t>✓</t>
        </is>
      </c>
      <c r="J301" s="200" t="inlineStr">
        <is>
          <t>Conforms (ImB spec.) ᴿ</t>
        </is>
      </c>
      <c r="K301" s="201" t="inlineStr">
        <is>
          <t>197-7-K-26, (07.08.2026) [FHM-K]</t>
        </is>
      </c>
      <c r="L301" s="202" t="inlineStr">
        <is>
          <t>✓</t>
        </is>
      </c>
      <c r="M301" s="203" t="inlineStr">
        <is>
          <t>18.86</t>
        </is>
      </c>
      <c r="N301" s="201" t="inlineStr">
        <is>
          <t>197-7-K-26, (07.08.2026) [FHM-K]</t>
        </is>
      </c>
      <c r="O301" s="202" t="inlineStr">
        <is>
          <t>✓</t>
        </is>
      </c>
      <c r="P301" s="204" t="inlineStr">
        <is>
          <t>0.22</t>
        </is>
      </c>
      <c r="Q301" s="201" t="inlineStr">
        <is>
          <t>197-7-K-26, (07.08.2026) [FHM-K]</t>
        </is>
      </c>
      <c r="R301" s="202" t="inlineStr">
        <is>
          <t>✓</t>
        </is>
      </c>
      <c r="S301" s="204" t="inlineStr">
        <is>
          <t>&lt; LOQ</t>
        </is>
      </c>
      <c r="T301" s="201" t="inlineStr">
        <is>
          <t>197-7-K-26, (07.08.2026) [FHM-K]</t>
        </is>
      </c>
      <c r="U301" s="202" t="inlineStr">
        <is>
          <t>✓</t>
        </is>
      </c>
      <c r="V301" s="200" t="inlineStr">
        <is>
          <t>Conforms</t>
        </is>
      </c>
      <c r="W301" s="201">
        <f>IFERROR(INDEX('iCoA Register'!$B:$B,MATCH("P060352|I",'iCoA Register'!$P:$P,0)),"iCoA — at issue")&amp;", (23.05.2026) [PP]"</f>
        <v/>
      </c>
      <c r="X301" s="202" t="inlineStr">
        <is>
          <t>✓</t>
        </is>
      </c>
      <c r="Y301" s="271" t="inlineStr">
        <is>
          <t>not on this certificate</t>
        </is>
      </c>
      <c r="Z301" s="272" t="inlineStr">
        <is>
          <t>197-7-K-26, (07.08.2026) [FHM-K] · on file, not credited</t>
        </is>
      </c>
      <c r="AA301" s="273" t="inlineStr">
        <is>
          <t>•</t>
        </is>
      </c>
      <c r="AB301" s="205" t="inlineStr">
        <is>
          <t>— MISSING —</t>
        </is>
      </c>
      <c r="AC301" s="206" t="inlineStr">
        <is>
          <t>— MISSING —</t>
        </is>
      </c>
      <c r="AD301" s="206" t="inlineStr">
        <is>
          <t>— MISSING —</t>
        </is>
      </c>
      <c r="AE301" s="206" t="inlineStr">
        <is>
          <t>— MISSING —</t>
        </is>
      </c>
      <c r="AF301" s="206" t="inlineStr">
        <is>
          <t>— MISSING —</t>
        </is>
      </c>
      <c r="AG301" s="207" t="inlineStr">
        <is>
          <t>✗</t>
        </is>
      </c>
      <c r="AH301" s="163" t="inlineStr">
        <is>
          <t>ND</t>
        </is>
      </c>
      <c r="AI301" s="171" t="inlineStr">
        <is>
          <t>ND</t>
        </is>
      </c>
      <c r="AJ301" s="171" t="inlineStr">
        <is>
          <t>ND</t>
        </is>
      </c>
      <c r="AK301" s="202" t="inlineStr">
        <is>
          <t>✓</t>
        </is>
      </c>
      <c r="AL301" s="205" t="inlineStr">
        <is>
          <t>— MISSING —</t>
        </is>
      </c>
      <c r="AM301" s="206" t="inlineStr">
        <is>
          <t>— MISSING —</t>
        </is>
      </c>
      <c r="AN301" s="206" t="inlineStr">
        <is>
          <t>— MISSING —</t>
        </is>
      </c>
      <c r="AO301" s="206" t="inlineStr">
        <is>
          <t>— MISSING —</t>
        </is>
      </c>
      <c r="AP301" s="207" t="inlineStr">
        <is>
          <t>✗</t>
        </is>
      </c>
      <c r="AQ301" s="208" t="inlineStr">
        <is>
          <t>— MISSING —</t>
        </is>
      </c>
      <c r="AR301" s="209" t="inlineStr">
        <is>
          <t>— no certificate —</t>
        </is>
      </c>
      <c r="AS301" s="210" t="inlineStr">
        <is>
          <t>✗</t>
        </is>
      </c>
    </row>
    <row r="302" ht="15.375" customHeight="1" s="70">
      <c r="A302" s="193" t="n"/>
      <c r="B302" s="194" t="n"/>
      <c r="C302" s="194" t="n"/>
      <c r="D302" s="195" t="n"/>
      <c r="E302" s="194" t="n"/>
      <c r="F302" s="196" t="n"/>
      <c r="G302" s="195" t="n"/>
      <c r="H302" s="194" t="n"/>
      <c r="I302" s="196" t="n"/>
      <c r="J302" s="195" t="n"/>
      <c r="K302" s="194" t="n"/>
      <c r="L302" s="196" t="n"/>
      <c r="M302" s="195" t="n"/>
      <c r="N302" s="194" t="n"/>
      <c r="O302" s="196" t="n"/>
      <c r="P302" s="195" t="n"/>
      <c r="Q302" s="194" t="n"/>
      <c r="R302" s="196" t="n"/>
      <c r="S302" s="195" t="n"/>
      <c r="T302" s="194" t="n"/>
      <c r="U302" s="196" t="n"/>
      <c r="V302" s="195" t="n"/>
      <c r="W302" s="194" t="n"/>
      <c r="X302" s="196" t="n"/>
      <c r="Y302" s="195" t="n"/>
      <c r="Z302" s="194" t="n"/>
      <c r="AA302" s="196" t="n"/>
      <c r="AB302" s="211" t="inlineStr">
        <is>
          <t>— no certificate —</t>
        </is>
      </c>
      <c r="AC302" s="194" t="n"/>
      <c r="AD302" s="194" t="n"/>
      <c r="AE302" s="194" t="n"/>
      <c r="AF302" s="194" t="n"/>
      <c r="AG302" s="196" t="n"/>
      <c r="AH302" s="197" t="inlineStr">
        <is>
          <t>197-7-M-26, (10.08.2026) [FHM-M]</t>
        </is>
      </c>
      <c r="AI302" s="194" t="n"/>
      <c r="AJ302" s="194" t="n"/>
      <c r="AK302" s="196" t="n"/>
      <c r="AL302" s="211" t="inlineStr">
        <is>
          <t>— no certificate —</t>
        </is>
      </c>
      <c r="AM302" s="194" t="n"/>
      <c r="AN302" s="194" t="n"/>
      <c r="AO302" s="194" t="n"/>
      <c r="AP302" s="196" t="n"/>
      <c r="AQ302" s="195" t="n"/>
      <c r="AR302" s="194" t="n"/>
      <c r="AS302" s="198" t="n"/>
    </row>
    <row r="303" ht="21" customHeight="1" s="70">
      <c r="A303" s="160" t="inlineStr">
        <is>
          <t>SCR012603</t>
        </is>
      </c>
      <c r="B303" s="161" t="inlineStr">
        <is>
          <t>P060382</t>
        </is>
      </c>
      <c r="C303" s="212" t="inlineStr">
        <is>
          <t>✗ 4 NO RESULT
(4 no cert / 0 cert w/o result)
• 1 document(s) on file, not credited</t>
        </is>
      </c>
      <c r="D303" s="200" t="inlineStr">
        <is>
          <t>Conforms</t>
        </is>
      </c>
      <c r="E303" s="201">
        <f>IFERROR(INDEX('iCoA Register'!$B:$B,MATCH("P060382|I",'iCoA Register'!$P:$P,0)),"iCoA — at issue")&amp;", (25.05.2026) [PP]"</f>
        <v/>
      </c>
      <c r="F303" s="202" t="inlineStr">
        <is>
          <t>✓</t>
        </is>
      </c>
      <c r="G303" s="200" t="inlineStr">
        <is>
          <t>Conforms</t>
        </is>
      </c>
      <c r="H303" s="201">
        <f>IFERROR(INDEX('iCoA Register'!$B:$B,MATCH("P060382|I",'iCoA Register'!$P:$P,0)),"iCoA — at issue")&amp;", (25.05.2026) [PP]"</f>
        <v/>
      </c>
      <c r="I303" s="202" t="inlineStr">
        <is>
          <t>✓</t>
        </is>
      </c>
      <c r="J303" s="200" t="inlineStr">
        <is>
          <t>Conforms (ImB spec.) ᴿ</t>
        </is>
      </c>
      <c r="K303" s="201" t="inlineStr">
        <is>
          <t>197-21-K-26, (07.08.2026) [FHM-K]</t>
        </is>
      </c>
      <c r="L303" s="202" t="inlineStr">
        <is>
          <t>✓</t>
        </is>
      </c>
      <c r="M303" s="203" t="inlineStr">
        <is>
          <t>17.84</t>
        </is>
      </c>
      <c r="N303" s="201" t="inlineStr">
        <is>
          <t>197-21-K-26, (07.08.2026) [FHM-K]</t>
        </is>
      </c>
      <c r="O303" s="202" t="inlineStr">
        <is>
          <t>✓</t>
        </is>
      </c>
      <c r="P303" s="204" t="inlineStr">
        <is>
          <t>&lt; LOQ</t>
        </is>
      </c>
      <c r="Q303" s="201" t="inlineStr">
        <is>
          <t>197-21-K-26, (07.08.2026) [FHM-K]</t>
        </is>
      </c>
      <c r="R303" s="202" t="inlineStr">
        <is>
          <t>✓</t>
        </is>
      </c>
      <c r="S303" s="204" t="inlineStr">
        <is>
          <t>&lt; LOQ</t>
        </is>
      </c>
      <c r="T303" s="201" t="inlineStr">
        <is>
          <t>197-21-K-26, (07.08.2026) [FHM-K]</t>
        </is>
      </c>
      <c r="U303" s="202" t="inlineStr">
        <is>
          <t>✓</t>
        </is>
      </c>
      <c r="V303" s="200" t="inlineStr">
        <is>
          <t>Conforms</t>
        </is>
      </c>
      <c r="W303" s="201">
        <f>IFERROR(INDEX('iCoA Register'!$B:$B,MATCH("P060382|I",'iCoA Register'!$P:$P,0)),"iCoA — at issue")&amp;", (25.05.2026) [PP]"</f>
        <v/>
      </c>
      <c r="X303" s="202" t="inlineStr">
        <is>
          <t>✓</t>
        </is>
      </c>
      <c r="Y303" s="271" t="inlineStr">
        <is>
          <t>not on this certificate</t>
        </is>
      </c>
      <c r="Z303" s="272" t="inlineStr">
        <is>
          <t>197-21-K-26, (07.08.2026) [FHM-K] · on file, not credited</t>
        </is>
      </c>
      <c r="AA303" s="273" t="inlineStr">
        <is>
          <t>•</t>
        </is>
      </c>
      <c r="AB303" s="205" t="inlineStr">
        <is>
          <t>— MISSING —</t>
        </is>
      </c>
      <c r="AC303" s="206" t="inlineStr">
        <is>
          <t>— MISSING —</t>
        </is>
      </c>
      <c r="AD303" s="206" t="inlineStr">
        <is>
          <t>— MISSING —</t>
        </is>
      </c>
      <c r="AE303" s="206" t="inlineStr">
        <is>
          <t>— MISSING —</t>
        </is>
      </c>
      <c r="AF303" s="206" t="inlineStr">
        <is>
          <t>— MISSING —</t>
        </is>
      </c>
      <c r="AG303" s="207" t="inlineStr">
        <is>
          <t>✗</t>
        </is>
      </c>
      <c r="AH303" s="163" t="inlineStr">
        <is>
          <t>ND</t>
        </is>
      </c>
      <c r="AI303" s="171" t="inlineStr">
        <is>
          <t>ND</t>
        </is>
      </c>
      <c r="AJ303" s="171" t="inlineStr">
        <is>
          <t>ND</t>
        </is>
      </c>
      <c r="AK303" s="202" t="inlineStr">
        <is>
          <t>✓</t>
        </is>
      </c>
      <c r="AL303" s="205" t="inlineStr">
        <is>
          <t>— MISSING —</t>
        </is>
      </c>
      <c r="AM303" s="206" t="inlineStr">
        <is>
          <t>— MISSING —</t>
        </is>
      </c>
      <c r="AN303" s="206" t="inlineStr">
        <is>
          <t>— MISSING —</t>
        </is>
      </c>
      <c r="AO303" s="206" t="inlineStr">
        <is>
          <t>— MISSING —</t>
        </is>
      </c>
      <c r="AP303" s="207" t="inlineStr">
        <is>
          <t>✗</t>
        </is>
      </c>
      <c r="AQ303" s="208" t="inlineStr">
        <is>
          <t>— MISSING —</t>
        </is>
      </c>
      <c r="AR303" s="209" t="inlineStr">
        <is>
          <t>— no certificate —</t>
        </is>
      </c>
      <c r="AS303" s="210" t="inlineStr">
        <is>
          <t>✗</t>
        </is>
      </c>
    </row>
    <row r="304" ht="15.375" customHeight="1" s="70">
      <c r="A304" s="193" t="n"/>
      <c r="B304" s="194" t="n"/>
      <c r="C304" s="194" t="n"/>
      <c r="D304" s="195" t="n"/>
      <c r="E304" s="194" t="n"/>
      <c r="F304" s="196" t="n"/>
      <c r="G304" s="195" t="n"/>
      <c r="H304" s="194" t="n"/>
      <c r="I304" s="196" t="n"/>
      <c r="J304" s="195" t="n"/>
      <c r="K304" s="194" t="n"/>
      <c r="L304" s="196" t="n"/>
      <c r="M304" s="195" t="n"/>
      <c r="N304" s="194" t="n"/>
      <c r="O304" s="196" t="n"/>
      <c r="P304" s="195" t="n"/>
      <c r="Q304" s="194" t="n"/>
      <c r="R304" s="196" t="n"/>
      <c r="S304" s="195" t="n"/>
      <c r="T304" s="194" t="n"/>
      <c r="U304" s="196" t="n"/>
      <c r="V304" s="195" t="n"/>
      <c r="W304" s="194" t="n"/>
      <c r="X304" s="196" t="n"/>
      <c r="Y304" s="195" t="n"/>
      <c r="Z304" s="194" t="n"/>
      <c r="AA304" s="196" t="n"/>
      <c r="AB304" s="211" t="inlineStr">
        <is>
          <t>— no certificate —</t>
        </is>
      </c>
      <c r="AC304" s="194" t="n"/>
      <c r="AD304" s="194" t="n"/>
      <c r="AE304" s="194" t="n"/>
      <c r="AF304" s="194" t="n"/>
      <c r="AG304" s="196" t="n"/>
      <c r="AH304" s="197" t="inlineStr">
        <is>
          <t>197-21-M-26, (10.08.2026) [FHM-M]</t>
        </is>
      </c>
      <c r="AI304" s="194" t="n"/>
      <c r="AJ304" s="194" t="n"/>
      <c r="AK304" s="196" t="n"/>
      <c r="AL304" s="211" t="inlineStr">
        <is>
          <t>— no certificate —</t>
        </is>
      </c>
      <c r="AM304" s="194" t="n"/>
      <c r="AN304" s="194" t="n"/>
      <c r="AO304" s="194" t="n"/>
      <c r="AP304" s="196" t="n"/>
      <c r="AQ304" s="195" t="n"/>
      <c r="AR304" s="194" t="n"/>
      <c r="AS304" s="198" t="n"/>
    </row>
    <row r="305" ht="21" customHeight="1" s="70">
      <c r="A305" s="160" t="inlineStr">
        <is>
          <t>— not recorded — (P160012)</t>
        </is>
      </c>
      <c r="B305" s="161" t="inlineStr">
        <is>
          <t>P160012</t>
        </is>
      </c>
      <c r="C305" s="212" t="inlineStr">
        <is>
          <t>✗ 4 NO RESULT
(4 no cert / 0 cert w/o result)</t>
        </is>
      </c>
      <c r="D305" s="200" t="inlineStr">
        <is>
          <t>Conforms</t>
        </is>
      </c>
      <c r="E305" s="201" t="inlineStr">
        <is>
          <t>ППК26117, (06.07.2026) [CNP]</t>
        </is>
      </c>
      <c r="F305" s="202" t="inlineStr">
        <is>
          <t>✓</t>
        </is>
      </c>
      <c r="G305" s="200" t="inlineStr">
        <is>
          <t>Conforms</t>
        </is>
      </c>
      <c r="H305" s="201" t="inlineStr">
        <is>
          <t>ППК26117, (06.07.2026) [CNP]</t>
        </is>
      </c>
      <c r="I305" s="202" t="inlineStr">
        <is>
          <t>✓</t>
        </is>
      </c>
      <c r="J305" s="200" t="inlineStr">
        <is>
          <t>Conforms (ImB spec.)</t>
        </is>
      </c>
      <c r="K305" s="201" t="inlineStr">
        <is>
          <t>ППК26117, (06.07.2026) [CNP]</t>
        </is>
      </c>
      <c r="L305" s="202" t="inlineStr">
        <is>
          <t>✓</t>
        </is>
      </c>
      <c r="M305" s="203" t="inlineStr">
        <is>
          <t>26.32</t>
        </is>
      </c>
      <c r="N305" s="201" t="inlineStr">
        <is>
          <t>ППК26117, (06.07.2026) [CNP]</t>
        </is>
      </c>
      <c r="O305" s="202" t="inlineStr">
        <is>
          <t>✓</t>
        </is>
      </c>
      <c r="P305" s="204" t="inlineStr">
        <is>
          <t>0.15</t>
        </is>
      </c>
      <c r="Q305" s="201" t="inlineStr">
        <is>
          <t>ППК26117, (06.07.2026) [CNP]</t>
        </is>
      </c>
      <c r="R305" s="202" t="inlineStr">
        <is>
          <t>✓</t>
        </is>
      </c>
      <c r="S305" s="204" t="inlineStr">
        <is>
          <t>0.09</t>
        </is>
      </c>
      <c r="T305" s="201" t="inlineStr">
        <is>
          <t>ППК26117, (06.07.2026) [CNP]</t>
        </is>
      </c>
      <c r="U305" s="202" t="inlineStr">
        <is>
          <t>✓</t>
        </is>
      </c>
      <c r="V305" s="200" t="inlineStr">
        <is>
          <t>0.42 % (Conforms)</t>
        </is>
      </c>
      <c r="W305" s="201" t="inlineStr">
        <is>
          <t>ППК26117, (06.07.2026) [CNP]</t>
        </is>
      </c>
      <c r="X305" s="202" t="inlineStr">
        <is>
          <t>✓</t>
        </is>
      </c>
      <c r="Y305" s="200" t="inlineStr">
        <is>
          <t>6.31</t>
        </is>
      </c>
      <c r="Z305" s="201" t="inlineStr">
        <is>
          <t>ППК26117, (06.07.2026) [CNP]</t>
        </is>
      </c>
      <c r="AA305" s="202" t="inlineStr">
        <is>
          <t>✓</t>
        </is>
      </c>
      <c r="AB305" s="205" t="inlineStr">
        <is>
          <t>— MISSING —</t>
        </is>
      </c>
      <c r="AC305" s="206" t="inlineStr">
        <is>
          <t>— MISSING —</t>
        </is>
      </c>
      <c r="AD305" s="206" t="inlineStr">
        <is>
          <t>— MISSING —</t>
        </is>
      </c>
      <c r="AE305" s="206" t="inlineStr">
        <is>
          <t>— MISSING —</t>
        </is>
      </c>
      <c r="AF305" s="206" t="inlineStr">
        <is>
          <t>— MISSING —</t>
        </is>
      </c>
      <c r="AG305" s="207" t="inlineStr">
        <is>
          <t>✗</t>
        </is>
      </c>
      <c r="AH305" s="205" t="inlineStr">
        <is>
          <t>— MISSING —</t>
        </is>
      </c>
      <c r="AI305" s="206" t="inlineStr">
        <is>
          <t>— MISSING —</t>
        </is>
      </c>
      <c r="AJ305" s="206" t="inlineStr">
        <is>
          <t>— MISSING —</t>
        </is>
      </c>
      <c r="AK305" s="207" t="inlineStr">
        <is>
          <t>✗</t>
        </is>
      </c>
      <c r="AL305" s="205" t="inlineStr">
        <is>
          <t>— MISSING —</t>
        </is>
      </c>
      <c r="AM305" s="206" t="inlineStr">
        <is>
          <t>— MISSING —</t>
        </is>
      </c>
      <c r="AN305" s="206" t="inlineStr">
        <is>
          <t>— MISSING —</t>
        </is>
      </c>
      <c r="AO305" s="206" t="inlineStr">
        <is>
          <t>— MISSING —</t>
        </is>
      </c>
      <c r="AP305" s="207" t="inlineStr">
        <is>
          <t>✗</t>
        </is>
      </c>
      <c r="AQ305" s="208" t="inlineStr">
        <is>
          <t>— MISSING —</t>
        </is>
      </c>
      <c r="AR305" s="209" t="inlineStr">
        <is>
          <t>— no certificate —</t>
        </is>
      </c>
      <c r="AS305" s="210" t="inlineStr">
        <is>
          <t>✗</t>
        </is>
      </c>
    </row>
    <row r="306" ht="13" customHeight="1" s="70">
      <c r="A306" s="193" t="n"/>
      <c r="B306" s="194" t="n"/>
      <c r="C306" s="194" t="n"/>
      <c r="D306" s="195" t="n"/>
      <c r="E306" s="194" t="n"/>
      <c r="F306" s="196" t="n"/>
      <c r="G306" s="195" t="n"/>
      <c r="H306" s="194" t="n"/>
      <c r="I306" s="196" t="n"/>
      <c r="J306" s="195" t="n"/>
      <c r="K306" s="194" t="n"/>
      <c r="L306" s="196" t="n"/>
      <c r="M306" s="195" t="n"/>
      <c r="N306" s="194" t="n"/>
      <c r="O306" s="196" t="n"/>
      <c r="P306" s="195" t="n"/>
      <c r="Q306" s="194" t="n"/>
      <c r="R306" s="196" t="n"/>
      <c r="S306" s="195" t="n"/>
      <c r="T306" s="194" t="n"/>
      <c r="U306" s="196" t="n"/>
      <c r="V306" s="195" t="n"/>
      <c r="W306" s="194" t="n"/>
      <c r="X306" s="196" t="n"/>
      <c r="Y306" s="195" t="n"/>
      <c r="Z306" s="194" t="n"/>
      <c r="AA306" s="196" t="n"/>
      <c r="AB306" s="211" t="inlineStr">
        <is>
          <t>— no certificate —</t>
        </is>
      </c>
      <c r="AC306" s="194" t="n"/>
      <c r="AD306" s="194" t="n"/>
      <c r="AE306" s="194" t="n"/>
      <c r="AF306" s="194" t="n"/>
      <c r="AG306" s="196" t="n"/>
      <c r="AH306" s="211" t="inlineStr">
        <is>
          <t>— no certificate —</t>
        </is>
      </c>
      <c r="AI306" s="194" t="n"/>
      <c r="AJ306" s="194" t="n"/>
      <c r="AK306" s="196" t="n"/>
      <c r="AL306" s="211" t="inlineStr">
        <is>
          <t>— no certificate —</t>
        </is>
      </c>
      <c r="AM306" s="194" t="n"/>
      <c r="AN306" s="194" t="n"/>
      <c r="AO306" s="194" t="n"/>
      <c r="AP306" s="196" t="n"/>
      <c r="AQ306" s="195" t="n"/>
      <c r="AR306" s="194" t="n"/>
      <c r="AS306" s="198" t="n"/>
    </row>
    <row r="307" ht="21" customHeight="1" s="70">
      <c r="A307" s="160" t="inlineStr">
        <is>
          <t>— not recorded — (P160022)</t>
        </is>
      </c>
      <c r="B307" s="161" t="inlineStr">
        <is>
          <t>P160022</t>
        </is>
      </c>
      <c r="C307" s="212" t="inlineStr">
        <is>
          <t>✗ 4 NO RESULT
(4 no cert / 0 cert w/o result)</t>
        </is>
      </c>
      <c r="D307" s="200" t="inlineStr">
        <is>
          <t>Conforms</t>
        </is>
      </c>
      <c r="E307" s="201" t="inlineStr">
        <is>
          <t>ППК26118, (06.07.2026) [CNP]</t>
        </is>
      </c>
      <c r="F307" s="202" t="inlineStr">
        <is>
          <t>✓</t>
        </is>
      </c>
      <c r="G307" s="200" t="inlineStr">
        <is>
          <t>Conforms</t>
        </is>
      </c>
      <c r="H307" s="201" t="inlineStr">
        <is>
          <t>ППК26118, (06.07.2026) [CNP]</t>
        </is>
      </c>
      <c r="I307" s="202" t="inlineStr">
        <is>
          <t>✓</t>
        </is>
      </c>
      <c r="J307" s="200" t="inlineStr">
        <is>
          <t>Conforms (ImB spec.)</t>
        </is>
      </c>
      <c r="K307" s="201" t="inlineStr">
        <is>
          <t>ППК26118, (06.07.2026) [CNP]</t>
        </is>
      </c>
      <c r="L307" s="202" t="inlineStr">
        <is>
          <t>✓</t>
        </is>
      </c>
      <c r="M307" s="203" t="inlineStr">
        <is>
          <t>25.72</t>
        </is>
      </c>
      <c r="N307" s="201" t="inlineStr">
        <is>
          <t>ППК26118, (06.07.2026) [CNP]</t>
        </is>
      </c>
      <c r="O307" s="202" t="inlineStr">
        <is>
          <t>✓</t>
        </is>
      </c>
      <c r="P307" s="204" t="inlineStr">
        <is>
          <t>0.15</t>
        </is>
      </c>
      <c r="Q307" s="201" t="inlineStr">
        <is>
          <t>ППК26118, (06.07.2026) [CNP]</t>
        </is>
      </c>
      <c r="R307" s="202" t="inlineStr">
        <is>
          <t>✓</t>
        </is>
      </c>
      <c r="S307" s="204" t="inlineStr">
        <is>
          <t>0.10</t>
        </is>
      </c>
      <c r="T307" s="201" t="inlineStr">
        <is>
          <t>ППК26118, (06.07.2026) [CNP]</t>
        </is>
      </c>
      <c r="U307" s="202" t="inlineStr">
        <is>
          <t>✓</t>
        </is>
      </c>
      <c r="V307" s="200" t="inlineStr">
        <is>
          <t>Conforms (no value printed)</t>
        </is>
      </c>
      <c r="W307" s="201" t="inlineStr">
        <is>
          <t>ППК26118, (06.07.2026) [CNP]</t>
        </is>
      </c>
      <c r="X307" s="202" t="inlineStr">
        <is>
          <t>✓</t>
        </is>
      </c>
      <c r="Y307" s="200" t="inlineStr">
        <is>
          <t>6.67</t>
        </is>
      </c>
      <c r="Z307" s="201" t="inlineStr">
        <is>
          <t>ППК26118, (06.07.2026) [CNP]</t>
        </is>
      </c>
      <c r="AA307" s="202" t="inlineStr">
        <is>
          <t>✓</t>
        </is>
      </c>
      <c r="AB307" s="205" t="inlineStr">
        <is>
          <t>— MISSING —</t>
        </is>
      </c>
      <c r="AC307" s="206" t="inlineStr">
        <is>
          <t>— MISSING —</t>
        </is>
      </c>
      <c r="AD307" s="206" t="inlineStr">
        <is>
          <t>— MISSING —</t>
        </is>
      </c>
      <c r="AE307" s="206" t="inlineStr">
        <is>
          <t>— MISSING —</t>
        </is>
      </c>
      <c r="AF307" s="206" t="inlineStr">
        <is>
          <t>— MISSING —</t>
        </is>
      </c>
      <c r="AG307" s="207" t="inlineStr">
        <is>
          <t>✗</t>
        </is>
      </c>
      <c r="AH307" s="205" t="inlineStr">
        <is>
          <t>— MISSING —</t>
        </is>
      </c>
      <c r="AI307" s="206" t="inlineStr">
        <is>
          <t>— MISSING —</t>
        </is>
      </c>
      <c r="AJ307" s="206" t="inlineStr">
        <is>
          <t>— MISSING —</t>
        </is>
      </c>
      <c r="AK307" s="207" t="inlineStr">
        <is>
          <t>✗</t>
        </is>
      </c>
      <c r="AL307" s="205" t="inlineStr">
        <is>
          <t>— MISSING —</t>
        </is>
      </c>
      <c r="AM307" s="206" t="inlineStr">
        <is>
          <t>— MISSING —</t>
        </is>
      </c>
      <c r="AN307" s="206" t="inlineStr">
        <is>
          <t>— MISSING —</t>
        </is>
      </c>
      <c r="AO307" s="206" t="inlineStr">
        <is>
          <t>— MISSING —</t>
        </is>
      </c>
      <c r="AP307" s="207" t="inlineStr">
        <is>
          <t>✗</t>
        </is>
      </c>
      <c r="AQ307" s="208" t="inlineStr">
        <is>
          <t>— MISSING —</t>
        </is>
      </c>
      <c r="AR307" s="209" t="inlineStr">
        <is>
          <t>— no certificate —</t>
        </is>
      </c>
      <c r="AS307" s="210" t="inlineStr">
        <is>
          <t>✗</t>
        </is>
      </c>
    </row>
    <row r="308" ht="15.375" customHeight="1" s="70">
      <c r="A308" s="193" t="n"/>
      <c r="B308" s="194" t="n"/>
      <c r="C308" s="194" t="n"/>
      <c r="D308" s="195" t="n"/>
      <c r="E308" s="194" t="n"/>
      <c r="F308" s="196" t="n"/>
      <c r="G308" s="195" t="n"/>
      <c r="H308" s="194" t="n"/>
      <c r="I308" s="196" t="n"/>
      <c r="J308" s="195" t="n"/>
      <c r="K308" s="194" t="n"/>
      <c r="L308" s="196" t="n"/>
      <c r="M308" s="195" t="n"/>
      <c r="N308" s="194" t="n"/>
      <c r="O308" s="196" t="n"/>
      <c r="P308" s="195" t="n"/>
      <c r="Q308" s="194" t="n"/>
      <c r="R308" s="196" t="n"/>
      <c r="S308" s="195" t="n"/>
      <c r="T308" s="194" t="n"/>
      <c r="U308" s="196" t="n"/>
      <c r="V308" s="195" t="n"/>
      <c r="W308" s="194" t="n"/>
      <c r="X308" s="196" t="n"/>
      <c r="Y308" s="195" t="n"/>
      <c r="Z308" s="194" t="n"/>
      <c r="AA308" s="196" t="n"/>
      <c r="AB308" s="211" t="inlineStr">
        <is>
          <t>— no certificate —</t>
        </is>
      </c>
      <c r="AC308" s="194" t="n"/>
      <c r="AD308" s="194" t="n"/>
      <c r="AE308" s="194" t="n"/>
      <c r="AF308" s="194" t="n"/>
      <c r="AG308" s="196" t="n"/>
      <c r="AH308" s="211" t="inlineStr">
        <is>
          <t>— no certificate —</t>
        </is>
      </c>
      <c r="AI308" s="194" t="n"/>
      <c r="AJ308" s="194" t="n"/>
      <c r="AK308" s="196" t="n"/>
      <c r="AL308" s="211" t="inlineStr">
        <is>
          <t>— no certificate —</t>
        </is>
      </c>
      <c r="AM308" s="194" t="n"/>
      <c r="AN308" s="194" t="n"/>
      <c r="AO308" s="194" t="n"/>
      <c r="AP308" s="196" t="n"/>
      <c r="AQ308" s="195" t="n"/>
      <c r="AR308" s="194" t="n"/>
      <c r="AS308" s="198" t="n"/>
    </row>
    <row r="309" ht="21" customHeight="1" s="70">
      <c r="A309" s="160" t="inlineStr">
        <is>
          <t>— not recorded — (P160032)</t>
        </is>
      </c>
      <c r="B309" s="161" t="inlineStr">
        <is>
          <t>P160032</t>
        </is>
      </c>
      <c r="C309" s="212" t="inlineStr">
        <is>
          <t>✗ 4 NO RESULT
(4 no cert / 0 cert w/o result)</t>
        </is>
      </c>
      <c r="D309" s="200" t="inlineStr">
        <is>
          <t>Conforms</t>
        </is>
      </c>
      <c r="E309" s="201" t="inlineStr">
        <is>
          <t>ППК26119, (06.07.2026) [CNP]</t>
        </is>
      </c>
      <c r="F309" s="202" t="inlineStr">
        <is>
          <t>✓</t>
        </is>
      </c>
      <c r="G309" s="200" t="inlineStr">
        <is>
          <t>Conforms</t>
        </is>
      </c>
      <c r="H309" s="201" t="inlineStr">
        <is>
          <t>ППК26119, (06.07.2026) [CNP]</t>
        </is>
      </c>
      <c r="I309" s="202" t="inlineStr">
        <is>
          <t>✓</t>
        </is>
      </c>
      <c r="J309" s="200" t="inlineStr">
        <is>
          <t>Conforms (ImB spec.)</t>
        </is>
      </c>
      <c r="K309" s="201" t="inlineStr">
        <is>
          <t>ППК26119, (06.07.2026) [CNP]</t>
        </is>
      </c>
      <c r="L309" s="202" t="inlineStr">
        <is>
          <t>✓</t>
        </is>
      </c>
      <c r="M309" s="203" t="inlineStr">
        <is>
          <t>24.78</t>
        </is>
      </c>
      <c r="N309" s="201" t="inlineStr">
        <is>
          <t>ППК26119, (06.07.2026) [CNP]</t>
        </is>
      </c>
      <c r="O309" s="202" t="inlineStr">
        <is>
          <t>✓</t>
        </is>
      </c>
      <c r="P309" s="204" t="inlineStr">
        <is>
          <t>0.06</t>
        </is>
      </c>
      <c r="Q309" s="201" t="inlineStr">
        <is>
          <t>ППК26119, (06.07.2026) [CNP]</t>
        </is>
      </c>
      <c r="R309" s="202" t="inlineStr">
        <is>
          <t>✓</t>
        </is>
      </c>
      <c r="S309" s="204" t="inlineStr">
        <is>
          <t>0.08</t>
        </is>
      </c>
      <c r="T309" s="201" t="inlineStr">
        <is>
          <t>ППК26119, (06.07.2026) [CNP]</t>
        </is>
      </c>
      <c r="U309" s="202" t="inlineStr">
        <is>
          <t>✓</t>
        </is>
      </c>
      <c r="V309" s="200" t="inlineStr">
        <is>
          <t>Conforms (no value printed)</t>
        </is>
      </c>
      <c r="W309" s="201" t="inlineStr">
        <is>
          <t>ППК26119, (06.07.2026) [CNP]</t>
        </is>
      </c>
      <c r="X309" s="202" t="inlineStr">
        <is>
          <t>✓</t>
        </is>
      </c>
      <c r="Y309" s="200" t="inlineStr">
        <is>
          <t>6.78</t>
        </is>
      </c>
      <c r="Z309" s="201" t="inlineStr">
        <is>
          <t>ППК26119, (06.07.2026) [CNP]</t>
        </is>
      </c>
      <c r="AA309" s="202" t="inlineStr">
        <is>
          <t>✓</t>
        </is>
      </c>
      <c r="AB309" s="205" t="inlineStr">
        <is>
          <t>— MISSING —</t>
        </is>
      </c>
      <c r="AC309" s="206" t="inlineStr">
        <is>
          <t>— MISSING —</t>
        </is>
      </c>
      <c r="AD309" s="206" t="inlineStr">
        <is>
          <t>— MISSING —</t>
        </is>
      </c>
      <c r="AE309" s="206" t="inlineStr">
        <is>
          <t>— MISSING —</t>
        </is>
      </c>
      <c r="AF309" s="206" t="inlineStr">
        <is>
          <t>— MISSING —</t>
        </is>
      </c>
      <c r="AG309" s="207" t="inlineStr">
        <is>
          <t>✗</t>
        </is>
      </c>
      <c r="AH309" s="205" t="inlineStr">
        <is>
          <t>— MISSING —</t>
        </is>
      </c>
      <c r="AI309" s="206" t="inlineStr">
        <is>
          <t>— MISSING —</t>
        </is>
      </c>
      <c r="AJ309" s="206" t="inlineStr">
        <is>
          <t>— MISSING —</t>
        </is>
      </c>
      <c r="AK309" s="207" t="inlineStr">
        <is>
          <t>✗</t>
        </is>
      </c>
      <c r="AL309" s="205" t="inlineStr">
        <is>
          <t>— MISSING —</t>
        </is>
      </c>
      <c r="AM309" s="206" t="inlineStr">
        <is>
          <t>— MISSING —</t>
        </is>
      </c>
      <c r="AN309" s="206" t="inlineStr">
        <is>
          <t>— MISSING —</t>
        </is>
      </c>
      <c r="AO309" s="206" t="inlineStr">
        <is>
          <t>— MISSING —</t>
        </is>
      </c>
      <c r="AP309" s="207" t="inlineStr">
        <is>
          <t>✗</t>
        </is>
      </c>
      <c r="AQ309" s="208" t="inlineStr">
        <is>
          <t>— MISSING —</t>
        </is>
      </c>
      <c r="AR309" s="209" t="inlineStr">
        <is>
          <t>— no certificate —</t>
        </is>
      </c>
      <c r="AS309" s="210" t="inlineStr">
        <is>
          <t>✗</t>
        </is>
      </c>
    </row>
    <row r="310" ht="15.375" customHeight="1" s="70">
      <c r="A310" s="193" t="n"/>
      <c r="B310" s="194" t="n"/>
      <c r="C310" s="194" t="n"/>
      <c r="D310" s="195" t="n"/>
      <c r="E310" s="194" t="n"/>
      <c r="F310" s="196" t="n"/>
      <c r="G310" s="195" t="n"/>
      <c r="H310" s="194" t="n"/>
      <c r="I310" s="196" t="n"/>
      <c r="J310" s="195" t="n"/>
      <c r="K310" s="194" t="n"/>
      <c r="L310" s="196" t="n"/>
      <c r="M310" s="195" t="n"/>
      <c r="N310" s="194" t="n"/>
      <c r="O310" s="196" t="n"/>
      <c r="P310" s="195" t="n"/>
      <c r="Q310" s="194" t="n"/>
      <c r="R310" s="196" t="n"/>
      <c r="S310" s="195" t="n"/>
      <c r="T310" s="194" t="n"/>
      <c r="U310" s="196" t="n"/>
      <c r="V310" s="195" t="n"/>
      <c r="W310" s="194" t="n"/>
      <c r="X310" s="196" t="n"/>
      <c r="Y310" s="195" t="n"/>
      <c r="Z310" s="194" t="n"/>
      <c r="AA310" s="196" t="n"/>
      <c r="AB310" s="211" t="inlineStr">
        <is>
          <t>— no certificate —</t>
        </is>
      </c>
      <c r="AC310" s="194" t="n"/>
      <c r="AD310" s="194" t="n"/>
      <c r="AE310" s="194" t="n"/>
      <c r="AF310" s="194" t="n"/>
      <c r="AG310" s="196" t="n"/>
      <c r="AH310" s="211" t="inlineStr">
        <is>
          <t>— no certificate —</t>
        </is>
      </c>
      <c r="AI310" s="194" t="n"/>
      <c r="AJ310" s="194" t="n"/>
      <c r="AK310" s="196" t="n"/>
      <c r="AL310" s="211" t="inlineStr">
        <is>
          <t>— no certificate —</t>
        </is>
      </c>
      <c r="AM310" s="194" t="n"/>
      <c r="AN310" s="194" t="n"/>
      <c r="AO310" s="194" t="n"/>
      <c r="AP310" s="196" t="n"/>
      <c r="AQ310" s="195" t="n"/>
      <c r="AR310" s="194" t="n"/>
      <c r="AS310" s="198" t="n"/>
    </row>
    <row r="311" ht="21" customHeight="1" s="70">
      <c r="A311" s="160" t="inlineStr">
        <is>
          <t>PM112501</t>
        </is>
      </c>
      <c r="B311" s="161" t="inlineStr">
        <is>
          <t>P060232</t>
        </is>
      </c>
      <c r="C311" s="212" t="inlineStr">
        <is>
          <t>✗ 4 NO RESULT
(4 no cert / 0 cert w/o result)
2 testing instances
• 1 document(s) on file, not credited</t>
        </is>
      </c>
      <c r="D311" s="163" t="inlineStr">
        <is>
          <t>Conforms</t>
        </is>
      </c>
      <c r="E311" s="164">
        <f>IFERROR(INDEX('iCoA Register'!$B:$B,MATCH("P060232|I",'iCoA Register'!$P:$P,0)),"iCoA — at issue")&amp;", (27.04.2026) [PP]"</f>
        <v/>
      </c>
      <c r="F311" s="165" t="inlineStr">
        <is>
          <t>✓</t>
        </is>
      </c>
      <c r="G311" s="166" t="inlineStr">
        <is>
          <t>not on this certificate</t>
        </is>
      </c>
      <c r="H311" s="167" t="inlineStr">
        <is>
          <t>ППК26030, (05.03.2026) [CNP] · on file, not credited</t>
        </is>
      </c>
      <c r="I311" s="168" t="inlineStr">
        <is>
          <t>•</t>
        </is>
      </c>
      <c r="J311" s="163" t="inlineStr">
        <is>
          <t>Conforms (ImB spec.)</t>
        </is>
      </c>
      <c r="K311" s="164" t="inlineStr">
        <is>
          <t>ППК26030, (05.03.2026) [CNP]</t>
        </is>
      </c>
      <c r="L311" s="165" t="inlineStr">
        <is>
          <t>✓</t>
        </is>
      </c>
      <c r="M311" s="169" t="inlineStr">
        <is>
          <t>13.33</t>
        </is>
      </c>
      <c r="N311" s="164" t="inlineStr">
        <is>
          <t>ППК26030, (05.03.2026) [CNP]</t>
        </is>
      </c>
      <c r="O311" s="165" t="inlineStr">
        <is>
          <t>✓</t>
        </is>
      </c>
      <c r="P311" s="170" t="inlineStr">
        <is>
          <t>0.03</t>
        </is>
      </c>
      <c r="Q311" s="164" t="inlineStr">
        <is>
          <t>ППК26030, (05.03.2026) [CNP]</t>
        </is>
      </c>
      <c r="R311" s="165" t="inlineStr">
        <is>
          <t>✓</t>
        </is>
      </c>
      <c r="S311" s="170" t="inlineStr">
        <is>
          <t>0.01 ᴰ</t>
        </is>
      </c>
      <c r="T311" s="164" t="inlineStr">
        <is>
          <t>ППК26030, (05.03.2026) [CNP]</t>
        </is>
      </c>
      <c r="U311" s="165" t="inlineStr">
        <is>
          <t>✓</t>
        </is>
      </c>
      <c r="V311" s="163" t="inlineStr">
        <is>
          <t>Conforms</t>
        </is>
      </c>
      <c r="W311" s="164">
        <f>IFERROR(INDEX('iCoA Register'!$B:$B,MATCH("P060232|I",'iCoA Register'!$P:$P,0)),"iCoA — at issue")&amp;", (27.04.2026) [PP]"</f>
        <v/>
      </c>
      <c r="X311" s="165" t="inlineStr">
        <is>
          <t>✓</t>
        </is>
      </c>
      <c r="Y311" s="163" t="inlineStr">
        <is>
          <t>8.61</t>
        </is>
      </c>
      <c r="Z311" s="164" t="inlineStr">
        <is>
          <t>ППК26030, (05.03.2026) [CNP]</t>
        </is>
      </c>
      <c r="AA311" s="165" t="inlineStr">
        <is>
          <t>✓</t>
        </is>
      </c>
      <c r="AB311" s="205" t="inlineStr">
        <is>
          <t>— MISSING —</t>
        </is>
      </c>
      <c r="AC311" s="206" t="inlineStr">
        <is>
          <t>— MISSING —</t>
        </is>
      </c>
      <c r="AD311" s="206" t="inlineStr">
        <is>
          <t>— MISSING —</t>
        </is>
      </c>
      <c r="AE311" s="206" t="inlineStr">
        <is>
          <t>— MISSING —</t>
        </is>
      </c>
      <c r="AF311" s="206" t="inlineStr">
        <is>
          <t>— MISSING —</t>
        </is>
      </c>
      <c r="AG311" s="214" t="inlineStr">
        <is>
          <t>✗</t>
        </is>
      </c>
      <c r="AH311" s="205" t="inlineStr">
        <is>
          <t>— MISSING —</t>
        </is>
      </c>
      <c r="AI311" s="206" t="inlineStr">
        <is>
          <t>— MISSING —</t>
        </is>
      </c>
      <c r="AJ311" s="206" t="inlineStr">
        <is>
          <t>— MISSING —</t>
        </is>
      </c>
      <c r="AK311" s="214" t="inlineStr">
        <is>
          <t>✗</t>
        </is>
      </c>
      <c r="AL311" s="205" t="inlineStr">
        <is>
          <t>— MISSING —</t>
        </is>
      </c>
      <c r="AM311" s="206" t="inlineStr">
        <is>
          <t>— MISSING —</t>
        </is>
      </c>
      <c r="AN311" s="206" t="inlineStr">
        <is>
          <t>— MISSING —</t>
        </is>
      </c>
      <c r="AO311" s="206" t="inlineStr">
        <is>
          <t>— MISSING —</t>
        </is>
      </c>
      <c r="AP311" s="214" t="inlineStr">
        <is>
          <t>✗</t>
        </is>
      </c>
      <c r="AQ311" s="205" t="inlineStr">
        <is>
          <t>— MISSING —</t>
        </is>
      </c>
      <c r="AR311" s="215" t="inlineStr">
        <is>
          <t>— no certificate —</t>
        </is>
      </c>
      <c r="AS311" s="216" t="inlineStr">
        <is>
          <t>✗</t>
        </is>
      </c>
    </row>
    <row r="312" ht="13" customHeight="1" s="70">
      <c r="A312" s="173" t="n"/>
      <c r="D312" s="174" t="n"/>
      <c r="F312" s="175" t="n"/>
      <c r="G312" s="174" t="n"/>
      <c r="I312" s="175" t="n"/>
      <c r="J312" s="174" t="n"/>
      <c r="L312" s="175" t="n"/>
      <c r="M312" s="174" t="n"/>
      <c r="O312" s="175" t="n"/>
      <c r="P312" s="174" t="n"/>
      <c r="R312" s="175" t="n"/>
      <c r="S312" s="174" t="n"/>
      <c r="U312" s="175" t="n"/>
      <c r="V312" s="174" t="n"/>
      <c r="X312" s="175" t="n"/>
      <c r="Y312" s="174" t="n"/>
      <c r="AA312" s="175" t="n"/>
      <c r="AB312" s="217" t="inlineStr">
        <is>
          <t>— no certificate —</t>
        </is>
      </c>
      <c r="AG312" s="175" t="n"/>
      <c r="AH312" s="217" t="inlineStr">
        <is>
          <t>— no certificate —</t>
        </is>
      </c>
      <c r="AK312" s="175" t="n"/>
      <c r="AL312" s="217" t="inlineStr">
        <is>
          <t>— no certificate —</t>
        </is>
      </c>
      <c r="AP312" s="175" t="n"/>
      <c r="AQ312" s="174" t="n"/>
      <c r="AS312" s="177" t="n"/>
    </row>
    <row r="313" ht="14" customHeight="1" s="70">
      <c r="A313" s="178" t="n"/>
      <c r="B313" s="179" t="n"/>
      <c r="D313" s="180" t="n"/>
      <c r="E313" s="179" t="n"/>
      <c r="F313" s="181" t="n"/>
      <c r="G313" s="182" t="inlineStr">
        <is>
          <t>Conforms</t>
        </is>
      </c>
      <c r="H313" s="183">
        <f>IFERROR(INDEX('iCoA Register'!$B:$B,MATCH("P060232|I",'iCoA Register'!$P:$P,0)),"iCoA — at issue")&amp;", (27.04.2026) [PP]"</f>
        <v/>
      </c>
      <c r="I313" s="184" t="inlineStr">
        <is>
          <t>✓</t>
        </is>
      </c>
      <c r="J313" s="180" t="n"/>
      <c r="K313" s="179" t="n"/>
      <c r="L313" s="181" t="n"/>
      <c r="M313" s="180" t="n"/>
      <c r="N313" s="179" t="n"/>
      <c r="O313" s="181" t="n"/>
      <c r="P313" s="180" t="n"/>
      <c r="Q313" s="179" t="n"/>
      <c r="R313" s="181" t="n"/>
      <c r="S313" s="180" t="n"/>
      <c r="T313" s="179" t="n"/>
      <c r="U313" s="181" t="n"/>
      <c r="V313" s="180" t="n"/>
      <c r="W313" s="179" t="n"/>
      <c r="X313" s="181" t="n"/>
      <c r="Y313" s="180" t="n"/>
      <c r="Z313" s="179" t="n"/>
      <c r="AA313" s="181" t="n"/>
      <c r="AB313" s="180" t="n"/>
      <c r="AC313" s="179" t="n"/>
      <c r="AD313" s="179" t="n"/>
      <c r="AE313" s="179" t="n"/>
      <c r="AF313" s="179" t="n"/>
      <c r="AG313" s="181" t="n"/>
      <c r="AH313" s="180" t="n"/>
      <c r="AI313" s="179" t="n"/>
      <c r="AJ313" s="179" t="n"/>
      <c r="AK313" s="181" t="n"/>
      <c r="AL313" s="180" t="n"/>
      <c r="AM313" s="179" t="n"/>
      <c r="AN313" s="179" t="n"/>
      <c r="AO313" s="179" t="n"/>
      <c r="AP313" s="181" t="n"/>
      <c r="AQ313" s="180" t="n"/>
      <c r="AR313" s="179" t="n"/>
      <c r="AS313" s="192" t="n"/>
    </row>
    <row r="314" ht="13" customHeight="1" s="70">
      <c r="A314" s="193" t="n"/>
      <c r="B314" s="194" t="n"/>
      <c r="C314" s="194" t="n"/>
      <c r="D314" s="195" t="n"/>
      <c r="E314" s="194" t="n"/>
      <c r="F314" s="196" t="n"/>
      <c r="G314" s="195" t="n"/>
      <c r="H314" s="194" t="n"/>
      <c r="I314" s="196" t="n"/>
      <c r="J314" s="195" t="n"/>
      <c r="K314" s="194" t="n"/>
      <c r="L314" s="196" t="n"/>
      <c r="M314" s="195" t="n"/>
      <c r="N314" s="194" t="n"/>
      <c r="O314" s="196" t="n"/>
      <c r="P314" s="195" t="n"/>
      <c r="Q314" s="194" t="n"/>
      <c r="R314" s="196" t="n"/>
      <c r="S314" s="195" t="n"/>
      <c r="T314" s="194" t="n"/>
      <c r="U314" s="196" t="n"/>
      <c r="V314" s="195" t="n"/>
      <c r="W314" s="194" t="n"/>
      <c r="X314" s="196" t="n"/>
      <c r="Y314" s="195" t="n"/>
      <c r="Z314" s="194" t="n"/>
      <c r="AA314" s="196" t="n"/>
      <c r="AB314" s="195" t="n"/>
      <c r="AC314" s="194" t="n"/>
      <c r="AD314" s="194" t="n"/>
      <c r="AE314" s="194" t="n"/>
      <c r="AF314" s="194" t="n"/>
      <c r="AG314" s="196" t="n"/>
      <c r="AH314" s="195" t="n"/>
      <c r="AI314" s="194" t="n"/>
      <c r="AJ314" s="194" t="n"/>
      <c r="AK314" s="196" t="n"/>
      <c r="AL314" s="195" t="n"/>
      <c r="AM314" s="194" t="n"/>
      <c r="AN314" s="194" t="n"/>
      <c r="AO314" s="194" t="n"/>
      <c r="AP314" s="196" t="n"/>
      <c r="AQ314" s="195" t="n"/>
      <c r="AR314" s="194" t="n"/>
      <c r="AS314" s="198" t="n"/>
    </row>
    <row r="315" ht="21" customHeight="1" s="70">
      <c r="A315" s="160" t="inlineStr">
        <is>
          <t>SCR022601</t>
        </is>
      </c>
      <c r="B315" s="161" t="inlineStr">
        <is>
          <t>P060442</t>
        </is>
      </c>
      <c r="C315" s="199" t="inlineStr">
        <is>
          <t>⚠ 3 NO RESULT
(3 no cert / 0 cert w/o result)</t>
        </is>
      </c>
      <c r="D315" s="200" t="inlineStr">
        <is>
          <t>Conforms ᴿ</t>
        </is>
      </c>
      <c r="E315" s="201" t="inlineStr">
        <is>
          <t>ППК26116, (06.07.2026) [CNP]</t>
        </is>
      </c>
      <c r="F315" s="202" t="inlineStr">
        <is>
          <t>✓</t>
        </is>
      </c>
      <c r="G315" s="200" t="inlineStr">
        <is>
          <t>Conforms ᴿ</t>
        </is>
      </c>
      <c r="H315" s="201" t="inlineStr">
        <is>
          <t>ППК26116, (06.07.2026) [CNP]</t>
        </is>
      </c>
      <c r="I315" s="202" t="inlineStr">
        <is>
          <t>✓</t>
        </is>
      </c>
      <c r="J315" s="200" t="inlineStr">
        <is>
          <t>Conforms (ImB spec.) ᴿ</t>
        </is>
      </c>
      <c r="K315" s="201" t="inlineStr">
        <is>
          <t>ППК26116, (06.07.2026) [CNP]</t>
        </is>
      </c>
      <c r="L315" s="202" t="inlineStr">
        <is>
          <t>✓</t>
        </is>
      </c>
      <c r="M315" s="203" t="inlineStr">
        <is>
          <t>21.92 ᴿ</t>
        </is>
      </c>
      <c r="N315" s="201" t="inlineStr">
        <is>
          <t>ППК26116, (06.07.2026) [CNP]</t>
        </is>
      </c>
      <c r="O315" s="202" t="inlineStr">
        <is>
          <t>✓</t>
        </is>
      </c>
      <c r="P315" s="204" t="inlineStr">
        <is>
          <t>0.19 ᴿ</t>
        </is>
      </c>
      <c r="Q315" s="201" t="inlineStr">
        <is>
          <t>ППК26116, (06.07.2026) [CNP]</t>
        </is>
      </c>
      <c r="R315" s="202" t="inlineStr">
        <is>
          <t>✓</t>
        </is>
      </c>
      <c r="S315" s="204" t="inlineStr">
        <is>
          <t>0.06 ᴿ</t>
        </is>
      </c>
      <c r="T315" s="201" t="inlineStr">
        <is>
          <t>ППК26116, (06.07.2026) [CNP]</t>
        </is>
      </c>
      <c r="U315" s="202" t="inlineStr">
        <is>
          <t>✓</t>
        </is>
      </c>
      <c r="V315" s="200" t="inlineStr">
        <is>
          <t>Conforms ᴿ</t>
        </is>
      </c>
      <c r="W315" s="201" t="inlineStr">
        <is>
          <t>ППК26116, (06.07.2026) [CNP]</t>
        </is>
      </c>
      <c r="X315" s="202" t="inlineStr">
        <is>
          <t>✓</t>
        </is>
      </c>
      <c r="Y315" s="200" t="inlineStr">
        <is>
          <t>7.06 ᴿ</t>
        </is>
      </c>
      <c r="Z315" s="201" t="inlineStr">
        <is>
          <t>ППК26116, (06.07.2026) [CNP]</t>
        </is>
      </c>
      <c r="AA315" s="202" t="inlineStr">
        <is>
          <t>✓</t>
        </is>
      </c>
      <c r="AB315" s="163" t="inlineStr">
        <is>
          <t>1.7 × 10³</t>
        </is>
      </c>
      <c r="AC315" s="171" t="inlineStr">
        <is>
          <t>5.6 × 10²</t>
        </is>
      </c>
      <c r="AD315" s="171" t="inlineStr">
        <is>
          <t>&lt; 10</t>
        </is>
      </c>
      <c r="AE315" s="171" t="inlineStr">
        <is>
          <t>Absent</t>
        </is>
      </c>
      <c r="AF315" s="171" t="inlineStr">
        <is>
          <t>Absent</t>
        </is>
      </c>
      <c r="AG315" s="202" t="inlineStr">
        <is>
          <t>✓</t>
        </is>
      </c>
      <c r="AH315" s="205" t="inlineStr">
        <is>
          <t>— MISSING —</t>
        </is>
      </c>
      <c r="AI315" s="206" t="inlineStr">
        <is>
          <t>— MISSING —</t>
        </is>
      </c>
      <c r="AJ315" s="206" t="inlineStr">
        <is>
          <t>— MISSING —</t>
        </is>
      </c>
      <c r="AK315" s="207" t="inlineStr">
        <is>
          <t>✗</t>
        </is>
      </c>
      <c r="AL315" s="205" t="inlineStr">
        <is>
          <t>— MISSING —</t>
        </is>
      </c>
      <c r="AM315" s="206" t="inlineStr">
        <is>
          <t>— MISSING —</t>
        </is>
      </c>
      <c r="AN315" s="206" t="inlineStr">
        <is>
          <t>— MISSING —</t>
        </is>
      </c>
      <c r="AO315" s="206" t="inlineStr">
        <is>
          <t>— MISSING —</t>
        </is>
      </c>
      <c r="AP315" s="207" t="inlineStr">
        <is>
          <t>✗</t>
        </is>
      </c>
      <c r="AQ315" s="208" t="inlineStr">
        <is>
          <t>— MISSING —</t>
        </is>
      </c>
      <c r="AR315" s="209" t="inlineStr">
        <is>
          <t>— no certificate —</t>
        </is>
      </c>
      <c r="AS315" s="210" t="inlineStr">
        <is>
          <t>✗</t>
        </is>
      </c>
    </row>
    <row r="316" ht="13" customHeight="1" s="70">
      <c r="A316" s="193" t="n"/>
      <c r="B316" s="194" t="n"/>
      <c r="C316" s="194" t="n"/>
      <c r="D316" s="195" t="n"/>
      <c r="E316" s="194" t="n"/>
      <c r="F316" s="196" t="n"/>
      <c r="G316" s="195" t="n"/>
      <c r="H316" s="194" t="n"/>
      <c r="I316" s="196" t="n"/>
      <c r="J316" s="195" t="n"/>
      <c r="K316" s="194" t="n"/>
      <c r="L316" s="196" t="n"/>
      <c r="M316" s="195" t="n"/>
      <c r="N316" s="194" t="n"/>
      <c r="O316" s="196" t="n"/>
      <c r="P316" s="195" t="n"/>
      <c r="Q316" s="194" t="n"/>
      <c r="R316" s="196" t="n"/>
      <c r="S316" s="195" t="n"/>
      <c r="T316" s="194" t="n"/>
      <c r="U316" s="196" t="n"/>
      <c r="V316" s="195" t="n"/>
      <c r="W316" s="194" t="n"/>
      <c r="X316" s="196" t="n"/>
      <c r="Y316" s="195" t="n"/>
      <c r="Z316" s="194" t="n"/>
      <c r="AA316" s="196" t="n"/>
      <c r="AB316" s="197" t="inlineStr">
        <is>
          <t>536-1067-26, (31.08.2026) [IJZ-MB]</t>
        </is>
      </c>
      <c r="AC316" s="194" t="n"/>
      <c r="AD316" s="194" t="n"/>
      <c r="AE316" s="194" t="n"/>
      <c r="AF316" s="194" t="n"/>
      <c r="AG316" s="196" t="n"/>
      <c r="AH316" s="211" t="inlineStr">
        <is>
          <t>— no certificate —</t>
        </is>
      </c>
      <c r="AI316" s="194" t="n"/>
      <c r="AJ316" s="194" t="n"/>
      <c r="AK316" s="196" t="n"/>
      <c r="AL316" s="211" t="inlineStr">
        <is>
          <t>— no certificate —</t>
        </is>
      </c>
      <c r="AM316" s="194" t="n"/>
      <c r="AN316" s="194" t="n"/>
      <c r="AO316" s="194" t="n"/>
      <c r="AP316" s="196" t="n"/>
      <c r="AQ316" s="195" t="n"/>
      <c r="AR316" s="194" t="n"/>
      <c r="AS316" s="198" t="n"/>
    </row>
    <row r="317" ht="21" customHeight="1" s="70">
      <c r="A317" s="160" t="inlineStr">
        <is>
          <t>SCR112501</t>
        </is>
      </c>
      <c r="B317" s="161" t="inlineStr">
        <is>
          <t>P060282</t>
        </is>
      </c>
      <c r="C317" s="162" t="inlineStr">
        <is>
          <t>✓ COMPLETE
2 testing instances
• 1 document(s) on file, not credited</t>
        </is>
      </c>
      <c r="D317" s="163" t="inlineStr">
        <is>
          <t>Conforms</t>
        </is>
      </c>
      <c r="E317" s="164">
        <f>IFERROR(INDEX('iCoA Register'!$B:$B,MATCH("P060282|I",'iCoA Register'!$P:$P,0)),"iCoA — at issue")&amp;", (18.05.2026) [PP]"</f>
        <v/>
      </c>
      <c r="F317" s="165" t="inlineStr">
        <is>
          <t>✓</t>
        </is>
      </c>
      <c r="G317" s="166" t="inlineStr">
        <is>
          <t>not on this certificate</t>
        </is>
      </c>
      <c r="H317" s="167" t="inlineStr">
        <is>
          <t>ППК26069, (11.05.2026) [CNP] · on file, not credited</t>
        </is>
      </c>
      <c r="I317" s="168" t="inlineStr">
        <is>
          <t>•</t>
        </is>
      </c>
      <c r="J317" s="163" t="inlineStr">
        <is>
          <t>Conforms (ImB spec.)</t>
        </is>
      </c>
      <c r="K317" s="164" t="inlineStr">
        <is>
          <t>ППК26069, (11.05.2026) [CNP]</t>
        </is>
      </c>
      <c r="L317" s="165" t="inlineStr">
        <is>
          <t>✓</t>
        </is>
      </c>
      <c r="M317" s="169" t="inlineStr">
        <is>
          <t>17.13</t>
        </is>
      </c>
      <c r="N317" s="164" t="inlineStr">
        <is>
          <t>ППК26069, (11.05.2026) [CNP]</t>
        </is>
      </c>
      <c r="O317" s="165" t="inlineStr">
        <is>
          <t>✓</t>
        </is>
      </c>
      <c r="P317" s="170" t="inlineStr">
        <is>
          <t>0.04</t>
        </is>
      </c>
      <c r="Q317" s="164" t="inlineStr">
        <is>
          <t>ППК26069, (11.05.2026) [CNP]</t>
        </is>
      </c>
      <c r="R317" s="165" t="inlineStr">
        <is>
          <t>✓</t>
        </is>
      </c>
      <c r="S317" s="170" t="inlineStr">
        <is>
          <t>&lt; LOQ ᴰ</t>
        </is>
      </c>
      <c r="T317" s="164" t="inlineStr">
        <is>
          <t>ППК26069, (11.05.2026) [CNP]</t>
        </is>
      </c>
      <c r="U317" s="165" t="inlineStr">
        <is>
          <t>✓</t>
        </is>
      </c>
      <c r="V317" s="163" t="inlineStr">
        <is>
          <t>Conforms</t>
        </is>
      </c>
      <c r="W317" s="164">
        <f>IFERROR(INDEX('iCoA Register'!$B:$B,MATCH("P060282|I",'iCoA Register'!$P:$P,0)),"iCoA — at issue")&amp;", (18.05.2026) [PP]"</f>
        <v/>
      </c>
      <c r="X317" s="165" t="inlineStr">
        <is>
          <t>✓</t>
        </is>
      </c>
      <c r="Y317" s="163" t="inlineStr">
        <is>
          <t>6.84</t>
        </is>
      </c>
      <c r="Z317" s="164" t="inlineStr">
        <is>
          <t>ППК26069, (11.05.2026) [CNP]</t>
        </is>
      </c>
      <c r="AA317" s="165" t="inlineStr">
        <is>
          <t>✓</t>
        </is>
      </c>
      <c r="AB317" s="163" t="inlineStr">
        <is>
          <t>2.3 × 10³</t>
        </is>
      </c>
      <c r="AC317" s="171" t="inlineStr">
        <is>
          <t>4.3 × 10³</t>
        </is>
      </c>
      <c r="AD317" s="171" t="inlineStr">
        <is>
          <t>not reported</t>
        </is>
      </c>
      <c r="AE317" s="171" t="inlineStr">
        <is>
          <t>Absent</t>
        </is>
      </c>
      <c r="AF317" s="171" t="inlineStr">
        <is>
          <t>Absent</t>
        </is>
      </c>
      <c r="AG317" s="165" t="inlineStr">
        <is>
          <t>✓</t>
        </is>
      </c>
      <c r="AH317" s="163" t="inlineStr">
        <is>
          <t>ND</t>
        </is>
      </c>
      <c r="AI317" s="171" t="inlineStr">
        <is>
          <t>&lt; 2</t>
        </is>
      </c>
      <c r="AJ317" s="171" t="inlineStr">
        <is>
          <t>ND</t>
        </is>
      </c>
      <c r="AK317" s="165" t="inlineStr">
        <is>
          <t>✓</t>
        </is>
      </c>
      <c r="AL317" s="163" t="inlineStr">
        <is>
          <t>0.0299</t>
        </is>
      </c>
      <c r="AM317" s="171" t="inlineStr">
        <is>
          <t>0.0136</t>
        </is>
      </c>
      <c r="AN317" s="171" t="inlineStr">
        <is>
          <t>0.0154</t>
        </is>
      </c>
      <c r="AO317" s="171" t="inlineStr">
        <is>
          <t>0.017</t>
        </is>
      </c>
      <c r="AP317" s="165" t="inlineStr">
        <is>
          <t>✓</t>
        </is>
      </c>
      <c r="AQ317" s="163" t="inlineStr">
        <is>
          <t>≤ LOQ (all 27 compounds)</t>
        </is>
      </c>
      <c r="AR317" s="164" t="inlineStr">
        <is>
          <t>2360-2026, (29.04.2026) [IJZ]</t>
        </is>
      </c>
      <c r="AS317" s="172" t="inlineStr">
        <is>
          <t>✓</t>
        </is>
      </c>
    </row>
    <row r="318" ht="13" customHeight="1" s="70">
      <c r="A318" s="173" t="n"/>
      <c r="D318" s="174" t="n"/>
      <c r="F318" s="175" t="n"/>
      <c r="G318" s="174" t="n"/>
      <c r="I318" s="175" t="n"/>
      <c r="J318" s="174" t="n"/>
      <c r="L318" s="175" t="n"/>
      <c r="M318" s="174" t="n"/>
      <c r="O318" s="175" t="n"/>
      <c r="P318" s="174" t="n"/>
      <c r="R318" s="175" t="n"/>
      <c r="S318" s="174" t="n"/>
      <c r="U318" s="175" t="n"/>
      <c r="V318" s="174" t="n"/>
      <c r="X318" s="175" t="n"/>
      <c r="Y318" s="174" t="n"/>
      <c r="AA318" s="175" t="n"/>
      <c r="AB318" s="176" t="inlineStr">
        <is>
          <t>305-0549-26, (28.04.2026) [IJZ-MB]</t>
        </is>
      </c>
      <c r="AG318" s="175" t="n"/>
      <c r="AH318" s="176" t="inlineStr">
        <is>
          <t>2360-2026, (29.04.2026) [IJZ]</t>
        </is>
      </c>
      <c r="AK318" s="175" t="n"/>
      <c r="AL318" s="176" t="inlineStr">
        <is>
          <t>2360-2026, (29.04.2026) [IJZ]</t>
        </is>
      </c>
      <c r="AP318" s="175" t="n"/>
      <c r="AQ318" s="174" t="n"/>
      <c r="AS318" s="177" t="n"/>
    </row>
    <row r="319" ht="14" customHeight="1" s="70">
      <c r="A319" s="178" t="n"/>
      <c r="B319" s="179" t="n"/>
      <c r="D319" s="180" t="n"/>
      <c r="E319" s="179" t="n"/>
      <c r="F319" s="181" t="n"/>
      <c r="G319" s="182" t="inlineStr">
        <is>
          <t>Conforms</t>
        </is>
      </c>
      <c r="H319" s="183">
        <f>IFERROR(INDEX('iCoA Register'!$B:$B,MATCH("P060282|I",'iCoA Register'!$P:$P,0)),"iCoA — at issue")&amp;", (18.05.2026) [PP]"</f>
        <v/>
      </c>
      <c r="I319" s="184" t="inlineStr">
        <is>
          <t>✓</t>
        </is>
      </c>
      <c r="J319" s="180" t="n"/>
      <c r="K319" s="179" t="n"/>
      <c r="L319" s="181" t="n"/>
      <c r="M319" s="180" t="n"/>
      <c r="N319" s="179" t="n"/>
      <c r="O319" s="181" t="n"/>
      <c r="P319" s="180" t="n"/>
      <c r="Q319" s="179" t="n"/>
      <c r="R319" s="181" t="n"/>
      <c r="S319" s="180" t="n"/>
      <c r="T319" s="179" t="n"/>
      <c r="U319" s="181" t="n"/>
      <c r="V319" s="180" t="n"/>
      <c r="W319" s="179" t="n"/>
      <c r="X319" s="181" t="n"/>
      <c r="Y319" s="180" t="n"/>
      <c r="Z319" s="179" t="n"/>
      <c r="AA319" s="181" t="n"/>
      <c r="AB319" s="180" t="n"/>
      <c r="AC319" s="179" t="n"/>
      <c r="AD319" s="179" t="n"/>
      <c r="AE319" s="179" t="n"/>
      <c r="AF319" s="179" t="n"/>
      <c r="AG319" s="181" t="n"/>
      <c r="AH319" s="180" t="n"/>
      <c r="AI319" s="179" t="n"/>
      <c r="AJ319" s="179" t="n"/>
      <c r="AK319" s="181" t="n"/>
      <c r="AL319" s="180" t="n"/>
      <c r="AM319" s="179" t="n"/>
      <c r="AN319" s="179" t="n"/>
      <c r="AO319" s="179" t="n"/>
      <c r="AP319" s="181" t="n"/>
      <c r="AQ319" s="180" t="n"/>
      <c r="AR319" s="179" t="n"/>
      <c r="AS319" s="192" t="n"/>
    </row>
    <row r="320" ht="13" customHeight="1" s="70">
      <c r="A320" s="193" t="n"/>
      <c r="B320" s="194" t="n"/>
      <c r="C320" s="194" t="n"/>
      <c r="D320" s="195" t="n"/>
      <c r="E320" s="194" t="n"/>
      <c r="F320" s="196" t="n"/>
      <c r="G320" s="195" t="n"/>
      <c r="H320" s="194" t="n"/>
      <c r="I320" s="196" t="n"/>
      <c r="J320" s="195" t="n"/>
      <c r="K320" s="194" t="n"/>
      <c r="L320" s="196" t="n"/>
      <c r="M320" s="195" t="n"/>
      <c r="N320" s="194" t="n"/>
      <c r="O320" s="196" t="n"/>
      <c r="P320" s="195" t="n"/>
      <c r="Q320" s="194" t="n"/>
      <c r="R320" s="196" t="n"/>
      <c r="S320" s="195" t="n"/>
      <c r="T320" s="194" t="n"/>
      <c r="U320" s="196" t="n"/>
      <c r="V320" s="195" t="n"/>
      <c r="W320" s="194" t="n"/>
      <c r="X320" s="196" t="n"/>
      <c r="Y320" s="195" t="n"/>
      <c r="Z320" s="194" t="n"/>
      <c r="AA320" s="196" t="n"/>
      <c r="AB320" s="195" t="n"/>
      <c r="AC320" s="194" t="n"/>
      <c r="AD320" s="194" t="n"/>
      <c r="AE320" s="194" t="n"/>
      <c r="AF320" s="194" t="n"/>
      <c r="AG320" s="196" t="n"/>
      <c r="AH320" s="195" t="n"/>
      <c r="AI320" s="194" t="n"/>
      <c r="AJ320" s="194" t="n"/>
      <c r="AK320" s="196" t="n"/>
      <c r="AL320" s="195" t="n"/>
      <c r="AM320" s="194" t="n"/>
      <c r="AN320" s="194" t="n"/>
      <c r="AO320" s="194" t="n"/>
      <c r="AP320" s="196" t="n"/>
      <c r="AQ320" s="195" t="n"/>
      <c r="AR320" s="194" t="n"/>
      <c r="AS320" s="198" t="n"/>
    </row>
    <row r="321" ht="21" customHeight="1" s="70">
      <c r="A321" s="160" t="inlineStr">
        <is>
          <t>SJ102501</t>
        </is>
      </c>
      <c r="B321" s="161" t="inlineStr">
        <is>
          <t>P060162</t>
        </is>
      </c>
      <c r="C321" s="199" t="inlineStr">
        <is>
          <t>⚠ 3 NO RESULT
(3 no cert / 0 cert w/o result)
2 testing instances
• 2 document(s) on file, not credited</t>
        </is>
      </c>
      <c r="D321" s="163" t="inlineStr">
        <is>
          <t>Conforms</t>
        </is>
      </c>
      <c r="E321" s="164">
        <f>IFERROR(INDEX('iCoA Register'!$B:$B,MATCH("P060162|I",'iCoA Register'!$P:$P,0)),"iCoA — at issue")&amp;", (09.03.2026) [PP]"</f>
        <v/>
      </c>
      <c r="F321" s="165" t="inlineStr">
        <is>
          <t>✓</t>
        </is>
      </c>
      <c r="G321" s="163" t="inlineStr">
        <is>
          <t>Conforms</t>
        </is>
      </c>
      <c r="H321" s="164">
        <f>IFERROR(INDEX('iCoA Register'!$B:$B,MATCH("P060162|I",'iCoA Register'!$P:$P,0)),"iCoA — at issue")&amp;", (09.03.2026) [PP]"</f>
        <v/>
      </c>
      <c r="I321" s="165" t="inlineStr">
        <is>
          <t>✓</t>
        </is>
      </c>
      <c r="J321" s="166" t="inlineStr">
        <is>
          <t>not on this certificate</t>
        </is>
      </c>
      <c r="K321" s="167" t="inlineStr">
        <is>
          <t>051-3-LoD-26, (02.03.2026) [FHM-K] · on file, not credited</t>
        </is>
      </c>
      <c r="L321" s="168" t="inlineStr">
        <is>
          <t>•</t>
        </is>
      </c>
      <c r="M321" s="218" t="inlineStr">
        <is>
          <t>not on this certificate</t>
        </is>
      </c>
      <c r="N321" s="167" t="inlineStr">
        <is>
          <t>051-3-LoD-26, (02.03.2026) [FHM-K] · on file, not credited</t>
        </is>
      </c>
      <c r="O321" s="168" t="inlineStr">
        <is>
          <t>•</t>
        </is>
      </c>
      <c r="P321" s="219" t="inlineStr">
        <is>
          <t>not on this certificate</t>
        </is>
      </c>
      <c r="Q321" s="167" t="inlineStr">
        <is>
          <t>051-3-LoD-26, (02.03.2026) [FHM-K] · on file, not credited</t>
        </is>
      </c>
      <c r="R321" s="168" t="inlineStr">
        <is>
          <t>•</t>
        </is>
      </c>
      <c r="S321" s="219" t="inlineStr">
        <is>
          <t>not on this certificate</t>
        </is>
      </c>
      <c r="T321" s="167" t="inlineStr">
        <is>
          <t>051-3-LoD-26, (02.03.2026) [FHM-K] · on file, not credited</t>
        </is>
      </c>
      <c r="U321" s="168" t="inlineStr">
        <is>
          <t>•</t>
        </is>
      </c>
      <c r="V321" s="163" t="inlineStr">
        <is>
          <t>Conforms</t>
        </is>
      </c>
      <c r="W321" s="164">
        <f>IFERROR(INDEX('iCoA Register'!$B:$B,MATCH("P060162|I",'iCoA Register'!$P:$P,0)),"iCoA — at issue")&amp;", (09.03.2026) [PP]"</f>
        <v/>
      </c>
      <c r="X321" s="165" t="inlineStr">
        <is>
          <t>✓</t>
        </is>
      </c>
      <c r="Y321" s="163" t="inlineStr">
        <is>
          <t>7.8</t>
        </is>
      </c>
      <c r="Z321" s="164" t="inlineStr">
        <is>
          <t>051-3-LoD-26, (02.03.2026) [FHM-K]</t>
        </is>
      </c>
      <c r="AA321" s="165" t="inlineStr">
        <is>
          <t>✓</t>
        </is>
      </c>
      <c r="AB321" s="163" t="inlineStr">
        <is>
          <t>5.2 × 10²</t>
        </is>
      </c>
      <c r="AC321" s="171" t="inlineStr">
        <is>
          <t>4.3 × 10²</t>
        </is>
      </c>
      <c r="AD321" s="171" t="inlineStr">
        <is>
          <t>&lt; 10</t>
        </is>
      </c>
      <c r="AE321" s="171" t="inlineStr">
        <is>
          <t>Absent</t>
        </is>
      </c>
      <c r="AF321" s="171" t="inlineStr">
        <is>
          <t>Absent</t>
        </is>
      </c>
      <c r="AG321" s="165" t="inlineStr">
        <is>
          <t>✓</t>
        </is>
      </c>
      <c r="AH321" s="205" t="inlineStr">
        <is>
          <t>— MISSING —</t>
        </is>
      </c>
      <c r="AI321" s="206" t="inlineStr">
        <is>
          <t>— MISSING —</t>
        </is>
      </c>
      <c r="AJ321" s="206" t="inlineStr">
        <is>
          <t>— MISSING —</t>
        </is>
      </c>
      <c r="AK321" s="214" t="inlineStr">
        <is>
          <t>✗</t>
        </is>
      </c>
      <c r="AL321" s="205" t="inlineStr">
        <is>
          <t>— MISSING —</t>
        </is>
      </c>
      <c r="AM321" s="206" t="inlineStr">
        <is>
          <t>— MISSING —</t>
        </is>
      </c>
      <c r="AN321" s="206" t="inlineStr">
        <is>
          <t>— MISSING —</t>
        </is>
      </c>
      <c r="AO321" s="206" t="inlineStr">
        <is>
          <t>— MISSING —</t>
        </is>
      </c>
      <c r="AP321" s="214" t="inlineStr">
        <is>
          <t>✗</t>
        </is>
      </c>
      <c r="AQ321" s="205" t="inlineStr">
        <is>
          <t>— MISSING —</t>
        </is>
      </c>
      <c r="AR321" s="215" t="inlineStr">
        <is>
          <t>— no certificate —</t>
        </is>
      </c>
      <c r="AS321" s="216" t="inlineStr">
        <is>
          <t>✗</t>
        </is>
      </c>
    </row>
    <row r="322" ht="21" customHeight="1" s="70">
      <c r="A322" s="173" t="n"/>
      <c r="D322" s="174" t="n"/>
      <c r="F322" s="175" t="n"/>
      <c r="G322" s="174" t="n"/>
      <c r="I322" s="175" t="n"/>
      <c r="J322" s="174" t="n"/>
      <c r="L322" s="175" t="n"/>
      <c r="M322" s="174" t="n"/>
      <c r="O322" s="175" t="n"/>
      <c r="P322" s="174" t="n"/>
      <c r="R322" s="175" t="n"/>
      <c r="S322" s="174" t="n"/>
      <c r="U322" s="175" t="n"/>
      <c r="V322" s="174" t="n"/>
      <c r="X322" s="175" t="n"/>
      <c r="Y322" s="174" t="n"/>
      <c r="AA322" s="175" t="n"/>
      <c r="AB322" s="176" t="inlineStr">
        <is>
          <t>549-1080-26, (31.08.2026) [IJZ-MB]</t>
        </is>
      </c>
      <c r="AG322" s="175" t="n"/>
      <c r="AH322" s="217" t="inlineStr">
        <is>
          <t>— no certificate —</t>
        </is>
      </c>
      <c r="AK322" s="175" t="n"/>
      <c r="AL322" s="217" t="inlineStr">
        <is>
          <t>— no certificate —</t>
        </is>
      </c>
      <c r="AP322" s="175" t="n"/>
      <c r="AQ322" s="174" t="n"/>
      <c r="AS322" s="177" t="n"/>
    </row>
    <row r="323" ht="17.625" customHeight="1" s="70">
      <c r="A323" s="178" t="n"/>
      <c r="B323" s="179" t="n"/>
      <c r="D323" s="180" t="n"/>
      <c r="E323" s="179" t="n"/>
      <c r="F323" s="181" t="n"/>
      <c r="G323" s="180" t="n"/>
      <c r="H323" s="179" t="n"/>
      <c r="I323" s="181" t="n"/>
      <c r="J323" s="182" t="inlineStr">
        <is>
          <t>Conforms (ImB spec.) ᴿ</t>
        </is>
      </c>
      <c r="K323" s="183" t="inlineStr">
        <is>
          <t>051-3-K-26, (04.03.2026) [FHM-K]</t>
        </is>
      </c>
      <c r="L323" s="184" t="inlineStr">
        <is>
          <t>✓</t>
        </is>
      </c>
      <c r="M323" s="185" t="inlineStr">
        <is>
          <t>11.20</t>
        </is>
      </c>
      <c r="N323" s="183" t="inlineStr">
        <is>
          <t>051-3-K-26, (04.03.2026) [FHM-K]</t>
        </is>
      </c>
      <c r="O323" s="184" t="inlineStr">
        <is>
          <t>✓</t>
        </is>
      </c>
      <c r="P323" s="186" t="inlineStr">
        <is>
          <t>&lt; LOQ**</t>
        </is>
      </c>
      <c r="Q323" s="183" t="inlineStr">
        <is>
          <t>051-3-K-26, (04.03.2026) [FHM-K]</t>
        </is>
      </c>
      <c r="R323" s="184" t="inlineStr">
        <is>
          <t>✓</t>
        </is>
      </c>
      <c r="S323" s="186" t="inlineStr">
        <is>
          <t>&lt; LOQ**</t>
        </is>
      </c>
      <c r="T323" s="183" t="inlineStr">
        <is>
          <t>051-3-K-26, (04.03.2026) [FHM-K]</t>
        </is>
      </c>
      <c r="U323" s="184" t="inlineStr">
        <is>
          <t>✓</t>
        </is>
      </c>
      <c r="V323" s="180" t="n"/>
      <c r="W323" s="179" t="n"/>
      <c r="X323" s="181" t="n"/>
      <c r="Y323" s="187" t="inlineStr">
        <is>
          <t>not on this certificate</t>
        </is>
      </c>
      <c r="Z323" s="188" t="inlineStr">
        <is>
          <t>051-3-K-26, (04.03.2026) [FHM-K] · on file, not credited</t>
        </is>
      </c>
      <c r="AA323" s="189" t="inlineStr">
        <is>
          <t>•</t>
        </is>
      </c>
      <c r="AB323" s="180" t="n"/>
      <c r="AC323" s="179" t="n"/>
      <c r="AD323" s="179" t="n"/>
      <c r="AE323" s="179" t="n"/>
      <c r="AF323" s="179" t="n"/>
      <c r="AG323" s="181" t="n"/>
      <c r="AH323" s="180" t="n"/>
      <c r="AI323" s="179" t="n"/>
      <c r="AJ323" s="179" t="n"/>
      <c r="AK323" s="181" t="n"/>
      <c r="AL323" s="180" t="n"/>
      <c r="AM323" s="179" t="n"/>
      <c r="AN323" s="179" t="n"/>
      <c r="AO323" s="179" t="n"/>
      <c r="AP323" s="181" t="n"/>
      <c r="AQ323" s="180" t="n"/>
      <c r="AR323" s="179" t="n"/>
      <c r="AS323" s="192" t="n"/>
    </row>
    <row r="324" ht="15.375" customHeight="1" s="70">
      <c r="A324" s="193" t="n"/>
      <c r="B324" s="194" t="n"/>
      <c r="C324" s="194" t="n"/>
      <c r="D324" s="195" t="n"/>
      <c r="E324" s="194" t="n"/>
      <c r="F324" s="196" t="n"/>
      <c r="G324" s="195" t="n"/>
      <c r="H324" s="194" t="n"/>
      <c r="I324" s="196" t="n"/>
      <c r="J324" s="195" t="n"/>
      <c r="K324" s="194" t="n"/>
      <c r="L324" s="196" t="n"/>
      <c r="M324" s="195" t="n"/>
      <c r="N324" s="194" t="n"/>
      <c r="O324" s="196" t="n"/>
      <c r="P324" s="195" t="n"/>
      <c r="Q324" s="194" t="n"/>
      <c r="R324" s="196" t="n"/>
      <c r="S324" s="195" t="n"/>
      <c r="T324" s="194" t="n"/>
      <c r="U324" s="196" t="n"/>
      <c r="V324" s="195" t="n"/>
      <c r="W324" s="194" t="n"/>
      <c r="X324" s="196" t="n"/>
      <c r="Y324" s="195" t="n"/>
      <c r="Z324" s="194" t="n"/>
      <c r="AA324" s="196" t="n"/>
      <c r="AB324" s="195" t="n"/>
      <c r="AC324" s="194" t="n"/>
      <c r="AD324" s="194" t="n"/>
      <c r="AE324" s="194" t="n"/>
      <c r="AF324" s="194" t="n"/>
      <c r="AG324" s="196" t="n"/>
      <c r="AH324" s="195" t="n"/>
      <c r="AI324" s="194" t="n"/>
      <c r="AJ324" s="194" t="n"/>
      <c r="AK324" s="196" t="n"/>
      <c r="AL324" s="195" t="n"/>
      <c r="AM324" s="194" t="n"/>
      <c r="AN324" s="194" t="n"/>
      <c r="AO324" s="194" t="n"/>
      <c r="AP324" s="196" t="n"/>
      <c r="AQ324" s="195" t="n"/>
      <c r="AR324" s="194" t="n"/>
      <c r="AS324" s="198" t="n"/>
    </row>
    <row r="325" ht="21" customHeight="1" s="70">
      <c r="A325" s="160" t="inlineStr">
        <is>
          <t>SJ112501</t>
        </is>
      </c>
      <c r="B325" s="161" t="inlineStr">
        <is>
          <t>P060192</t>
        </is>
      </c>
      <c r="C325" s="212" t="inlineStr">
        <is>
          <t>✗ 4 NO RESULT
(4 no cert / 0 cert w/o result)
2 testing instances
• 2 document(s) on file, not credited</t>
        </is>
      </c>
      <c r="D325" s="163" t="inlineStr">
        <is>
          <t>Conforms</t>
        </is>
      </c>
      <c r="E325" s="164">
        <f>IFERROR(INDEX('iCoA Register'!$B:$B,MATCH("P060192|I",'iCoA Register'!$P:$P,0)),"iCoA — at issue")&amp;", (31.03.2026) [PP]"</f>
        <v/>
      </c>
      <c r="F325" s="165" t="inlineStr">
        <is>
          <t>✓</t>
        </is>
      </c>
      <c r="G325" s="163" t="inlineStr">
        <is>
          <t>Conforms</t>
        </is>
      </c>
      <c r="H325" s="164">
        <f>IFERROR(INDEX('iCoA Register'!$B:$B,MATCH("P060192|I",'iCoA Register'!$P:$P,0)),"iCoA — at issue")&amp;", (31.03.2026) [PP]"</f>
        <v/>
      </c>
      <c r="I325" s="165" t="inlineStr">
        <is>
          <t>✓</t>
        </is>
      </c>
      <c r="J325" s="166" t="inlineStr">
        <is>
          <t>not on this certificate</t>
        </is>
      </c>
      <c r="K325" s="167" t="inlineStr">
        <is>
          <t>051-2-LoD-26, (02.03.2026) [FHM-K] · on file, not credited</t>
        </is>
      </c>
      <c r="L325" s="168" t="inlineStr">
        <is>
          <t>•</t>
        </is>
      </c>
      <c r="M325" s="218" t="inlineStr">
        <is>
          <t>not on this certificate</t>
        </is>
      </c>
      <c r="N325" s="167" t="inlineStr">
        <is>
          <t>051-2-LoD-26, (02.03.2026) [FHM-K] · on file, not credited</t>
        </is>
      </c>
      <c r="O325" s="168" t="inlineStr">
        <is>
          <t>•</t>
        </is>
      </c>
      <c r="P325" s="219" t="inlineStr">
        <is>
          <t>not on this certificate</t>
        </is>
      </c>
      <c r="Q325" s="167" t="inlineStr">
        <is>
          <t>051-2-LoD-26, (02.03.2026) [FHM-K] · on file, not credited</t>
        </is>
      </c>
      <c r="R325" s="168" t="inlineStr">
        <is>
          <t>•</t>
        </is>
      </c>
      <c r="S325" s="219" t="inlineStr">
        <is>
          <t>not on this certificate</t>
        </is>
      </c>
      <c r="T325" s="167" t="inlineStr">
        <is>
          <t>051-2-LoD-26, (02.03.2026) [FHM-K] · on file, not credited</t>
        </is>
      </c>
      <c r="U325" s="168" t="inlineStr">
        <is>
          <t>•</t>
        </is>
      </c>
      <c r="V325" s="163" t="inlineStr">
        <is>
          <t>Conforms</t>
        </is>
      </c>
      <c r="W325" s="164">
        <f>IFERROR(INDEX('iCoA Register'!$B:$B,MATCH("P060192|I",'iCoA Register'!$P:$P,0)),"iCoA — at issue")&amp;", (31.03.2026) [PP]"</f>
        <v/>
      </c>
      <c r="X325" s="165" t="inlineStr">
        <is>
          <t>✓</t>
        </is>
      </c>
      <c r="Y325" s="163" t="inlineStr">
        <is>
          <t>6.7</t>
        </is>
      </c>
      <c r="Z325" s="164" t="inlineStr">
        <is>
          <t>051-2-LoD-26, (02.03.2026) [FHM-K]</t>
        </is>
      </c>
      <c r="AA325" s="165" t="inlineStr">
        <is>
          <t>✓</t>
        </is>
      </c>
      <c r="AB325" s="205" t="inlineStr">
        <is>
          <t>— MISSING —</t>
        </is>
      </c>
      <c r="AC325" s="206" t="inlineStr">
        <is>
          <t>— MISSING —</t>
        </is>
      </c>
      <c r="AD325" s="206" t="inlineStr">
        <is>
          <t>— MISSING —</t>
        </is>
      </c>
      <c r="AE325" s="206" t="inlineStr">
        <is>
          <t>— MISSING —</t>
        </is>
      </c>
      <c r="AF325" s="206" t="inlineStr">
        <is>
          <t>— MISSING —</t>
        </is>
      </c>
      <c r="AG325" s="214" t="inlineStr">
        <is>
          <t>✗</t>
        </is>
      </c>
      <c r="AH325" s="205" t="inlineStr">
        <is>
          <t>— MISSING —</t>
        </is>
      </c>
      <c r="AI325" s="206" t="inlineStr">
        <is>
          <t>— MISSING —</t>
        </is>
      </c>
      <c r="AJ325" s="206" t="inlineStr">
        <is>
          <t>— MISSING —</t>
        </is>
      </c>
      <c r="AK325" s="214" t="inlineStr">
        <is>
          <t>✗</t>
        </is>
      </c>
      <c r="AL325" s="205" t="inlineStr">
        <is>
          <t>— MISSING —</t>
        </is>
      </c>
      <c r="AM325" s="206" t="inlineStr">
        <is>
          <t>— MISSING —</t>
        </is>
      </c>
      <c r="AN325" s="206" t="inlineStr">
        <is>
          <t>— MISSING —</t>
        </is>
      </c>
      <c r="AO325" s="206" t="inlineStr">
        <is>
          <t>— MISSING —</t>
        </is>
      </c>
      <c r="AP325" s="214" t="inlineStr">
        <is>
          <t>✗</t>
        </is>
      </c>
      <c r="AQ325" s="205" t="inlineStr">
        <is>
          <t>— MISSING —</t>
        </is>
      </c>
      <c r="AR325" s="215" t="inlineStr">
        <is>
          <t>— no certificate —</t>
        </is>
      </c>
      <c r="AS325" s="216" t="inlineStr">
        <is>
          <t>✗</t>
        </is>
      </c>
    </row>
    <row r="326" ht="21" customHeight="1" s="70">
      <c r="A326" s="173" t="n"/>
      <c r="D326" s="174" t="n"/>
      <c r="F326" s="175" t="n"/>
      <c r="G326" s="174" t="n"/>
      <c r="I326" s="175" t="n"/>
      <c r="J326" s="174" t="n"/>
      <c r="L326" s="175" t="n"/>
      <c r="M326" s="174" t="n"/>
      <c r="O326" s="175" t="n"/>
      <c r="P326" s="174" t="n"/>
      <c r="R326" s="175" t="n"/>
      <c r="S326" s="174" t="n"/>
      <c r="U326" s="175" t="n"/>
      <c r="V326" s="174" t="n"/>
      <c r="X326" s="175" t="n"/>
      <c r="Y326" s="174" t="n"/>
      <c r="AA326" s="175" t="n"/>
      <c r="AB326" s="217" t="inlineStr">
        <is>
          <t>— no certificate —</t>
        </is>
      </c>
      <c r="AG326" s="175" t="n"/>
      <c r="AH326" s="217" t="inlineStr">
        <is>
          <t>— no certificate —</t>
        </is>
      </c>
      <c r="AK326" s="175" t="n"/>
      <c r="AL326" s="217" t="inlineStr">
        <is>
          <t>— no certificate —</t>
        </is>
      </c>
      <c r="AP326" s="175" t="n"/>
      <c r="AQ326" s="174" t="n"/>
      <c r="AS326" s="177" t="n"/>
    </row>
    <row r="327" ht="17.625" customHeight="1" s="70">
      <c r="A327" s="178" t="n"/>
      <c r="B327" s="179" t="n"/>
      <c r="D327" s="180" t="n"/>
      <c r="E327" s="179" t="n"/>
      <c r="F327" s="181" t="n"/>
      <c r="G327" s="180" t="n"/>
      <c r="H327" s="179" t="n"/>
      <c r="I327" s="181" t="n"/>
      <c r="J327" s="182" t="inlineStr">
        <is>
          <t>Conforms (ImB spec.) ᴿ</t>
        </is>
      </c>
      <c r="K327" s="183" t="inlineStr">
        <is>
          <t>051-2-K-26, (04.03.2026) [FHM-K]</t>
        </is>
      </c>
      <c r="L327" s="184" t="inlineStr">
        <is>
          <t>✓</t>
        </is>
      </c>
      <c r="M327" s="185" t="inlineStr">
        <is>
          <t>9.20</t>
        </is>
      </c>
      <c r="N327" s="183" t="inlineStr">
        <is>
          <t>051-2-K-26, (04.03.2026) [FHM-K]</t>
        </is>
      </c>
      <c r="O327" s="184" t="inlineStr">
        <is>
          <t>✓</t>
        </is>
      </c>
      <c r="P327" s="186" t="inlineStr">
        <is>
          <t>&lt; LOQ**</t>
        </is>
      </c>
      <c r="Q327" s="183" t="inlineStr">
        <is>
          <t>051-2-K-26, (04.03.2026) [FHM-K]</t>
        </is>
      </c>
      <c r="R327" s="184" t="inlineStr">
        <is>
          <t>✓</t>
        </is>
      </c>
      <c r="S327" s="186" t="inlineStr">
        <is>
          <t>&lt; LOQ**</t>
        </is>
      </c>
      <c r="T327" s="183" t="inlineStr">
        <is>
          <t>051-2-K-26, (04.03.2026) [FHM-K]</t>
        </is>
      </c>
      <c r="U327" s="184" t="inlineStr">
        <is>
          <t>✓</t>
        </is>
      </c>
      <c r="V327" s="180" t="n"/>
      <c r="W327" s="179" t="n"/>
      <c r="X327" s="181" t="n"/>
      <c r="Y327" s="187" t="inlineStr">
        <is>
          <t>not on this certificate</t>
        </is>
      </c>
      <c r="Z327" s="188" t="inlineStr">
        <is>
          <t>051-2-K-26, (04.03.2026) [FHM-K] · on file, not credited</t>
        </is>
      </c>
      <c r="AA327" s="189" t="inlineStr">
        <is>
          <t>•</t>
        </is>
      </c>
      <c r="AB327" s="180" t="n"/>
      <c r="AC327" s="179" t="n"/>
      <c r="AD327" s="179" t="n"/>
      <c r="AE327" s="179" t="n"/>
      <c r="AF327" s="179" t="n"/>
      <c r="AG327" s="181" t="n"/>
      <c r="AH327" s="180" t="n"/>
      <c r="AI327" s="179" t="n"/>
      <c r="AJ327" s="179" t="n"/>
      <c r="AK327" s="181" t="n"/>
      <c r="AL327" s="180" t="n"/>
      <c r="AM327" s="179" t="n"/>
      <c r="AN327" s="179" t="n"/>
      <c r="AO327" s="179" t="n"/>
      <c r="AP327" s="181" t="n"/>
      <c r="AQ327" s="180" t="n"/>
      <c r="AR327" s="179" t="n"/>
      <c r="AS327" s="192" t="n"/>
    </row>
    <row r="328" ht="15.375" customHeight="1" s="70">
      <c r="A328" s="193" t="n"/>
      <c r="B328" s="194" t="n"/>
      <c r="C328" s="194" t="n"/>
      <c r="D328" s="195" t="n"/>
      <c r="E328" s="194" t="n"/>
      <c r="F328" s="196" t="n"/>
      <c r="G328" s="195" t="n"/>
      <c r="H328" s="194" t="n"/>
      <c r="I328" s="196" t="n"/>
      <c r="J328" s="195" t="n"/>
      <c r="K328" s="194" t="n"/>
      <c r="L328" s="196" t="n"/>
      <c r="M328" s="195" t="n"/>
      <c r="N328" s="194" t="n"/>
      <c r="O328" s="196" t="n"/>
      <c r="P328" s="195" t="n"/>
      <c r="Q328" s="194" t="n"/>
      <c r="R328" s="196" t="n"/>
      <c r="S328" s="195" t="n"/>
      <c r="T328" s="194" t="n"/>
      <c r="U328" s="196" t="n"/>
      <c r="V328" s="195" t="n"/>
      <c r="W328" s="194" t="n"/>
      <c r="X328" s="196" t="n"/>
      <c r="Y328" s="195" t="n"/>
      <c r="Z328" s="194" t="n"/>
      <c r="AA328" s="196" t="n"/>
      <c r="AB328" s="195" t="n"/>
      <c r="AC328" s="194" t="n"/>
      <c r="AD328" s="194" t="n"/>
      <c r="AE328" s="194" t="n"/>
      <c r="AF328" s="194" t="n"/>
      <c r="AG328" s="196" t="n"/>
      <c r="AH328" s="195" t="n"/>
      <c r="AI328" s="194" t="n"/>
      <c r="AJ328" s="194" t="n"/>
      <c r="AK328" s="196" t="n"/>
      <c r="AL328" s="195" t="n"/>
      <c r="AM328" s="194" t="n"/>
      <c r="AN328" s="194" t="n"/>
      <c r="AO328" s="194" t="n"/>
      <c r="AP328" s="196" t="n"/>
      <c r="AQ328" s="195" t="n"/>
      <c r="AR328" s="194" t="n"/>
      <c r="AS328" s="198" t="n"/>
    </row>
    <row r="329" ht="21" customHeight="1" s="70">
      <c r="A329" s="160" t="inlineStr">
        <is>
          <t>BSS1024_01/2</t>
        </is>
      </c>
      <c r="B329" s="161" t="inlineStr">
        <is>
          <t>P050142</t>
        </is>
      </c>
      <c r="C329" s="212" t="inlineStr">
        <is>
          <t>✗ 8 NO RESULT
(8 no cert / 0 cert w/o result)</t>
        </is>
      </c>
      <c r="D329" s="200" t="inlineStr">
        <is>
          <t>Conforms</t>
        </is>
      </c>
      <c r="E329" s="201">
        <f>IFERROR(INDEX('iCoA Register'!$B:$B,MATCH("P060342|I",'iCoA Register'!$P:$P,0)),"iCoA — at issue")&amp;", (30.09.2025) [PP]"</f>
        <v/>
      </c>
      <c r="F329" s="202" t="inlineStr">
        <is>
          <t>✓</t>
        </is>
      </c>
      <c r="G329" s="200" t="inlineStr">
        <is>
          <t>Conforms</t>
        </is>
      </c>
      <c r="H329" s="201">
        <f>IFERROR(INDEX('iCoA Register'!$B:$B,MATCH("P060342|I",'iCoA Register'!$P:$P,0)),"iCoA — at issue")&amp;", (30.09.2025) [PP]"</f>
        <v/>
      </c>
      <c r="I329" s="202" t="inlineStr">
        <is>
          <t>✓</t>
        </is>
      </c>
      <c r="J329" s="208" t="inlineStr">
        <is>
          <t>— MISSING —</t>
        </is>
      </c>
      <c r="K329" s="209" t="inlineStr">
        <is>
          <t>— no certificate —</t>
        </is>
      </c>
      <c r="L329" s="207" t="inlineStr">
        <is>
          <t>✗</t>
        </is>
      </c>
      <c r="M329" s="208" t="inlineStr">
        <is>
          <t>— MISSING —</t>
        </is>
      </c>
      <c r="N329" s="209" t="inlineStr">
        <is>
          <t>— no certificate —</t>
        </is>
      </c>
      <c r="O329" s="207" t="inlineStr">
        <is>
          <t>✗</t>
        </is>
      </c>
      <c r="P329" s="208" t="inlineStr">
        <is>
          <t>— MISSING —</t>
        </is>
      </c>
      <c r="Q329" s="209" t="inlineStr">
        <is>
          <t>— no certificate —</t>
        </is>
      </c>
      <c r="R329" s="207" t="inlineStr">
        <is>
          <t>✗</t>
        </is>
      </c>
      <c r="S329" s="208" t="inlineStr">
        <is>
          <t>— MISSING —</t>
        </is>
      </c>
      <c r="T329" s="209" t="inlineStr">
        <is>
          <t>— no certificate —</t>
        </is>
      </c>
      <c r="U329" s="207" t="inlineStr">
        <is>
          <t>✗</t>
        </is>
      </c>
      <c r="V329" s="200" t="inlineStr">
        <is>
          <t>Conforms</t>
        </is>
      </c>
      <c r="W329" s="201">
        <f>IFERROR(INDEX('iCoA Register'!$B:$B,MATCH("P060342|I",'iCoA Register'!$P:$P,0)),"iCoA — at issue")&amp;", (30.09.2025) [PP]"</f>
        <v/>
      </c>
      <c r="X329" s="202" t="inlineStr">
        <is>
          <t>✓</t>
        </is>
      </c>
      <c r="Y329" s="208" t="inlineStr">
        <is>
          <t>— MISSING —</t>
        </is>
      </c>
      <c r="Z329" s="209" t="inlineStr">
        <is>
          <t>— no certificate —</t>
        </is>
      </c>
      <c r="AA329" s="207" t="inlineStr">
        <is>
          <t>✗</t>
        </is>
      </c>
      <c r="AB329" s="163" t="inlineStr">
        <is>
          <t>&lt; 10</t>
        </is>
      </c>
      <c r="AC329" s="171" t="inlineStr">
        <is>
          <t>&lt; 10</t>
        </is>
      </c>
      <c r="AD329" s="171" t="inlineStr">
        <is>
          <t>&lt; 10</t>
        </is>
      </c>
      <c r="AE329" s="171" t="inlineStr">
        <is>
          <t>Absent</t>
        </is>
      </c>
      <c r="AF329" s="171" t="inlineStr">
        <is>
          <t>Absent</t>
        </is>
      </c>
      <c r="AG329" s="202" t="inlineStr">
        <is>
          <t>✓</t>
        </is>
      </c>
      <c r="AH329" s="205" t="inlineStr">
        <is>
          <t>— MISSING —</t>
        </is>
      </c>
      <c r="AI329" s="206" t="inlineStr">
        <is>
          <t>— MISSING —</t>
        </is>
      </c>
      <c r="AJ329" s="206" t="inlineStr">
        <is>
          <t>— MISSING —</t>
        </is>
      </c>
      <c r="AK329" s="207" t="inlineStr">
        <is>
          <t>✗</t>
        </is>
      </c>
      <c r="AL329" s="205" t="inlineStr">
        <is>
          <t>— MISSING —</t>
        </is>
      </c>
      <c r="AM329" s="206" t="inlineStr">
        <is>
          <t>— MISSING —</t>
        </is>
      </c>
      <c r="AN329" s="206" t="inlineStr">
        <is>
          <t>— MISSING —</t>
        </is>
      </c>
      <c r="AO329" s="206" t="inlineStr">
        <is>
          <t>— MISSING —</t>
        </is>
      </c>
      <c r="AP329" s="207" t="inlineStr">
        <is>
          <t>✗</t>
        </is>
      </c>
      <c r="AQ329" s="208" t="inlineStr">
        <is>
          <t>— MISSING —</t>
        </is>
      </c>
      <c r="AR329" s="209" t="inlineStr">
        <is>
          <t>— no certificate —</t>
        </is>
      </c>
      <c r="AS329" s="210" t="inlineStr">
        <is>
          <t>✗</t>
        </is>
      </c>
    </row>
    <row r="330" ht="13" customHeight="1" s="70">
      <c r="A330" s="193" t="n"/>
      <c r="B330" s="194" t="n"/>
      <c r="C330" s="194" t="n"/>
      <c r="D330" s="195" t="n"/>
      <c r="E330" s="194" t="n"/>
      <c r="F330" s="196" t="n"/>
      <c r="G330" s="195" t="n"/>
      <c r="H330" s="194" t="n"/>
      <c r="I330" s="196" t="n"/>
      <c r="J330" s="195" t="n"/>
      <c r="K330" s="194" t="n"/>
      <c r="L330" s="196" t="n"/>
      <c r="M330" s="195" t="n"/>
      <c r="N330" s="194" t="n"/>
      <c r="O330" s="196" t="n"/>
      <c r="P330" s="195" t="n"/>
      <c r="Q330" s="194" t="n"/>
      <c r="R330" s="196" t="n"/>
      <c r="S330" s="195" t="n"/>
      <c r="T330" s="194" t="n"/>
      <c r="U330" s="196" t="n"/>
      <c r="V330" s="195" t="n"/>
      <c r="W330" s="194" t="n"/>
      <c r="X330" s="196" t="n"/>
      <c r="Y330" s="195" t="n"/>
      <c r="Z330" s="194" t="n"/>
      <c r="AA330" s="196" t="n"/>
      <c r="AB330" s="197" t="inlineStr">
        <is>
          <t>559-1090-26, (01.09.2026) [IJZ-MB]</t>
        </is>
      </c>
      <c r="AC330" s="194" t="n"/>
      <c r="AD330" s="194" t="n"/>
      <c r="AE330" s="194" t="n"/>
      <c r="AF330" s="194" t="n"/>
      <c r="AG330" s="196" t="n"/>
      <c r="AH330" s="211" t="inlineStr">
        <is>
          <t>— no certificate —</t>
        </is>
      </c>
      <c r="AI330" s="194" t="n"/>
      <c r="AJ330" s="194" t="n"/>
      <c r="AK330" s="196" t="n"/>
      <c r="AL330" s="211" t="inlineStr">
        <is>
          <t>— no certificate —</t>
        </is>
      </c>
      <c r="AM330" s="194" t="n"/>
      <c r="AN330" s="194" t="n"/>
      <c r="AO330" s="194" t="n"/>
      <c r="AP330" s="196" t="n"/>
      <c r="AQ330" s="195" t="n"/>
      <c r="AR330" s="194" t="n"/>
      <c r="AS330" s="198" t="n"/>
    </row>
    <row r="331" ht="21" customHeight="1" s="70">
      <c r="A331" s="160" t="inlineStr">
        <is>
          <t>WED102501</t>
        </is>
      </c>
      <c r="B331" s="161" t="inlineStr">
        <is>
          <t>P060102</t>
        </is>
      </c>
      <c r="C331" s="212" t="inlineStr">
        <is>
          <t>✗ 8 NO RESULT
(8 no cert / 0 cert w/o result)</t>
        </is>
      </c>
      <c r="D331" s="200" t="inlineStr">
        <is>
          <t>Conforms</t>
        </is>
      </c>
      <c r="E331" s="201">
        <f>IFERROR(INDEX('iCoA Register'!$B:$B,MATCH("P060342|I",'iCoA Register'!$P:$P,0)),"iCoA — at issue")&amp;", (16.02.2026) [PP]"</f>
        <v/>
      </c>
      <c r="F331" s="202" t="inlineStr">
        <is>
          <t>✓</t>
        </is>
      </c>
      <c r="G331" s="200" t="inlineStr">
        <is>
          <t>Conforms</t>
        </is>
      </c>
      <c r="H331" s="201">
        <f>IFERROR(INDEX('iCoA Register'!$B:$B,MATCH("P060342|I",'iCoA Register'!$P:$P,0)),"iCoA — at issue")&amp;", (16.02.2026) [PP]"</f>
        <v/>
      </c>
      <c r="I331" s="202" t="inlineStr">
        <is>
          <t>✓</t>
        </is>
      </c>
      <c r="J331" s="208" t="inlineStr">
        <is>
          <t>— MISSING —</t>
        </is>
      </c>
      <c r="K331" s="209" t="inlineStr">
        <is>
          <t>— no certificate —</t>
        </is>
      </c>
      <c r="L331" s="207" t="inlineStr">
        <is>
          <t>✗</t>
        </is>
      </c>
      <c r="M331" s="208" t="inlineStr">
        <is>
          <t>— MISSING —</t>
        </is>
      </c>
      <c r="N331" s="209" t="inlineStr">
        <is>
          <t>— no certificate —</t>
        </is>
      </c>
      <c r="O331" s="207" t="inlineStr">
        <is>
          <t>✗</t>
        </is>
      </c>
      <c r="P331" s="208" t="inlineStr">
        <is>
          <t>— MISSING —</t>
        </is>
      </c>
      <c r="Q331" s="209" t="inlineStr">
        <is>
          <t>— no certificate —</t>
        </is>
      </c>
      <c r="R331" s="207" t="inlineStr">
        <is>
          <t>✗</t>
        </is>
      </c>
      <c r="S331" s="208" t="inlineStr">
        <is>
          <t>— MISSING —</t>
        </is>
      </c>
      <c r="T331" s="209" t="inlineStr">
        <is>
          <t>— no certificate —</t>
        </is>
      </c>
      <c r="U331" s="207" t="inlineStr">
        <is>
          <t>✗</t>
        </is>
      </c>
      <c r="V331" s="200" t="inlineStr">
        <is>
          <t>Conforms</t>
        </is>
      </c>
      <c r="W331" s="201">
        <f>IFERROR(INDEX('iCoA Register'!$B:$B,MATCH("P060342|I",'iCoA Register'!$P:$P,0)),"iCoA — at issue")&amp;", (16.02.2026) [PP]"</f>
        <v/>
      </c>
      <c r="X331" s="202" t="inlineStr">
        <is>
          <t>✓</t>
        </is>
      </c>
      <c r="Y331" s="208" t="inlineStr">
        <is>
          <t>— MISSING —</t>
        </is>
      </c>
      <c r="Z331" s="209" t="inlineStr">
        <is>
          <t>— no certificate —</t>
        </is>
      </c>
      <c r="AA331" s="207" t="inlineStr">
        <is>
          <t>✗</t>
        </is>
      </c>
      <c r="AB331" s="163" t="inlineStr">
        <is>
          <t>&lt; 10</t>
        </is>
      </c>
      <c r="AC331" s="171" t="inlineStr">
        <is>
          <t>&lt; 10</t>
        </is>
      </c>
      <c r="AD331" s="171" t="inlineStr">
        <is>
          <t>&lt; 10</t>
        </is>
      </c>
      <c r="AE331" s="171" t="inlineStr">
        <is>
          <t>Absent</t>
        </is>
      </c>
      <c r="AF331" s="171" t="inlineStr">
        <is>
          <t>Absent</t>
        </is>
      </c>
      <c r="AG331" s="202" t="inlineStr">
        <is>
          <t>✓</t>
        </is>
      </c>
      <c r="AH331" s="205" t="inlineStr">
        <is>
          <t>— MISSING —</t>
        </is>
      </c>
      <c r="AI331" s="206" t="inlineStr">
        <is>
          <t>— MISSING —</t>
        </is>
      </c>
      <c r="AJ331" s="206" t="inlineStr">
        <is>
          <t>— MISSING —</t>
        </is>
      </c>
      <c r="AK331" s="207" t="inlineStr">
        <is>
          <t>✗</t>
        </is>
      </c>
      <c r="AL331" s="205" t="inlineStr">
        <is>
          <t>— MISSING —</t>
        </is>
      </c>
      <c r="AM331" s="206" t="inlineStr">
        <is>
          <t>— MISSING —</t>
        </is>
      </c>
      <c r="AN331" s="206" t="inlineStr">
        <is>
          <t>— MISSING —</t>
        </is>
      </c>
      <c r="AO331" s="206" t="inlineStr">
        <is>
          <t>— MISSING —</t>
        </is>
      </c>
      <c r="AP331" s="207" t="inlineStr">
        <is>
          <t>✗</t>
        </is>
      </c>
      <c r="AQ331" s="208" t="inlineStr">
        <is>
          <t>— MISSING —</t>
        </is>
      </c>
      <c r="AR331" s="209" t="inlineStr">
        <is>
          <t>— no certificate —</t>
        </is>
      </c>
      <c r="AS331" s="210" t="inlineStr">
        <is>
          <t>✗</t>
        </is>
      </c>
    </row>
    <row r="332" ht="13" customHeight="1" s="70">
      <c r="A332" s="193" t="n"/>
      <c r="B332" s="194" t="n"/>
      <c r="C332" s="194" t="n"/>
      <c r="D332" s="195" t="n"/>
      <c r="E332" s="194" t="n"/>
      <c r="F332" s="196" t="n"/>
      <c r="G332" s="195" t="n"/>
      <c r="H332" s="194" t="n"/>
      <c r="I332" s="196" t="n"/>
      <c r="J332" s="195" t="n"/>
      <c r="K332" s="194" t="n"/>
      <c r="L332" s="196" t="n"/>
      <c r="M332" s="195" t="n"/>
      <c r="N332" s="194" t="n"/>
      <c r="O332" s="196" t="n"/>
      <c r="P332" s="195" t="n"/>
      <c r="Q332" s="194" t="n"/>
      <c r="R332" s="196" t="n"/>
      <c r="S332" s="195" t="n"/>
      <c r="T332" s="194" t="n"/>
      <c r="U332" s="196" t="n"/>
      <c r="V332" s="195" t="n"/>
      <c r="W332" s="194" t="n"/>
      <c r="X332" s="196" t="n"/>
      <c r="Y332" s="195" t="n"/>
      <c r="Z332" s="194" t="n"/>
      <c r="AA332" s="196" t="n"/>
      <c r="AB332" s="197" t="inlineStr">
        <is>
          <t>551-1082-26, (01.09.2026) [IJZ-MB]</t>
        </is>
      </c>
      <c r="AC332" s="194" t="n"/>
      <c r="AD332" s="194" t="n"/>
      <c r="AE332" s="194" t="n"/>
      <c r="AF332" s="194" t="n"/>
      <c r="AG332" s="196" t="n"/>
      <c r="AH332" s="211" t="inlineStr">
        <is>
          <t>— no certificate —</t>
        </is>
      </c>
      <c r="AI332" s="194" t="n"/>
      <c r="AJ332" s="194" t="n"/>
      <c r="AK332" s="196" t="n"/>
      <c r="AL332" s="211" t="inlineStr">
        <is>
          <t>— no certificate —</t>
        </is>
      </c>
      <c r="AM332" s="194" t="n"/>
      <c r="AN332" s="194" t="n"/>
      <c r="AO332" s="194" t="n"/>
      <c r="AP332" s="196" t="n"/>
      <c r="AQ332" s="195" t="n"/>
      <c r="AR332" s="194" t="n"/>
      <c r="AS332" s="198" t="n"/>
    </row>
    <row r="333" ht="21" customHeight="1" s="70">
      <c r="A333" s="160" t="inlineStr">
        <is>
          <t>SCR012601*</t>
        </is>
      </c>
      <c r="B333" s="161" t="inlineStr">
        <is>
          <t>P060342</t>
        </is>
      </c>
      <c r="C333" s="212" t="inlineStr">
        <is>
          <t>✗ 8 NO RESULT
(8 no cert / 0 cert w/o result)</t>
        </is>
      </c>
      <c r="D333" s="200" t="inlineStr">
        <is>
          <t>Conforms</t>
        </is>
      </c>
      <c r="E333" s="201">
        <f>IFERROR(INDEX('iCoA Register'!$B:$B,MATCH("P060342|I",'iCoA Register'!$P:$P,0)),"iCoA — at issue")&amp;", (25.05.2026) [PP]"</f>
        <v/>
      </c>
      <c r="F333" s="202" t="inlineStr">
        <is>
          <t>✓</t>
        </is>
      </c>
      <c r="G333" s="200" t="inlineStr">
        <is>
          <t>Conforms</t>
        </is>
      </c>
      <c r="H333" s="201">
        <f>IFERROR(INDEX('iCoA Register'!$B:$B,MATCH("P060342|I",'iCoA Register'!$P:$P,0)),"iCoA — at issue")&amp;", (25.05.2026) [PP]"</f>
        <v/>
      </c>
      <c r="I333" s="202" t="inlineStr">
        <is>
          <t>✓</t>
        </is>
      </c>
      <c r="J333" s="208" t="inlineStr">
        <is>
          <t>— MISSING —</t>
        </is>
      </c>
      <c r="K333" s="209" t="inlineStr">
        <is>
          <t>— no certificate —</t>
        </is>
      </c>
      <c r="L333" s="207" t="inlineStr">
        <is>
          <t>✗</t>
        </is>
      </c>
      <c r="M333" s="208" t="inlineStr">
        <is>
          <t>— MISSING —</t>
        </is>
      </c>
      <c r="N333" s="209" t="inlineStr">
        <is>
          <t>— no certificate —</t>
        </is>
      </c>
      <c r="O333" s="207" t="inlineStr">
        <is>
          <t>✗</t>
        </is>
      </c>
      <c r="P333" s="208" t="inlineStr">
        <is>
          <t>— MISSING —</t>
        </is>
      </c>
      <c r="Q333" s="209" t="inlineStr">
        <is>
          <t>— no certificate —</t>
        </is>
      </c>
      <c r="R333" s="207" t="inlineStr">
        <is>
          <t>✗</t>
        </is>
      </c>
      <c r="S333" s="208" t="inlineStr">
        <is>
          <t>— MISSING —</t>
        </is>
      </c>
      <c r="T333" s="209" t="inlineStr">
        <is>
          <t>— no certificate —</t>
        </is>
      </c>
      <c r="U333" s="207" t="inlineStr">
        <is>
          <t>✗</t>
        </is>
      </c>
      <c r="V333" s="200" t="inlineStr">
        <is>
          <t>Conforms</t>
        </is>
      </c>
      <c r="W333" s="201">
        <f>IFERROR(INDEX('iCoA Register'!$B:$B,MATCH("P060342|I",'iCoA Register'!$P:$P,0)),"iCoA — at issue")&amp;", (25.05.2026) [PP]"</f>
        <v/>
      </c>
      <c r="X333" s="202" t="inlineStr">
        <is>
          <t>✓</t>
        </is>
      </c>
      <c r="Y333" s="208" t="inlineStr">
        <is>
          <t>— MISSING —</t>
        </is>
      </c>
      <c r="Z333" s="209" t="inlineStr">
        <is>
          <t>— no certificate —</t>
        </is>
      </c>
      <c r="AA333" s="207" t="inlineStr">
        <is>
          <t>✗</t>
        </is>
      </c>
      <c r="AB333" s="163" t="inlineStr">
        <is>
          <t>8.3 × 10³</t>
        </is>
      </c>
      <c r="AC333" s="171" t="inlineStr">
        <is>
          <t>5.3 × 10³</t>
        </is>
      </c>
      <c r="AD333" s="171" t="inlineStr">
        <is>
          <t>&lt; 10</t>
        </is>
      </c>
      <c r="AE333" s="171" t="inlineStr">
        <is>
          <t>Absent</t>
        </is>
      </c>
      <c r="AF333" s="171" t="inlineStr">
        <is>
          <t>Absent</t>
        </is>
      </c>
      <c r="AG333" s="202" t="inlineStr">
        <is>
          <t>✓</t>
        </is>
      </c>
      <c r="AH333" s="205" t="inlineStr">
        <is>
          <t>— MISSING —</t>
        </is>
      </c>
      <c r="AI333" s="206" t="inlineStr">
        <is>
          <t>— MISSING —</t>
        </is>
      </c>
      <c r="AJ333" s="206" t="inlineStr">
        <is>
          <t>— MISSING —</t>
        </is>
      </c>
      <c r="AK333" s="207" t="inlineStr">
        <is>
          <t>✗</t>
        </is>
      </c>
      <c r="AL333" s="205" t="inlineStr">
        <is>
          <t>— MISSING —</t>
        </is>
      </c>
      <c r="AM333" s="206" t="inlineStr">
        <is>
          <t>— MISSING —</t>
        </is>
      </c>
      <c r="AN333" s="206" t="inlineStr">
        <is>
          <t>— MISSING —</t>
        </is>
      </c>
      <c r="AO333" s="206" t="inlineStr">
        <is>
          <t>— MISSING —</t>
        </is>
      </c>
      <c r="AP333" s="207" t="inlineStr">
        <is>
          <t>✗</t>
        </is>
      </c>
      <c r="AQ333" s="208" t="inlineStr">
        <is>
          <t>— MISSING —</t>
        </is>
      </c>
      <c r="AR333" s="209" t="inlineStr">
        <is>
          <t>— no certificate —</t>
        </is>
      </c>
      <c r="AS333" s="210" t="inlineStr">
        <is>
          <t>✗</t>
        </is>
      </c>
    </row>
    <row r="334" ht="13" customHeight="1" s="70">
      <c r="A334" s="193" t="n"/>
      <c r="B334" s="194" t="n"/>
      <c r="C334" s="194" t="n"/>
      <c r="D334" s="195" t="n"/>
      <c r="E334" s="194" t="n"/>
      <c r="F334" s="196" t="n"/>
      <c r="G334" s="195" t="n"/>
      <c r="H334" s="194" t="n"/>
      <c r="I334" s="196" t="n"/>
      <c r="J334" s="195" t="n"/>
      <c r="K334" s="194" t="n"/>
      <c r="L334" s="196" t="n"/>
      <c r="M334" s="195" t="n"/>
      <c r="N334" s="194" t="n"/>
      <c r="O334" s="196" t="n"/>
      <c r="P334" s="195" t="n"/>
      <c r="Q334" s="194" t="n"/>
      <c r="R334" s="196" t="n"/>
      <c r="S334" s="195" t="n"/>
      <c r="T334" s="194" t="n"/>
      <c r="U334" s="196" t="n"/>
      <c r="V334" s="195" t="n"/>
      <c r="W334" s="194" t="n"/>
      <c r="X334" s="196" t="n"/>
      <c r="Y334" s="195" t="n"/>
      <c r="Z334" s="194" t="n"/>
      <c r="AA334" s="196" t="n"/>
      <c r="AB334" s="197" t="inlineStr">
        <is>
          <t>539-1070-26, (31.08.2026) [IJZ-MB]</t>
        </is>
      </c>
      <c r="AC334" s="194" t="n"/>
      <c r="AD334" s="194" t="n"/>
      <c r="AE334" s="194" t="n"/>
      <c r="AF334" s="194" t="n"/>
      <c r="AG334" s="196" t="n"/>
      <c r="AH334" s="211" t="inlineStr">
        <is>
          <t>— no certificate —</t>
        </is>
      </c>
      <c r="AI334" s="194" t="n"/>
      <c r="AJ334" s="194" t="n"/>
      <c r="AK334" s="196" t="n"/>
      <c r="AL334" s="211" t="inlineStr">
        <is>
          <t>— no certificate —</t>
        </is>
      </c>
      <c r="AM334" s="194" t="n"/>
      <c r="AN334" s="194" t="n"/>
      <c r="AO334" s="194" t="n"/>
      <c r="AP334" s="196" t="n"/>
      <c r="AQ334" s="195" t="n"/>
      <c r="AR334" s="194" t="n"/>
      <c r="AS334" s="198" t="n"/>
    </row>
    <row r="336" ht="62" customHeight="1" s="70">
      <c r="A336" s="1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3888">
    <mergeCell ref="M167:M168"/>
    <mergeCell ref="AP211:AP212"/>
    <mergeCell ref="AQ177:AQ178"/>
    <mergeCell ref="K63:K64"/>
    <mergeCell ref="E235:E236"/>
    <mergeCell ref="AR267:AR268"/>
    <mergeCell ref="G297:G298"/>
    <mergeCell ref="AK307:AK308"/>
    <mergeCell ref="Z135:Z136"/>
    <mergeCell ref="J127:J128"/>
    <mergeCell ref="AR303:AR304"/>
    <mergeCell ref="T271:T272"/>
    <mergeCell ref="AB284:AF284"/>
    <mergeCell ref="Z221:Z222"/>
    <mergeCell ref="M169:M170"/>
    <mergeCell ref="S331:S332"/>
    <mergeCell ref="AG211:AG212"/>
    <mergeCell ref="O225:O226"/>
    <mergeCell ref="G299:G300"/>
    <mergeCell ref="I57:I58"/>
    <mergeCell ref="AL10:AO10"/>
    <mergeCell ref="AL308:AO308"/>
    <mergeCell ref="B153:B162"/>
    <mergeCell ref="T273:T274"/>
    <mergeCell ref="Z223:Z224"/>
    <mergeCell ref="V329:V330"/>
    <mergeCell ref="W153:W154"/>
    <mergeCell ref="AG175:AG176"/>
    <mergeCell ref="O227:O228"/>
    <mergeCell ref="AQ17:AQ18"/>
    <mergeCell ref="X279:X280"/>
    <mergeCell ref="D283:D284"/>
    <mergeCell ref="AL310:AO310"/>
    <mergeCell ref="T325:T326"/>
    <mergeCell ref="J295:J296"/>
    <mergeCell ref="F13:F14"/>
    <mergeCell ref="R81:R82"/>
    <mergeCell ref="AK35:AK36"/>
    <mergeCell ref="S49:S50"/>
    <mergeCell ref="L211:L212"/>
    <mergeCell ref="AK333:AK334"/>
    <mergeCell ref="A235:A238"/>
    <mergeCell ref="AQ317:AQ318"/>
    <mergeCell ref="A17:A20"/>
    <mergeCell ref="U263:U264"/>
    <mergeCell ref="AH22:AJ22"/>
    <mergeCell ref="C291:C294"/>
    <mergeCell ref="A53:A56"/>
    <mergeCell ref="W211:W212"/>
    <mergeCell ref="M309:M310"/>
    <mergeCell ref="O67:O68"/>
    <mergeCell ref="N275:N276"/>
    <mergeCell ref="M303:M304"/>
    <mergeCell ref="AL28:AO28"/>
    <mergeCell ref="AL150:AO150"/>
    <mergeCell ref="AL326:AO326"/>
    <mergeCell ref="Z65:Z66"/>
    <mergeCell ref="Y273:Y274"/>
    <mergeCell ref="C153:C162"/>
    <mergeCell ref="M1:U1"/>
    <mergeCell ref="E247:E248"/>
    <mergeCell ref="D153:D154"/>
    <mergeCell ref="T197:T198"/>
    <mergeCell ref="V259:V260"/>
    <mergeCell ref="D311:D312"/>
    <mergeCell ref="B227:B230"/>
    <mergeCell ref="Q127:Q128"/>
    <mergeCell ref="AA333:AA334"/>
    <mergeCell ref="J77:J78"/>
    <mergeCell ref="G13:G14"/>
    <mergeCell ref="U135:U136"/>
    <mergeCell ref="AB182:AF182"/>
    <mergeCell ref="G7:G8"/>
    <mergeCell ref="AH224:AJ224"/>
    <mergeCell ref="AK25:AK26"/>
    <mergeCell ref="AH40:AJ40"/>
    <mergeCell ref="W235:W236"/>
    <mergeCell ref="AP309:AP310"/>
    <mergeCell ref="H133:H134"/>
    <mergeCell ref="AK177:AK178"/>
    <mergeCell ref="S191:S192"/>
    <mergeCell ref="Q39:Q40"/>
    <mergeCell ref="AL54:AO54"/>
    <mergeCell ref="X317:X318"/>
    <mergeCell ref="Q215:Q216"/>
    <mergeCell ref="L141:L142"/>
    <mergeCell ref="AQ247:AQ248"/>
    <mergeCell ref="AA57:AA58"/>
    <mergeCell ref="Y299:Y300"/>
    <mergeCell ref="AK79:AK80"/>
    <mergeCell ref="S131:S132"/>
    <mergeCell ref="AP311:AP312"/>
    <mergeCell ref="X325:X326"/>
    <mergeCell ref="S103:S104"/>
    <mergeCell ref="T69:T70"/>
    <mergeCell ref="S97:S98"/>
    <mergeCell ref="U159:U160"/>
    <mergeCell ref="C115:C120"/>
    <mergeCell ref="AK81:AK82"/>
    <mergeCell ref="U195:U196"/>
    <mergeCell ref="X231:X232"/>
    <mergeCell ref="L255:L256"/>
    <mergeCell ref="M235:M236"/>
    <mergeCell ref="AG283:AG284"/>
    <mergeCell ref="U197:U198"/>
    <mergeCell ref="E91:E92"/>
    <mergeCell ref="O291:O292"/>
    <mergeCell ref="V287:V288"/>
    <mergeCell ref="E267:E268"/>
    <mergeCell ref="G25:G26"/>
    <mergeCell ref="AS307:AS308"/>
    <mergeCell ref="L167:L168"/>
    <mergeCell ref="B171:B176"/>
    <mergeCell ref="D1:L1"/>
    <mergeCell ref="Q57:Q58"/>
    <mergeCell ref="O299:O300"/>
    <mergeCell ref="G155:G156"/>
    <mergeCell ref="T95:T96"/>
    <mergeCell ref="L169:L170"/>
    <mergeCell ref="AB264:AF264"/>
    <mergeCell ref="AQ275:AQ276"/>
    <mergeCell ref="N225:N226"/>
    <mergeCell ref="AK107:AK108"/>
    <mergeCell ref="S121:S122"/>
    <mergeCell ref="F299:F300"/>
    <mergeCell ref="S115:S116"/>
    <mergeCell ref="K189:K190"/>
    <mergeCell ref="S273:S274"/>
    <mergeCell ref="H29:H30"/>
    <mergeCell ref="T97:T98"/>
    <mergeCell ref="G237:G238"/>
    <mergeCell ref="AS35:AS36"/>
    <mergeCell ref="N227:N228"/>
    <mergeCell ref="AS333:AS334"/>
    <mergeCell ref="S27:S28"/>
    <mergeCell ref="H31:H32"/>
    <mergeCell ref="AL94:AO94"/>
    <mergeCell ref="AR263:AR264"/>
    <mergeCell ref="H329:H330"/>
    <mergeCell ref="P291:P292"/>
    <mergeCell ref="R49:R50"/>
    <mergeCell ref="AB280:AF280"/>
    <mergeCell ref="E295:E296"/>
    <mergeCell ref="U91:U92"/>
    <mergeCell ref="R21:R22"/>
    <mergeCell ref="AQ145:AQ146"/>
    <mergeCell ref="J95:J96"/>
    <mergeCell ref="Y159:Y160"/>
    <mergeCell ref="H331:H332"/>
    <mergeCell ref="J89:J90"/>
    <mergeCell ref="AH288:AJ288"/>
    <mergeCell ref="Q85:Q86"/>
    <mergeCell ref="L309:L310"/>
    <mergeCell ref="AB282:AF282"/>
    <mergeCell ref="AK247:AK248"/>
    <mergeCell ref="W149:W150"/>
    <mergeCell ref="AH296:AJ296"/>
    <mergeCell ref="L153:L154"/>
    <mergeCell ref="G79:G80"/>
    <mergeCell ref="AQ13:AQ14"/>
    <mergeCell ref="Y65:Y66"/>
    <mergeCell ref="D227:D228"/>
    <mergeCell ref="E315:E316"/>
    <mergeCell ref="L311:L312"/>
    <mergeCell ref="N69:N70"/>
    <mergeCell ref="U205:U206"/>
    <mergeCell ref="R77:R78"/>
    <mergeCell ref="I23:I24"/>
    <mergeCell ref="O7:O8"/>
    <mergeCell ref="D3:E3"/>
    <mergeCell ref="AA129:AA130"/>
    <mergeCell ref="Z35:Z36"/>
    <mergeCell ref="I137:I138"/>
    <mergeCell ref="A13:A16"/>
    <mergeCell ref="P133:P134"/>
    <mergeCell ref="Z333:Z334"/>
    <mergeCell ref="AR141:AR142"/>
    <mergeCell ref="J263:J264"/>
    <mergeCell ref="AK331:AK332"/>
    <mergeCell ref="AS79:AS80"/>
    <mergeCell ref="AA131:AA132"/>
    <mergeCell ref="AB10:AF10"/>
    <mergeCell ref="AQ315:AQ316"/>
    <mergeCell ref="K201:K202"/>
    <mergeCell ref="AB308:AF308"/>
    <mergeCell ref="P135:P136"/>
    <mergeCell ref="U261:U262"/>
    <mergeCell ref="V85:V86"/>
    <mergeCell ref="R191:R192"/>
    <mergeCell ref="B141:B144"/>
    <mergeCell ref="C107:C110"/>
    <mergeCell ref="E43:E44"/>
    <mergeCell ref="AB310:AF310"/>
    <mergeCell ref="AG9:AG10"/>
    <mergeCell ref="W325:W326"/>
    <mergeCell ref="T255:T256"/>
    <mergeCell ref="R103:R104"/>
    <mergeCell ref="AR13:AR14"/>
    <mergeCell ref="G107:G108"/>
    <mergeCell ref="Z21:Z22"/>
    <mergeCell ref="AL2:AP2"/>
    <mergeCell ref="B115:B120"/>
    <mergeCell ref="I163:I164"/>
    <mergeCell ref="Y85:Y86"/>
    <mergeCell ref="T167:T168"/>
    <mergeCell ref="AQ43:AQ44"/>
    <mergeCell ref="L235:L236"/>
    <mergeCell ref="S231:S232"/>
    <mergeCell ref="I165:I166"/>
    <mergeCell ref="D91:D92"/>
    <mergeCell ref="C301:C302"/>
    <mergeCell ref="AA271:AA272"/>
    <mergeCell ref="AB150:AF150"/>
    <mergeCell ref="AA53:AA54"/>
    <mergeCell ref="AQ331:AQ332"/>
    <mergeCell ref="AS107:AS108"/>
    <mergeCell ref="P57:P58"/>
    <mergeCell ref="N299:N300"/>
    <mergeCell ref="AS101:AS102"/>
    <mergeCell ref="H131:H132"/>
    <mergeCell ref="C303:C304"/>
    <mergeCell ref="W9:W10"/>
    <mergeCell ref="E61:E62"/>
    <mergeCell ref="AA55:AA56"/>
    <mergeCell ref="V227:V228"/>
    <mergeCell ref="AP275:AP276"/>
    <mergeCell ref="R121:R122"/>
    <mergeCell ref="K283:K284"/>
    <mergeCell ref="Y111:Y112"/>
    <mergeCell ref="L251:L252"/>
    <mergeCell ref="AH62:AJ62"/>
    <mergeCell ref="AR35:AR36"/>
    <mergeCell ref="Z49:Z50"/>
    <mergeCell ref="V283:V284"/>
    <mergeCell ref="T39:T40"/>
    <mergeCell ref="G31:G32"/>
    <mergeCell ref="AS275:AS276"/>
    <mergeCell ref="AB18:AF18"/>
    <mergeCell ref="Z105:Z106"/>
    <mergeCell ref="G145:G146"/>
    <mergeCell ref="N141:N142"/>
    <mergeCell ref="D295:D296"/>
    <mergeCell ref="T303:T304"/>
    <mergeCell ref="Q21:Q22"/>
    <mergeCell ref="AS29:AS30"/>
    <mergeCell ref="I95:I96"/>
    <mergeCell ref="B149:B152"/>
    <mergeCell ref="G331:G332"/>
    <mergeCell ref="AG241:AG242"/>
    <mergeCell ref="AA195:AA196"/>
    <mergeCell ref="X125:X126"/>
    <mergeCell ref="T93:T94"/>
    <mergeCell ref="B101:B102"/>
    <mergeCell ref="D163:D164"/>
    <mergeCell ref="AS31:AS32"/>
    <mergeCell ref="I97:I98"/>
    <mergeCell ref="AS329:AS330"/>
    <mergeCell ref="K153:K154"/>
    <mergeCell ref="F79:F80"/>
    <mergeCell ref="D321:D322"/>
    <mergeCell ref="AA197:AA198"/>
    <mergeCell ref="K311:K312"/>
    <mergeCell ref="AP295:AP296"/>
    <mergeCell ref="R263:R264"/>
    <mergeCell ref="T21:T22"/>
    <mergeCell ref="AS331:AS332"/>
    <mergeCell ref="M217:M218"/>
    <mergeCell ref="C31:C34"/>
    <mergeCell ref="E291:E292"/>
    <mergeCell ref="G49:G50"/>
    <mergeCell ref="O133:O134"/>
    <mergeCell ref="W93:W94"/>
    <mergeCell ref="Y155:Y156"/>
    <mergeCell ref="S141:S142"/>
    <mergeCell ref="P71:P72"/>
    <mergeCell ref="AR79:AR80"/>
    <mergeCell ref="H145:H146"/>
    <mergeCell ref="AK189:AK190"/>
    <mergeCell ref="AA99:AA100"/>
    <mergeCell ref="H139:H140"/>
    <mergeCell ref="J201:J202"/>
    <mergeCell ref="AG83:AG84"/>
    <mergeCell ref="O135:O136"/>
    <mergeCell ref="A309:A310"/>
    <mergeCell ref="T75:T76"/>
    <mergeCell ref="Z103:Z104"/>
    <mergeCell ref="AA213:AA214"/>
    <mergeCell ref="A141:A144"/>
    <mergeCell ref="AR81:AR82"/>
    <mergeCell ref="AH104:AJ104"/>
    <mergeCell ref="AS171:AS172"/>
    <mergeCell ref="AA223:AA224"/>
    <mergeCell ref="S255:S256"/>
    <mergeCell ref="K329:K330"/>
    <mergeCell ref="T235:T236"/>
    <mergeCell ref="O39:O40"/>
    <mergeCell ref="AB248:AF248"/>
    <mergeCell ref="A115:A120"/>
    <mergeCell ref="P129:P130"/>
    <mergeCell ref="D305:D306"/>
    <mergeCell ref="M59:M60"/>
    <mergeCell ref="K295:K296"/>
    <mergeCell ref="C49:C52"/>
    <mergeCell ref="O5:O6"/>
    <mergeCell ref="S167:S168"/>
    <mergeCell ref="AP43:AP44"/>
    <mergeCell ref="X57:X58"/>
    <mergeCell ref="P131:P132"/>
    <mergeCell ref="R231:R232"/>
    <mergeCell ref="B301:B302"/>
    <mergeCell ref="Z271:Z272"/>
    <mergeCell ref="G191:G192"/>
    <mergeCell ref="F5:F6"/>
    <mergeCell ref="AK117:AK118"/>
    <mergeCell ref="S169:S170"/>
    <mergeCell ref="F309:F310"/>
    <mergeCell ref="AR107:AR108"/>
    <mergeCell ref="AH130:AJ130"/>
    <mergeCell ref="AB88:AF88"/>
    <mergeCell ref="Z115:Z116"/>
    <mergeCell ref="R189:R190"/>
    <mergeCell ref="T251:T252"/>
    <mergeCell ref="V9:V10"/>
    <mergeCell ref="B303:B304"/>
    <mergeCell ref="AQ127:AQ128"/>
    <mergeCell ref="O29:O30"/>
    <mergeCell ref="G103:G104"/>
    <mergeCell ref="F311:F312"/>
    <mergeCell ref="AG13:AG14"/>
    <mergeCell ref="O65:O66"/>
    <mergeCell ref="U227:U228"/>
    <mergeCell ref="AB90:AF90"/>
    <mergeCell ref="A283:A286"/>
    <mergeCell ref="B107:B110"/>
    <mergeCell ref="F125:F126"/>
    <mergeCell ref="O31:O32"/>
    <mergeCell ref="I167:I168"/>
    <mergeCell ref="J133:J134"/>
    <mergeCell ref="I161:I162"/>
    <mergeCell ref="W291:W292"/>
    <mergeCell ref="Y49:Y50"/>
    <mergeCell ref="P157:P158"/>
    <mergeCell ref="AG307:AG308"/>
    <mergeCell ref="AP61:AP62"/>
    <mergeCell ref="AS103:AS104"/>
    <mergeCell ref="Q89:Q90"/>
    <mergeCell ref="O331:O332"/>
    <mergeCell ref="K225:K226"/>
    <mergeCell ref="L191:L192"/>
    <mergeCell ref="U285:U286"/>
    <mergeCell ref="E57:E58"/>
    <mergeCell ref="C299:C300"/>
    <mergeCell ref="R215:R216"/>
    <mergeCell ref="AR125:AR126"/>
    <mergeCell ref="V223:V224"/>
    <mergeCell ref="H95:H96"/>
    <mergeCell ref="S153:S154"/>
    <mergeCell ref="N79:N80"/>
    <mergeCell ref="K227:K228"/>
    <mergeCell ref="AG33:AG34"/>
    <mergeCell ref="AK259:AK260"/>
    <mergeCell ref="T279:T280"/>
    <mergeCell ref="AB108:AF108"/>
    <mergeCell ref="H97:H98"/>
    <mergeCell ref="AR31:AR32"/>
    <mergeCell ref="Z45:Z46"/>
    <mergeCell ref="N81:N82"/>
    <mergeCell ref="J153:J154"/>
    <mergeCell ref="AG35:AG36"/>
    <mergeCell ref="O49:O50"/>
    <mergeCell ref="AG333:AG334"/>
    <mergeCell ref="I179:I180"/>
    <mergeCell ref="AG193:AG194"/>
    <mergeCell ref="O207:O208"/>
    <mergeCell ref="Q263:Q264"/>
    <mergeCell ref="AB20:AF20"/>
    <mergeCell ref="AB14:AF14"/>
    <mergeCell ref="U271:U272"/>
    <mergeCell ref="AQ25:AQ26"/>
    <mergeCell ref="L217:L218"/>
    <mergeCell ref="D291:D292"/>
    <mergeCell ref="R201:R202"/>
    <mergeCell ref="AB318:AF318"/>
    <mergeCell ref="J275:J276"/>
    <mergeCell ref="B145:B148"/>
    <mergeCell ref="F21:F22"/>
    <mergeCell ref="C271:C274"/>
    <mergeCell ref="AH30:AJ30"/>
    <mergeCell ref="AK315:AK316"/>
    <mergeCell ref="S329:S330"/>
    <mergeCell ref="AP255:AP256"/>
    <mergeCell ref="F181:F182"/>
    <mergeCell ref="H115:H116"/>
    <mergeCell ref="P197:P198"/>
    <mergeCell ref="H237:H238"/>
    <mergeCell ref="R259:R260"/>
    <mergeCell ref="AR21:AR22"/>
    <mergeCell ref="S235:S236"/>
    <mergeCell ref="O129:O130"/>
    <mergeCell ref="AB38:AF38"/>
    <mergeCell ref="H239:H240"/>
    <mergeCell ref="R261:R262"/>
    <mergeCell ref="J301:J302"/>
    <mergeCell ref="B49:B52"/>
    <mergeCell ref="AG177:AG178"/>
    <mergeCell ref="AL212:AO212"/>
    <mergeCell ref="T317:T318"/>
    <mergeCell ref="AK185:AK186"/>
    <mergeCell ref="U299:U300"/>
    <mergeCell ref="W57:W58"/>
    <mergeCell ref="J5:J6"/>
    <mergeCell ref="X25:X26"/>
    <mergeCell ref="O131:O132"/>
    <mergeCell ref="J303:J304"/>
    <mergeCell ref="L61:L62"/>
    <mergeCell ref="C307:C308"/>
    <mergeCell ref="P69:P70"/>
    <mergeCell ref="Y121:Y122"/>
    <mergeCell ref="Q195:Q196"/>
    <mergeCell ref="Y115:Y116"/>
    <mergeCell ref="AH206:AJ206"/>
    <mergeCell ref="Q189:Q190"/>
    <mergeCell ref="N125:N126"/>
    <mergeCell ref="S251:S252"/>
    <mergeCell ref="K325:K326"/>
    <mergeCell ref="H255:H256"/>
    <mergeCell ref="F103:F104"/>
    <mergeCell ref="AG49:AG50"/>
    <mergeCell ref="Q197:Q198"/>
    <mergeCell ref="S77:S78"/>
    <mergeCell ref="U17:U18"/>
    <mergeCell ref="L273:L274"/>
    <mergeCell ref="Z243:Z244"/>
    <mergeCell ref="H167:H168"/>
    <mergeCell ref="AK89:AK90"/>
    <mergeCell ref="AK211:AK212"/>
    <mergeCell ref="C333:C334"/>
    <mergeCell ref="U141:U142"/>
    <mergeCell ref="U317:U318"/>
    <mergeCell ref="AL240:AO240"/>
    <mergeCell ref="P95:P96"/>
    <mergeCell ref="AR103:AR104"/>
    <mergeCell ref="H169:H170"/>
    <mergeCell ref="AB84:AF84"/>
    <mergeCell ref="J225:J226"/>
    <mergeCell ref="AL232:AO232"/>
    <mergeCell ref="AG107:AG108"/>
    <mergeCell ref="B299:B300"/>
    <mergeCell ref="O273:O274"/>
    <mergeCell ref="P97:P98"/>
    <mergeCell ref="AH128:AJ128"/>
    <mergeCell ref="AB86:AF86"/>
    <mergeCell ref="J227:J228"/>
    <mergeCell ref="F121:F122"/>
    <mergeCell ref="S279:S280"/>
    <mergeCell ref="Y263:Y264"/>
    <mergeCell ref="W287:W288"/>
    <mergeCell ref="Y45:Y46"/>
    <mergeCell ref="T217:T218"/>
    <mergeCell ref="L291:L292"/>
    <mergeCell ref="N49:N50"/>
    <mergeCell ref="G211:G212"/>
    <mergeCell ref="N207:N208"/>
    <mergeCell ref="Q91:Q92"/>
    <mergeCell ref="Z137:Z138"/>
    <mergeCell ref="O145:O146"/>
    <mergeCell ref="AP25:AP26"/>
    <mergeCell ref="G219:G220"/>
    <mergeCell ref="H309:H310"/>
    <mergeCell ref="I275:I276"/>
    <mergeCell ref="P271:P272"/>
    <mergeCell ref="R29:R30"/>
    <mergeCell ref="AA111:AA112"/>
    <mergeCell ref="U65:U66"/>
    <mergeCell ref="A315:A316"/>
    <mergeCell ref="H311:H312"/>
    <mergeCell ref="J69:J70"/>
    <mergeCell ref="AH146:AJ146"/>
    <mergeCell ref="P273:P274"/>
    <mergeCell ref="R31:R32"/>
    <mergeCell ref="B121:B124"/>
    <mergeCell ref="R329:R330"/>
    <mergeCell ref="N77:N78"/>
    <mergeCell ref="AQ267:AQ268"/>
    <mergeCell ref="E181:E182"/>
    <mergeCell ref="V35:V36"/>
    <mergeCell ref="E137:E138"/>
    <mergeCell ref="AH276:AJ276"/>
    <mergeCell ref="V333:V334"/>
    <mergeCell ref="L133:L134"/>
    <mergeCell ref="Q259:Q260"/>
    <mergeCell ref="F263:F264"/>
    <mergeCell ref="R331:R332"/>
    <mergeCell ref="AQ21:AQ22"/>
    <mergeCell ref="G87:G88"/>
    <mergeCell ref="G201:G202"/>
    <mergeCell ref="G239:G240"/>
    <mergeCell ref="Q261:Q262"/>
    <mergeCell ref="I301:I302"/>
    <mergeCell ref="R85:R86"/>
    <mergeCell ref="N191:N192"/>
    <mergeCell ref="L39:L40"/>
    <mergeCell ref="AQ181:AQ182"/>
    <mergeCell ref="Y189:Y190"/>
    <mergeCell ref="AA251:AA252"/>
    <mergeCell ref="K61:K62"/>
    <mergeCell ref="AR271:AR272"/>
    <mergeCell ref="Y279:Y280"/>
    <mergeCell ref="I303:I304"/>
    <mergeCell ref="AK311:AK312"/>
    <mergeCell ref="P255:P256"/>
    <mergeCell ref="S325:S326"/>
    <mergeCell ref="N103:N104"/>
    <mergeCell ref="V205:V206"/>
    <mergeCell ref="G143:G144"/>
    <mergeCell ref="U93:U94"/>
    <mergeCell ref="H233:H234"/>
    <mergeCell ref="E163:E164"/>
    <mergeCell ref="AS239:AS240"/>
    <mergeCell ref="M125:M126"/>
    <mergeCell ref="U85:U86"/>
    <mergeCell ref="A181:A184"/>
    <mergeCell ref="S327:S328"/>
    <mergeCell ref="P167:P168"/>
    <mergeCell ref="H235:H236"/>
    <mergeCell ref="Y213:Y214"/>
    <mergeCell ref="AG173:AG174"/>
    <mergeCell ref="Q287:Q288"/>
    <mergeCell ref="B25:B26"/>
    <mergeCell ref="B95:B100"/>
    <mergeCell ref="C239:C242"/>
    <mergeCell ref="Y205:Y206"/>
    <mergeCell ref="R225:R226"/>
    <mergeCell ref="J299:J300"/>
    <mergeCell ref="L57:L58"/>
    <mergeCell ref="AQ163:AQ164"/>
    <mergeCell ref="Y215:Y216"/>
    <mergeCell ref="M39:M40"/>
    <mergeCell ref="AQ321:AQ322"/>
    <mergeCell ref="AS255:AS256"/>
    <mergeCell ref="AQ103:AQ104"/>
    <mergeCell ref="Y117:Y118"/>
    <mergeCell ref="G169:G170"/>
    <mergeCell ref="AH202:AJ202"/>
    <mergeCell ref="R227:R228"/>
    <mergeCell ref="N121:N122"/>
    <mergeCell ref="X181:X182"/>
    <mergeCell ref="AK301:AK302"/>
    <mergeCell ref="U111:U112"/>
    <mergeCell ref="AK295:AK296"/>
    <mergeCell ref="AG45:AG46"/>
    <mergeCell ref="O97:O98"/>
    <mergeCell ref="Y119:Y120"/>
    <mergeCell ref="Q159:Q160"/>
    <mergeCell ref="AS167:AS168"/>
    <mergeCell ref="I233:I234"/>
    <mergeCell ref="V49:V50"/>
    <mergeCell ref="I227:I228"/>
    <mergeCell ref="C255:C258"/>
    <mergeCell ref="H253:H254"/>
    <mergeCell ref="P39:P40"/>
    <mergeCell ref="D301:D302"/>
    <mergeCell ref="I235:I236"/>
    <mergeCell ref="C329:C330"/>
    <mergeCell ref="AA177:AA178"/>
    <mergeCell ref="K291:K292"/>
    <mergeCell ref="AB214:AF214"/>
    <mergeCell ref="P91:P92"/>
    <mergeCell ref="M21:M22"/>
    <mergeCell ref="T159:T160"/>
    <mergeCell ref="E95:E96"/>
    <mergeCell ref="F61:F62"/>
    <mergeCell ref="C331:C332"/>
    <mergeCell ref="M57:M58"/>
    <mergeCell ref="L85:L86"/>
    <mergeCell ref="AK27:AK28"/>
    <mergeCell ref="G309:G310"/>
    <mergeCell ref="AK325:AK326"/>
    <mergeCell ref="P93:P94"/>
    <mergeCell ref="C283:C286"/>
    <mergeCell ref="G153:G154"/>
    <mergeCell ref="O115:O116"/>
    <mergeCell ref="W197:W198"/>
    <mergeCell ref="Y259:Y260"/>
    <mergeCell ref="AA17:AA18"/>
    <mergeCell ref="P205:P206"/>
    <mergeCell ref="G311:G312"/>
    <mergeCell ref="L325:L326"/>
    <mergeCell ref="A121:A124"/>
    <mergeCell ref="AL198:AO198"/>
    <mergeCell ref="R151:R152"/>
    <mergeCell ref="T213:T214"/>
    <mergeCell ref="Y147:Y148"/>
    <mergeCell ref="AQ89:AQ90"/>
    <mergeCell ref="I217:I218"/>
    <mergeCell ref="AG187:AG188"/>
    <mergeCell ref="Y261:Y262"/>
    <mergeCell ref="AS309:AS310"/>
    <mergeCell ref="K133:K134"/>
    <mergeCell ref="U155:U156"/>
    <mergeCell ref="AA317:AA318"/>
    <mergeCell ref="T215:T216"/>
    <mergeCell ref="O141:O142"/>
    <mergeCell ref="AP21:AP22"/>
    <mergeCell ref="L71:L72"/>
    <mergeCell ref="AS153:AS154"/>
    <mergeCell ref="D145:D146"/>
    <mergeCell ref="AK9:AK10"/>
    <mergeCell ref="F201:F202"/>
    <mergeCell ref="K135:K136"/>
    <mergeCell ref="AS311:AS312"/>
    <mergeCell ref="M191:M192"/>
    <mergeCell ref="AB198:AF198"/>
    <mergeCell ref="F89:F90"/>
    <mergeCell ref="AR333:AR334"/>
    <mergeCell ref="J65:J66"/>
    <mergeCell ref="W223:W224"/>
    <mergeCell ref="R27:R28"/>
    <mergeCell ref="X189:X190"/>
    <mergeCell ref="Z251:Z252"/>
    <mergeCell ref="R325:R326"/>
    <mergeCell ref="O255:O256"/>
    <mergeCell ref="C311:C314"/>
    <mergeCell ref="AQ263:AQ264"/>
    <mergeCell ref="G329:G330"/>
    <mergeCell ref="AL40:AO40"/>
    <mergeCell ref="L129:L130"/>
    <mergeCell ref="Y287:Y288"/>
    <mergeCell ref="AA45:AA46"/>
    <mergeCell ref="R327:R328"/>
    <mergeCell ref="T85:T86"/>
    <mergeCell ref="AG243:AG244"/>
    <mergeCell ref="O167:O168"/>
    <mergeCell ref="A263:A266"/>
    <mergeCell ref="D171:D172"/>
    <mergeCell ref="I297:I298"/>
    <mergeCell ref="N231:N232"/>
    <mergeCell ref="AB228:AF228"/>
    <mergeCell ref="O11:O12"/>
    <mergeCell ref="A95:A100"/>
    <mergeCell ref="V149:V150"/>
    <mergeCell ref="B239:B242"/>
    <mergeCell ref="V271:V272"/>
    <mergeCell ref="X205:X206"/>
    <mergeCell ref="O169:O170"/>
    <mergeCell ref="I299:I300"/>
    <mergeCell ref="R53:R54"/>
    <mergeCell ref="AP163:AP164"/>
    <mergeCell ref="P251:P252"/>
    <mergeCell ref="R9:R10"/>
    <mergeCell ref="V55:V56"/>
    <mergeCell ref="K65:K66"/>
    <mergeCell ref="Q227:Q228"/>
    <mergeCell ref="AS235:AS236"/>
    <mergeCell ref="M121:M122"/>
    <mergeCell ref="R11:R12"/>
    <mergeCell ref="AQ291:AQ292"/>
    <mergeCell ref="U49:U50"/>
    <mergeCell ref="C235:C238"/>
    <mergeCell ref="G253:G254"/>
    <mergeCell ref="Y211:Y212"/>
    <mergeCell ref="A291:A294"/>
    <mergeCell ref="Q285:Q286"/>
    <mergeCell ref="O309:O310"/>
    <mergeCell ref="Q67:Q68"/>
    <mergeCell ref="I141:I142"/>
    <mergeCell ref="I317:I318"/>
    <mergeCell ref="AB2:AG2"/>
    <mergeCell ref="Q103:Q104"/>
    <mergeCell ref="D95:D96"/>
    <mergeCell ref="AG139:AG140"/>
    <mergeCell ref="J79:J80"/>
    <mergeCell ref="A25:A26"/>
    <mergeCell ref="B61:B66"/>
    <mergeCell ref="AA275:AA276"/>
    <mergeCell ref="U107:U108"/>
    <mergeCell ref="Q69:Q70"/>
    <mergeCell ref="S9:S10"/>
    <mergeCell ref="I143:I144"/>
    <mergeCell ref="O311:O312"/>
    <mergeCell ref="O93:O94"/>
    <mergeCell ref="B283:B286"/>
    <mergeCell ref="G3:H3"/>
    <mergeCell ref="F153:F154"/>
    <mergeCell ref="S133:S134"/>
    <mergeCell ref="X259:X260"/>
    <mergeCell ref="S127:S128"/>
    <mergeCell ref="Q157:Q158"/>
    <mergeCell ref="AH168:AJ168"/>
    <mergeCell ref="M263:M264"/>
    <mergeCell ref="I13:I14"/>
    <mergeCell ref="AP95:AP96"/>
    <mergeCell ref="AP89:AP90"/>
    <mergeCell ref="H217:H218"/>
    <mergeCell ref="Q271:Q272"/>
    <mergeCell ref="M151:M152"/>
    <mergeCell ref="AR309:AR310"/>
    <mergeCell ref="G281:G282"/>
    <mergeCell ref="AG15:AG16"/>
    <mergeCell ref="T155:T156"/>
    <mergeCell ref="U191:U192"/>
    <mergeCell ref="H25:H26"/>
    <mergeCell ref="AP97:AP98"/>
    <mergeCell ref="AL112:AO112"/>
    <mergeCell ref="T43:T44"/>
    <mergeCell ref="AR153:AR154"/>
    <mergeCell ref="AK321:AK322"/>
    <mergeCell ref="Z27:Z28"/>
    <mergeCell ref="J141:J142"/>
    <mergeCell ref="AR311:AR312"/>
    <mergeCell ref="J135:J136"/>
    <mergeCell ref="Z325:Z326"/>
    <mergeCell ref="T157:T158"/>
    <mergeCell ref="D271:D272"/>
    <mergeCell ref="AS279:AS280"/>
    <mergeCell ref="AB292:AF292"/>
    <mergeCell ref="AG315:AG316"/>
    <mergeCell ref="O329:O330"/>
    <mergeCell ref="AH8:AJ8"/>
    <mergeCell ref="V101:V102"/>
    <mergeCell ref="D115:D116"/>
    <mergeCell ref="N255:N256"/>
    <mergeCell ref="B311:B314"/>
    <mergeCell ref="AK137:AK138"/>
    <mergeCell ref="F329:F330"/>
    <mergeCell ref="AH10:AJ10"/>
    <mergeCell ref="O235:O236"/>
    <mergeCell ref="AH308:AJ308"/>
    <mergeCell ref="V231:V232"/>
    <mergeCell ref="K129:K130"/>
    <mergeCell ref="D239:D240"/>
    <mergeCell ref="X287:X288"/>
    <mergeCell ref="G267:G268"/>
    <mergeCell ref="F301:F302"/>
    <mergeCell ref="F295:F296"/>
    <mergeCell ref="N263:N264"/>
    <mergeCell ref="P21:P22"/>
    <mergeCell ref="F331:F332"/>
    <mergeCell ref="A211:A222"/>
    <mergeCell ref="Q299:Q300"/>
    <mergeCell ref="S57:S58"/>
    <mergeCell ref="AH310:AJ310"/>
    <mergeCell ref="K131:K132"/>
    <mergeCell ref="T25:T26"/>
    <mergeCell ref="Z53:Z54"/>
    <mergeCell ref="F303:F304"/>
    <mergeCell ref="H61:H62"/>
    <mergeCell ref="N169:N170"/>
    <mergeCell ref="AR329:AR330"/>
    <mergeCell ref="U121:U122"/>
    <mergeCell ref="M195:M196"/>
    <mergeCell ref="U115:U116"/>
    <mergeCell ref="AK305:AK306"/>
    <mergeCell ref="M189:M190"/>
    <mergeCell ref="J125:J126"/>
    <mergeCell ref="O251:O252"/>
    <mergeCell ref="AR295:AR296"/>
    <mergeCell ref="AL36:AO36"/>
    <mergeCell ref="D255:D256"/>
    <mergeCell ref="AR331:AR332"/>
    <mergeCell ref="AL334:AO334"/>
    <mergeCell ref="M197:M198"/>
    <mergeCell ref="Q17:Q18"/>
    <mergeCell ref="AH28:AJ28"/>
    <mergeCell ref="AG239:AG240"/>
    <mergeCell ref="Q11:Q12"/>
    <mergeCell ref="AH326:AJ326"/>
    <mergeCell ref="H273:H274"/>
    <mergeCell ref="J31:J32"/>
    <mergeCell ref="V243:V244"/>
    <mergeCell ref="X305:X306"/>
    <mergeCell ref="D167:D168"/>
    <mergeCell ref="K157:K158"/>
    <mergeCell ref="AK67:AK68"/>
    <mergeCell ref="Q317:Q318"/>
    <mergeCell ref="S75:S76"/>
    <mergeCell ref="L95:L96"/>
    <mergeCell ref="S85:S86"/>
    <mergeCell ref="AL62:AO62"/>
    <mergeCell ref="Y2:AA2"/>
    <mergeCell ref="N153:N154"/>
    <mergeCell ref="F227:F228"/>
    <mergeCell ref="Z275:Z276"/>
    <mergeCell ref="V115:V116"/>
    <mergeCell ref="N189:N190"/>
    <mergeCell ref="W205:W206"/>
    <mergeCell ref="O279:O280"/>
    <mergeCell ref="S287:S288"/>
    <mergeCell ref="P217:P218"/>
    <mergeCell ref="H291:H292"/>
    <mergeCell ref="J49:J50"/>
    <mergeCell ref="V171:V172"/>
    <mergeCell ref="AB242:AF242"/>
    <mergeCell ref="B259:B262"/>
    <mergeCell ref="W109:W110"/>
    <mergeCell ref="AB252:AF252"/>
    <mergeCell ref="L151:L152"/>
    <mergeCell ref="AB208:AF208"/>
    <mergeCell ref="AH110:AJ110"/>
    <mergeCell ref="E275:E276"/>
    <mergeCell ref="L271:L272"/>
    <mergeCell ref="N29:N30"/>
    <mergeCell ref="AB244:AF244"/>
    <mergeCell ref="M89:M90"/>
    <mergeCell ref="Q65:Q66"/>
    <mergeCell ref="Y27:Y28"/>
    <mergeCell ref="AP223:AP224"/>
    <mergeCell ref="Y325:Y326"/>
    <mergeCell ref="N31:N32"/>
    <mergeCell ref="N329:N330"/>
    <mergeCell ref="S129:S130"/>
    <mergeCell ref="AA91:AA92"/>
    <mergeCell ref="Z119:Z120"/>
    <mergeCell ref="M259:M260"/>
    <mergeCell ref="Y327:Y328"/>
    <mergeCell ref="Z295:Z296"/>
    <mergeCell ref="A311:A314"/>
    <mergeCell ref="N331:N332"/>
    <mergeCell ref="U231:U232"/>
    <mergeCell ref="AB234:AF234"/>
    <mergeCell ref="E301:E302"/>
    <mergeCell ref="M261:M262"/>
    <mergeCell ref="U223:U224"/>
    <mergeCell ref="P299:P300"/>
    <mergeCell ref="E5:E6"/>
    <mergeCell ref="Y53:Y54"/>
    <mergeCell ref="G67:G68"/>
    <mergeCell ref="U189:U190"/>
    <mergeCell ref="Y9:Y10"/>
    <mergeCell ref="G61:G62"/>
    <mergeCell ref="AP205:AP206"/>
    <mergeCell ref="AB236:AF236"/>
    <mergeCell ref="W251:W252"/>
    <mergeCell ref="E303:E304"/>
    <mergeCell ref="AG311:AG312"/>
    <mergeCell ref="O325:O326"/>
    <mergeCell ref="R65:R66"/>
    <mergeCell ref="S155:S156"/>
    <mergeCell ref="T121:T122"/>
    <mergeCell ref="L195:L196"/>
    <mergeCell ref="Y11:Y12"/>
    <mergeCell ref="I125:I126"/>
    <mergeCell ref="AQ301:AQ302"/>
    <mergeCell ref="AQ295:AQ296"/>
    <mergeCell ref="U247:U248"/>
    <mergeCell ref="AH6:AJ6"/>
    <mergeCell ref="O327:O328"/>
    <mergeCell ref="AH304:AJ304"/>
    <mergeCell ref="X283:X284"/>
    <mergeCell ref="AQ5:AQ6"/>
    <mergeCell ref="L197:L198"/>
    <mergeCell ref="P17:P18"/>
    <mergeCell ref="U213:U214"/>
    <mergeCell ref="AS61:AS62"/>
    <mergeCell ref="AA75:AA76"/>
    <mergeCell ref="I127:I128"/>
    <mergeCell ref="N259:N260"/>
    <mergeCell ref="M287:M288"/>
    <mergeCell ref="AQ303:AQ304"/>
    <mergeCell ref="B267:B270"/>
    <mergeCell ref="AH306:AJ306"/>
    <mergeCell ref="H57:H58"/>
    <mergeCell ref="U215:U216"/>
    <mergeCell ref="P141:P142"/>
    <mergeCell ref="Q109:Q110"/>
    <mergeCell ref="R75:R76"/>
    <mergeCell ref="I39:I40"/>
    <mergeCell ref="J149:J150"/>
    <mergeCell ref="P317:P318"/>
    <mergeCell ref="W307:W308"/>
    <mergeCell ref="J121:J122"/>
    <mergeCell ref="J115:J116"/>
    <mergeCell ref="W279:W280"/>
    <mergeCell ref="K97:K98"/>
    <mergeCell ref="M159:M160"/>
    <mergeCell ref="E227:E228"/>
    <mergeCell ref="L223:L224"/>
    <mergeCell ref="AH322:AJ322"/>
    <mergeCell ref="R207:R208"/>
    <mergeCell ref="T263:T264"/>
    <mergeCell ref="P231:P232"/>
    <mergeCell ref="G291:G292"/>
    <mergeCell ref="I49:I50"/>
    <mergeCell ref="N287:N288"/>
    <mergeCell ref="P45:P46"/>
    <mergeCell ref="V29:V30"/>
    <mergeCell ref="AA155:AA156"/>
    <mergeCell ref="V1:AA1"/>
    <mergeCell ref="X303:X304"/>
    <mergeCell ref="T53:T54"/>
    <mergeCell ref="Y285:Y286"/>
    <mergeCell ref="AA43:AA44"/>
    <mergeCell ref="AQ227:AQ228"/>
    <mergeCell ref="AG27:AG28"/>
    <mergeCell ref="G293:G294"/>
    <mergeCell ref="AR317:AR318"/>
    <mergeCell ref="C309:C310"/>
    <mergeCell ref="D275:D276"/>
    <mergeCell ref="AL58:AO58"/>
    <mergeCell ref="AG325:AG326"/>
    <mergeCell ref="K271:K272"/>
    <mergeCell ref="AB334:AF334"/>
    <mergeCell ref="V111:V112"/>
    <mergeCell ref="B167:B170"/>
    <mergeCell ref="K115:K116"/>
    <mergeCell ref="AS291:AS292"/>
    <mergeCell ref="L205:L206"/>
    <mergeCell ref="A227:A230"/>
    <mergeCell ref="K273:K274"/>
    <mergeCell ref="M31:M32"/>
    <mergeCell ref="U147:U148"/>
    <mergeCell ref="R129:R130"/>
    <mergeCell ref="K239:K240"/>
    <mergeCell ref="M301:M302"/>
    <mergeCell ref="O59:O60"/>
    <mergeCell ref="AQ67:AQ68"/>
    <mergeCell ref="G133:G134"/>
    <mergeCell ref="O95:O96"/>
    <mergeCell ref="M331:M332"/>
    <mergeCell ref="K141:K142"/>
    <mergeCell ref="AL178:AO178"/>
    <mergeCell ref="R131:R132"/>
    <mergeCell ref="AA25:AA26"/>
    <mergeCell ref="Y267:Y268"/>
    <mergeCell ref="S99:S100"/>
    <mergeCell ref="O61:O62"/>
    <mergeCell ref="G135:G136"/>
    <mergeCell ref="M85:M86"/>
    <mergeCell ref="I191:I192"/>
    <mergeCell ref="T195:T196"/>
    <mergeCell ref="D5:D6"/>
    <mergeCell ref="F67:F68"/>
    <mergeCell ref="N27:N28"/>
    <mergeCell ref="T189:T190"/>
    <mergeCell ref="V251:V252"/>
    <mergeCell ref="AA185:AA186"/>
    <mergeCell ref="I199:I200"/>
    <mergeCell ref="D303:D304"/>
    <mergeCell ref="AS127:AS128"/>
    <mergeCell ref="K255:K256"/>
    <mergeCell ref="N325:N326"/>
    <mergeCell ref="S217:S218"/>
    <mergeCell ref="X17:X18"/>
    <mergeCell ref="AP301:AP302"/>
    <mergeCell ref="H125:H126"/>
    <mergeCell ref="P85:P86"/>
    <mergeCell ref="N327:N328"/>
    <mergeCell ref="K167:K168"/>
    <mergeCell ref="R157:R158"/>
    <mergeCell ref="J231:J232"/>
    <mergeCell ref="AP5:AP6"/>
    <mergeCell ref="AR67:AR68"/>
    <mergeCell ref="AQ95:AQ96"/>
    <mergeCell ref="AR61:AR62"/>
    <mergeCell ref="Z75:Z76"/>
    <mergeCell ref="H127:H128"/>
    <mergeCell ref="R149:R150"/>
    <mergeCell ref="D21:D22"/>
    <mergeCell ref="R271:R272"/>
    <mergeCell ref="T205:T206"/>
    <mergeCell ref="K169:K170"/>
    <mergeCell ref="AP303:AP304"/>
    <mergeCell ref="E299:E300"/>
    <mergeCell ref="N53:N54"/>
    <mergeCell ref="AQ97:AQ98"/>
    <mergeCell ref="AB50:AF50"/>
    <mergeCell ref="J191:J192"/>
    <mergeCell ref="H39:H40"/>
    <mergeCell ref="M227:M228"/>
    <mergeCell ref="T223:T224"/>
    <mergeCell ref="I121:I122"/>
    <mergeCell ref="V279:V280"/>
    <mergeCell ref="AH94:AJ94"/>
    <mergeCell ref="J103:J104"/>
    <mergeCell ref="Q49:Q50"/>
    <mergeCell ref="I123:I124"/>
    <mergeCell ref="X45:X46"/>
    <mergeCell ref="Q207:Q208"/>
    <mergeCell ref="S263:S264"/>
    <mergeCell ref="AP145:AP146"/>
    <mergeCell ref="D235:D236"/>
    <mergeCell ref="AK99:AK100"/>
    <mergeCell ref="U29:U30"/>
    <mergeCell ref="C57:C60"/>
    <mergeCell ref="M103:M104"/>
    <mergeCell ref="W303:W304"/>
    <mergeCell ref="AR209:AR210"/>
    <mergeCell ref="AK101:AK102"/>
    <mergeCell ref="O9:O10"/>
    <mergeCell ref="U329:U330"/>
    <mergeCell ref="H23:H24"/>
    <mergeCell ref="M2:O2"/>
    <mergeCell ref="Z129:Z130"/>
    <mergeCell ref="R197:R198"/>
    <mergeCell ref="T259:T260"/>
    <mergeCell ref="Y333:Y334"/>
    <mergeCell ref="Y193:Y194"/>
    <mergeCell ref="AG295:AG296"/>
    <mergeCell ref="M157:M158"/>
    <mergeCell ref="E13:E14"/>
    <mergeCell ref="T147:T148"/>
    <mergeCell ref="Z131:Z132"/>
    <mergeCell ref="AS85:AS86"/>
    <mergeCell ref="I151:I152"/>
    <mergeCell ref="T261:T262"/>
    <mergeCell ref="B291:B294"/>
    <mergeCell ref="O215:O216"/>
    <mergeCell ref="X91:X92"/>
    <mergeCell ref="AH148:AJ148"/>
    <mergeCell ref="AG321:AG322"/>
    <mergeCell ref="Q131:Q132"/>
    <mergeCell ref="X267:X268"/>
    <mergeCell ref="V27:V28"/>
    <mergeCell ref="F141:F142"/>
    <mergeCell ref="V325:V326"/>
    <mergeCell ref="S195:S196"/>
    <mergeCell ref="R101:R102"/>
    <mergeCell ref="M27:M28"/>
    <mergeCell ref="T163:T164"/>
    <mergeCell ref="Z185:Z186"/>
    <mergeCell ref="H199:H200"/>
    <mergeCell ref="M325:M326"/>
    <mergeCell ref="T321:T322"/>
    <mergeCell ref="J255:J256"/>
    <mergeCell ref="B9:B12"/>
    <mergeCell ref="AG137:AG138"/>
    <mergeCell ref="B329:B330"/>
    <mergeCell ref="G129:G130"/>
    <mergeCell ref="AK145:AK146"/>
    <mergeCell ref="W17:W18"/>
    <mergeCell ref="S197:S198"/>
    <mergeCell ref="O91:O92"/>
    <mergeCell ref="U259:U260"/>
    <mergeCell ref="T287:T288"/>
    <mergeCell ref="AB300:AF300"/>
    <mergeCell ref="L21:L22"/>
    <mergeCell ref="M327:M328"/>
    <mergeCell ref="B331:B332"/>
    <mergeCell ref="M299:M300"/>
    <mergeCell ref="O57:O58"/>
    <mergeCell ref="G131:G132"/>
    <mergeCell ref="V53:V54"/>
    <mergeCell ref="X109:X110"/>
    <mergeCell ref="Y75:Y76"/>
    <mergeCell ref="W317:W318"/>
    <mergeCell ref="Q149:Q150"/>
    <mergeCell ref="Z55:Z56"/>
    <mergeCell ref="J169:J170"/>
    <mergeCell ref="AG51:AG52"/>
    <mergeCell ref="Q121:Q122"/>
    <mergeCell ref="D299:D300"/>
    <mergeCell ref="AA181:AA182"/>
    <mergeCell ref="AP103:AP104"/>
    <mergeCell ref="Q115:Q116"/>
    <mergeCell ref="I189:I190"/>
    <mergeCell ref="X111:X112"/>
    <mergeCell ref="I195:I196"/>
    <mergeCell ref="K251:K252"/>
    <mergeCell ref="Q151:Q152"/>
    <mergeCell ref="S213:S214"/>
    <mergeCell ref="AL288:AO288"/>
    <mergeCell ref="AK171:AK172"/>
    <mergeCell ref="C2:C4"/>
    <mergeCell ref="M55:M56"/>
    <mergeCell ref="O117:O118"/>
    <mergeCell ref="U279:U280"/>
    <mergeCell ref="M11:M12"/>
    <mergeCell ref="S215:S216"/>
    <mergeCell ref="R243:R244"/>
    <mergeCell ref="T305:T306"/>
    <mergeCell ref="H129:H130"/>
    <mergeCell ref="P49:P50"/>
    <mergeCell ref="G157:G158"/>
    <mergeCell ref="H123:H124"/>
    <mergeCell ref="E59:E60"/>
    <mergeCell ref="N291:N292"/>
    <mergeCell ref="AL44:AO44"/>
    <mergeCell ref="AG61:AG62"/>
    <mergeCell ref="O75:O76"/>
    <mergeCell ref="Z81:Z82"/>
    <mergeCell ref="AL202:AO202"/>
    <mergeCell ref="AB46:AF46"/>
    <mergeCell ref="J309:J310"/>
    <mergeCell ref="B57:B60"/>
    <mergeCell ref="Q177:Q178"/>
    <mergeCell ref="AA321:AA322"/>
    <mergeCell ref="AQ209:AQ210"/>
    <mergeCell ref="AH54:AJ54"/>
    <mergeCell ref="T219:T220"/>
    <mergeCell ref="U185:U186"/>
    <mergeCell ref="V275:V276"/>
    <mergeCell ref="AH90:AJ90"/>
    <mergeCell ref="R115:R116"/>
    <mergeCell ref="J189:J190"/>
    <mergeCell ref="L69:L70"/>
    <mergeCell ref="N9:N10"/>
    <mergeCell ref="S205:S206"/>
    <mergeCell ref="AH212:AJ212"/>
    <mergeCell ref="K279:K280"/>
    <mergeCell ref="J311:J312"/>
    <mergeCell ref="X35:X36"/>
    <mergeCell ref="F49:F50"/>
    <mergeCell ref="L77:L78"/>
    <mergeCell ref="X333:X334"/>
    <mergeCell ref="N11:N12"/>
    <mergeCell ref="N133:N134"/>
    <mergeCell ref="AP141:AP142"/>
    <mergeCell ref="AK95:AK96"/>
    <mergeCell ref="X43:X44"/>
    <mergeCell ref="Y131:Y132"/>
    <mergeCell ref="Z99:Z100"/>
    <mergeCell ref="H113:H114"/>
    <mergeCell ref="H151:H152"/>
    <mergeCell ref="N135:N136"/>
    <mergeCell ref="S261:S262"/>
    <mergeCell ref="AG89:AG90"/>
    <mergeCell ref="J29:J30"/>
    <mergeCell ref="P191:P192"/>
    <mergeCell ref="H265:H266"/>
    <mergeCell ref="H271:H272"/>
    <mergeCell ref="I89:I90"/>
    <mergeCell ref="AK97:AK98"/>
    <mergeCell ref="AR93:AR94"/>
    <mergeCell ref="AS181:AS182"/>
    <mergeCell ref="Z101:Z102"/>
    <mergeCell ref="U27:U28"/>
    <mergeCell ref="E141:E142"/>
    <mergeCell ref="J215:J216"/>
    <mergeCell ref="U325:U326"/>
    <mergeCell ref="AL126:AO126"/>
    <mergeCell ref="O157:O158"/>
    <mergeCell ref="AR207:AR208"/>
    <mergeCell ref="R255:R256"/>
    <mergeCell ref="J329:J330"/>
    <mergeCell ref="E107:E108"/>
    <mergeCell ref="AH118:AJ118"/>
    <mergeCell ref="B235:B238"/>
    <mergeCell ref="W91:W92"/>
    <mergeCell ref="U327:U328"/>
    <mergeCell ref="G199:G200"/>
    <mergeCell ref="Q221:Q222"/>
    <mergeCell ref="AH232:AJ232"/>
    <mergeCell ref="Y35:Y36"/>
    <mergeCell ref="G171:G172"/>
    <mergeCell ref="Q231:Q232"/>
    <mergeCell ref="AQ141:AQ142"/>
    <mergeCell ref="A301:A302"/>
    <mergeCell ref="I263:I264"/>
    <mergeCell ref="AQ107:AQ108"/>
    <mergeCell ref="N57:N58"/>
    <mergeCell ref="L299:L300"/>
    <mergeCell ref="U53:U54"/>
    <mergeCell ref="I229:I230"/>
    <mergeCell ref="A303:A304"/>
    <mergeCell ref="I265:I266"/>
    <mergeCell ref="AL108:AO108"/>
    <mergeCell ref="AK273:AK274"/>
    <mergeCell ref="N65:N66"/>
    <mergeCell ref="P121:P122"/>
    <mergeCell ref="U55:U56"/>
    <mergeCell ref="H195:H196"/>
    <mergeCell ref="AK239:AK240"/>
    <mergeCell ref="W111:W112"/>
    <mergeCell ref="AL116:AO116"/>
    <mergeCell ref="E125:E126"/>
    <mergeCell ref="O185:O186"/>
    <mergeCell ref="AB216:AF216"/>
    <mergeCell ref="Q247:Q248"/>
    <mergeCell ref="AL268:AO268"/>
    <mergeCell ref="T283:T284"/>
    <mergeCell ref="AB296:AF296"/>
    <mergeCell ref="H197:H198"/>
    <mergeCell ref="J259:J260"/>
    <mergeCell ref="L17:L18"/>
    <mergeCell ref="K235:K236"/>
    <mergeCell ref="D59:D60"/>
    <mergeCell ref="AK263:AK264"/>
    <mergeCell ref="AQ125:AQ126"/>
    <mergeCell ref="AB1:AG1"/>
    <mergeCell ref="E39:E40"/>
    <mergeCell ref="N75:N76"/>
    <mergeCell ref="Y177:Y178"/>
    <mergeCell ref="L317:L318"/>
    <mergeCell ref="AK255:AK256"/>
    <mergeCell ref="S307:S308"/>
    <mergeCell ref="N85:N86"/>
    <mergeCell ref="AR101:AR102"/>
    <mergeCell ref="X107:X108"/>
    <mergeCell ref="D61:D62"/>
    <mergeCell ref="AL284:AO284"/>
    <mergeCell ref="G97:G98"/>
    <mergeCell ref="I159:I160"/>
    <mergeCell ref="N93:N94"/>
    <mergeCell ref="S219:S220"/>
    <mergeCell ref="P149:P150"/>
    <mergeCell ref="Z171:Z172"/>
    <mergeCell ref="H223:H224"/>
    <mergeCell ref="R205:R206"/>
    <mergeCell ref="C121:C124"/>
    <mergeCell ref="P263:P264"/>
    <mergeCell ref="AS95:AS96"/>
    <mergeCell ref="AA147:AA148"/>
    <mergeCell ref="P151:P152"/>
    <mergeCell ref="E49:E50"/>
    <mergeCell ref="K77:K78"/>
    <mergeCell ref="R213:R214"/>
    <mergeCell ref="L45:L46"/>
    <mergeCell ref="M133:M134"/>
    <mergeCell ref="AB140:AF140"/>
    <mergeCell ref="AA261:AA262"/>
    <mergeCell ref="F31:F32"/>
    <mergeCell ref="W43:W44"/>
    <mergeCell ref="Y105:Y106"/>
    <mergeCell ref="Y99:Y100"/>
    <mergeCell ref="G113:G114"/>
    <mergeCell ref="M135:M136"/>
    <mergeCell ref="AQ153:AQ154"/>
    <mergeCell ref="G271:G272"/>
    <mergeCell ref="I29:I30"/>
    <mergeCell ref="AR29:AR30"/>
    <mergeCell ref="Y107:Y108"/>
    <mergeCell ref="S201:S202"/>
    <mergeCell ref="Y101:Y102"/>
    <mergeCell ref="T27:T28"/>
    <mergeCell ref="G115:G116"/>
    <mergeCell ref="AA163:AA164"/>
    <mergeCell ref="AQ207:AQ208"/>
    <mergeCell ref="I31:I32"/>
    <mergeCell ref="Q255:Q256"/>
    <mergeCell ref="G273:G274"/>
    <mergeCell ref="I329:I330"/>
    <mergeCell ref="N129:N130"/>
    <mergeCell ref="Z197:Z198"/>
    <mergeCell ref="AA287:AA288"/>
    <mergeCell ref="V91:V92"/>
    <mergeCell ref="T327:T328"/>
    <mergeCell ref="A49:A52"/>
    <mergeCell ref="AS271:AS272"/>
    <mergeCell ref="K95:K96"/>
    <mergeCell ref="U295:U296"/>
    <mergeCell ref="AA323:AA324"/>
    <mergeCell ref="AP201:AP202"/>
    <mergeCell ref="I331:I332"/>
    <mergeCell ref="C263:C266"/>
    <mergeCell ref="N131:N132"/>
    <mergeCell ref="W25:W26"/>
    <mergeCell ref="V93:V94"/>
    <mergeCell ref="AB168:AF168"/>
    <mergeCell ref="X149:X150"/>
    <mergeCell ref="I85:I86"/>
    <mergeCell ref="P223:P224"/>
    <mergeCell ref="X121:X122"/>
    <mergeCell ref="D309:D310"/>
    <mergeCell ref="P195:P196"/>
    <mergeCell ref="J27:J28"/>
    <mergeCell ref="P189:P190"/>
    <mergeCell ref="T9:T10"/>
    <mergeCell ref="W185:W186"/>
    <mergeCell ref="Y247:Y248"/>
    <mergeCell ref="Z213:Z214"/>
    <mergeCell ref="R251:R252"/>
    <mergeCell ref="R287:R288"/>
    <mergeCell ref="J325:J326"/>
    <mergeCell ref="E103:E104"/>
    <mergeCell ref="Q315:Q316"/>
    <mergeCell ref="M65:M66"/>
    <mergeCell ref="N155:N156"/>
    <mergeCell ref="AR171:AR172"/>
    <mergeCell ref="T17:T18"/>
    <mergeCell ref="T55:T56"/>
    <mergeCell ref="G195:G196"/>
    <mergeCell ref="D125:D126"/>
    <mergeCell ref="AQ235:AQ236"/>
    <mergeCell ref="AA7:AA8"/>
    <mergeCell ref="J327:J328"/>
    <mergeCell ref="Y243:Y244"/>
    <mergeCell ref="AA305:AA306"/>
    <mergeCell ref="G167:G168"/>
    <mergeCell ref="N157:N158"/>
    <mergeCell ref="AH196:AJ196"/>
    <mergeCell ref="AB154:AF154"/>
    <mergeCell ref="G197:G198"/>
    <mergeCell ref="K17:K18"/>
    <mergeCell ref="F231:F232"/>
    <mergeCell ref="I259:I260"/>
    <mergeCell ref="N149:N150"/>
    <mergeCell ref="AS299:AS300"/>
    <mergeCell ref="AA307:AA308"/>
    <mergeCell ref="A299:A300"/>
    <mergeCell ref="P221:P222"/>
    <mergeCell ref="AH198:AJ198"/>
    <mergeCell ref="P215:P216"/>
    <mergeCell ref="I261:I262"/>
    <mergeCell ref="H289:H290"/>
    <mergeCell ref="AP125:AP126"/>
    <mergeCell ref="X177:X178"/>
    <mergeCell ref="D39:D40"/>
    <mergeCell ref="K317:K318"/>
    <mergeCell ref="AP283:AP284"/>
    <mergeCell ref="AA219:AA220"/>
    <mergeCell ref="E121:E122"/>
    <mergeCell ref="AR231:AR232"/>
    <mergeCell ref="U9:U10"/>
    <mergeCell ref="R279:R280"/>
    <mergeCell ref="AP127:AP128"/>
    <mergeCell ref="C189:C192"/>
    <mergeCell ref="S2:U2"/>
    <mergeCell ref="M49:M50"/>
    <mergeCell ref="O149:O150"/>
    <mergeCell ref="T45:T46"/>
    <mergeCell ref="U11:U12"/>
    <mergeCell ref="Y171:Y172"/>
    <mergeCell ref="G179:G180"/>
    <mergeCell ref="M207:M208"/>
    <mergeCell ref="G223:G224"/>
    <mergeCell ref="AH256:AJ256"/>
    <mergeCell ref="C197:C200"/>
    <mergeCell ref="AP39:AP40"/>
    <mergeCell ref="K231:K232"/>
    <mergeCell ref="O263:O264"/>
    <mergeCell ref="X47:X48"/>
    <mergeCell ref="H161:H162"/>
    <mergeCell ref="AL224:AO224"/>
    <mergeCell ref="O151:O152"/>
    <mergeCell ref="I287:I288"/>
    <mergeCell ref="K45:K46"/>
    <mergeCell ref="O271:O272"/>
    <mergeCell ref="Q29:Q30"/>
    <mergeCell ref="I103:I104"/>
    <mergeCell ref="Q205:Q206"/>
    <mergeCell ref="AR97:AR98"/>
    <mergeCell ref="T285:T286"/>
    <mergeCell ref="K11:K12"/>
    <mergeCell ref="D57:D58"/>
    <mergeCell ref="AG101:AG102"/>
    <mergeCell ref="AS223:AS224"/>
    <mergeCell ref="I289:I290"/>
    <mergeCell ref="AQ3:AR3"/>
    <mergeCell ref="M109:M110"/>
    <mergeCell ref="AP153:AP154"/>
    <mergeCell ref="O55:O56"/>
    <mergeCell ref="D181:D182"/>
    <mergeCell ref="M75:M76"/>
    <mergeCell ref="E149:E150"/>
    <mergeCell ref="F115:F116"/>
    <mergeCell ref="Y13:Y14"/>
    <mergeCell ref="C39:C42"/>
    <mergeCell ref="P147:P148"/>
    <mergeCell ref="L41:L42"/>
    <mergeCell ref="F239:F240"/>
    <mergeCell ref="H179:H180"/>
    <mergeCell ref="H301:H302"/>
    <mergeCell ref="R317:R318"/>
    <mergeCell ref="C211:C222"/>
    <mergeCell ref="AG275:AG276"/>
    <mergeCell ref="R211:R212"/>
    <mergeCell ref="AP181:AP182"/>
    <mergeCell ref="H5:H6"/>
    <mergeCell ref="V25:V26"/>
    <mergeCell ref="J67:J68"/>
    <mergeCell ref="AR115:AR116"/>
    <mergeCell ref="J61:J62"/>
    <mergeCell ref="M131:M132"/>
    <mergeCell ref="AS205:AS206"/>
    <mergeCell ref="T267:T268"/>
    <mergeCell ref="H303:H304"/>
    <mergeCell ref="J97:J98"/>
    <mergeCell ref="AG29:AG30"/>
    <mergeCell ref="B271:B274"/>
    <mergeCell ref="AG181:AG182"/>
    <mergeCell ref="O195:O196"/>
    <mergeCell ref="N101:N102"/>
    <mergeCell ref="I27:I28"/>
    <mergeCell ref="L125:L126"/>
    <mergeCell ref="P163:P164"/>
    <mergeCell ref="V185:V186"/>
    <mergeCell ref="AR239:AR240"/>
    <mergeCell ref="X247:X248"/>
    <mergeCell ref="I325:I326"/>
    <mergeCell ref="F255:F256"/>
    <mergeCell ref="Z193:Z194"/>
    <mergeCell ref="AA283:AA284"/>
    <mergeCell ref="O197:O198"/>
    <mergeCell ref="S17:S18"/>
    <mergeCell ref="K91:K92"/>
    <mergeCell ref="L127:L128"/>
    <mergeCell ref="AP235:AP236"/>
    <mergeCell ref="Z7:Z8"/>
    <mergeCell ref="H21:H22"/>
    <mergeCell ref="Z305:Z306"/>
    <mergeCell ref="AA285:AA286"/>
    <mergeCell ref="M35:M36"/>
    <mergeCell ref="AK5:AK6"/>
    <mergeCell ref="AK309:AK310"/>
    <mergeCell ref="AK303:AK304"/>
    <mergeCell ref="U75:U76"/>
    <mergeCell ref="S317:S318"/>
    <mergeCell ref="M149:M150"/>
    <mergeCell ref="AR299:AR300"/>
    <mergeCell ref="AR255:AR256"/>
    <mergeCell ref="Z307:Z308"/>
    <mergeCell ref="V201:V202"/>
    <mergeCell ref="O99:O100"/>
    <mergeCell ref="W181:W182"/>
    <mergeCell ref="O221:O222"/>
    <mergeCell ref="AL6:AO6"/>
    <mergeCell ref="A317:A320"/>
    <mergeCell ref="AL182:AO182"/>
    <mergeCell ref="AG199:AG200"/>
    <mergeCell ref="O213:O214"/>
    <mergeCell ref="AR167:AR168"/>
    <mergeCell ref="Z219:Z220"/>
    <mergeCell ref="B255:B258"/>
    <mergeCell ref="AL296:AO296"/>
    <mergeCell ref="AG171:AG172"/>
    <mergeCell ref="D121:D122"/>
    <mergeCell ref="O223:O224"/>
    <mergeCell ref="I55:I56"/>
    <mergeCell ref="K117:K118"/>
    <mergeCell ref="AQ231:AQ232"/>
    <mergeCell ref="Y239:Y240"/>
    <mergeCell ref="Q279:Q280"/>
    <mergeCell ref="G255:G256"/>
    <mergeCell ref="AA301:AA302"/>
    <mergeCell ref="AL306:AO306"/>
    <mergeCell ref="AH192:AJ192"/>
    <mergeCell ref="J291:J292"/>
    <mergeCell ref="L49:L50"/>
    <mergeCell ref="AK31:AK32"/>
    <mergeCell ref="S45:S46"/>
    <mergeCell ref="AA303:AA304"/>
    <mergeCell ref="A231:A234"/>
    <mergeCell ref="B197:B200"/>
    <mergeCell ref="C287:C290"/>
    <mergeCell ref="AH194:AJ194"/>
    <mergeCell ref="R309:R310"/>
    <mergeCell ref="N271:N272"/>
    <mergeCell ref="P29:P30"/>
    <mergeCell ref="M177:M178"/>
    <mergeCell ref="H103:H104"/>
    <mergeCell ref="AL322:AO322"/>
    <mergeCell ref="R275:R276"/>
    <mergeCell ref="N115:N116"/>
    <mergeCell ref="AA27:AA28"/>
    <mergeCell ref="F189:F190"/>
    <mergeCell ref="J9:J10"/>
    <mergeCell ref="N273:N274"/>
    <mergeCell ref="C29:C30"/>
    <mergeCell ref="J167:J168"/>
    <mergeCell ref="AG227:AG228"/>
    <mergeCell ref="P329:P330"/>
    <mergeCell ref="AB54:AF54"/>
    <mergeCell ref="T35:T36"/>
    <mergeCell ref="AB212:AF212"/>
    <mergeCell ref="J11:J12"/>
    <mergeCell ref="Z239:Z240"/>
    <mergeCell ref="A79:A84"/>
    <mergeCell ref="AB206:AF206"/>
    <mergeCell ref="T333:T334"/>
    <mergeCell ref="D263:D264"/>
    <mergeCell ref="B39:B42"/>
    <mergeCell ref="O147:O148"/>
    <mergeCell ref="AB178:AF178"/>
    <mergeCell ref="U131:U132"/>
    <mergeCell ref="AK21:AK22"/>
    <mergeCell ref="AH36:AJ36"/>
    <mergeCell ref="O261:O262"/>
    <mergeCell ref="AH334:AJ334"/>
    <mergeCell ref="AA331:AA332"/>
    <mergeCell ref="E89:E90"/>
    <mergeCell ref="M317:M318"/>
    <mergeCell ref="K43:K44"/>
    <mergeCell ref="G5:G6"/>
    <mergeCell ref="I67:I68"/>
    <mergeCell ref="Q27:Q28"/>
    <mergeCell ref="AP149:AP150"/>
    <mergeCell ref="X163:X164"/>
    <mergeCell ref="S267:S268"/>
    <mergeCell ref="Q325:Q326"/>
    <mergeCell ref="X321:X322"/>
    <mergeCell ref="Z79:Z80"/>
    <mergeCell ref="AP263:AP264"/>
    <mergeCell ref="X315:X316"/>
    <mergeCell ref="N195:N196"/>
    <mergeCell ref="S91:S92"/>
    <mergeCell ref="O163:O164"/>
    <mergeCell ref="K125:K126"/>
    <mergeCell ref="Q327:Q328"/>
    <mergeCell ref="U35:U36"/>
    <mergeCell ref="U157:U158"/>
    <mergeCell ref="M231:M232"/>
    <mergeCell ref="AS5:AS6"/>
    <mergeCell ref="N197:N198"/>
    <mergeCell ref="P259:P260"/>
    <mergeCell ref="U193:U194"/>
    <mergeCell ref="K127:K128"/>
    <mergeCell ref="AS303:AS304"/>
    <mergeCell ref="U333:U334"/>
    <mergeCell ref="E263:E264"/>
    <mergeCell ref="G21:G22"/>
    <mergeCell ref="AG271:AG272"/>
    <mergeCell ref="O323:O324"/>
    <mergeCell ref="AL248:AO248"/>
    <mergeCell ref="K29:K30"/>
    <mergeCell ref="H299:H300"/>
    <mergeCell ref="J57:J58"/>
    <mergeCell ref="Q53:Q54"/>
    <mergeCell ref="P261:P262"/>
    <mergeCell ref="J93:J94"/>
    <mergeCell ref="C5:C8"/>
    <mergeCell ref="G23:G24"/>
    <mergeCell ref="AQ255:AQ256"/>
    <mergeCell ref="L121:L122"/>
    <mergeCell ref="N221:N222"/>
    <mergeCell ref="Q55:Q56"/>
    <mergeCell ref="AK103:AK104"/>
    <mergeCell ref="S117:S118"/>
    <mergeCell ref="V181:V182"/>
    <mergeCell ref="S111:S112"/>
    <mergeCell ref="L157:L158"/>
    <mergeCell ref="K185:K186"/>
    <mergeCell ref="M247:M248"/>
    <mergeCell ref="AS21:AS22"/>
    <mergeCell ref="AA73:AA74"/>
    <mergeCell ref="I87:I88"/>
    <mergeCell ref="Y315:Y316"/>
    <mergeCell ref="G233:G234"/>
    <mergeCell ref="A255:A258"/>
    <mergeCell ref="AH260:AJ260"/>
    <mergeCell ref="N223:N224"/>
    <mergeCell ref="D197:D198"/>
    <mergeCell ref="F259:F260"/>
    <mergeCell ref="H17:H18"/>
    <mergeCell ref="N215:N216"/>
    <mergeCell ref="O305:O306"/>
    <mergeCell ref="G235:G236"/>
    <mergeCell ref="C21:C24"/>
    <mergeCell ref="AL90:AO90"/>
    <mergeCell ref="P287:P288"/>
    <mergeCell ref="R45:R46"/>
    <mergeCell ref="Z5:Z6"/>
    <mergeCell ref="H19:H20"/>
    <mergeCell ref="J119:J120"/>
    <mergeCell ref="U177:U178"/>
    <mergeCell ref="AB276:AF276"/>
    <mergeCell ref="Z303:Z304"/>
    <mergeCell ref="Z309:Z310"/>
    <mergeCell ref="H317:H318"/>
    <mergeCell ref="O307:O308"/>
    <mergeCell ref="K57:K58"/>
    <mergeCell ref="J85:J86"/>
    <mergeCell ref="H319:H320"/>
    <mergeCell ref="W145:W146"/>
    <mergeCell ref="O219:O220"/>
    <mergeCell ref="L149:L150"/>
    <mergeCell ref="M115:M116"/>
    <mergeCell ref="D223:D224"/>
    <mergeCell ref="E189:E190"/>
    <mergeCell ref="T111:T112"/>
    <mergeCell ref="I9:I10"/>
    <mergeCell ref="N205:N206"/>
    <mergeCell ref="G251:G252"/>
    <mergeCell ref="F279:F280"/>
    <mergeCell ref="AH286:AJ286"/>
    <mergeCell ref="AS49:AS50"/>
    <mergeCell ref="AL302:AO302"/>
    <mergeCell ref="Q283:Q284"/>
    <mergeCell ref="S41:S42"/>
    <mergeCell ref="G217:G218"/>
    <mergeCell ref="N213:N214"/>
    <mergeCell ref="I11:I12"/>
    <mergeCell ref="I133:I134"/>
    <mergeCell ref="N243:N244"/>
    <mergeCell ref="P305:P306"/>
    <mergeCell ref="R63:R64"/>
    <mergeCell ref="O333:O334"/>
    <mergeCell ref="S43:S44"/>
    <mergeCell ref="U105:U106"/>
    <mergeCell ref="AA267:AA268"/>
    <mergeCell ref="U99:U100"/>
    <mergeCell ref="AB6:AF6"/>
    <mergeCell ref="I135:I136"/>
    <mergeCell ref="K75:K76"/>
    <mergeCell ref="AR279:AR280"/>
    <mergeCell ref="AQ311:AQ312"/>
    <mergeCell ref="E29:E30"/>
    <mergeCell ref="Z331:Z332"/>
    <mergeCell ref="J261:J262"/>
    <mergeCell ref="C103:C106"/>
    <mergeCell ref="U101:U102"/>
    <mergeCell ref="P27:P28"/>
    <mergeCell ref="W163:W164"/>
    <mergeCell ref="AG223:AG224"/>
    <mergeCell ref="P325:P326"/>
    <mergeCell ref="AB306:AF306"/>
    <mergeCell ref="W321:W322"/>
    <mergeCell ref="M255:M256"/>
    <mergeCell ref="I223:I224"/>
    <mergeCell ref="E329:E330"/>
    <mergeCell ref="V197:V198"/>
    <mergeCell ref="Z17:Z18"/>
    <mergeCell ref="R91:R92"/>
    <mergeCell ref="I37:I38"/>
    <mergeCell ref="P327:P328"/>
    <mergeCell ref="O21:O22"/>
    <mergeCell ref="Y81:Y82"/>
    <mergeCell ref="G95:G96"/>
    <mergeCell ref="AG305:AG306"/>
    <mergeCell ref="M45:M46"/>
    <mergeCell ref="AB174:AF174"/>
    <mergeCell ref="AQ39:AQ40"/>
    <mergeCell ref="AR5:AR6"/>
    <mergeCell ref="L231:L232"/>
    <mergeCell ref="R93:R94"/>
    <mergeCell ref="AA145:AA146"/>
    <mergeCell ref="AS97:AS98"/>
    <mergeCell ref="F29:F30"/>
    <mergeCell ref="B5:B8"/>
    <mergeCell ref="A31:A34"/>
    <mergeCell ref="K121:K122"/>
    <mergeCell ref="H269:H270"/>
    <mergeCell ref="P55:P56"/>
    <mergeCell ref="R117:R118"/>
    <mergeCell ref="Z77:Z78"/>
    <mergeCell ref="Y63:Y64"/>
    <mergeCell ref="AG25:AG26"/>
    <mergeCell ref="J333:J334"/>
    <mergeCell ref="R119:R120"/>
    <mergeCell ref="G17:G18"/>
    <mergeCell ref="E259:E260"/>
    <mergeCell ref="AQ57:AQ58"/>
    <mergeCell ref="H89:H90"/>
    <mergeCell ref="AK43:AK44"/>
    <mergeCell ref="B21:B24"/>
    <mergeCell ref="O285:O286"/>
    <mergeCell ref="G19:G20"/>
    <mergeCell ref="Y309:Y310"/>
    <mergeCell ref="T177:T178"/>
    <mergeCell ref="G317:G318"/>
    <mergeCell ref="AS115:AS116"/>
    <mergeCell ref="Y275:Y276"/>
    <mergeCell ref="AG237:AG238"/>
    <mergeCell ref="Q9:Q10"/>
    <mergeCell ref="Y311:Y312"/>
    <mergeCell ref="AA69:AA70"/>
    <mergeCell ref="G319:G320"/>
    <mergeCell ref="AL30:AO30"/>
    <mergeCell ref="AS27:AS28"/>
    <mergeCell ref="AA41:AA42"/>
    <mergeCell ref="I93:I94"/>
    <mergeCell ref="AA35:AA36"/>
    <mergeCell ref="K149:K150"/>
    <mergeCell ref="N219:N220"/>
    <mergeCell ref="U171:U172"/>
    <mergeCell ref="AK59:AK60"/>
    <mergeCell ref="AS141:AS142"/>
    <mergeCell ref="AA193:AA194"/>
    <mergeCell ref="K263:K264"/>
    <mergeCell ref="AR49:AR50"/>
    <mergeCell ref="C17:C20"/>
    <mergeCell ref="Z63:Z64"/>
    <mergeCell ref="AP291:AP292"/>
    <mergeCell ref="R41:R42"/>
    <mergeCell ref="K151:K152"/>
    <mergeCell ref="M213:M214"/>
    <mergeCell ref="E287:E288"/>
    <mergeCell ref="G45:G46"/>
    <mergeCell ref="AK61:AK62"/>
    <mergeCell ref="M205:M206"/>
    <mergeCell ref="C317:C320"/>
    <mergeCell ref="X211:X212"/>
    <mergeCell ref="P285:P286"/>
    <mergeCell ref="R43:R44"/>
    <mergeCell ref="T105:T106"/>
    <mergeCell ref="M215:M216"/>
    <mergeCell ref="H141:H142"/>
    <mergeCell ref="H135:H136"/>
    <mergeCell ref="AQ279:AQ280"/>
    <mergeCell ref="AG79:AG80"/>
    <mergeCell ref="AG255:AG256"/>
    <mergeCell ref="T107:T108"/>
    <mergeCell ref="F171:F172"/>
    <mergeCell ref="T101:T102"/>
    <mergeCell ref="H143:H144"/>
    <mergeCell ref="AH100:AJ100"/>
    <mergeCell ref="AS45:AS46"/>
    <mergeCell ref="AA97:AA98"/>
    <mergeCell ref="V163:V164"/>
    <mergeCell ref="AG81:AG82"/>
    <mergeCell ref="AQ287:AQ288"/>
    <mergeCell ref="Y295:Y296"/>
    <mergeCell ref="A279:A282"/>
    <mergeCell ref="AA211:AA212"/>
    <mergeCell ref="P2:R2"/>
    <mergeCell ref="T231:T232"/>
    <mergeCell ref="F59:F60"/>
    <mergeCell ref="AH102:AJ102"/>
    <mergeCell ref="N239:N240"/>
    <mergeCell ref="R59:R60"/>
    <mergeCell ref="N21:N22"/>
    <mergeCell ref="L263:L264"/>
    <mergeCell ref="AP29:AP30"/>
    <mergeCell ref="C45:C48"/>
    <mergeCell ref="F95:F96"/>
    <mergeCell ref="AK201:AK202"/>
    <mergeCell ref="P301:P302"/>
    <mergeCell ref="D331:D332"/>
    <mergeCell ref="I131:I132"/>
    <mergeCell ref="R25:R26"/>
    <mergeCell ref="X53:X54"/>
    <mergeCell ref="P267:P268"/>
    <mergeCell ref="Q93:Q94"/>
    <mergeCell ref="H159:H160"/>
    <mergeCell ref="G187:G188"/>
    <mergeCell ref="AP329:AP330"/>
    <mergeCell ref="X55:X56"/>
    <mergeCell ref="Z117:Z118"/>
    <mergeCell ref="K195:K196"/>
    <mergeCell ref="Z111:Z112"/>
    <mergeCell ref="S157:S158"/>
    <mergeCell ref="R185:R186"/>
    <mergeCell ref="T247:T248"/>
    <mergeCell ref="M251:M252"/>
    <mergeCell ref="Z147:Z148"/>
    <mergeCell ref="K197:K198"/>
    <mergeCell ref="O17:O18"/>
    <mergeCell ref="Y77:Y78"/>
    <mergeCell ref="AG301:AG302"/>
    <mergeCell ref="V305:V306"/>
    <mergeCell ref="O27:O28"/>
    <mergeCell ref="J129:J130"/>
    <mergeCell ref="I35:I36"/>
    <mergeCell ref="AG5:AG6"/>
    <mergeCell ref="Q119:Q120"/>
    <mergeCell ref="AG309:AG310"/>
    <mergeCell ref="AA141:AA142"/>
    <mergeCell ref="Q75:Q76"/>
    <mergeCell ref="I193:I194"/>
    <mergeCell ref="AG303:AG304"/>
    <mergeCell ref="AP57:AP58"/>
    <mergeCell ref="O317:O318"/>
    <mergeCell ref="V307:V308"/>
    <mergeCell ref="R57:R58"/>
    <mergeCell ref="J131:J132"/>
    <mergeCell ref="S25:S26"/>
    <mergeCell ref="AK125:AK126"/>
    <mergeCell ref="S177:S178"/>
    <mergeCell ref="AR121:AR122"/>
    <mergeCell ref="S149:S150"/>
    <mergeCell ref="K223:K224"/>
    <mergeCell ref="L189:L190"/>
    <mergeCell ref="N251:N252"/>
    <mergeCell ref="P9:P10"/>
    <mergeCell ref="E55:E56"/>
    <mergeCell ref="S185:S186"/>
    <mergeCell ref="M279:M280"/>
    <mergeCell ref="AK127:AK128"/>
    <mergeCell ref="F325:F326"/>
    <mergeCell ref="M315:M316"/>
    <mergeCell ref="AG21:AG22"/>
    <mergeCell ref="AB104:AF104"/>
    <mergeCell ref="AR27:AR28"/>
    <mergeCell ref="Z41:Z42"/>
    <mergeCell ref="H93:H94"/>
    <mergeCell ref="H49:H50"/>
    <mergeCell ref="F291:F292"/>
    <mergeCell ref="AG31:AG32"/>
    <mergeCell ref="P11:P12"/>
    <mergeCell ref="O45:O46"/>
    <mergeCell ref="AQ53:AQ54"/>
    <mergeCell ref="H85:H86"/>
    <mergeCell ref="T171:T172"/>
    <mergeCell ref="U243:U244"/>
    <mergeCell ref="W305:W306"/>
    <mergeCell ref="AK39:AK40"/>
    <mergeCell ref="B17:B20"/>
    <mergeCell ref="AL128:AO128"/>
    <mergeCell ref="AG329:AG330"/>
    <mergeCell ref="Z43:Z44"/>
    <mergeCell ref="J151:J152"/>
    <mergeCell ref="L213:L214"/>
    <mergeCell ref="D287:D288"/>
    <mergeCell ref="AG331:AG332"/>
    <mergeCell ref="J271:J272"/>
    <mergeCell ref="L29:L30"/>
    <mergeCell ref="AS111:AS112"/>
    <mergeCell ref="I177:I178"/>
    <mergeCell ref="B317:B320"/>
    <mergeCell ref="AB316:AF316"/>
    <mergeCell ref="L215:L216"/>
    <mergeCell ref="F9:F10"/>
    <mergeCell ref="J273:J274"/>
    <mergeCell ref="AK153:AK154"/>
    <mergeCell ref="F167:F168"/>
    <mergeCell ref="Y91:Y92"/>
    <mergeCell ref="V239:V240"/>
    <mergeCell ref="N279:N280"/>
    <mergeCell ref="AR45:AR46"/>
    <mergeCell ref="H111:H112"/>
    <mergeCell ref="AP287:AP288"/>
    <mergeCell ref="X295:X296"/>
    <mergeCell ref="K147:K148"/>
    <mergeCell ref="AL146:AO146"/>
    <mergeCell ref="AB34:AF34"/>
    <mergeCell ref="Z61:Z62"/>
    <mergeCell ref="AL304:AO304"/>
    <mergeCell ref="AB28:AF28"/>
    <mergeCell ref="B45:B48"/>
    <mergeCell ref="AB326:AF326"/>
    <mergeCell ref="U137:U138"/>
    <mergeCell ref="AB186:AF186"/>
    <mergeCell ref="M211:M212"/>
    <mergeCell ref="AK181:AK182"/>
    <mergeCell ref="O267:O268"/>
    <mergeCell ref="W53:W54"/>
    <mergeCell ref="E67:E68"/>
    <mergeCell ref="AB30:AF30"/>
    <mergeCell ref="V79:V80"/>
    <mergeCell ref="C141:C144"/>
    <mergeCell ref="T315:T316"/>
    <mergeCell ref="P65:P66"/>
    <mergeCell ref="AH44:AJ44"/>
    <mergeCell ref="AH96:AJ96"/>
    <mergeCell ref="W55:W56"/>
    <mergeCell ref="J195:J196"/>
    <mergeCell ref="G125:G126"/>
    <mergeCell ref="S3:T3"/>
    <mergeCell ref="S247:S248"/>
    <mergeCell ref="K321:K322"/>
    <mergeCell ref="X137:X138"/>
    <mergeCell ref="H251:H252"/>
    <mergeCell ref="Q35:Q36"/>
    <mergeCell ref="AH98:AJ98"/>
    <mergeCell ref="C125:C136"/>
    <mergeCell ref="J197:J198"/>
    <mergeCell ref="L259:L260"/>
    <mergeCell ref="N17:N18"/>
    <mergeCell ref="Q193:Q194"/>
    <mergeCell ref="AQ61:AQ62"/>
    <mergeCell ref="U13:U14"/>
    <mergeCell ref="F91:F92"/>
    <mergeCell ref="G127:G128"/>
    <mergeCell ref="Q333:Q334"/>
    <mergeCell ref="K323:K324"/>
    <mergeCell ref="Z201:Z202"/>
    <mergeCell ref="AK85:AK86"/>
    <mergeCell ref="AK207:AK208"/>
    <mergeCell ref="L261:L262"/>
    <mergeCell ref="F93:F94"/>
    <mergeCell ref="AS125:AS126"/>
    <mergeCell ref="P75:P76"/>
    <mergeCell ref="H155:H156"/>
    <mergeCell ref="N317:N318"/>
    <mergeCell ref="U307:U308"/>
    <mergeCell ref="AB176:AF176"/>
    <mergeCell ref="AR189:AR190"/>
    <mergeCell ref="AA79:AA80"/>
    <mergeCell ref="Z107:Z108"/>
    <mergeCell ref="AL228:AO228"/>
    <mergeCell ref="X9:X10"/>
    <mergeCell ref="AG103:AG104"/>
    <mergeCell ref="I247:I248"/>
    <mergeCell ref="J213:J214"/>
    <mergeCell ref="U315:U316"/>
    <mergeCell ref="V2:X2"/>
    <mergeCell ref="B189:B192"/>
    <mergeCell ref="J223:J224"/>
    <mergeCell ref="AA235:AA236"/>
    <mergeCell ref="B211:B222"/>
    <mergeCell ref="K305:K306"/>
    <mergeCell ref="W283:W284"/>
    <mergeCell ref="Y41:Y42"/>
    <mergeCell ref="AH126:AJ126"/>
    <mergeCell ref="L287:L288"/>
    <mergeCell ref="N45:N46"/>
    <mergeCell ref="V5:V6"/>
    <mergeCell ref="X67:X68"/>
    <mergeCell ref="AB260:AF260"/>
    <mergeCell ref="V303:V304"/>
    <mergeCell ref="AK225:AK226"/>
    <mergeCell ref="V309:V310"/>
    <mergeCell ref="Y43:Y44"/>
    <mergeCell ref="G57:G58"/>
    <mergeCell ref="AA105:AA106"/>
    <mergeCell ref="I113:I114"/>
    <mergeCell ref="P109:P110"/>
    <mergeCell ref="Z169:Z170"/>
    <mergeCell ref="I271:I272"/>
    <mergeCell ref="AK227:AK228"/>
    <mergeCell ref="Z125:Z126"/>
    <mergeCell ref="S145:S146"/>
    <mergeCell ref="Z283:Z284"/>
    <mergeCell ref="K219:K220"/>
    <mergeCell ref="AA107:AA108"/>
    <mergeCell ref="S181:S182"/>
    <mergeCell ref="AA101:AA102"/>
    <mergeCell ref="I115:I116"/>
    <mergeCell ref="AL256:AO256"/>
    <mergeCell ref="P111:P112"/>
    <mergeCell ref="E9:E10"/>
    <mergeCell ref="M275:M276"/>
    <mergeCell ref="AS207:AS208"/>
    <mergeCell ref="AH142:AJ142"/>
    <mergeCell ref="Z127:Z128"/>
    <mergeCell ref="I273:I274"/>
    <mergeCell ref="E167:E168"/>
    <mergeCell ref="M283:M284"/>
    <mergeCell ref="O41:O42"/>
    <mergeCell ref="AH108:AJ108"/>
    <mergeCell ref="V31:V32"/>
    <mergeCell ref="K39:K40"/>
    <mergeCell ref="U239:U240"/>
    <mergeCell ref="W301:W302"/>
    <mergeCell ref="W295:W296"/>
    <mergeCell ref="AB102:AF102"/>
    <mergeCell ref="O43:O44"/>
    <mergeCell ref="Q105:Q106"/>
    <mergeCell ref="Y25:Y26"/>
    <mergeCell ref="W267:W268"/>
    <mergeCell ref="Q99:Q100"/>
    <mergeCell ref="Y61:Y62"/>
    <mergeCell ref="V331:V332"/>
    <mergeCell ref="AH268:AJ268"/>
    <mergeCell ref="A29:A30"/>
    <mergeCell ref="O159:O160"/>
    <mergeCell ref="G85:G86"/>
    <mergeCell ref="R195:R196"/>
    <mergeCell ref="B309:B310"/>
    <mergeCell ref="D67:D68"/>
    <mergeCell ref="L27:L28"/>
    <mergeCell ref="Q101:Q102"/>
    <mergeCell ref="AK149:AK150"/>
    <mergeCell ref="S163:S164"/>
    <mergeCell ref="AA125:AA126"/>
    <mergeCell ref="Y185:Y186"/>
    <mergeCell ref="Z153:Z154"/>
    <mergeCell ref="U79:U80"/>
    <mergeCell ref="AA247:AA248"/>
    <mergeCell ref="A9:A12"/>
    <mergeCell ref="I255:I256"/>
    <mergeCell ref="AP197:AP198"/>
    <mergeCell ref="AR259:AR260"/>
    <mergeCell ref="Z311:Z312"/>
    <mergeCell ref="S321:S322"/>
    <mergeCell ref="A167:A170"/>
    <mergeCell ref="A329:A330"/>
    <mergeCell ref="H107:H108"/>
    <mergeCell ref="V17:V18"/>
    <mergeCell ref="AK151:AK152"/>
    <mergeCell ref="N91:N92"/>
    <mergeCell ref="K205:K206"/>
    <mergeCell ref="L327:L328"/>
    <mergeCell ref="AB128:AF128"/>
    <mergeCell ref="U81:U82"/>
    <mergeCell ref="AA243:AA244"/>
    <mergeCell ref="AK271:AK272"/>
    <mergeCell ref="C111:C114"/>
    <mergeCell ref="S323:S324"/>
    <mergeCell ref="D2:F2"/>
    <mergeCell ref="AH284:AJ284"/>
    <mergeCell ref="P35:P36"/>
    <mergeCell ref="H231:H232"/>
    <mergeCell ref="J171:J172"/>
    <mergeCell ref="AP67:AP68"/>
    <mergeCell ref="I197:I198"/>
    <mergeCell ref="P193:P194"/>
    <mergeCell ref="V317:V318"/>
    <mergeCell ref="P333:P334"/>
    <mergeCell ref="Y201:Y202"/>
    <mergeCell ref="Z25:Z26"/>
    <mergeCell ref="R99:R100"/>
    <mergeCell ref="R221:R222"/>
    <mergeCell ref="L53:L54"/>
    <mergeCell ref="K261:K262"/>
    <mergeCell ref="Y89:Y90"/>
    <mergeCell ref="B29:B30"/>
    <mergeCell ref="H191:H192"/>
    <mergeCell ref="AS251:AS252"/>
    <mergeCell ref="R223:R224"/>
    <mergeCell ref="G121:G122"/>
    <mergeCell ref="L55:L56"/>
    <mergeCell ref="N117:N118"/>
    <mergeCell ref="AR127:AR128"/>
    <mergeCell ref="AK291:AK292"/>
    <mergeCell ref="G123:G124"/>
    <mergeCell ref="V45:V46"/>
    <mergeCell ref="AA171:AA172"/>
    <mergeCell ref="N119:N120"/>
    <mergeCell ref="O85:O86"/>
    <mergeCell ref="A189:A192"/>
    <mergeCell ref="C251:C254"/>
    <mergeCell ref="H249:H250"/>
    <mergeCell ref="C27:C28"/>
    <mergeCell ref="AG43:AG44"/>
    <mergeCell ref="I231:I232"/>
    <mergeCell ref="V47:V48"/>
    <mergeCell ref="I187:I188"/>
    <mergeCell ref="AB52:AF52"/>
    <mergeCell ref="K287:K288"/>
    <mergeCell ref="W67:W68"/>
    <mergeCell ref="U309:U310"/>
    <mergeCell ref="P177:P178"/>
    <mergeCell ref="AR185:AR186"/>
    <mergeCell ref="F57:F58"/>
    <mergeCell ref="M53:M54"/>
    <mergeCell ref="M9:M10"/>
    <mergeCell ref="U311:U312"/>
    <mergeCell ref="G183:G184"/>
    <mergeCell ref="B185:B188"/>
    <mergeCell ref="E93:E94"/>
    <mergeCell ref="J219:J220"/>
    <mergeCell ref="H121:H122"/>
    <mergeCell ref="G149:G150"/>
    <mergeCell ref="O111:O112"/>
    <mergeCell ref="W193:W194"/>
    <mergeCell ref="Y133:Y134"/>
    <mergeCell ref="G185:G186"/>
    <mergeCell ref="Y127:Y128"/>
    <mergeCell ref="AL194:AO194"/>
    <mergeCell ref="L283:L284"/>
    <mergeCell ref="N41:N42"/>
    <mergeCell ref="AR57:AR58"/>
    <mergeCell ref="AQ85:AQ86"/>
    <mergeCell ref="G151:G152"/>
    <mergeCell ref="D17:D18"/>
    <mergeCell ref="I213:I214"/>
    <mergeCell ref="AG183:AG184"/>
    <mergeCell ref="AS177:AS178"/>
    <mergeCell ref="AA191:AA192"/>
    <mergeCell ref="I243:I244"/>
    <mergeCell ref="T211:T212"/>
    <mergeCell ref="L285:L286"/>
    <mergeCell ref="N43:N44"/>
    <mergeCell ref="P105:P106"/>
    <mergeCell ref="AB40:AF40"/>
    <mergeCell ref="D141:D142"/>
    <mergeCell ref="AS149:AS150"/>
    <mergeCell ref="I215:I216"/>
    <mergeCell ref="W95:W96"/>
    <mergeCell ref="AK223:AK224"/>
    <mergeCell ref="AA315:AA316"/>
    <mergeCell ref="K307:K308"/>
    <mergeCell ref="AL252:AO252"/>
    <mergeCell ref="C177:C180"/>
    <mergeCell ref="P107:P108"/>
    <mergeCell ref="P101:P102"/>
    <mergeCell ref="R163:R164"/>
    <mergeCell ref="X185:X186"/>
    <mergeCell ref="Z247:Z248"/>
    <mergeCell ref="R321:R322"/>
    <mergeCell ref="G325:G326"/>
    <mergeCell ref="X193:X194"/>
    <mergeCell ref="AG87:AG88"/>
    <mergeCell ref="M91:M92"/>
    <mergeCell ref="C95:C100"/>
    <mergeCell ref="H263:H264"/>
    <mergeCell ref="J21:J22"/>
    <mergeCell ref="R323:R324"/>
    <mergeCell ref="AA217:AA218"/>
    <mergeCell ref="K327:K328"/>
    <mergeCell ref="AG201:AG202"/>
    <mergeCell ref="AR85:AR86"/>
    <mergeCell ref="A259:A262"/>
    <mergeCell ref="AH264:AJ264"/>
    <mergeCell ref="M93:M94"/>
    <mergeCell ref="V109:V110"/>
    <mergeCell ref="O155:O156"/>
    <mergeCell ref="V145:V146"/>
    <mergeCell ref="AB68:AF68"/>
    <mergeCell ref="Y181:Y182"/>
    <mergeCell ref="AG143:AG144"/>
    <mergeCell ref="I251:I252"/>
    <mergeCell ref="P247:P248"/>
    <mergeCell ref="Q213:Q214"/>
    <mergeCell ref="I139:I140"/>
    <mergeCell ref="Q223:Q224"/>
    <mergeCell ref="A2:A4"/>
    <mergeCell ref="AS231:AS232"/>
    <mergeCell ref="AP167:AP168"/>
    <mergeCell ref="M117:M118"/>
    <mergeCell ref="AB124:AF124"/>
    <mergeCell ref="C325:C328"/>
    <mergeCell ref="R7:R8"/>
    <mergeCell ref="R305:R306"/>
    <mergeCell ref="Z267:Z268"/>
    <mergeCell ref="U45:U46"/>
    <mergeCell ref="M119:M120"/>
    <mergeCell ref="C231:C234"/>
    <mergeCell ref="T71:T72"/>
    <mergeCell ref="A331:A332"/>
    <mergeCell ref="O25:O26"/>
    <mergeCell ref="H187:H188"/>
    <mergeCell ref="AR227:AR228"/>
    <mergeCell ref="AG125:AG126"/>
    <mergeCell ref="O177:O178"/>
    <mergeCell ref="AS247:AS248"/>
    <mergeCell ref="I313:I314"/>
    <mergeCell ref="R219:R220"/>
    <mergeCell ref="AL260:AO260"/>
    <mergeCell ref="Z181:Z182"/>
    <mergeCell ref="H189:H190"/>
    <mergeCell ref="J251:J252"/>
    <mergeCell ref="L9:L10"/>
    <mergeCell ref="U301:U302"/>
    <mergeCell ref="T311:T312"/>
    <mergeCell ref="AG127:AG128"/>
    <mergeCell ref="AA263:AA264"/>
    <mergeCell ref="K73:K74"/>
    <mergeCell ref="I315:I316"/>
    <mergeCell ref="A185:A188"/>
    <mergeCell ref="D93:D94"/>
    <mergeCell ref="C247:C250"/>
    <mergeCell ref="B2:B4"/>
    <mergeCell ref="AH154:AJ154"/>
    <mergeCell ref="AA273:AA274"/>
    <mergeCell ref="L11:L12"/>
    <mergeCell ref="D85:D86"/>
    <mergeCell ref="Q243:Q244"/>
    <mergeCell ref="S305:S306"/>
    <mergeCell ref="AG39:AG40"/>
    <mergeCell ref="U63:U64"/>
    <mergeCell ref="V43:V44"/>
    <mergeCell ref="H213:H214"/>
    <mergeCell ref="F271:F272"/>
    <mergeCell ref="Y225:Y226"/>
    <mergeCell ref="H205:H206"/>
    <mergeCell ref="AP93:AP94"/>
    <mergeCell ref="K285:K286"/>
    <mergeCell ref="O105:O106"/>
    <mergeCell ref="X101:X102"/>
    <mergeCell ref="AR149:AR150"/>
    <mergeCell ref="Z163:Z164"/>
    <mergeCell ref="H215:H216"/>
    <mergeCell ref="D109:D110"/>
    <mergeCell ref="AG153:AG154"/>
    <mergeCell ref="Z321:Z322"/>
    <mergeCell ref="Y227:Y228"/>
    <mergeCell ref="Z315:Z316"/>
    <mergeCell ref="U275:U276"/>
    <mergeCell ref="O107:O108"/>
    <mergeCell ref="AB138:AF138"/>
    <mergeCell ref="J279:J280"/>
    <mergeCell ref="R239:R240"/>
    <mergeCell ref="V59:V60"/>
    <mergeCell ref="D111:D112"/>
    <mergeCell ref="AL190:AO190"/>
    <mergeCell ref="T295:T296"/>
    <mergeCell ref="Z323:Z324"/>
    <mergeCell ref="G147:G148"/>
    <mergeCell ref="W35:W36"/>
    <mergeCell ref="O231:O232"/>
    <mergeCell ref="Q171:Q172"/>
    <mergeCell ref="AH182:AJ182"/>
    <mergeCell ref="G263:G264"/>
    <mergeCell ref="I21:I22"/>
    <mergeCell ref="Q137:Q138"/>
    <mergeCell ref="X275:X276"/>
    <mergeCell ref="I211:I212"/>
    <mergeCell ref="K267:K268"/>
    <mergeCell ref="S53:S54"/>
    <mergeCell ref="AA311:AA312"/>
    <mergeCell ref="K303:K304"/>
    <mergeCell ref="G265:G266"/>
    <mergeCell ref="AK329:AK330"/>
    <mergeCell ref="L65:L66"/>
    <mergeCell ref="AR325:AR326"/>
    <mergeCell ref="S55:S56"/>
    <mergeCell ref="U117:U118"/>
    <mergeCell ref="O247:O248"/>
    <mergeCell ref="AS263:AS264"/>
    <mergeCell ref="AR291:AR292"/>
    <mergeCell ref="G321:G322"/>
    <mergeCell ref="AL32:AO32"/>
    <mergeCell ref="D251:D252"/>
    <mergeCell ref="AL330:AO330"/>
    <mergeCell ref="F197:F198"/>
    <mergeCell ref="U119:U120"/>
    <mergeCell ref="J17:J18"/>
    <mergeCell ref="M193:M194"/>
    <mergeCell ref="H259:H260"/>
    <mergeCell ref="Q13:Q14"/>
    <mergeCell ref="B325:B328"/>
    <mergeCell ref="M333:M334"/>
    <mergeCell ref="AH18:AJ18"/>
    <mergeCell ref="X301:X302"/>
    <mergeCell ref="AB62:AF62"/>
    <mergeCell ref="AL332:AO332"/>
    <mergeCell ref="AG85:AG86"/>
    <mergeCell ref="D35:D36"/>
    <mergeCell ref="V141:V142"/>
    <mergeCell ref="L75:L76"/>
    <mergeCell ref="W177:W178"/>
    <mergeCell ref="J317:J318"/>
    <mergeCell ref="S71:S72"/>
    <mergeCell ref="Q307:Q308"/>
    <mergeCell ref="L91:L92"/>
    <mergeCell ref="AR9:AR10"/>
    <mergeCell ref="AP251:AP252"/>
    <mergeCell ref="AH1:AS1"/>
    <mergeCell ref="N25:N26"/>
    <mergeCell ref="AK205:AK206"/>
    <mergeCell ref="S73:S74"/>
    <mergeCell ref="L93:L94"/>
    <mergeCell ref="C321:C324"/>
    <mergeCell ref="F101:F102"/>
    <mergeCell ref="A27:A28"/>
    <mergeCell ref="AL50:AO50"/>
    <mergeCell ref="H163:H164"/>
    <mergeCell ref="N185:N186"/>
    <mergeCell ref="G189:G190"/>
    <mergeCell ref="AP193:AP194"/>
    <mergeCell ref="F223:F224"/>
    <mergeCell ref="Z263:Z264"/>
    <mergeCell ref="AL236:AO236"/>
    <mergeCell ref="U41:U42"/>
    <mergeCell ref="C93:C94"/>
    <mergeCell ref="N151:N152"/>
    <mergeCell ref="P213:P214"/>
    <mergeCell ref="S283:S284"/>
    <mergeCell ref="Z273:Z274"/>
    <mergeCell ref="J45:J46"/>
    <mergeCell ref="I253:I254"/>
    <mergeCell ref="H281:H282"/>
    <mergeCell ref="H287:H288"/>
    <mergeCell ref="P243:P244"/>
    <mergeCell ref="AB238:AF238"/>
    <mergeCell ref="S285:S286"/>
    <mergeCell ref="U43:U44"/>
    <mergeCell ref="AR223:AR224"/>
    <mergeCell ref="AS189:AS190"/>
    <mergeCell ref="E271:E272"/>
    <mergeCell ref="D177:D178"/>
    <mergeCell ref="R307:R308"/>
    <mergeCell ref="AB240:AF240"/>
    <mergeCell ref="W107:W108"/>
    <mergeCell ref="O181:O182"/>
    <mergeCell ref="W101:W102"/>
    <mergeCell ref="E115:E116"/>
    <mergeCell ref="Y163:Y164"/>
    <mergeCell ref="L111:L112"/>
    <mergeCell ref="G215:G216"/>
    <mergeCell ref="AH248:AJ248"/>
    <mergeCell ref="Y321:Y322"/>
    <mergeCell ref="T91:T92"/>
    <mergeCell ref="Q239:Q240"/>
    <mergeCell ref="I279:I280"/>
    <mergeCell ref="AK287:AK288"/>
    <mergeCell ref="S301:S302"/>
    <mergeCell ref="AQ271:AQ272"/>
    <mergeCell ref="AA81:AA82"/>
    <mergeCell ref="AP177:AP178"/>
    <mergeCell ref="Z291:Z292"/>
    <mergeCell ref="S295:S296"/>
    <mergeCell ref="Y323:Y324"/>
    <mergeCell ref="D49:D50"/>
    <mergeCell ref="I281:I282"/>
    <mergeCell ref="U61:U62"/>
    <mergeCell ref="F321:F322"/>
    <mergeCell ref="U219:U220"/>
    <mergeCell ref="A271:A274"/>
    <mergeCell ref="W275:W276"/>
    <mergeCell ref="H211:H212"/>
    <mergeCell ref="L279:L280"/>
    <mergeCell ref="AG149:AG150"/>
    <mergeCell ref="E177:E178"/>
    <mergeCell ref="W247:W248"/>
    <mergeCell ref="O321:O322"/>
    <mergeCell ref="Q79:Q80"/>
    <mergeCell ref="AB224:AF224"/>
    <mergeCell ref="R17:R18"/>
    <mergeCell ref="R55:R56"/>
    <mergeCell ref="J91:J92"/>
    <mergeCell ref="T117:T118"/>
    <mergeCell ref="G205:G206"/>
    <mergeCell ref="Y7:Y8"/>
    <mergeCell ref="Q81:Q82"/>
    <mergeCell ref="AK129:AK130"/>
    <mergeCell ref="W243:W244"/>
    <mergeCell ref="Y305:Y306"/>
    <mergeCell ref="AG267:AG268"/>
    <mergeCell ref="AH178:AJ178"/>
    <mergeCell ref="L35:L36"/>
    <mergeCell ref="AH172:AJ172"/>
    <mergeCell ref="E197:E198"/>
    <mergeCell ref="T119:T120"/>
    <mergeCell ref="G259:G260"/>
    <mergeCell ref="L193:L194"/>
    <mergeCell ref="L333:L334"/>
    <mergeCell ref="P13:P14"/>
    <mergeCell ref="AQ299:AQ300"/>
    <mergeCell ref="AS57:AS58"/>
    <mergeCell ref="AA71:AA72"/>
    <mergeCell ref="Y307:Y308"/>
    <mergeCell ref="U201:U202"/>
    <mergeCell ref="AL300:AO300"/>
    <mergeCell ref="G261:G262"/>
    <mergeCell ref="I19:I20"/>
    <mergeCell ref="U89:U90"/>
    <mergeCell ref="V177:V178"/>
    <mergeCell ref="Z215:Z216"/>
    <mergeCell ref="AR321:AR322"/>
    <mergeCell ref="AB250:AF250"/>
    <mergeCell ref="E317:E318"/>
    <mergeCell ref="AR287:AR288"/>
    <mergeCell ref="I319:I320"/>
    <mergeCell ref="R79:R80"/>
    <mergeCell ref="Q107:Q108"/>
    <mergeCell ref="R73:R74"/>
    <mergeCell ref="D247:D248"/>
    <mergeCell ref="P315:P316"/>
    <mergeCell ref="AB304:AF304"/>
    <mergeCell ref="K93:K94"/>
    <mergeCell ref="B321:B324"/>
    <mergeCell ref="W171:W172"/>
    <mergeCell ref="S11:S12"/>
    <mergeCell ref="E223:E224"/>
    <mergeCell ref="K85:K86"/>
    <mergeCell ref="AH318:AJ318"/>
    <mergeCell ref="X243:X244"/>
    <mergeCell ref="A197:A200"/>
    <mergeCell ref="T137:T138"/>
    <mergeCell ref="N267:N268"/>
    <mergeCell ref="E231:E232"/>
    <mergeCell ref="G287:G288"/>
    <mergeCell ref="M271:M272"/>
    <mergeCell ref="O205:O206"/>
    <mergeCell ref="X299:X300"/>
    <mergeCell ref="G279:G280"/>
    <mergeCell ref="F307:F308"/>
    <mergeCell ref="P155:P156"/>
    <mergeCell ref="R285:R286"/>
    <mergeCell ref="AA39:AA40"/>
    <mergeCell ref="I53:I54"/>
    <mergeCell ref="AQ223:AQ224"/>
    <mergeCell ref="G289:G290"/>
    <mergeCell ref="Q311:Q312"/>
    <mergeCell ref="C205:C210"/>
    <mergeCell ref="V107:V108"/>
    <mergeCell ref="N181:N182"/>
    <mergeCell ref="AS287:AS288"/>
    <mergeCell ref="K111:K112"/>
    <mergeCell ref="U133:U134"/>
    <mergeCell ref="AA295:AA296"/>
    <mergeCell ref="A223:A226"/>
    <mergeCell ref="N147:N148"/>
    <mergeCell ref="AB332:AF332"/>
    <mergeCell ref="H283:H284"/>
    <mergeCell ref="X171:X172"/>
    <mergeCell ref="P239:P240"/>
    <mergeCell ref="F39:F40"/>
    <mergeCell ref="AP271:AP272"/>
    <mergeCell ref="E243:E244"/>
    <mergeCell ref="G305:G306"/>
    <mergeCell ref="P211:P212"/>
    <mergeCell ref="H285:H286"/>
    <mergeCell ref="J43:J44"/>
    <mergeCell ref="L105:L106"/>
    <mergeCell ref="H67:H68"/>
    <mergeCell ref="R5:R6"/>
    <mergeCell ref="AA21:AA22"/>
    <mergeCell ref="T67:T68"/>
    <mergeCell ref="S95:S96"/>
    <mergeCell ref="R303:R304"/>
    <mergeCell ref="J159:J160"/>
    <mergeCell ref="G307:G308"/>
    <mergeCell ref="AL18:AO18"/>
    <mergeCell ref="L107:L108"/>
    <mergeCell ref="L101:L102"/>
    <mergeCell ref="N163:N164"/>
    <mergeCell ref="T185:T186"/>
    <mergeCell ref="V3:W3"/>
    <mergeCell ref="V247:V248"/>
    <mergeCell ref="N321:N322"/>
    <mergeCell ref="AQ243:AQ244"/>
    <mergeCell ref="AS305:AS306"/>
    <mergeCell ref="B31:B34"/>
    <mergeCell ref="O259:O260"/>
    <mergeCell ref="F205:F206"/>
    <mergeCell ref="T193:T194"/>
    <mergeCell ref="I91:I92"/>
    <mergeCell ref="X13:X14"/>
    <mergeCell ref="N323:N324"/>
    <mergeCell ref="K41:K42"/>
    <mergeCell ref="A243:A246"/>
    <mergeCell ref="I277:I278"/>
    <mergeCell ref="K35:K36"/>
    <mergeCell ref="K333:K334"/>
    <mergeCell ref="K155:K156"/>
    <mergeCell ref="AP299:AP300"/>
    <mergeCell ref="Z71:Z72"/>
    <mergeCell ref="R145:R146"/>
    <mergeCell ref="X307:X308"/>
    <mergeCell ref="U25:U26"/>
    <mergeCell ref="M99:M100"/>
    <mergeCell ref="I205:I206"/>
    <mergeCell ref="AR205:AR206"/>
    <mergeCell ref="T89:T90"/>
    <mergeCell ref="Z73:Z74"/>
    <mergeCell ref="R147:R148"/>
    <mergeCell ref="D317:D318"/>
    <mergeCell ref="A153:A162"/>
    <mergeCell ref="M101:M102"/>
    <mergeCell ref="H27:H28"/>
    <mergeCell ref="M223:M224"/>
    <mergeCell ref="Y301:Y302"/>
    <mergeCell ref="V153:V154"/>
    <mergeCell ref="E255:E256"/>
    <mergeCell ref="AG263:AG264"/>
    <mergeCell ref="AP17:AP18"/>
    <mergeCell ref="V267:V268"/>
    <mergeCell ref="O287:O288"/>
    <mergeCell ref="Q45:Q46"/>
    <mergeCell ref="AS53:AS54"/>
    <mergeCell ref="AA67:AA68"/>
    <mergeCell ref="I295:I296"/>
    <mergeCell ref="R171:R172"/>
    <mergeCell ref="AP317:AP318"/>
    <mergeCell ref="K25:K26"/>
    <mergeCell ref="D231:D232"/>
    <mergeCell ref="P309:P310"/>
    <mergeCell ref="K177:K178"/>
    <mergeCell ref="C53:C56"/>
    <mergeCell ref="H53:H54"/>
    <mergeCell ref="D189:D190"/>
    <mergeCell ref="H9:H10"/>
    <mergeCell ref="P311:P312"/>
    <mergeCell ref="R69:R70"/>
    <mergeCell ref="AL82:AO82"/>
    <mergeCell ref="AP231:AP232"/>
    <mergeCell ref="H55:H56"/>
    <mergeCell ref="J117:J118"/>
    <mergeCell ref="X239:X240"/>
    <mergeCell ref="H11:H12"/>
    <mergeCell ref="Z301:Z302"/>
    <mergeCell ref="T133:T134"/>
    <mergeCell ref="M243:M244"/>
    <mergeCell ref="AG291:AG292"/>
    <mergeCell ref="Q63:Q64"/>
    <mergeCell ref="G283:G284"/>
    <mergeCell ref="AS81:AS82"/>
    <mergeCell ref="T135:T136"/>
    <mergeCell ref="U225:U226"/>
    <mergeCell ref="B287:B290"/>
    <mergeCell ref="B103:B106"/>
    <mergeCell ref="G285:G286"/>
    <mergeCell ref="I43:I44"/>
    <mergeCell ref="K105:K106"/>
    <mergeCell ref="L177:L178"/>
    <mergeCell ref="V321:V322"/>
    <mergeCell ref="X79:X80"/>
    <mergeCell ref="V315:V316"/>
    <mergeCell ref="AK115:AK116"/>
    <mergeCell ref="X255:X256"/>
    <mergeCell ref="I51:I52"/>
    <mergeCell ref="Q275:Q276"/>
    <mergeCell ref="K107:K108"/>
    <mergeCell ref="H37:H38"/>
    <mergeCell ref="M163:M164"/>
    <mergeCell ref="R97:R98"/>
    <mergeCell ref="G2:I2"/>
    <mergeCell ref="S35:S36"/>
    <mergeCell ref="Z31:Z32"/>
    <mergeCell ref="M171:M172"/>
    <mergeCell ref="W231:W232"/>
    <mergeCell ref="AK141:AK142"/>
    <mergeCell ref="H91:H92"/>
    <mergeCell ref="W13:W14"/>
    <mergeCell ref="S193:S194"/>
    <mergeCell ref="E21:E22"/>
    <mergeCell ref="Z145:Z146"/>
    <mergeCell ref="M323:M324"/>
    <mergeCell ref="A39:A42"/>
    <mergeCell ref="AB112:AF112"/>
    <mergeCell ref="T275:T276"/>
    <mergeCell ref="AB288:AF288"/>
    <mergeCell ref="A35:A38"/>
    <mergeCell ref="O53:O54"/>
    <mergeCell ref="AG215:AG216"/>
    <mergeCell ref="J155:J156"/>
    <mergeCell ref="AL14:AO14"/>
    <mergeCell ref="Y71:Y72"/>
    <mergeCell ref="Q145:Q146"/>
    <mergeCell ref="AL312:AO312"/>
    <mergeCell ref="Q117:Q118"/>
    <mergeCell ref="AH58:AJ58"/>
    <mergeCell ref="AQ205:AQ206"/>
    <mergeCell ref="Q111:Q112"/>
    <mergeCell ref="Y79:Y80"/>
    <mergeCell ref="J157:J158"/>
    <mergeCell ref="K247:K248"/>
    <mergeCell ref="Y73:Y74"/>
    <mergeCell ref="W315:W316"/>
    <mergeCell ref="Q147:Q148"/>
    <mergeCell ref="AP85:AP86"/>
    <mergeCell ref="D259:D260"/>
    <mergeCell ref="AK45:AK46"/>
    <mergeCell ref="AH60:AJ60"/>
    <mergeCell ref="AK167:AK168"/>
    <mergeCell ref="M13:M14"/>
    <mergeCell ref="AA137:AA138"/>
    <mergeCell ref="AB16:AF16"/>
    <mergeCell ref="S211:S212"/>
    <mergeCell ref="A21:A24"/>
    <mergeCell ref="U267:U268"/>
    <mergeCell ref="AK11:AK12"/>
    <mergeCell ref="AH26:AJ26"/>
    <mergeCell ref="T301:T302"/>
    <mergeCell ref="X5:X6"/>
    <mergeCell ref="Z67:Z68"/>
    <mergeCell ref="AK169:AK170"/>
    <mergeCell ref="X309:X310"/>
    <mergeCell ref="F317:F318"/>
    <mergeCell ref="O71:O72"/>
    <mergeCell ref="M307:M308"/>
    <mergeCell ref="AL154:AO154"/>
    <mergeCell ref="J25:J26"/>
    <mergeCell ref="P53:P54"/>
    <mergeCell ref="R109:R110"/>
    <mergeCell ref="Z69:Z70"/>
    <mergeCell ref="AG205:AG206"/>
    <mergeCell ref="O73:O74"/>
    <mergeCell ref="W333:W334"/>
    <mergeCell ref="U181:U182"/>
    <mergeCell ref="AB184:AF184"/>
    <mergeCell ref="AH86:AJ86"/>
    <mergeCell ref="G9:G10"/>
    <mergeCell ref="R111:R112"/>
    <mergeCell ref="J185:J186"/>
    <mergeCell ref="L247:L248"/>
    <mergeCell ref="E251:E252"/>
    <mergeCell ref="AP13:AP14"/>
    <mergeCell ref="AQ49:AQ50"/>
    <mergeCell ref="K275:K276"/>
    <mergeCell ref="D315:D316"/>
    <mergeCell ref="O283:O284"/>
    <mergeCell ref="Q41:Q42"/>
    <mergeCell ref="Q77:Q78"/>
    <mergeCell ref="G11:G12"/>
    <mergeCell ref="W239:W240"/>
    <mergeCell ref="R167:R168"/>
    <mergeCell ref="N7:N8"/>
    <mergeCell ref="L243:L244"/>
    <mergeCell ref="N305:N306"/>
    <mergeCell ref="P63:P64"/>
    <mergeCell ref="H137:H138"/>
    <mergeCell ref="Q43:Q44"/>
    <mergeCell ref="S105:S106"/>
    <mergeCell ref="X39:X40"/>
    <mergeCell ref="Y5:Y6"/>
    <mergeCell ref="G141:G142"/>
    <mergeCell ref="Z95:Z96"/>
    <mergeCell ref="Y303:Y304"/>
    <mergeCell ref="R169:R170"/>
    <mergeCell ref="X331:X332"/>
    <mergeCell ref="N307:N308"/>
    <mergeCell ref="AP315:AP316"/>
    <mergeCell ref="H261:H262"/>
    <mergeCell ref="A103:A106"/>
    <mergeCell ref="AK93:AK94"/>
    <mergeCell ref="AQ2:AS2"/>
    <mergeCell ref="S107:S108"/>
    <mergeCell ref="S101:S102"/>
    <mergeCell ref="U163:U164"/>
    <mergeCell ref="K181:K182"/>
    <mergeCell ref="Z97:Z98"/>
    <mergeCell ref="U321:U322"/>
    <mergeCell ref="AL122:AO122"/>
    <mergeCell ref="C9:C12"/>
    <mergeCell ref="AH226:AJ226"/>
    <mergeCell ref="T227:T228"/>
    <mergeCell ref="H51:H52"/>
    <mergeCell ref="C167:C170"/>
    <mergeCell ref="J107:J108"/>
    <mergeCell ref="E279:E280"/>
    <mergeCell ref="G37:G38"/>
    <mergeCell ref="B231:B234"/>
    <mergeCell ref="AG287:AG288"/>
    <mergeCell ref="O301:O302"/>
    <mergeCell ref="U323:U324"/>
    <mergeCell ref="V291:V292"/>
    <mergeCell ref="AH228:AJ228"/>
    <mergeCell ref="R35:R36"/>
    <mergeCell ref="L171:L172"/>
    <mergeCell ref="R155:R156"/>
    <mergeCell ref="Q61:Q62"/>
    <mergeCell ref="AK109:AK110"/>
    <mergeCell ref="Y145:Y146"/>
    <mergeCell ref="Q219:Q220"/>
    <mergeCell ref="AA201:AA202"/>
    <mergeCell ref="S275:S276"/>
    <mergeCell ref="D211:D212"/>
    <mergeCell ref="T99:T100"/>
    <mergeCell ref="AB268:AF268"/>
    <mergeCell ref="Y331:Y332"/>
    <mergeCell ref="AA89:AA90"/>
    <mergeCell ref="D29:D30"/>
    <mergeCell ref="AK111:AK112"/>
    <mergeCell ref="N201:N202"/>
    <mergeCell ref="F275:F276"/>
    <mergeCell ref="H33:H34"/>
    <mergeCell ref="N55:N56"/>
    <mergeCell ref="P117:P118"/>
    <mergeCell ref="D31:D32"/>
    <mergeCell ref="AK235:AK236"/>
    <mergeCell ref="D329:D330"/>
    <mergeCell ref="AS197:AS198"/>
    <mergeCell ref="I129:I130"/>
    <mergeCell ref="H35:H36"/>
    <mergeCell ref="AL264:AO264"/>
    <mergeCell ref="H333:H334"/>
    <mergeCell ref="P119:P120"/>
    <mergeCell ref="E17:E18"/>
    <mergeCell ref="Z141:Z142"/>
    <mergeCell ref="H193:H194"/>
    <mergeCell ref="L13:L14"/>
    <mergeCell ref="P295:P296"/>
    <mergeCell ref="AH2:AK2"/>
    <mergeCell ref="AQ149:AQ150"/>
    <mergeCell ref="W309:W310"/>
    <mergeCell ref="AH152:AJ152"/>
    <mergeCell ref="R177:R178"/>
    <mergeCell ref="AQ121:AQ122"/>
    <mergeCell ref="N71:N72"/>
    <mergeCell ref="AQ115:AQ116"/>
    <mergeCell ref="AK251:AK252"/>
    <mergeCell ref="S303:S304"/>
    <mergeCell ref="I25:I26"/>
    <mergeCell ref="X103:X104"/>
    <mergeCell ref="Y69:Y70"/>
    <mergeCell ref="A149:A152"/>
    <mergeCell ref="W311:W312"/>
    <mergeCell ref="L315:L316"/>
    <mergeCell ref="N73:N74"/>
    <mergeCell ref="G93:G94"/>
    <mergeCell ref="I155:I156"/>
    <mergeCell ref="W125:W126"/>
    <mergeCell ref="G269:G270"/>
    <mergeCell ref="A101:A102"/>
    <mergeCell ref="S171:S172"/>
    <mergeCell ref="Z167:Z168"/>
    <mergeCell ref="AA133:AA134"/>
    <mergeCell ref="T243:T244"/>
    <mergeCell ref="AP49:AP50"/>
    <mergeCell ref="P137:P138"/>
    <mergeCell ref="I157:I158"/>
    <mergeCell ref="J267:J268"/>
    <mergeCell ref="E45:E46"/>
    <mergeCell ref="AA135:AA136"/>
    <mergeCell ref="W29:W30"/>
    <mergeCell ref="T299:T300"/>
    <mergeCell ref="AB312:AF312"/>
    <mergeCell ref="L155:L156"/>
    <mergeCell ref="AS93:AS94"/>
    <mergeCell ref="P43:P44"/>
    <mergeCell ref="R105:R106"/>
    <mergeCell ref="N285:N286"/>
    <mergeCell ref="W39:W40"/>
    <mergeCell ref="E53:E54"/>
    <mergeCell ref="K215:K216"/>
    <mergeCell ref="E47:E48"/>
    <mergeCell ref="A1:C1"/>
    <mergeCell ref="N99:N100"/>
    <mergeCell ref="W329:W330"/>
    <mergeCell ref="AK279:AK280"/>
    <mergeCell ref="R107:R108"/>
    <mergeCell ref="J181:J182"/>
    <mergeCell ref="Y103:Y104"/>
    <mergeCell ref="AQ45:AQ46"/>
    <mergeCell ref="Y97:Y98"/>
    <mergeCell ref="G111:G112"/>
    <mergeCell ref="AA159:AA160"/>
    <mergeCell ref="L239:L240"/>
    <mergeCell ref="N301:N302"/>
    <mergeCell ref="P59:P60"/>
    <mergeCell ref="T323:T324"/>
    <mergeCell ref="A45:A48"/>
    <mergeCell ref="U291:U292"/>
    <mergeCell ref="C305:C306"/>
    <mergeCell ref="Z91:Z92"/>
    <mergeCell ref="A67:A78"/>
    <mergeCell ref="F45:F46"/>
    <mergeCell ref="N5:N6"/>
    <mergeCell ref="P67:P68"/>
    <mergeCell ref="C137:C140"/>
    <mergeCell ref="Q155:Q156"/>
    <mergeCell ref="P61:P62"/>
    <mergeCell ref="C259:C262"/>
    <mergeCell ref="N303:N304"/>
    <mergeCell ref="X145:X146"/>
    <mergeCell ref="P219:P220"/>
    <mergeCell ref="Z93:Z94"/>
    <mergeCell ref="F47:F48"/>
    <mergeCell ref="AP279:AP280"/>
    <mergeCell ref="P185:P186"/>
    <mergeCell ref="R125:R126"/>
    <mergeCell ref="R247:R248"/>
    <mergeCell ref="J321:J322"/>
    <mergeCell ref="R283:R284"/>
    <mergeCell ref="T41:T42"/>
    <mergeCell ref="G33:G34"/>
    <mergeCell ref="AK49:AK50"/>
    <mergeCell ref="K259:K260"/>
    <mergeCell ref="M17:M18"/>
    <mergeCell ref="T13:T14"/>
    <mergeCell ref="R127:R128"/>
    <mergeCell ref="T7:T8"/>
    <mergeCell ref="J323:J324"/>
    <mergeCell ref="L81:L82"/>
    <mergeCell ref="Z211:Z212"/>
    <mergeCell ref="G35:G36"/>
    <mergeCell ref="G333:G334"/>
    <mergeCell ref="AG67:AG68"/>
    <mergeCell ref="O119:O120"/>
    <mergeCell ref="Y141:Y142"/>
    <mergeCell ref="Z177:Z178"/>
    <mergeCell ref="G193:G194"/>
    <mergeCell ref="N145:N146"/>
    <mergeCell ref="T307:T308"/>
    <mergeCell ref="P201:P202"/>
    <mergeCell ref="Q25:Q26"/>
    <mergeCell ref="AA85:AA86"/>
    <mergeCell ref="I99:I100"/>
    <mergeCell ref="P89:P90"/>
    <mergeCell ref="I257:I258"/>
    <mergeCell ref="C279:C282"/>
    <mergeCell ref="AP121:AP122"/>
    <mergeCell ref="I101:I102"/>
    <mergeCell ref="D27:D28"/>
    <mergeCell ref="Y255:Y256"/>
    <mergeCell ref="Q185:Q186"/>
    <mergeCell ref="D325:D326"/>
    <mergeCell ref="AS193:AS194"/>
    <mergeCell ref="R153:R154"/>
    <mergeCell ref="M79:M80"/>
    <mergeCell ref="K315:K316"/>
    <mergeCell ref="AB80:AF80"/>
    <mergeCell ref="R267:R268"/>
    <mergeCell ref="F85:F86"/>
    <mergeCell ref="U7:U8"/>
    <mergeCell ref="C35:C38"/>
    <mergeCell ref="M81:M82"/>
    <mergeCell ref="Y167:Y168"/>
    <mergeCell ref="AK191:AK192"/>
    <mergeCell ref="N171:N172"/>
    <mergeCell ref="O137:O138"/>
    <mergeCell ref="C193:C196"/>
    <mergeCell ref="S243:S244"/>
    <mergeCell ref="AH252:AJ252"/>
    <mergeCell ref="U305:U306"/>
    <mergeCell ref="A89:A92"/>
    <mergeCell ref="H157:H158"/>
    <mergeCell ref="AG95:AG96"/>
    <mergeCell ref="O109:O110"/>
    <mergeCell ref="Y169:Y170"/>
    <mergeCell ref="H149:H150"/>
    <mergeCell ref="G177:G178"/>
    <mergeCell ref="J205:J206"/>
    <mergeCell ref="Q201:Q202"/>
    <mergeCell ref="AS209:AS210"/>
    <mergeCell ref="I269:I270"/>
    <mergeCell ref="A145:A148"/>
    <mergeCell ref="V39:V40"/>
    <mergeCell ref="D53:D54"/>
    <mergeCell ref="AG97:AG98"/>
    <mergeCell ref="D9:D10"/>
    <mergeCell ref="F109:F110"/>
    <mergeCell ref="AA227:AA228"/>
    <mergeCell ref="I241:I242"/>
    <mergeCell ref="D55:D56"/>
    <mergeCell ref="T239:T240"/>
    <mergeCell ref="AP45:AP46"/>
    <mergeCell ref="X59:X60"/>
    <mergeCell ref="F111:F112"/>
    <mergeCell ref="V295:V296"/>
    <mergeCell ref="M63:M64"/>
    <mergeCell ref="M221:M222"/>
    <mergeCell ref="AP53:AP54"/>
    <mergeCell ref="X61:X62"/>
    <mergeCell ref="G203:G204"/>
    <mergeCell ref="B305:B306"/>
    <mergeCell ref="M5:M6"/>
    <mergeCell ref="AR111:AR112"/>
    <mergeCell ref="H177:H178"/>
    <mergeCell ref="AS201:AS202"/>
    <mergeCell ref="I267:I268"/>
    <mergeCell ref="AK275:AK276"/>
    <mergeCell ref="AG115:AG116"/>
    <mergeCell ref="B307:B308"/>
    <mergeCell ref="Y93:Y94"/>
    <mergeCell ref="O69:O70"/>
    <mergeCell ref="N97:N98"/>
    <mergeCell ref="P159:P160"/>
    <mergeCell ref="AR235:AR236"/>
    <mergeCell ref="AB94:AF94"/>
    <mergeCell ref="A287:A290"/>
    <mergeCell ref="B111:B114"/>
    <mergeCell ref="F251:F252"/>
    <mergeCell ref="O35:O36"/>
    <mergeCell ref="AA157:AA158"/>
    <mergeCell ref="I171:I172"/>
    <mergeCell ref="AG141:AG142"/>
    <mergeCell ref="O193:O194"/>
    <mergeCell ref="S13:S14"/>
    <mergeCell ref="R217:R218"/>
    <mergeCell ref="J147:J148"/>
    <mergeCell ref="X89:X90"/>
    <mergeCell ref="X141:X142"/>
    <mergeCell ref="AK299:AK300"/>
    <mergeCell ref="U71:U72"/>
    <mergeCell ref="M145:M146"/>
    <mergeCell ref="AP189:AP190"/>
    <mergeCell ref="AR251:AR252"/>
    <mergeCell ref="J75:J76"/>
    <mergeCell ref="F43:F44"/>
    <mergeCell ref="AH164:AJ164"/>
    <mergeCell ref="H99:H100"/>
    <mergeCell ref="AG37:AG38"/>
    <mergeCell ref="S315:S316"/>
    <mergeCell ref="U73:U74"/>
    <mergeCell ref="B279:B282"/>
    <mergeCell ref="M147:M148"/>
    <mergeCell ref="AL172:AO172"/>
    <mergeCell ref="H101:H102"/>
    <mergeCell ref="J163:J164"/>
    <mergeCell ref="B251:B254"/>
    <mergeCell ref="AG167:AG168"/>
    <mergeCell ref="AL292:AO292"/>
    <mergeCell ref="Z207:Z208"/>
    <mergeCell ref="Q153:Q154"/>
    <mergeCell ref="W137:W138"/>
    <mergeCell ref="AG197:AG198"/>
    <mergeCell ref="O211:O212"/>
    <mergeCell ref="Q267:Q268"/>
    <mergeCell ref="J287:J288"/>
    <mergeCell ref="T5:T6"/>
    <mergeCell ref="V67:V68"/>
    <mergeCell ref="T309:T310"/>
    <mergeCell ref="B35:B38"/>
    <mergeCell ref="AA299:AA300"/>
    <mergeCell ref="C67:C78"/>
    <mergeCell ref="B193:B196"/>
    <mergeCell ref="AK317:AK318"/>
    <mergeCell ref="F25:F26"/>
    <mergeCell ref="AH190:AJ190"/>
    <mergeCell ref="N109:N110"/>
    <mergeCell ref="C275:C278"/>
    <mergeCell ref="AQ189:AQ190"/>
    <mergeCell ref="S333:S334"/>
    <mergeCell ref="Q181:Q182"/>
    <mergeCell ref="E205:E206"/>
    <mergeCell ref="AL318:AO318"/>
    <mergeCell ref="N111:N112"/>
    <mergeCell ref="C79:C84"/>
    <mergeCell ref="F185:F186"/>
    <mergeCell ref="H247:H248"/>
    <mergeCell ref="H241:H242"/>
    <mergeCell ref="AL22:AO22"/>
    <mergeCell ref="AK231:AK232"/>
    <mergeCell ref="M77:M78"/>
    <mergeCell ref="AB44:AF44"/>
    <mergeCell ref="W59:W60"/>
    <mergeCell ref="N167:N168"/>
    <mergeCell ref="J7:J8"/>
    <mergeCell ref="Z235:Z236"/>
    <mergeCell ref="AR177:AR178"/>
    <mergeCell ref="Z191:Z192"/>
    <mergeCell ref="L63:L64"/>
    <mergeCell ref="A85:A88"/>
    <mergeCell ref="D137:D138"/>
    <mergeCell ref="AB202:AF202"/>
    <mergeCell ref="H243:H244"/>
    <mergeCell ref="Q295:Q296"/>
    <mergeCell ref="J305:J306"/>
    <mergeCell ref="U5:U6"/>
    <mergeCell ref="U303:U304"/>
    <mergeCell ref="AH32:AJ32"/>
    <mergeCell ref="W61:W62"/>
    <mergeCell ref="AH208:AJ208"/>
    <mergeCell ref="AH330:AJ330"/>
    <mergeCell ref="J307:J308"/>
    <mergeCell ref="B177:B180"/>
    <mergeCell ref="E85:E86"/>
    <mergeCell ref="AG93:AG94"/>
    <mergeCell ref="Q163:Q164"/>
    <mergeCell ref="Y125:Y126"/>
    <mergeCell ref="X153:X154"/>
    <mergeCell ref="Q321:Q322"/>
    <mergeCell ref="P227:P228"/>
    <mergeCell ref="AH332:AJ332"/>
    <mergeCell ref="Y283:Y284"/>
    <mergeCell ref="X311:X312"/>
    <mergeCell ref="F107:F108"/>
    <mergeCell ref="AA231:AA232"/>
    <mergeCell ref="AA13:AA14"/>
    <mergeCell ref="Q323:Q324"/>
    <mergeCell ref="S81:S82"/>
    <mergeCell ref="Z217:Z218"/>
    <mergeCell ref="R291:R292"/>
    <mergeCell ref="T49:T50"/>
    <mergeCell ref="A111:A114"/>
    <mergeCell ref="N35:N36"/>
    <mergeCell ref="U31:U32"/>
    <mergeCell ref="H171:H172"/>
    <mergeCell ref="N193:N194"/>
    <mergeCell ref="R13:R14"/>
    <mergeCell ref="AR211:AR212"/>
    <mergeCell ref="U145:U146"/>
    <mergeCell ref="M219:M220"/>
    <mergeCell ref="AH50:AJ50"/>
    <mergeCell ref="W201:W202"/>
    <mergeCell ref="AL244:AO244"/>
    <mergeCell ref="O275:O276"/>
    <mergeCell ref="P99:P100"/>
    <mergeCell ref="H173:H174"/>
    <mergeCell ref="U331:U332"/>
    <mergeCell ref="W89:W90"/>
    <mergeCell ref="AG111:AG112"/>
    <mergeCell ref="Q225:Q226"/>
    <mergeCell ref="AB194:AF194"/>
    <mergeCell ref="AH236:AJ236"/>
    <mergeCell ref="A61:A66"/>
    <mergeCell ref="AQ251:AQ252"/>
    <mergeCell ref="K27:K28"/>
    <mergeCell ref="J55:J56"/>
    <mergeCell ref="L117:L118"/>
    <mergeCell ref="Y153:Y154"/>
    <mergeCell ref="T79:T80"/>
    <mergeCell ref="R315:R316"/>
    <mergeCell ref="T73:T74"/>
    <mergeCell ref="L147:L148"/>
    <mergeCell ref="AS17:AS18"/>
    <mergeCell ref="AQ259:AQ260"/>
    <mergeCell ref="A251:A254"/>
    <mergeCell ref="L119:L120"/>
    <mergeCell ref="D193:D194"/>
    <mergeCell ref="H13:H14"/>
    <mergeCell ref="T81:T82"/>
    <mergeCell ref="V137:V138"/>
    <mergeCell ref="N211:N212"/>
    <mergeCell ref="AS317:AS318"/>
    <mergeCell ref="G231:G232"/>
    <mergeCell ref="X85:X86"/>
    <mergeCell ref="AL86:AO86"/>
    <mergeCell ref="S309:S310"/>
    <mergeCell ref="U67:U68"/>
    <mergeCell ref="H15:H16"/>
    <mergeCell ref="N177:N178"/>
    <mergeCell ref="AP185:AP186"/>
    <mergeCell ref="AR247:AR248"/>
    <mergeCell ref="B67:B78"/>
    <mergeCell ref="J71:J72"/>
    <mergeCell ref="X201:X202"/>
    <mergeCell ref="P275:P276"/>
    <mergeCell ref="Z299:Z300"/>
    <mergeCell ref="O303:O304"/>
    <mergeCell ref="H313:H314"/>
    <mergeCell ref="E25:E26"/>
    <mergeCell ref="K53:K54"/>
    <mergeCell ref="K9:K10"/>
    <mergeCell ref="AB116:AF116"/>
    <mergeCell ref="U69:U70"/>
    <mergeCell ref="S311:S312"/>
    <mergeCell ref="H315:H316"/>
    <mergeCell ref="J73:J74"/>
    <mergeCell ref="AH272:AJ272"/>
    <mergeCell ref="S125:S126"/>
    <mergeCell ref="R333:R334"/>
    <mergeCell ref="K55:K56"/>
    <mergeCell ref="AA239:AA240"/>
    <mergeCell ref="M111:M112"/>
    <mergeCell ref="B79:B84"/>
    <mergeCell ref="E185:E186"/>
    <mergeCell ref="G247:G248"/>
    <mergeCell ref="AH280:AJ280"/>
    <mergeCell ref="T63:T64"/>
    <mergeCell ref="L137:L138"/>
    <mergeCell ref="AH274:AJ274"/>
    <mergeCell ref="F267:F268"/>
    <mergeCell ref="Q273:Q274"/>
    <mergeCell ref="G249:G250"/>
    <mergeCell ref="I7:I8"/>
    <mergeCell ref="Y191:Y192"/>
    <mergeCell ref="G243:G244"/>
    <mergeCell ref="I305:I306"/>
    <mergeCell ref="AH186:AJ186"/>
    <mergeCell ref="J285:J286"/>
    <mergeCell ref="L43:L44"/>
    <mergeCell ref="N105:N106"/>
    <mergeCell ref="Z317:Z318"/>
    <mergeCell ref="S39:S40"/>
    <mergeCell ref="U95:U96"/>
    <mergeCell ref="AQ185:AQ186"/>
    <mergeCell ref="K71:K72"/>
    <mergeCell ref="AR275:AR276"/>
    <mergeCell ref="J99:J100"/>
    <mergeCell ref="AA255:AA256"/>
    <mergeCell ref="I307:I308"/>
    <mergeCell ref="E201:E202"/>
    <mergeCell ref="A177:A180"/>
    <mergeCell ref="N107:N108"/>
    <mergeCell ref="U103:U104"/>
    <mergeCell ref="U97:U98"/>
    <mergeCell ref="P321:P322"/>
    <mergeCell ref="J101:J102"/>
    <mergeCell ref="E27:E28"/>
    <mergeCell ref="L163:L164"/>
    <mergeCell ref="I219:I220"/>
    <mergeCell ref="J2:L2"/>
    <mergeCell ref="AS243:AS244"/>
    <mergeCell ref="AH300:AJ300"/>
    <mergeCell ref="F149:F150"/>
    <mergeCell ref="AL316:AO316"/>
    <mergeCell ref="E325:E326"/>
    <mergeCell ref="Z231:Z232"/>
    <mergeCell ref="V193:V194"/>
    <mergeCell ref="Z13:Z14"/>
    <mergeCell ref="P323:P324"/>
    <mergeCell ref="Y217:Y218"/>
    <mergeCell ref="Q291:Q292"/>
    <mergeCell ref="G91:G92"/>
    <mergeCell ref="M41:M42"/>
    <mergeCell ref="AQ201:AQ202"/>
    <mergeCell ref="C243:C246"/>
    <mergeCell ref="T31:T32"/>
    <mergeCell ref="M155:M156"/>
    <mergeCell ref="AQ211:AQ212"/>
    <mergeCell ref="T145:T146"/>
    <mergeCell ref="AS267:AS268"/>
    <mergeCell ref="AQ27:AQ28"/>
    <mergeCell ref="L219:L220"/>
    <mergeCell ref="M43:M44"/>
    <mergeCell ref="I149:I150"/>
    <mergeCell ref="AQ325:AQ326"/>
    <mergeCell ref="G173:G174"/>
    <mergeCell ref="A201:A204"/>
    <mergeCell ref="T331:T332"/>
    <mergeCell ref="N283:N284"/>
    <mergeCell ref="P41:P42"/>
    <mergeCell ref="K213:K214"/>
    <mergeCell ref="O101:O102"/>
    <mergeCell ref="A325:A328"/>
    <mergeCell ref="I237:I238"/>
    <mergeCell ref="Y3:Z3"/>
    <mergeCell ref="AG207:AG208"/>
    <mergeCell ref="A107:A110"/>
    <mergeCell ref="V211:V212"/>
    <mergeCell ref="AP259:AP260"/>
    <mergeCell ref="I203:I204"/>
    <mergeCell ref="AA5:AA6"/>
    <mergeCell ref="C85:C88"/>
    <mergeCell ref="K119:K120"/>
    <mergeCell ref="AB188:AF188"/>
    <mergeCell ref="AA309:AA310"/>
    <mergeCell ref="AK29:AK30"/>
    <mergeCell ref="W331:W332"/>
    <mergeCell ref="AH46:AJ46"/>
    <mergeCell ref="M25:M26"/>
    <mergeCell ref="W85:W86"/>
    <mergeCell ref="AB190:AF190"/>
    <mergeCell ref="J331:J332"/>
    <mergeCell ref="L89:L90"/>
    <mergeCell ref="G15:G16"/>
    <mergeCell ref="AP227:AP228"/>
    <mergeCell ref="G313:G314"/>
    <mergeCell ref="N309:N310"/>
    <mergeCell ref="Y149:Y150"/>
    <mergeCell ref="U255:U256"/>
    <mergeCell ref="M185:M186"/>
    <mergeCell ref="AA205:AA206"/>
    <mergeCell ref="AG233:AG234"/>
    <mergeCell ref="R311:R312"/>
    <mergeCell ref="AS13:AS14"/>
    <mergeCell ref="AA65:AA66"/>
    <mergeCell ref="I79:I80"/>
    <mergeCell ref="G315:G316"/>
    <mergeCell ref="AL26:AO26"/>
    <mergeCell ref="A247:A250"/>
    <mergeCell ref="Y151:Y152"/>
    <mergeCell ref="AA31:AA32"/>
    <mergeCell ref="T77:T78"/>
    <mergeCell ref="U167:U168"/>
    <mergeCell ref="Q7:Q8"/>
    <mergeCell ref="AG235:AG236"/>
    <mergeCell ref="O243:O244"/>
    <mergeCell ref="Q305:Q306"/>
    <mergeCell ref="S63:S64"/>
    <mergeCell ref="A336:AS336"/>
    <mergeCell ref="K137:K138"/>
    <mergeCell ref="C13:C16"/>
    <mergeCell ref="U169:U170"/>
    <mergeCell ref="AK57:AK58"/>
    <mergeCell ref="AS315:AS316"/>
    <mergeCell ref="M201:M202"/>
    <mergeCell ref="R39:R40"/>
    <mergeCell ref="G43:G44"/>
    <mergeCell ref="W227:W228"/>
    <mergeCell ref="Z255:Z256"/>
    <mergeCell ref="AG251:AG252"/>
    <mergeCell ref="M107:M108"/>
    <mergeCell ref="T103:T104"/>
    <mergeCell ref="H279:H280"/>
    <mergeCell ref="AQ283:AQ284"/>
    <mergeCell ref="R295:R296"/>
    <mergeCell ref="Y291:Y292"/>
    <mergeCell ref="AA49:AA50"/>
    <mergeCell ref="K163:K164"/>
    <mergeCell ref="B247:B250"/>
    <mergeCell ref="AA207:AA208"/>
    <mergeCell ref="O171:O172"/>
    <mergeCell ref="G245:G246"/>
    <mergeCell ref="V167:V168"/>
    <mergeCell ref="T61:T62"/>
    <mergeCell ref="A267:A270"/>
    <mergeCell ref="AS43:AS44"/>
    <mergeCell ref="N235:N236"/>
    <mergeCell ref="AB232:AF232"/>
    <mergeCell ref="B243:B246"/>
    <mergeCell ref="I5:I6"/>
    <mergeCell ref="K67:K68"/>
    <mergeCell ref="G29:G30"/>
    <mergeCell ref="AP27:AP28"/>
    <mergeCell ref="AP325:AP326"/>
    <mergeCell ref="K69:K70"/>
    <mergeCell ref="L159:L160"/>
    <mergeCell ref="M3:N3"/>
    <mergeCell ref="X227:X228"/>
    <mergeCell ref="R181:R182"/>
    <mergeCell ref="S147:S148"/>
    <mergeCell ref="E321:E322"/>
    <mergeCell ref="T115:T116"/>
    <mergeCell ref="S119:S120"/>
    <mergeCell ref="K193:K194"/>
    <mergeCell ref="O13:O14"/>
    <mergeCell ref="M127:M128"/>
    <mergeCell ref="N217:N218"/>
    <mergeCell ref="U211:U212"/>
    <mergeCell ref="AL96:AO96"/>
    <mergeCell ref="M285:M286"/>
    <mergeCell ref="AH116:AJ116"/>
    <mergeCell ref="V301:V302"/>
    <mergeCell ref="Y221:Y222"/>
    <mergeCell ref="B85:B88"/>
    <mergeCell ref="A295:A298"/>
    <mergeCell ref="T141:T142"/>
    <mergeCell ref="AG299:AG300"/>
    <mergeCell ref="Q71:Q72"/>
    <mergeCell ref="AH82:AJ82"/>
    <mergeCell ref="I145:I146"/>
    <mergeCell ref="AL98:AO98"/>
    <mergeCell ref="AP9:AP10"/>
    <mergeCell ref="B43:B44"/>
    <mergeCell ref="AA279:AA280"/>
    <mergeCell ref="K89:K90"/>
    <mergeCell ref="O315:O316"/>
    <mergeCell ref="Q73:Q74"/>
    <mergeCell ref="AK121:AK122"/>
    <mergeCell ref="I147:I148"/>
    <mergeCell ref="AH170:AJ170"/>
    <mergeCell ref="D101:D102"/>
    <mergeCell ref="F163:F164"/>
    <mergeCell ref="L185:L186"/>
    <mergeCell ref="N247:N248"/>
    <mergeCell ref="M153:M154"/>
    <mergeCell ref="AA63:AA64"/>
    <mergeCell ref="H79:H80"/>
    <mergeCell ref="S137:S138"/>
    <mergeCell ref="X263:X264"/>
    <mergeCell ref="K211:K212"/>
    <mergeCell ref="M311:M312"/>
    <mergeCell ref="AG17:AG18"/>
    <mergeCell ref="F315:F316"/>
    <mergeCell ref="M267:M268"/>
    <mergeCell ref="I17:I18"/>
    <mergeCell ref="F287:F288"/>
    <mergeCell ref="H45:H46"/>
    <mergeCell ref="P7:P8"/>
    <mergeCell ref="Z29:Z30"/>
    <mergeCell ref="O217:O218"/>
    <mergeCell ref="J137:J138"/>
    <mergeCell ref="B13:B16"/>
    <mergeCell ref="AG19:AG20"/>
    <mergeCell ref="AG317:AG318"/>
    <mergeCell ref="T11:T12"/>
    <mergeCell ref="Z39:Z40"/>
    <mergeCell ref="T169:T170"/>
    <mergeCell ref="R71:R72"/>
    <mergeCell ref="J145:J146"/>
    <mergeCell ref="P307:P308"/>
    <mergeCell ref="I173:I174"/>
    <mergeCell ref="AR315:AR316"/>
    <mergeCell ref="AQ9:AQ10"/>
    <mergeCell ref="L201:L202"/>
    <mergeCell ref="B205:B210"/>
    <mergeCell ref="Z329:Z330"/>
    <mergeCell ref="M181:M182"/>
    <mergeCell ref="AH12:AJ12"/>
    <mergeCell ref="J111:J112"/>
    <mergeCell ref="A171:A176"/>
    <mergeCell ref="AG231:AG232"/>
    <mergeCell ref="AH14:AJ14"/>
    <mergeCell ref="O239:O240"/>
    <mergeCell ref="Q301:Q302"/>
    <mergeCell ref="AH312:AJ312"/>
    <mergeCell ref="V235:V236"/>
    <mergeCell ref="D243:D244"/>
    <mergeCell ref="X291:X292"/>
    <mergeCell ref="F305:F306"/>
    <mergeCell ref="P25:P26"/>
    <mergeCell ref="M295:M296"/>
    <mergeCell ref="I45:I46"/>
    <mergeCell ref="Q5:Q6"/>
    <mergeCell ref="AK53:AK54"/>
    <mergeCell ref="AL142:AO142"/>
    <mergeCell ref="Q303:Q304"/>
    <mergeCell ref="S61:S62"/>
    <mergeCell ref="AR43:AR44"/>
    <mergeCell ref="Z57:Z58"/>
    <mergeCell ref="AB322:AF322"/>
    <mergeCell ref="G39:G40"/>
    <mergeCell ref="U125:U126"/>
    <mergeCell ref="AB32:AF32"/>
    <mergeCell ref="AG247:AG248"/>
    <mergeCell ref="AH68:AJ68"/>
    <mergeCell ref="AB26:AF26"/>
    <mergeCell ref="B125:B136"/>
    <mergeCell ref="D267:D268"/>
    <mergeCell ref="U283:U284"/>
    <mergeCell ref="AB330:AF330"/>
    <mergeCell ref="AG213:AG214"/>
    <mergeCell ref="K159:K160"/>
    <mergeCell ref="AG249:AG250"/>
    <mergeCell ref="H277:H278"/>
    <mergeCell ref="J35:J36"/>
    <mergeCell ref="Q31:Q32"/>
    <mergeCell ref="AS39:AS40"/>
    <mergeCell ref="J193:J194"/>
    <mergeCell ref="Q329:Q330"/>
    <mergeCell ref="N13:N14"/>
    <mergeCell ref="AP267:AP268"/>
    <mergeCell ref="AR25:AR26"/>
    <mergeCell ref="F333:F334"/>
    <mergeCell ref="AQ93:AQ94"/>
    <mergeCell ref="P279:P280"/>
    <mergeCell ref="L99:L100"/>
    <mergeCell ref="Q331:Q332"/>
    <mergeCell ref="S89:S90"/>
    <mergeCell ref="M225:M226"/>
    <mergeCell ref="AS121:AS122"/>
    <mergeCell ref="AK195:AK196"/>
    <mergeCell ref="AP321:AP322"/>
    <mergeCell ref="A43:A44"/>
    <mergeCell ref="G27:G28"/>
    <mergeCell ref="X223:X224"/>
    <mergeCell ref="C149:C152"/>
    <mergeCell ref="U153:U154"/>
    <mergeCell ref="P79:P80"/>
    <mergeCell ref="Z279:Z280"/>
    <mergeCell ref="N315:N316"/>
    <mergeCell ref="P73:P74"/>
    <mergeCell ref="AK197:AK198"/>
    <mergeCell ref="H147:H148"/>
    <mergeCell ref="AL68:AO68"/>
    <mergeCell ref="AA77:AA78"/>
    <mergeCell ref="C101:C102"/>
    <mergeCell ref="P81:P82"/>
    <mergeCell ref="AH112:AJ112"/>
    <mergeCell ref="R137:R138"/>
    <mergeCell ref="J211:J212"/>
    <mergeCell ref="L267:L268"/>
    <mergeCell ref="AH122:AJ122"/>
    <mergeCell ref="AB256:AF256"/>
    <mergeCell ref="W271:W272"/>
    <mergeCell ref="AS25:AS26"/>
    <mergeCell ref="Y29:Y30"/>
    <mergeCell ref="V299:V300"/>
    <mergeCell ref="T201:T202"/>
    <mergeCell ref="L275:L276"/>
    <mergeCell ref="Y39:Y40"/>
    <mergeCell ref="G53:G54"/>
    <mergeCell ref="Y31:Y32"/>
    <mergeCell ref="Z121:Z122"/>
    <mergeCell ref="Y329:Y330"/>
    <mergeCell ref="A205:A210"/>
    <mergeCell ref="N333:N334"/>
    <mergeCell ref="G55:G56"/>
    <mergeCell ref="AA103:AA104"/>
    <mergeCell ref="L181:L182"/>
    <mergeCell ref="I111:I112"/>
    <mergeCell ref="AH138:AJ138"/>
    <mergeCell ref="AB96:AF96"/>
    <mergeCell ref="AB272:AF272"/>
    <mergeCell ref="A321:A324"/>
    <mergeCell ref="M273:M274"/>
    <mergeCell ref="AA61:AA62"/>
    <mergeCell ref="S135:S136"/>
    <mergeCell ref="U235:U236"/>
    <mergeCell ref="Q129:Q130"/>
    <mergeCell ref="AB98:AF98"/>
    <mergeCell ref="J239:J240"/>
    <mergeCell ref="L301:L302"/>
    <mergeCell ref="N59:N60"/>
    <mergeCell ref="E305:E306"/>
    <mergeCell ref="L295:L296"/>
    <mergeCell ref="J105:J106"/>
    <mergeCell ref="P5:P6"/>
    <mergeCell ref="R67:R68"/>
    <mergeCell ref="Q95:Q96"/>
    <mergeCell ref="R61:R62"/>
    <mergeCell ref="I169:I170"/>
    <mergeCell ref="W299:W300"/>
    <mergeCell ref="Y57:Y58"/>
    <mergeCell ref="P303:P304"/>
    <mergeCell ref="W255:W256"/>
    <mergeCell ref="E307:E308"/>
    <mergeCell ref="S159:S160"/>
    <mergeCell ref="T125:T126"/>
    <mergeCell ref="L321:L322"/>
    <mergeCell ref="AA121:AA122"/>
    <mergeCell ref="Z149:Z150"/>
    <mergeCell ref="AA115:AA116"/>
    <mergeCell ref="A125:A136"/>
    <mergeCell ref="S189:S190"/>
    <mergeCell ref="U251:U252"/>
    <mergeCell ref="AQ305:AQ306"/>
    <mergeCell ref="R193:R194"/>
    <mergeCell ref="V13:V14"/>
    <mergeCell ref="AK147:AK148"/>
    <mergeCell ref="T127:T128"/>
    <mergeCell ref="L323:L324"/>
    <mergeCell ref="U217:U218"/>
    <mergeCell ref="Z151:Z152"/>
    <mergeCell ref="U77:U78"/>
    <mergeCell ref="M291:M292"/>
    <mergeCell ref="AL138:AO138"/>
    <mergeCell ref="P31:P32"/>
    <mergeCell ref="AR39:AR40"/>
    <mergeCell ref="E35:E36"/>
    <mergeCell ref="P145:P146"/>
    <mergeCell ref="E333:E334"/>
    <mergeCell ref="H219:H220"/>
    <mergeCell ref="W141:W142"/>
    <mergeCell ref="K99:K100"/>
    <mergeCell ref="R95:R96"/>
    <mergeCell ref="C223:C226"/>
    <mergeCell ref="R89:R90"/>
    <mergeCell ref="AB22:AF22"/>
    <mergeCell ref="P331:P332"/>
    <mergeCell ref="L225:L226"/>
    <mergeCell ref="J283:J284"/>
    <mergeCell ref="AK163:AK164"/>
    <mergeCell ref="G213:G214"/>
    <mergeCell ref="K101:K102"/>
    <mergeCell ref="F27:F28"/>
    <mergeCell ref="T153:T154"/>
    <mergeCell ref="O79:O80"/>
    <mergeCell ref="AQ35:AQ36"/>
    <mergeCell ref="L227:L228"/>
    <mergeCell ref="M321:M322"/>
    <mergeCell ref="AQ333:AQ334"/>
    <mergeCell ref="H87:H88"/>
    <mergeCell ref="O81:O82"/>
    <mergeCell ref="G295:G296"/>
    <mergeCell ref="P171:P172"/>
    <mergeCell ref="H245:H246"/>
    <mergeCell ref="AL164:AO164"/>
    <mergeCell ref="AA11:AA12"/>
    <mergeCell ref="AA169:AA170"/>
    <mergeCell ref="I183:I184"/>
    <mergeCell ref="AR181:AR182"/>
    <mergeCell ref="L67:L68"/>
    <mergeCell ref="T181:T182"/>
    <mergeCell ref="C145:C148"/>
    <mergeCell ref="F53:F54"/>
    <mergeCell ref="U149:U150"/>
    <mergeCell ref="I185:I186"/>
    <mergeCell ref="N311:N312"/>
    <mergeCell ref="AK193:AK194"/>
    <mergeCell ref="E79:E80"/>
    <mergeCell ref="C315:C316"/>
    <mergeCell ref="AB164:AF164"/>
    <mergeCell ref="F55:F56"/>
    <mergeCell ref="P77:P78"/>
    <mergeCell ref="M7:M8"/>
    <mergeCell ref="R133:R134"/>
    <mergeCell ref="K243:K244"/>
    <mergeCell ref="Y129:Y130"/>
    <mergeCell ref="O63:O64"/>
    <mergeCell ref="G181:G182"/>
    <mergeCell ref="G137:G138"/>
    <mergeCell ref="M305:M306"/>
    <mergeCell ref="S259:S260"/>
    <mergeCell ref="N127:N128"/>
    <mergeCell ref="AR53:AR54"/>
    <mergeCell ref="AQ81:AQ82"/>
    <mergeCell ref="D13:D14"/>
    <mergeCell ref="R135:R136"/>
    <mergeCell ref="AG57:AG58"/>
    <mergeCell ref="T191:T192"/>
    <mergeCell ref="G139:G140"/>
    <mergeCell ref="I201:I202"/>
    <mergeCell ref="I239:I240"/>
    <mergeCell ref="K301:K302"/>
    <mergeCell ref="N39:N40"/>
    <mergeCell ref="AB36:AF36"/>
    <mergeCell ref="AS145:AS146"/>
    <mergeCell ref="J177:J178"/>
    <mergeCell ref="C43:C44"/>
    <mergeCell ref="B53:B56"/>
    <mergeCell ref="C163:C166"/>
    <mergeCell ref="V255:V256"/>
    <mergeCell ref="D307:D308"/>
    <mergeCell ref="AS137:AS138"/>
    <mergeCell ref="AA189:AA190"/>
    <mergeCell ref="G51:G52"/>
    <mergeCell ref="M61:M62"/>
    <mergeCell ref="I107:I108"/>
    <mergeCell ref="X29:X30"/>
    <mergeCell ref="P103:P104"/>
    <mergeCell ref="AH80:AJ80"/>
    <mergeCell ref="D279:D280"/>
    <mergeCell ref="R159:R160"/>
    <mergeCell ref="X21:X22"/>
    <mergeCell ref="E101:E102"/>
    <mergeCell ref="G163:G164"/>
    <mergeCell ref="AP305:AP306"/>
    <mergeCell ref="C181:C184"/>
    <mergeCell ref="X31:X32"/>
    <mergeCell ref="K171:K172"/>
    <mergeCell ref="X329:X330"/>
    <mergeCell ref="J235:J236"/>
    <mergeCell ref="G165:G166"/>
    <mergeCell ref="AP307:AP308"/>
    <mergeCell ref="Y271:Y272"/>
    <mergeCell ref="AA29:AA30"/>
    <mergeCell ref="Z89:Z90"/>
    <mergeCell ref="T225:T226"/>
    <mergeCell ref="D333:D334"/>
    <mergeCell ref="AQ101:AQ102"/>
    <mergeCell ref="B93:B94"/>
    <mergeCell ref="AS163:AS164"/>
    <mergeCell ref="AA215:AA216"/>
    <mergeCell ref="H43:H44"/>
    <mergeCell ref="D149:D150"/>
    <mergeCell ref="AS321:AS322"/>
    <mergeCell ref="AA329:AA330"/>
    <mergeCell ref="Y55:Y56"/>
    <mergeCell ref="AA117:AA118"/>
    <mergeCell ref="W79:W80"/>
    <mergeCell ref="B223:B226"/>
    <mergeCell ref="AG279:AG280"/>
    <mergeCell ref="AR197:AR198"/>
    <mergeCell ref="P115:P116"/>
    <mergeCell ref="I283:I284"/>
    <mergeCell ref="Q97:Q98"/>
    <mergeCell ref="AA119:AA120"/>
    <mergeCell ref="AG281:AG282"/>
    <mergeCell ref="AP35:AP36"/>
    <mergeCell ref="X49:X50"/>
    <mergeCell ref="Y137:Y138"/>
    <mergeCell ref="Q211:Q212"/>
    <mergeCell ref="AP333:AP334"/>
    <mergeCell ref="I285:I286"/>
    <mergeCell ref="R301:R302"/>
    <mergeCell ref="M105:M106"/>
    <mergeCell ref="E31:E32"/>
    <mergeCell ref="AB122:AF122"/>
    <mergeCell ref="AK261:AK262"/>
    <mergeCell ref="V311:V312"/>
    <mergeCell ref="AQ29:AQ30"/>
    <mergeCell ref="H183:H184"/>
    <mergeCell ref="E331:E332"/>
    <mergeCell ref="G89:G90"/>
    <mergeCell ref="D25:D26"/>
    <mergeCell ref="AL104:AO104"/>
    <mergeCell ref="AG121:AG122"/>
    <mergeCell ref="AB82:AF82"/>
    <mergeCell ref="Y195:Y196"/>
    <mergeCell ref="I309:I310"/>
    <mergeCell ref="V125:V126"/>
    <mergeCell ref="A57:A60"/>
    <mergeCell ref="T149:T150"/>
    <mergeCell ref="AQ31:AQ32"/>
    <mergeCell ref="Z133:Z134"/>
    <mergeCell ref="J3:K3"/>
    <mergeCell ref="H185:H186"/>
    <mergeCell ref="I153:I154"/>
    <mergeCell ref="D79:D80"/>
    <mergeCell ref="J247:J248"/>
    <mergeCell ref="AG123:AG124"/>
    <mergeCell ref="B315:B316"/>
    <mergeCell ref="Y197:Y198"/>
    <mergeCell ref="AA259:AA260"/>
    <mergeCell ref="I311:I312"/>
    <mergeCell ref="AQ329:AQ330"/>
    <mergeCell ref="T151:T152"/>
    <mergeCell ref="O77:O78"/>
    <mergeCell ref="AH150:AJ150"/>
    <mergeCell ref="L7:L8"/>
    <mergeCell ref="AS89:AS90"/>
    <mergeCell ref="Q133:Q134"/>
    <mergeCell ref="K217:K218"/>
    <mergeCell ref="N63:N64"/>
    <mergeCell ref="J243:J244"/>
    <mergeCell ref="F137:F138"/>
    <mergeCell ref="B295:B298"/>
    <mergeCell ref="AH302:AJ302"/>
    <mergeCell ref="L305:L306"/>
    <mergeCell ref="W5:W6"/>
    <mergeCell ref="Y67:Y68"/>
    <mergeCell ref="X95:X96"/>
    <mergeCell ref="Q141:Q142"/>
    <mergeCell ref="P169:P170"/>
    <mergeCell ref="Q135:Q136"/>
    <mergeCell ref="AL272:AO272"/>
    <mergeCell ref="AP79:AP80"/>
    <mergeCell ref="F145:F146"/>
    <mergeCell ref="L307:L308"/>
    <mergeCell ref="C89:C92"/>
    <mergeCell ref="H201:H202"/>
    <mergeCell ref="I181:I182"/>
    <mergeCell ref="O191:O192"/>
    <mergeCell ref="AR145:AR146"/>
    <mergeCell ref="Z159:Z160"/>
    <mergeCell ref="AL280:AO280"/>
    <mergeCell ref="AP81:AP82"/>
    <mergeCell ref="Z195:Z196"/>
    <mergeCell ref="Y223:Y224"/>
    <mergeCell ref="AR137:AR138"/>
    <mergeCell ref="Z189:Z190"/>
    <mergeCell ref="H203:H204"/>
    <mergeCell ref="H325:H326"/>
    <mergeCell ref="B333:B334"/>
    <mergeCell ref="O103:O104"/>
    <mergeCell ref="AA127:AA128"/>
    <mergeCell ref="R235:R236"/>
    <mergeCell ref="D107:D108"/>
    <mergeCell ref="W21:W22"/>
    <mergeCell ref="AL186:AO186"/>
    <mergeCell ref="T291:T292"/>
    <mergeCell ref="L25:L26"/>
    <mergeCell ref="B181:B184"/>
    <mergeCell ref="B137:B140"/>
    <mergeCell ref="W31:W32"/>
    <mergeCell ref="U273:U274"/>
    <mergeCell ref="AG53:AG54"/>
    <mergeCell ref="Q167:Q168"/>
    <mergeCell ref="V57:V58"/>
    <mergeCell ref="AH292:AJ292"/>
    <mergeCell ref="X271:X272"/>
    <mergeCell ref="Y95:Y96"/>
    <mergeCell ref="Q169:Q170"/>
    <mergeCell ref="Q125:Q126"/>
    <mergeCell ref="S225:S226"/>
    <mergeCell ref="AP107:AP108"/>
    <mergeCell ref="K299:K300"/>
    <mergeCell ref="C61:C66"/>
    <mergeCell ref="AP101:AP102"/>
    <mergeCell ref="A93:A94"/>
    <mergeCell ref="X115:X116"/>
    <mergeCell ref="AR163:AR164"/>
    <mergeCell ref="H229:H230"/>
    <mergeCell ref="M29:M30"/>
    <mergeCell ref="AA153:AA154"/>
    <mergeCell ref="G159:G160"/>
    <mergeCell ref="S227:S228"/>
    <mergeCell ref="AQ197:AQ198"/>
    <mergeCell ref="O121:O122"/>
    <mergeCell ref="AS259:AS260"/>
    <mergeCell ref="X27:X28"/>
    <mergeCell ref="AB146:AF146"/>
    <mergeCell ref="B163:B166"/>
    <mergeCell ref="F193:F194"/>
    <mergeCell ref="N295:N296"/>
    <mergeCell ref="J13:J14"/>
    <mergeCell ref="G161:G162"/>
    <mergeCell ref="M329:M330"/>
    <mergeCell ref="W49:W50"/>
    <mergeCell ref="AB58:AF58"/>
    <mergeCell ref="Z85:Z86"/>
    <mergeCell ref="AL206:AO206"/>
    <mergeCell ref="H257:H258"/>
    <mergeCell ref="I225:I226"/>
    <mergeCell ref="Q309:Q310"/>
    <mergeCell ref="S67:S68"/>
    <mergeCell ref="AA325:AA326"/>
    <mergeCell ref="AP247:AP248"/>
    <mergeCell ref="AR193:AR194"/>
    <mergeCell ref="L79:L80"/>
    <mergeCell ref="C25:C26"/>
    <mergeCell ref="J315:J316"/>
    <mergeCell ref="L73:L74"/>
    <mergeCell ref="S69:S70"/>
    <mergeCell ref="Z205:Z206"/>
    <mergeCell ref="AP243:AP244"/>
    <mergeCell ref="AR305:AR306"/>
    <mergeCell ref="AP31:AP32"/>
    <mergeCell ref="AL46:AO46"/>
    <mergeCell ref="H153:H154"/>
    <mergeCell ref="N137:N138"/>
    <mergeCell ref="X197:X198"/>
    <mergeCell ref="F211:F212"/>
    <mergeCell ref="Z259:Z260"/>
    <mergeCell ref="U127:U128"/>
    <mergeCell ref="H267:H268"/>
    <mergeCell ref="S151:S152"/>
    <mergeCell ref="AR307:AR308"/>
    <mergeCell ref="K13:K14"/>
    <mergeCell ref="AR95:AR96"/>
    <mergeCell ref="J41:J42"/>
    <mergeCell ref="K7:K8"/>
    <mergeCell ref="AR89:AR90"/>
    <mergeCell ref="Y135:Y136"/>
    <mergeCell ref="J217:J218"/>
    <mergeCell ref="I249:I250"/>
    <mergeCell ref="S271:S272"/>
    <mergeCell ref="AP331:AP332"/>
    <mergeCell ref="Z261:Z262"/>
    <mergeCell ref="H275:H276"/>
    <mergeCell ref="U39:U40"/>
    <mergeCell ref="B201:B204"/>
    <mergeCell ref="E109:E110"/>
    <mergeCell ref="AS185:AS186"/>
    <mergeCell ref="M71:M72"/>
    <mergeCell ref="AB200:AF200"/>
    <mergeCell ref="AP115:AP116"/>
    <mergeCell ref="E145:E146"/>
    <mergeCell ref="B89:B92"/>
    <mergeCell ref="L135:L136"/>
    <mergeCell ref="H181:H182"/>
    <mergeCell ref="W103:W104"/>
    <mergeCell ref="E111:E112"/>
    <mergeCell ref="AL102:AO102"/>
    <mergeCell ref="AH244:AJ244"/>
    <mergeCell ref="M73:M74"/>
    <mergeCell ref="C185:C188"/>
    <mergeCell ref="AP171:AP172"/>
    <mergeCell ref="Q235:Q236"/>
    <mergeCell ref="AK283:AK284"/>
    <mergeCell ref="M129:M130"/>
    <mergeCell ref="S291:S292"/>
    <mergeCell ref="A305:A306"/>
    <mergeCell ref="Z287:Z288"/>
    <mergeCell ref="H295:H296"/>
    <mergeCell ref="A137:A140"/>
    <mergeCell ref="D45:D46"/>
    <mergeCell ref="L5:L6"/>
    <mergeCell ref="N67:N68"/>
    <mergeCell ref="AQ111:AQ112"/>
    <mergeCell ref="N61:N62"/>
    <mergeCell ref="AS211:AS212"/>
    <mergeCell ref="AA225:AA226"/>
    <mergeCell ref="U57:U58"/>
    <mergeCell ref="E171:E172"/>
    <mergeCell ref="B263:B266"/>
    <mergeCell ref="AK285:AK286"/>
    <mergeCell ref="S299:S300"/>
    <mergeCell ref="L303:L304"/>
    <mergeCell ref="A307:A308"/>
    <mergeCell ref="AS325:AS326"/>
    <mergeCell ref="Z155:Z156"/>
    <mergeCell ref="D47:D48"/>
    <mergeCell ref="C201:C204"/>
    <mergeCell ref="AL276:AO276"/>
    <mergeCell ref="AG145:AG146"/>
    <mergeCell ref="P125:P126"/>
    <mergeCell ref="Y219:Y220"/>
    <mergeCell ref="H321:H322"/>
    <mergeCell ref="W121:W122"/>
    <mergeCell ref="AK243:AK244"/>
    <mergeCell ref="W115:W116"/>
    <mergeCell ref="G229:G230"/>
    <mergeCell ref="O189:O190"/>
    <mergeCell ref="Q251:Q252"/>
    <mergeCell ref="AH262:AJ262"/>
    <mergeCell ref="P283:P284"/>
    <mergeCell ref="Z157:Z158"/>
    <mergeCell ref="D103:D104"/>
    <mergeCell ref="P127:P128"/>
    <mergeCell ref="AQ171:AQ172"/>
    <mergeCell ref="W27:W28"/>
    <mergeCell ref="A163:A166"/>
    <mergeCell ref="AA95:AA96"/>
    <mergeCell ref="L31:L32"/>
    <mergeCell ref="AB126:AF126"/>
    <mergeCell ref="AQ137:AQ138"/>
    <mergeCell ref="E193:E194"/>
    <mergeCell ref="L329:L330"/>
    <mergeCell ref="L145:L146"/>
    <mergeCell ref="AK267:AK268"/>
    <mergeCell ref="A333:A334"/>
    <mergeCell ref="G99:G100"/>
    <mergeCell ref="V21:V22"/>
    <mergeCell ref="N95:N96"/>
    <mergeCell ref="L331:L332"/>
    <mergeCell ref="N89:N90"/>
    <mergeCell ref="I15:I16"/>
    <mergeCell ref="G257:G258"/>
    <mergeCell ref="H225:H226"/>
    <mergeCell ref="F283:F284"/>
    <mergeCell ref="AG163:AG164"/>
    <mergeCell ref="G101:G102"/>
    <mergeCell ref="B27:B28"/>
    <mergeCell ref="AA149:AA150"/>
    <mergeCell ref="S223:S224"/>
    <mergeCell ref="AQ193:AQ194"/>
    <mergeCell ref="P153:P154"/>
    <mergeCell ref="K79:K80"/>
    <mergeCell ref="Y207:Y208"/>
    <mergeCell ref="H227:H228"/>
    <mergeCell ref="I321:I322"/>
    <mergeCell ref="AB142:AF142"/>
    <mergeCell ref="Z327:Z328"/>
    <mergeCell ref="W263:W264"/>
    <mergeCell ref="Y21:Y22"/>
    <mergeCell ref="AA151:AA152"/>
    <mergeCell ref="U287:U288"/>
    <mergeCell ref="W45:W46"/>
    <mergeCell ref="S7:S8"/>
    <mergeCell ref="W167:W168"/>
    <mergeCell ref="K81:K82"/>
    <mergeCell ref="M137:M138"/>
    <mergeCell ref="AB144:AF144"/>
    <mergeCell ref="A193:A196"/>
    <mergeCell ref="E211:E212"/>
    <mergeCell ref="F35:F36"/>
    <mergeCell ref="AB302:AF302"/>
    <mergeCell ref="AQ307:AQ308"/>
    <mergeCell ref="W47:W48"/>
    <mergeCell ref="AH316:AJ316"/>
    <mergeCell ref="O201:O202"/>
    <mergeCell ref="G275:G276"/>
    <mergeCell ref="I33:I34"/>
    <mergeCell ref="P181:P182"/>
    <mergeCell ref="D205:D206"/>
    <mergeCell ref="O89:O90"/>
    <mergeCell ref="S65:S66"/>
    <mergeCell ref="R273:R274"/>
    <mergeCell ref="AG189:AG190"/>
    <mergeCell ref="G277:G278"/>
    <mergeCell ref="AR301:AR302"/>
    <mergeCell ref="I333:I334"/>
    <mergeCell ref="V103:V104"/>
    <mergeCell ref="Y235:Y236"/>
    <mergeCell ref="AS283:AS284"/>
    <mergeCell ref="U129:U130"/>
    <mergeCell ref="V95:V96"/>
    <mergeCell ref="AK17:AK18"/>
    <mergeCell ref="AA291:AA292"/>
    <mergeCell ref="AA327:AA328"/>
    <mergeCell ref="I245:I246"/>
    <mergeCell ref="X167:X168"/>
    <mergeCell ref="V61:V62"/>
    <mergeCell ref="C267:C270"/>
    <mergeCell ref="P235:P236"/>
    <mergeCell ref="AB172:AF172"/>
    <mergeCell ref="E239:E240"/>
    <mergeCell ref="G301:G302"/>
    <mergeCell ref="P207:P208"/>
    <mergeCell ref="J39:J40"/>
    <mergeCell ref="K5:K6"/>
    <mergeCell ref="M67:M68"/>
    <mergeCell ref="K309:K310"/>
    <mergeCell ref="AP111:AP112"/>
    <mergeCell ref="F177:F178"/>
    <mergeCell ref="Z225:Z226"/>
    <mergeCell ref="R299:R300"/>
    <mergeCell ref="T57:T58"/>
    <mergeCell ref="L131:L132"/>
    <mergeCell ref="W189:W190"/>
    <mergeCell ref="Y251:Y252"/>
    <mergeCell ref="AA9:AA10"/>
    <mergeCell ref="I61:I62"/>
    <mergeCell ref="G303:G304"/>
    <mergeCell ref="T29:T30"/>
    <mergeCell ref="AA167:AA168"/>
    <mergeCell ref="L103:L104"/>
    <mergeCell ref="M69:M70"/>
    <mergeCell ref="AH240:AJ240"/>
    <mergeCell ref="L97:L98"/>
    <mergeCell ref="T65:T66"/>
    <mergeCell ref="O125:O126"/>
    <mergeCell ref="S93:S94"/>
    <mergeCell ref="N159:N160"/>
    <mergeCell ref="V121:V122"/>
    <mergeCell ref="Z227:Z228"/>
    <mergeCell ref="AQ239:AQ240"/>
    <mergeCell ref="AS301:AS302"/>
    <mergeCell ref="AS295:AS296"/>
    <mergeCell ref="Y157:Y158"/>
    <mergeCell ref="T329:T330"/>
    <mergeCell ref="O127:O128"/>
    <mergeCell ref="F235:F236"/>
    <mergeCell ref="H297:H298"/>
    <mergeCell ref="F17:F18"/>
    <mergeCell ref="U151:U152"/>
    <mergeCell ref="A239:A242"/>
    <mergeCell ref="AA221:AA222"/>
    <mergeCell ref="K31:K32"/>
    <mergeCell ref="V89:V90"/>
    <mergeCell ref="AP137:AP138"/>
    <mergeCell ref="C295:C298"/>
    <mergeCell ref="P225:P226"/>
    <mergeCell ref="Q191:Q192"/>
    <mergeCell ref="Z285:Z286"/>
    <mergeCell ref="K145:K146"/>
    <mergeCell ref="S239:S240"/>
    <mergeCell ref="H293:H294"/>
    <mergeCell ref="R141:R142"/>
    <mergeCell ref="D43:D44"/>
    <mergeCell ref="AQ79:AQ80"/>
    <mergeCell ref="U21:U22"/>
    <mergeCell ref="M95:M96"/>
    <mergeCell ref="K331:K332"/>
    <mergeCell ref="S79:S80"/>
    <mergeCell ref="AR201:AR202"/>
    <mergeCell ref="G225:G226"/>
    <mergeCell ref="AR17:AR18"/>
    <mergeCell ref="L115:L116"/>
    <mergeCell ref="E283:E284"/>
    <mergeCell ref="X93:X94"/>
    <mergeCell ref="M97:M98"/>
    <mergeCell ref="P3:Q3"/>
    <mergeCell ref="AQ167:AQ168"/>
    <mergeCell ref="O153:O154"/>
    <mergeCell ref="G227:G228"/>
    <mergeCell ref="AG259:AG260"/>
    <mergeCell ref="V263:V264"/>
    <mergeCell ref="H165:H166"/>
    <mergeCell ref="J81:J82"/>
    <mergeCell ref="Q217:Q218"/>
    <mergeCell ref="I291:I292"/>
    <mergeCell ref="K49:K50"/>
    <mergeCell ref="AA93:AA94"/>
    <mergeCell ref="J53:J54"/>
    <mergeCell ref="K21:K22"/>
    <mergeCell ref="A275:A278"/>
    <mergeCell ref="AS227:AS228"/>
    <mergeCell ref="I293:I294"/>
    <mergeCell ref="AS9:AS10"/>
    <mergeCell ref="E309:E310"/>
    <mergeCell ref="D185:D186"/>
    <mergeCell ref="F247:F248"/>
    <mergeCell ref="E153:E154"/>
    <mergeCell ref="C171:C176"/>
    <mergeCell ref="Y17:Y18"/>
    <mergeCell ref="C227:C230"/>
    <mergeCell ref="W259:W260"/>
    <mergeCell ref="E311:E312"/>
    <mergeCell ref="X235:X236"/>
    <mergeCell ref="H7:H8"/>
    <mergeCell ref="AR283:AR284"/>
    <mergeCell ref="F243:F244"/>
    <mergeCell ref="T129:T130"/>
    <mergeCell ref="J63:J64"/>
    <mergeCell ref="M239:M240"/>
    <mergeCell ref="H305:H306"/>
    <mergeCell ref="Q59:Q60"/>
    <mergeCell ref="AQ309:AQ310"/>
    <mergeCell ref="AS67:AS68"/>
    <mergeCell ref="O295:O296"/>
    <mergeCell ref="Y317:Y318"/>
    <mergeCell ref="S5:S6"/>
    <mergeCell ref="AL80:AO80"/>
    <mergeCell ref="M141:M142"/>
    <mergeCell ref="T131:T132"/>
    <mergeCell ref="H307:H308"/>
    <mergeCell ref="D201:D202"/>
    <mergeCell ref="N261:N262"/>
    <mergeCell ref="K191:K192"/>
    <mergeCell ref="A5:A8"/>
    <mergeCell ref="B275:B278"/>
    <mergeCell ref="D89:D90"/>
    <mergeCell ref="AL168:AO168"/>
    <mergeCell ref="AG185:AG186"/>
    <mergeCell ref="AR243:AR244"/>
    <mergeCell ref="V189:V190"/>
    <mergeCell ref="X251:X252"/>
    <mergeCell ref="Z9:Z10"/>
    <mergeCell ref="S29:S30"/>
    <mergeCell ref="Y231:Y232"/>
    <mergeCell ref="K103:K104"/>
    <mergeCell ref="AK13:AK14"/>
    <mergeCell ref="G241:G242"/>
    <mergeCell ref="AK7:AK8"/>
    <mergeCell ref="S21:S22"/>
    <mergeCell ref="AP239:AP240"/>
    <mergeCell ref="Z11:Z12"/>
    <mergeCell ref="S31:S32"/>
  </mergeCells>
  <pageMargins left="0.3" right="0.3" top="0.4" bottom="0.4"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I14"/>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2" customWidth="1" style="70" min="8" max="8"/>
    <col width="52" customWidth="1" style="70" min="9" max="9"/>
  </cols>
  <sheetData>
    <row r="1" ht="22" customHeight="1" s="70">
      <c r="A1" s="128" t="inlineStr">
        <is>
          <t>CU Batch</t>
        </is>
      </c>
      <c r="B1" s="128" t="inlineStr">
        <is>
          <t>P Batch</t>
        </is>
      </c>
      <c r="C1" s="128" t="inlineStr">
        <is>
          <t>Certificate</t>
        </is>
      </c>
      <c r="D1" s="128" t="inlineStr">
        <is>
          <t>Date</t>
        </is>
      </c>
      <c r="E1" s="128" t="inlineStr">
        <is>
          <t>Lab</t>
        </is>
      </c>
      <c r="F1" s="128" t="inlineStr">
        <is>
          <t>#</t>
        </is>
      </c>
      <c r="G1" s="128" t="inlineStr">
        <is>
          <t>Parameter</t>
        </is>
      </c>
      <c r="H1" s="128" t="inlineStr">
        <is>
          <t>Finding</t>
        </is>
      </c>
      <c r="I1" s="128" t="inlineStr">
        <is>
          <t>Action</t>
        </is>
      </c>
    </row>
    <row r="2">
      <c r="A2" s="130" t="inlineStr">
        <is>
          <t>BSS052501</t>
        </is>
      </c>
      <c r="B2" s="129" t="inlineStr">
        <is>
          <t>P050192</t>
        </is>
      </c>
      <c r="C2" s="129" t="inlineStr">
        <is>
          <t>NGP-QCG-SOP-024 F3</t>
        </is>
      </c>
      <c r="D2" s="274" t="n">
        <v>45989</v>
      </c>
      <c r="E2" s="129" t="inlineStr">
        <is>
          <t>NGP</t>
        </is>
      </c>
      <c r="F2" s="129" t="inlineStr">
        <is>
          <t>#6</t>
        </is>
      </c>
      <c r="G2" s="133" t="inlineStr">
        <is>
          <t>#6 Total CBN</t>
        </is>
      </c>
      <c r="H2" s="275" t="inlineStr">
        <is>
          <t>held for review</t>
        </is>
      </c>
      <c r="I2" s="276" t="inlineStr">
        <is>
          <t>The two independent reads disagreed. A person must confirm the figure from the page.</t>
        </is>
      </c>
    </row>
    <row r="3">
      <c r="A3" s="130" t="inlineStr">
        <is>
          <t>GP062501</t>
        </is>
      </c>
      <c r="B3" s="129" t="inlineStr">
        <is>
          <t>P050202</t>
        </is>
      </c>
      <c r="C3" s="129" t="inlineStr">
        <is>
          <t>NGP-QCG-SOP-024 F3</t>
        </is>
      </c>
      <c r="D3" s="274" t="n">
        <v>45989</v>
      </c>
      <c r="E3" s="129" t="inlineStr">
        <is>
          <t>NGP</t>
        </is>
      </c>
      <c r="F3" s="129" t="inlineStr">
        <is>
          <t>#6</t>
        </is>
      </c>
      <c r="G3" s="133" t="inlineStr">
        <is>
          <t>#6 Total CBN</t>
        </is>
      </c>
      <c r="H3" s="275" t="inlineStr">
        <is>
          <t>held for review</t>
        </is>
      </c>
      <c r="I3" s="276" t="inlineStr">
        <is>
          <t>The two independent reads disagreed. A person must confirm the figure from the page.</t>
        </is>
      </c>
    </row>
    <row r="4">
      <c r="A4" s="130" t="inlineStr">
        <is>
          <t>J31112501</t>
        </is>
      </c>
      <c r="B4" s="129" t="inlineStr">
        <is>
          <t>P060202</t>
        </is>
      </c>
      <c r="C4" s="129" t="inlineStr">
        <is>
          <t>100-1-K-26</t>
        </is>
      </c>
      <c r="D4" s="274" t="n">
        <v>46121</v>
      </c>
      <c r="E4" s="129" t="inlineStr">
        <is>
          <t>FHM-K</t>
        </is>
      </c>
      <c r="F4" s="129" t="inlineStr">
        <is>
          <t>#3</t>
        </is>
      </c>
      <c r="G4" s="133" t="inlineStr">
        <is>
          <t>#3 Identification C</t>
        </is>
      </c>
      <c r="H4" s="275" t="inlineStr">
        <is>
          <t>held for review</t>
        </is>
      </c>
      <c r="I4" s="276" t="inlineStr">
        <is>
          <t>The two independent reads disagreed. A person must confirm the figure from the page.</t>
        </is>
      </c>
    </row>
    <row r="5">
      <c r="A5" s="130" t="inlineStr">
        <is>
          <t>FB032601</t>
        </is>
      </c>
      <c r="B5" s="129" t="inlineStr">
        <is>
          <t>P060452</t>
        </is>
      </c>
      <c r="C5" s="129" t="inlineStr">
        <is>
          <t>ППК26127</t>
        </is>
      </c>
      <c r="D5" s="274" t="n">
        <v>46224</v>
      </c>
      <c r="E5" s="129" t="inlineStr">
        <is>
          <t>CNP</t>
        </is>
      </c>
      <c r="F5" s="129" t="inlineStr">
        <is>
          <t>#7</t>
        </is>
      </c>
      <c r="G5" s="133" t="inlineStr">
        <is>
          <t>#7 Foreign Matter</t>
        </is>
      </c>
      <c r="H5" s="275" t="inlineStr">
        <is>
          <t>non-conformance reported</t>
        </is>
      </c>
      <c r="I5" s="276" t="inlineStr">
        <is>
          <t>The certificate reports a result that does not conform. Open an investigation record; the Head of QC rules on the lot, and the iCoA for this parameter is held until then.</t>
        </is>
      </c>
    </row>
    <row r="6">
      <c r="A6" s="130" t="inlineStr">
        <is>
          <t>J31122501</t>
        </is>
      </c>
      <c r="B6" s="129" t="inlineStr">
        <is>
          <t>P060262</t>
        </is>
      </c>
      <c r="C6" s="129" t="inlineStr">
        <is>
          <t>100-3-K-26</t>
        </is>
      </c>
      <c r="D6" s="274" t="n">
        <v>46121</v>
      </c>
      <c r="E6" s="129" t="inlineStr">
        <is>
          <t>FHM-K</t>
        </is>
      </c>
      <c r="F6" s="129" t="inlineStr">
        <is>
          <t>#3</t>
        </is>
      </c>
      <c r="G6" s="133" t="inlineStr">
        <is>
          <t>#3 Identification C</t>
        </is>
      </c>
      <c r="H6" s="275" t="inlineStr">
        <is>
          <t>not ingested</t>
        </is>
      </c>
      <c r="I6" s="276" t="inlineStr">
        <is>
          <t>Re-extract the document into the corpus; the batch cannot reach a CoQ on this parameter until then.</t>
        </is>
      </c>
    </row>
    <row r="7">
      <c r="A7" s="130" t="inlineStr">
        <is>
          <t>J31122501</t>
        </is>
      </c>
      <c r="B7" s="129" t="inlineStr">
        <is>
          <t>P060262</t>
        </is>
      </c>
      <c r="C7" s="129" t="inlineStr">
        <is>
          <t>1625-2026</t>
        </is>
      </c>
      <c r="D7" s="274" t="n">
        <v>46135</v>
      </c>
      <c r="E7" s="129" t="inlineStr">
        <is>
          <t>IJZ</t>
        </is>
      </c>
      <c r="F7" s="129" t="inlineStr">
        <is>
          <t>#11</t>
        </is>
      </c>
      <c r="G7" s="133" t="inlineStr">
        <is>
          <t>#11 Heavy Metals</t>
        </is>
      </c>
      <c r="H7" s="275" t="inlineStr">
        <is>
          <t>not ingested</t>
        </is>
      </c>
      <c r="I7" s="276" t="inlineStr">
        <is>
          <t>Re-extract the document into the corpus; the batch cannot reach a CoQ on this parameter until then.</t>
        </is>
      </c>
    </row>
    <row r="8">
      <c r="A8" s="130" t="inlineStr">
        <is>
          <t>MB0824_04</t>
        </is>
      </c>
      <c r="B8" s="129" t="inlineStr">
        <is>
          <t>P050032</t>
        </is>
      </c>
      <c r="C8" s="129" t="inlineStr">
        <is>
          <t>ППК25118</t>
        </is>
      </c>
      <c r="D8" s="274" t="n">
        <v>45783</v>
      </c>
      <c r="E8" s="129" t="inlineStr">
        <is>
          <t>CNP</t>
        </is>
      </c>
      <c r="F8" s="129" t="inlineStr">
        <is>
          <t>#6</t>
        </is>
      </c>
      <c r="G8" s="133" t="inlineStr">
        <is>
          <t>#6 Total CBN</t>
        </is>
      </c>
      <c r="H8" s="275" t="inlineStr">
        <is>
          <t>not ingested</t>
        </is>
      </c>
      <c r="I8" s="276" t="inlineStr">
        <is>
          <t>Re-extract the document into the corpus; the batch cannot reach a CoQ on this parameter until then.</t>
        </is>
      </c>
    </row>
    <row r="9">
      <c r="A9" s="130" t="inlineStr">
        <is>
          <t>OPM052501</t>
        </is>
      </c>
      <c r="B9" s="129" t="inlineStr">
        <is>
          <t>P050132</t>
        </is>
      </c>
      <c r="C9" s="129" t="inlineStr">
        <is>
          <t>ППК25257</t>
        </is>
      </c>
      <c r="D9" s="274" t="n">
        <v>45905</v>
      </c>
      <c r="E9" s="129" t="inlineStr">
        <is>
          <t>CNP</t>
        </is>
      </c>
      <c r="F9" s="129" t="inlineStr">
        <is>
          <t>#6</t>
        </is>
      </c>
      <c r="G9" s="133" t="inlineStr">
        <is>
          <t>#6 Total CBN</t>
        </is>
      </c>
      <c r="H9" s="275" t="inlineStr">
        <is>
          <t>not ingested</t>
        </is>
      </c>
      <c r="I9" s="276" t="inlineStr">
        <is>
          <t>Re-extract the document into the corpus; the batch cannot reach a CoQ on this parameter until then.</t>
        </is>
      </c>
    </row>
    <row r="10">
      <c r="A10" s="130" t="inlineStr">
        <is>
          <t>OPM112501</t>
        </is>
      </c>
      <c r="B10" s="129" t="inlineStr">
        <is>
          <t>P060222</t>
        </is>
      </c>
      <c r="C10" s="129" t="inlineStr">
        <is>
          <t>ППК26031</t>
        </is>
      </c>
      <c r="D10" s="274" t="n">
        <v>46086</v>
      </c>
      <c r="E10" s="129" t="inlineStr">
        <is>
          <t>CNP</t>
        </is>
      </c>
      <c r="F10" s="129" t="inlineStr">
        <is>
          <t>#6</t>
        </is>
      </c>
      <c r="G10" s="133" t="inlineStr">
        <is>
          <t>#6 Total CBN</t>
        </is>
      </c>
      <c r="H10" s="275" t="inlineStr">
        <is>
          <t>not ingested</t>
        </is>
      </c>
      <c r="I10" s="276" t="inlineStr">
        <is>
          <t>Re-extract the document into the corpus; the batch cannot reach a CoQ on this parameter until then.</t>
        </is>
      </c>
    </row>
    <row r="11">
      <c r="A11" s="130" t="inlineStr">
        <is>
          <t>PM072501</t>
        </is>
      </c>
      <c r="B11" s="129" t="inlineStr">
        <is>
          <t>P050272</t>
        </is>
      </c>
      <c r="C11" s="129" t="inlineStr">
        <is>
          <t>ППК25368</t>
        </is>
      </c>
      <c r="D11" s="274" t="n">
        <v>45989</v>
      </c>
      <c r="E11" s="129" t="inlineStr">
        <is>
          <t>CNP</t>
        </is>
      </c>
      <c r="F11" s="129" t="inlineStr">
        <is>
          <t>#6</t>
        </is>
      </c>
      <c r="G11" s="133" t="inlineStr">
        <is>
          <t>#6 Total CBN</t>
        </is>
      </c>
      <c r="H11" s="275" t="inlineStr">
        <is>
          <t>not ingested</t>
        </is>
      </c>
      <c r="I11" s="276" t="inlineStr">
        <is>
          <t>Re-extract the document into the corpus; the batch cannot reach a CoQ on this parameter until then.</t>
        </is>
      </c>
    </row>
    <row r="12">
      <c r="A12" s="130" t="inlineStr">
        <is>
          <t>BSS052501</t>
        </is>
      </c>
      <c r="B12" s="129" t="inlineStr">
        <is>
          <t>P050192</t>
        </is>
      </c>
      <c r="C12" s="129" t="inlineStr">
        <is>
          <t>NGP-QCG-SOP-024 F3</t>
        </is>
      </c>
      <c r="D12" s="274" t="n">
        <v>45989</v>
      </c>
      <c r="E12" s="129" t="inlineStr">
        <is>
          <t>NGP</t>
        </is>
      </c>
      <c r="F12" s="129" t="inlineStr">
        <is>
          <t>#8</t>
        </is>
      </c>
      <c r="G12" s="133" t="inlineStr">
        <is>
          <t>#8 Loss on Drying</t>
        </is>
      </c>
      <c r="H12" s="277" t="inlineStr">
        <is>
          <t>not on this certificate</t>
        </is>
      </c>
      <c r="I12" s="276" t="inlineStr">
        <is>
          <t>Move the credit to the certificate that reports this parameter, or record why it stands.</t>
        </is>
      </c>
    </row>
    <row r="13">
      <c r="A13" s="130" t="inlineStr">
        <is>
          <t>BSS052501</t>
        </is>
      </c>
      <c r="B13" s="129" t="inlineStr">
        <is>
          <t>P050192</t>
        </is>
      </c>
      <c r="C13" s="129" t="inlineStr">
        <is>
          <t>5661-2025</t>
        </is>
      </c>
      <c r="D13" s="274" t="n">
        <v>45992</v>
      </c>
      <c r="E13" s="129" t="inlineStr">
        <is>
          <t>IJZ</t>
        </is>
      </c>
      <c r="F13" s="129" t="inlineStr">
        <is>
          <t>#10</t>
        </is>
      </c>
      <c r="G13" s="133" t="inlineStr">
        <is>
          <t>#10 Mycotoxins</t>
        </is>
      </c>
      <c r="H13" s="277" t="inlineStr">
        <is>
          <t>not on this certificate</t>
        </is>
      </c>
      <c r="I13" s="276" t="inlineStr">
        <is>
          <t>Move the credit to the certificate that reports this parameter, or record why it stands.</t>
        </is>
      </c>
    </row>
    <row r="14">
      <c r="A14" s="130" t="inlineStr">
        <is>
          <t>BSS052501</t>
        </is>
      </c>
      <c r="B14" s="129" t="inlineStr">
        <is>
          <t>P050192</t>
        </is>
      </c>
      <c r="C14" s="129" t="inlineStr">
        <is>
          <t>5661-2025</t>
        </is>
      </c>
      <c r="D14" s="274" t="n">
        <v>45992</v>
      </c>
      <c r="E14" s="129" t="inlineStr">
        <is>
          <t>IJZ</t>
        </is>
      </c>
      <c r="F14" s="129" t="inlineStr">
        <is>
          <t>#12</t>
        </is>
      </c>
      <c r="G14" s="133" t="inlineStr">
        <is>
          <t>#12 Pesticide Residues</t>
        </is>
      </c>
      <c r="H14" s="277" t="inlineStr">
        <is>
          <t>not on this certificate</t>
        </is>
      </c>
      <c r="I14" s="276" t="inlineStr">
        <is>
          <t>Move the credit to the certificate that reports this parameter, or record why it stands.</t>
        </is>
      </c>
    </row>
  </sheetData>
  <autoFilter ref="A1:I14"/>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I135"/>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4" customWidth="1" style="70" min="8" max="8"/>
    <col width="58" customWidth="1" style="70" min="9" max="9"/>
  </cols>
  <sheetData>
    <row r="1" ht="22" customHeight="1" s="70">
      <c r="A1" s="128" t="inlineStr">
        <is>
          <t>CU Batch</t>
        </is>
      </c>
      <c r="B1" s="128" t="inlineStr">
        <is>
          <t>P Batch</t>
        </is>
      </c>
      <c r="C1" s="128" t="inlineStr">
        <is>
          <t>Certificate</t>
        </is>
      </c>
      <c r="D1" s="128" t="inlineStr">
        <is>
          <t>Date</t>
        </is>
      </c>
      <c r="E1" s="128" t="inlineStr">
        <is>
          <t>Lab</t>
        </is>
      </c>
      <c r="F1" s="128" t="inlineStr">
        <is>
          <t>#</t>
        </is>
      </c>
      <c r="G1" s="128" t="inlineStr">
        <is>
          <t>Parameter</t>
        </is>
      </c>
      <c r="H1" s="128" t="inlineStr">
        <is>
          <t>Correction</t>
        </is>
      </c>
      <c r="I1" s="128" t="inlineStr">
        <is>
          <t>Evidence</t>
        </is>
      </c>
    </row>
    <row r="2">
      <c r="A2" s="130" t="inlineStr">
        <is>
          <t>BG1024</t>
        </is>
      </c>
      <c r="B2" s="129" t="inlineStr">
        <is>
          <t>N/A — no P batch assigned</t>
        </is>
      </c>
      <c r="C2" s="129" t="inlineStr">
        <is>
          <t>197-1-K-26</t>
        </is>
      </c>
      <c r="D2" s="274" t="n">
        <v>46241</v>
      </c>
      <c r="E2" s="129" t="inlineStr">
        <is>
          <t>FHM-K</t>
        </is>
      </c>
      <c r="F2" s="129" t="inlineStr">
        <is>
          <t>#8</t>
        </is>
      </c>
      <c r="G2" s="133" t="inlineStr">
        <is>
          <t>#8 Loss on Drying</t>
        </is>
      </c>
      <c r="H2" s="277" t="inlineStr">
        <is>
          <t>credit removed</t>
        </is>
      </c>
      <c r="I2" s="276" t="inlineStr">
        <is>
          <t>R1 Farmahem pair — cannabinoid certificate; loss on drying is on the LoD certificate</t>
        </is>
      </c>
    </row>
    <row r="3">
      <c r="A3" s="130" t="inlineStr">
        <is>
          <t>BSS1024</t>
        </is>
      </c>
      <c r="B3" s="129" t="inlineStr">
        <is>
          <t>N/A — no P batch assigned</t>
        </is>
      </c>
      <c r="C3" s="129" t="inlineStr">
        <is>
          <t>197-2-K-26</t>
        </is>
      </c>
      <c r="D3" s="274" t="n">
        <v>46241</v>
      </c>
      <c r="E3" s="129" t="inlineStr">
        <is>
          <t>FHM-K</t>
        </is>
      </c>
      <c r="F3" s="129" t="inlineStr">
        <is>
          <t>#8</t>
        </is>
      </c>
      <c r="G3" s="133" t="inlineStr">
        <is>
          <t>#8 Loss on Drying</t>
        </is>
      </c>
      <c r="H3" s="277" t="inlineStr">
        <is>
          <t>credit removed</t>
        </is>
      </c>
      <c r="I3" s="276" t="inlineStr">
        <is>
          <t>R1 Farmahem pair — cannabinoid certificate; loss on drying is on the LoD certificate</t>
        </is>
      </c>
    </row>
    <row r="4">
      <c r="A4" s="130" t="inlineStr">
        <is>
          <t>CC012601/1</t>
        </is>
      </c>
      <c r="B4" s="129" t="inlineStr">
        <is>
          <t>P060332</t>
        </is>
      </c>
      <c r="C4" s="129" t="inlineStr">
        <is>
          <t>197-6-K-26</t>
        </is>
      </c>
      <c r="D4" s="274" t="n">
        <v>46241</v>
      </c>
      <c r="E4" s="129" t="inlineStr">
        <is>
          <t>FHM-K</t>
        </is>
      </c>
      <c r="F4" s="129" t="inlineStr">
        <is>
          <t>#8</t>
        </is>
      </c>
      <c r="G4" s="133" t="inlineStr">
        <is>
          <t>#8 Loss on Drying</t>
        </is>
      </c>
      <c r="H4" s="277" t="inlineStr">
        <is>
          <t>credit removed</t>
        </is>
      </c>
      <c r="I4" s="276" t="inlineStr">
        <is>
          <t>R1 Farmahem pair — cannabinoid certificate; loss on drying is on the LoD certificate</t>
        </is>
      </c>
    </row>
    <row r="5">
      <c r="A5" s="130" t="inlineStr">
        <is>
          <t>CJ052501/01</t>
        </is>
      </c>
      <c r="B5" s="129" t="inlineStr">
        <is>
          <t>P050162</t>
        </is>
      </c>
      <c r="C5" s="129" t="inlineStr">
        <is>
          <t>197-3-K-26</t>
        </is>
      </c>
      <c r="D5" s="274" t="n">
        <v>46241</v>
      </c>
      <c r="E5" s="129" t="inlineStr">
        <is>
          <t>FHM-K</t>
        </is>
      </c>
      <c r="F5" s="129" t="inlineStr">
        <is>
          <t>#8</t>
        </is>
      </c>
      <c r="G5" s="133" t="inlineStr">
        <is>
          <t>#8 Loss on Drying</t>
        </is>
      </c>
      <c r="H5" s="277" t="inlineStr">
        <is>
          <t>credit removed</t>
        </is>
      </c>
      <c r="I5" s="276" t="inlineStr">
        <is>
          <t>R1 Farmahem pair — cannabinoid certificate; loss on drying is on the LoD certificate</t>
        </is>
      </c>
    </row>
    <row r="6">
      <c r="A6" s="130" t="inlineStr">
        <is>
          <t>CJ062501/2</t>
        </is>
      </c>
      <c r="B6" s="129" t="inlineStr">
        <is>
          <t>P050212</t>
        </is>
      </c>
      <c r="C6" s="129" t="inlineStr">
        <is>
          <t>197-4-K-26</t>
        </is>
      </c>
      <c r="D6" s="274" t="n">
        <v>46241</v>
      </c>
      <c r="E6" s="129" t="inlineStr">
        <is>
          <t>FHM-K</t>
        </is>
      </c>
      <c r="F6" s="129" t="inlineStr">
        <is>
          <t>#8</t>
        </is>
      </c>
      <c r="G6" s="133" t="inlineStr">
        <is>
          <t>#8 Loss on Drying</t>
        </is>
      </c>
      <c r="H6" s="277" t="inlineStr">
        <is>
          <t>credit removed</t>
        </is>
      </c>
      <c r="I6" s="276" t="inlineStr">
        <is>
          <t>R1 Farmahem pair — cannabinoid certificate; loss on drying is on the LoD certificate</t>
        </is>
      </c>
    </row>
    <row r="7">
      <c r="A7" s="130" t="inlineStr">
        <is>
          <t>CJ082501/2</t>
        </is>
      </c>
      <c r="B7" s="129" t="inlineStr">
        <is>
          <t>P060032</t>
        </is>
      </c>
      <c r="C7" s="129" t="inlineStr">
        <is>
          <t>197-5-K-26</t>
        </is>
      </c>
      <c r="D7" s="274" t="n">
        <v>46241</v>
      </c>
      <c r="E7" s="129" t="inlineStr">
        <is>
          <t>FHM-K</t>
        </is>
      </c>
      <c r="F7" s="129" t="inlineStr">
        <is>
          <t>#8</t>
        </is>
      </c>
      <c r="G7" s="133" t="inlineStr">
        <is>
          <t>#8 Loss on Drying</t>
        </is>
      </c>
      <c r="H7" s="277" t="inlineStr">
        <is>
          <t>credit removed</t>
        </is>
      </c>
      <c r="I7" s="276" t="inlineStr">
        <is>
          <t>R1 Farmahem pair — cannabinoid certificate; loss on drying is on the LoD certificate</t>
        </is>
      </c>
    </row>
    <row r="8">
      <c r="A8" s="130" t="inlineStr">
        <is>
          <t>FB012602*</t>
        </is>
      </c>
      <c r="B8" s="129" t="inlineStr">
        <is>
          <t>P060352</t>
        </is>
      </c>
      <c r="C8" s="129" t="inlineStr">
        <is>
          <t>197-7-K-26</t>
        </is>
      </c>
      <c r="D8" s="274" t="n">
        <v>46241</v>
      </c>
      <c r="E8" s="129" t="inlineStr">
        <is>
          <t>FHM-K</t>
        </is>
      </c>
      <c r="F8" s="129" t="inlineStr">
        <is>
          <t>#8</t>
        </is>
      </c>
      <c r="G8" s="133" t="inlineStr">
        <is>
          <t>#8 Loss on Drying</t>
        </is>
      </c>
      <c r="H8" s="277" t="inlineStr">
        <is>
          <t>credit removed</t>
        </is>
      </c>
      <c r="I8" s="276" t="inlineStr">
        <is>
          <t>R1 Farmahem pair — cannabinoid certificate; loss on drying is on the LoD certificate</t>
        </is>
      </c>
    </row>
    <row r="9">
      <c r="A9" s="130" t="inlineStr">
        <is>
          <t>GG012603</t>
        </is>
      </c>
      <c r="B9" s="129" t="inlineStr">
        <is>
          <t>P060402</t>
        </is>
      </c>
      <c r="C9" s="129" t="inlineStr">
        <is>
          <t>197-8-K-26</t>
        </is>
      </c>
      <c r="D9" s="274" t="n">
        <v>46241</v>
      </c>
      <c r="E9" s="129" t="inlineStr">
        <is>
          <t>FHM-K</t>
        </is>
      </c>
      <c r="F9" s="129" t="inlineStr">
        <is>
          <t>#8</t>
        </is>
      </c>
      <c r="G9" s="133" t="inlineStr">
        <is>
          <t>#8 Loss on Drying</t>
        </is>
      </c>
      <c r="H9" s="277" t="inlineStr">
        <is>
          <t>credit removed</t>
        </is>
      </c>
      <c r="I9" s="276" t="inlineStr">
        <is>
          <t>R1 Farmahem pair — cannabinoid certificate; loss on drying is on the LoD certificate</t>
        </is>
      </c>
    </row>
    <row r="10">
      <c r="A10" s="130" t="inlineStr">
        <is>
          <t>GG1024_01</t>
        </is>
      </c>
      <c r="B10" s="129" t="inlineStr">
        <is>
          <t>P050092</t>
        </is>
      </c>
      <c r="C10" s="129" t="inlineStr">
        <is>
          <t>197-9-K-26</t>
        </is>
      </c>
      <c r="D10" s="274" t="n">
        <v>46241</v>
      </c>
      <c r="E10" s="129" t="inlineStr">
        <is>
          <t>FHM-K</t>
        </is>
      </c>
      <c r="F10" s="129" t="inlineStr">
        <is>
          <t>#8</t>
        </is>
      </c>
      <c r="G10" s="133" t="inlineStr">
        <is>
          <t>#8 Loss on Drying</t>
        </is>
      </c>
      <c r="H10" s="277" t="inlineStr">
        <is>
          <t>credit removed</t>
        </is>
      </c>
      <c r="I10" s="276" t="inlineStr">
        <is>
          <t>R1 Farmahem pair — cannabinoid certificate; loss on drying is on the LoD certificate</t>
        </is>
      </c>
    </row>
    <row r="11">
      <c r="A11" s="130" t="inlineStr">
        <is>
          <t>GP052501</t>
        </is>
      </c>
      <c r="B11" s="129" t="inlineStr">
        <is>
          <t>P050152</t>
        </is>
      </c>
      <c r="C11" s="129" t="inlineStr">
        <is>
          <t>197-10-K-26</t>
        </is>
      </c>
      <c r="D11" s="274" t="n">
        <v>46241</v>
      </c>
      <c r="E11" s="129" t="inlineStr">
        <is>
          <t>FHM-K</t>
        </is>
      </c>
      <c r="F11" s="129" t="inlineStr">
        <is>
          <t>#8</t>
        </is>
      </c>
      <c r="G11" s="133" t="inlineStr">
        <is>
          <t>#8 Loss on Drying</t>
        </is>
      </c>
      <c r="H11" s="277" t="inlineStr">
        <is>
          <t>credit removed</t>
        </is>
      </c>
      <c r="I11" s="276" t="inlineStr">
        <is>
          <t>R1 Farmahem pair — cannabinoid certificate; loss on drying is on the LoD certificate</t>
        </is>
      </c>
    </row>
    <row r="12">
      <c r="A12" s="130" t="inlineStr">
        <is>
          <t>GP0824_02</t>
        </is>
      </c>
      <c r="B12" s="129" t="inlineStr">
        <is>
          <t>P050022</t>
        </is>
      </c>
      <c r="C12" s="129" t="inlineStr">
        <is>
          <t>197-11-K-26</t>
        </is>
      </c>
      <c r="D12" s="274" t="n">
        <v>46241</v>
      </c>
      <c r="E12" s="129" t="inlineStr">
        <is>
          <t>FHM-K</t>
        </is>
      </c>
      <c r="F12" s="129" t="inlineStr">
        <is>
          <t>#8</t>
        </is>
      </c>
      <c r="G12" s="133" t="inlineStr">
        <is>
          <t>#8 Loss on Drying</t>
        </is>
      </c>
      <c r="H12" s="277" t="inlineStr">
        <is>
          <t>credit removed</t>
        </is>
      </c>
      <c r="I12" s="276" t="inlineStr">
        <is>
          <t>R1 Farmahem pair — cannabinoid certificate; loss on drying is on the LoD certificate</t>
        </is>
      </c>
    </row>
    <row r="13">
      <c r="A13" s="130" t="inlineStr">
        <is>
          <t>GP082501/2</t>
        </is>
      </c>
      <c r="B13" s="129" t="inlineStr">
        <is>
          <t>P050322</t>
        </is>
      </c>
      <c r="C13" s="129" t="inlineStr">
        <is>
          <t>197-12-K-26</t>
        </is>
      </c>
      <c r="D13" s="274" t="n">
        <v>46241</v>
      </c>
      <c r="E13" s="129" t="inlineStr">
        <is>
          <t>FHM-K</t>
        </is>
      </c>
      <c r="F13" s="129" t="inlineStr">
        <is>
          <t>#8</t>
        </is>
      </c>
      <c r="G13" s="133" t="inlineStr">
        <is>
          <t>#8 Loss on Drying</t>
        </is>
      </c>
      <c r="H13" s="277" t="inlineStr">
        <is>
          <t>credit removed</t>
        </is>
      </c>
      <c r="I13" s="276" t="inlineStr">
        <is>
          <t>R1 Farmahem pair — cannabinoid certificate; loss on drying is on the LoD certificate</t>
        </is>
      </c>
    </row>
    <row r="14">
      <c r="A14" s="130" t="inlineStr">
        <is>
          <t>GRC102501</t>
        </is>
      </c>
      <c r="B14" s="129" t="inlineStr">
        <is>
          <t>P060142 / P060182</t>
        </is>
      </c>
      <c r="C14" s="129" t="inlineStr">
        <is>
          <t>051-6-LoD-26</t>
        </is>
      </c>
      <c r="D14" s="274" t="n">
        <v>46083</v>
      </c>
      <c r="E14" s="129" t="inlineStr">
        <is>
          <t>FHM-K</t>
        </is>
      </c>
      <c r="F14" s="129" t="inlineStr">
        <is>
          <t>#3</t>
        </is>
      </c>
      <c r="G14" s="133" t="inlineStr">
        <is>
          <t>#3 Identification C</t>
        </is>
      </c>
      <c r="H14" s="277" t="inlineStr">
        <is>
          <t>credit removed</t>
        </is>
      </c>
      <c r="I14" s="276" t="inlineStr">
        <is>
          <t>R1 Farmahem pair — loss-on-drying certificate; reports no such determination</t>
        </is>
      </c>
    </row>
    <row r="15">
      <c r="A15" s="130" t="inlineStr">
        <is>
          <t>GRC102501</t>
        </is>
      </c>
      <c r="B15" s="129" t="inlineStr">
        <is>
          <t>P060142 / P060182</t>
        </is>
      </c>
      <c r="C15" s="129" t="inlineStr">
        <is>
          <t>051-6-LoD-26</t>
        </is>
      </c>
      <c r="D15" s="274" t="n">
        <v>46083</v>
      </c>
      <c r="E15" s="129" t="inlineStr">
        <is>
          <t>FHM-K</t>
        </is>
      </c>
      <c r="F15" s="129" t="inlineStr">
        <is>
          <t>#4</t>
        </is>
      </c>
      <c r="G15" s="133" t="inlineStr">
        <is>
          <t>#4 Assay — Total Δ⁹-THC*</t>
        </is>
      </c>
      <c r="H15" s="277" t="inlineStr">
        <is>
          <t>credit removed</t>
        </is>
      </c>
      <c r="I15" s="276" t="inlineStr">
        <is>
          <t>R1 Farmahem pair — loss-on-drying certificate; reports no such determination</t>
        </is>
      </c>
    </row>
    <row r="16">
      <c r="A16" s="130" t="inlineStr">
        <is>
          <t>GRC102501</t>
        </is>
      </c>
      <c r="B16" s="129" t="inlineStr">
        <is>
          <t>P060142 / P060182</t>
        </is>
      </c>
      <c r="C16" s="129" t="inlineStr">
        <is>
          <t>051-6-LoD-26</t>
        </is>
      </c>
      <c r="D16" s="274" t="n">
        <v>46083</v>
      </c>
      <c r="E16" s="129" t="inlineStr">
        <is>
          <t>FHM-K</t>
        </is>
      </c>
      <c r="F16" s="129" t="inlineStr">
        <is>
          <t>#5</t>
        </is>
      </c>
      <c r="G16" s="133" t="inlineStr">
        <is>
          <t>#5 Assay — Total CBD</t>
        </is>
      </c>
      <c r="H16" s="277" t="inlineStr">
        <is>
          <t>credit removed</t>
        </is>
      </c>
      <c r="I16" s="276" t="inlineStr">
        <is>
          <t>R1 Farmahem pair — loss-on-drying certificate; reports no such determination</t>
        </is>
      </c>
    </row>
    <row r="17">
      <c r="A17" s="130" t="inlineStr">
        <is>
          <t>GRC102501</t>
        </is>
      </c>
      <c r="B17" s="129" t="inlineStr">
        <is>
          <t>P060142 / P060182</t>
        </is>
      </c>
      <c r="C17" s="129" t="inlineStr">
        <is>
          <t>051-6-LoD-26</t>
        </is>
      </c>
      <c r="D17" s="274" t="n">
        <v>46083</v>
      </c>
      <c r="E17" s="129" t="inlineStr">
        <is>
          <t>FHM-K</t>
        </is>
      </c>
      <c r="F17" s="129" t="inlineStr">
        <is>
          <t>#6</t>
        </is>
      </c>
      <c r="G17" s="133" t="inlineStr">
        <is>
          <t>#6 Total CBN</t>
        </is>
      </c>
      <c r="H17" s="277" t="inlineStr">
        <is>
          <t>credit removed</t>
        </is>
      </c>
      <c r="I17" s="276" t="inlineStr">
        <is>
          <t>R1 Farmahem pair — loss-on-drying certificate; reports no such determination</t>
        </is>
      </c>
    </row>
    <row r="18">
      <c r="A18" s="130" t="inlineStr">
        <is>
          <t>GRC102501</t>
        </is>
      </c>
      <c r="B18" s="129" t="inlineStr">
        <is>
          <t>P060142 / P060182</t>
        </is>
      </c>
      <c r="C18" s="129" t="inlineStr">
        <is>
          <t>051-6-K-26</t>
        </is>
      </c>
      <c r="D18" s="274" t="n">
        <v>46085</v>
      </c>
      <c r="E18" s="129" t="inlineStr">
        <is>
          <t>FHM-K</t>
        </is>
      </c>
      <c r="F18" s="129" t="inlineStr">
        <is>
          <t>#8</t>
        </is>
      </c>
      <c r="G18" s="133" t="inlineStr">
        <is>
          <t>#8 Loss on Drying</t>
        </is>
      </c>
      <c r="H18" s="277" t="inlineStr">
        <is>
          <t>credit removed</t>
        </is>
      </c>
      <c r="I18" s="276" t="inlineStr">
        <is>
          <t>R1 Farmahem pair — cannabinoid certificate; loss on drying is on the LoD certificate</t>
        </is>
      </c>
    </row>
    <row r="19">
      <c r="A19" s="130" t="inlineStr">
        <is>
          <t>HPA1024</t>
        </is>
      </c>
      <c r="B19" s="129" t="inlineStr">
        <is>
          <t>N/A — no P batch assigned</t>
        </is>
      </c>
      <c r="C19" s="129" t="inlineStr">
        <is>
          <t>197-13-K-26</t>
        </is>
      </c>
      <c r="D19" s="274" t="n">
        <v>46241</v>
      </c>
      <c r="E19" s="129" t="inlineStr">
        <is>
          <t>FHM-K</t>
        </is>
      </c>
      <c r="F19" s="129" t="inlineStr">
        <is>
          <t>#8</t>
        </is>
      </c>
      <c r="G19" s="133" t="inlineStr">
        <is>
          <t>#8 Loss on Drying</t>
        </is>
      </c>
      <c r="H19" s="277" t="inlineStr">
        <is>
          <t>credit removed</t>
        </is>
      </c>
      <c r="I19" s="276" t="inlineStr">
        <is>
          <t>R1 Farmahem pair — cannabinoid certificate; loss on drying is on the LoD certificate</t>
        </is>
      </c>
    </row>
    <row r="20">
      <c r="A20" s="130" t="inlineStr">
        <is>
          <t>HPA1024_01</t>
        </is>
      </c>
      <c r="B20" s="129" t="inlineStr">
        <is>
          <t>P050052</t>
        </is>
      </c>
      <c r="C20" s="129" t="inlineStr">
        <is>
          <t>197-14-K-26</t>
        </is>
      </c>
      <c r="D20" s="274" t="n">
        <v>46241</v>
      </c>
      <c r="E20" s="129" t="inlineStr">
        <is>
          <t>FHM-K</t>
        </is>
      </c>
      <c r="F20" s="129" t="inlineStr">
        <is>
          <t>#8</t>
        </is>
      </c>
      <c r="G20" s="133" t="inlineStr">
        <is>
          <t>#8 Loss on Drying</t>
        </is>
      </c>
      <c r="H20" s="277" t="inlineStr">
        <is>
          <t>credit removed</t>
        </is>
      </c>
      <c r="I20" s="276" t="inlineStr">
        <is>
          <t>R1 Farmahem pair — cannabinoid certificate; loss on drying is on the LoD certificate</t>
        </is>
      </c>
    </row>
    <row r="21">
      <c r="A21" s="130" t="inlineStr">
        <is>
          <t>J31102501</t>
        </is>
      </c>
      <c r="B21" s="129" t="inlineStr">
        <is>
          <t>P060152</t>
        </is>
      </c>
      <c r="C21" s="129" t="inlineStr">
        <is>
          <t>051-1-LoD-26</t>
        </is>
      </c>
      <c r="D21" s="274" t="n">
        <v>46083</v>
      </c>
      <c r="E21" s="129" t="inlineStr">
        <is>
          <t>FHM-K</t>
        </is>
      </c>
      <c r="F21" s="129" t="inlineStr">
        <is>
          <t>#3</t>
        </is>
      </c>
      <c r="G21" s="133" t="inlineStr">
        <is>
          <t>#3 Identification C</t>
        </is>
      </c>
      <c r="H21" s="277" t="inlineStr">
        <is>
          <t>credit removed</t>
        </is>
      </c>
      <c r="I21" s="276" t="inlineStr">
        <is>
          <t>R1 Farmahem pair — loss-on-drying certificate; reports no such determination</t>
        </is>
      </c>
    </row>
    <row r="22">
      <c r="A22" s="130" t="inlineStr">
        <is>
          <t>J31102501</t>
        </is>
      </c>
      <c r="B22" s="129" t="inlineStr">
        <is>
          <t>P060152</t>
        </is>
      </c>
      <c r="C22" s="129" t="inlineStr">
        <is>
          <t>051-1-LoD-26</t>
        </is>
      </c>
      <c r="D22" s="274" t="n">
        <v>46083</v>
      </c>
      <c r="E22" s="129" t="inlineStr">
        <is>
          <t>FHM-K</t>
        </is>
      </c>
      <c r="F22" s="129" t="inlineStr">
        <is>
          <t>#4</t>
        </is>
      </c>
      <c r="G22" s="133" t="inlineStr">
        <is>
          <t>#4 Assay — Total Δ⁹-THC*</t>
        </is>
      </c>
      <c r="H22" s="277" t="inlineStr">
        <is>
          <t>credit removed</t>
        </is>
      </c>
      <c r="I22" s="276" t="inlineStr">
        <is>
          <t>R1 Farmahem pair — loss-on-drying certificate; reports no such determination</t>
        </is>
      </c>
    </row>
    <row r="23">
      <c r="A23" s="130" t="inlineStr">
        <is>
          <t>J31102501</t>
        </is>
      </c>
      <c r="B23" s="129" t="inlineStr">
        <is>
          <t>P060152</t>
        </is>
      </c>
      <c r="C23" s="129" t="inlineStr">
        <is>
          <t>051-1-LoD-26</t>
        </is>
      </c>
      <c r="D23" s="274" t="n">
        <v>46083</v>
      </c>
      <c r="E23" s="129" t="inlineStr">
        <is>
          <t>FHM-K</t>
        </is>
      </c>
      <c r="F23" s="129" t="inlineStr">
        <is>
          <t>#5</t>
        </is>
      </c>
      <c r="G23" s="133" t="inlineStr">
        <is>
          <t>#5 Assay — Total CBD</t>
        </is>
      </c>
      <c r="H23" s="277" t="inlineStr">
        <is>
          <t>credit removed</t>
        </is>
      </c>
      <c r="I23" s="276" t="inlineStr">
        <is>
          <t>R1 Farmahem pair — loss-on-drying certificate; reports no such determination</t>
        </is>
      </c>
    </row>
    <row r="24">
      <c r="A24" s="130" t="inlineStr">
        <is>
          <t>J31102501</t>
        </is>
      </c>
      <c r="B24" s="129" t="inlineStr">
        <is>
          <t>P060152</t>
        </is>
      </c>
      <c r="C24" s="129" t="inlineStr">
        <is>
          <t>051-1-LoD-26</t>
        </is>
      </c>
      <c r="D24" s="274" t="n">
        <v>46083</v>
      </c>
      <c r="E24" s="129" t="inlineStr">
        <is>
          <t>FHM-K</t>
        </is>
      </c>
      <c r="F24" s="129" t="inlineStr">
        <is>
          <t>#6</t>
        </is>
      </c>
      <c r="G24" s="133" t="inlineStr">
        <is>
          <t>#6 Total CBN</t>
        </is>
      </c>
      <c r="H24" s="277" t="inlineStr">
        <is>
          <t>credit removed</t>
        </is>
      </c>
      <c r="I24" s="276" t="inlineStr">
        <is>
          <t>R1 Farmahem pair — loss-on-drying certificate; reports no such determination</t>
        </is>
      </c>
    </row>
    <row r="25">
      <c r="A25" s="130" t="inlineStr">
        <is>
          <t>J31102501</t>
        </is>
      </c>
      <c r="B25" s="129" t="inlineStr">
        <is>
          <t>P060152</t>
        </is>
      </c>
      <c r="C25" s="129" t="inlineStr">
        <is>
          <t>051-1-K-26</t>
        </is>
      </c>
      <c r="D25" s="274" t="n">
        <v>46085</v>
      </c>
      <c r="E25" s="129" t="inlineStr">
        <is>
          <t>FHM-K</t>
        </is>
      </c>
      <c r="F25" s="129" t="inlineStr">
        <is>
          <t>#8</t>
        </is>
      </c>
      <c r="G25" s="133" t="inlineStr">
        <is>
          <t>#8 Loss on Drying</t>
        </is>
      </c>
      <c r="H25" s="277" t="inlineStr">
        <is>
          <t>credit removed</t>
        </is>
      </c>
      <c r="I25" s="276" t="inlineStr">
        <is>
          <t>R1 Farmahem pair — cannabinoid certificate; loss on drying is on the LoD certificate</t>
        </is>
      </c>
    </row>
    <row r="26">
      <c r="A26" s="130" t="inlineStr">
        <is>
          <t>J31102501</t>
        </is>
      </c>
      <c r="B26" s="129" t="inlineStr">
        <is>
          <t>P060152</t>
        </is>
      </c>
      <c r="C26" s="129" t="inlineStr">
        <is>
          <t>197-16-K-26</t>
        </is>
      </c>
      <c r="D26" s="274" t="n">
        <v>46241</v>
      </c>
      <c r="E26" s="129" t="inlineStr">
        <is>
          <t>FHM-K</t>
        </is>
      </c>
      <c r="F26" s="129" t="inlineStr">
        <is>
          <t>#8</t>
        </is>
      </c>
      <c r="G26" s="133" t="inlineStr">
        <is>
          <t>#8 Loss on Drying</t>
        </is>
      </c>
      <c r="H26" s="277" t="inlineStr">
        <is>
          <t>credit removed</t>
        </is>
      </c>
      <c r="I26" s="276" t="inlineStr">
        <is>
          <t>R1 Farmahem pair — cannabinoid certificate; loss on drying is on the LoD certificate</t>
        </is>
      </c>
    </row>
    <row r="27">
      <c r="A27" s="130" t="inlineStr">
        <is>
          <t>J31112501</t>
        </is>
      </c>
      <c r="B27" s="129" t="inlineStr">
        <is>
          <t>P060202</t>
        </is>
      </c>
      <c r="C27" s="129" t="inlineStr">
        <is>
          <t>051-5-LoD-26</t>
        </is>
      </c>
      <c r="D27" s="274" t="n">
        <v>46083</v>
      </c>
      <c r="E27" s="129" t="inlineStr">
        <is>
          <t>FHM-K</t>
        </is>
      </c>
      <c r="F27" s="129" t="inlineStr">
        <is>
          <t>#3</t>
        </is>
      </c>
      <c r="G27" s="133" t="inlineStr">
        <is>
          <t>#3 Identification C</t>
        </is>
      </c>
      <c r="H27" s="277" t="inlineStr">
        <is>
          <t>credit removed</t>
        </is>
      </c>
      <c r="I27" s="276" t="inlineStr">
        <is>
          <t>R1 Farmahem pair — loss-on-drying certificate; reports no such determination</t>
        </is>
      </c>
    </row>
    <row r="28">
      <c r="A28" s="130" t="inlineStr">
        <is>
          <t>J31112501</t>
        </is>
      </c>
      <c r="B28" s="129" t="inlineStr">
        <is>
          <t>P060202</t>
        </is>
      </c>
      <c r="C28" s="129" t="inlineStr">
        <is>
          <t>100-1-LoD-26</t>
        </is>
      </c>
      <c r="D28" s="274" t="n">
        <v>46121</v>
      </c>
      <c r="E28" s="129" t="inlineStr">
        <is>
          <t>FHM-K</t>
        </is>
      </c>
      <c r="F28" s="129" t="inlineStr">
        <is>
          <t>#3</t>
        </is>
      </c>
      <c r="G28" s="133" t="inlineStr">
        <is>
          <t>#3 Identification C</t>
        </is>
      </c>
      <c r="H28" s="277" t="inlineStr">
        <is>
          <t>credit removed</t>
        </is>
      </c>
      <c r="I28" s="276" t="inlineStr">
        <is>
          <t>R1 Farmahem pair — loss-on-drying certificate; reports no such determination</t>
        </is>
      </c>
    </row>
    <row r="29">
      <c r="A29" s="130" t="inlineStr">
        <is>
          <t>J31112501</t>
        </is>
      </c>
      <c r="B29" s="129" t="inlineStr">
        <is>
          <t>P060202</t>
        </is>
      </c>
      <c r="C29" s="129" t="inlineStr">
        <is>
          <t>100-2-LoD-26</t>
        </is>
      </c>
      <c r="D29" s="274" t="n">
        <v>46121</v>
      </c>
      <c r="E29" s="129" t="inlineStr">
        <is>
          <t>FHM-K</t>
        </is>
      </c>
      <c r="F29" s="129" t="inlineStr">
        <is>
          <t>#3</t>
        </is>
      </c>
      <c r="G29" s="133" t="inlineStr">
        <is>
          <t>#3 Identification C</t>
        </is>
      </c>
      <c r="H29" s="277" t="inlineStr">
        <is>
          <t>credit removed</t>
        </is>
      </c>
      <c r="I29" s="276" t="inlineStr">
        <is>
          <t>R1 Farmahem pair — loss-on-drying certificate; reports no such determination</t>
        </is>
      </c>
    </row>
    <row r="30">
      <c r="A30" s="130" t="inlineStr">
        <is>
          <t>J31112501</t>
        </is>
      </c>
      <c r="B30" s="129" t="inlineStr">
        <is>
          <t>P060202</t>
        </is>
      </c>
      <c r="C30" s="129" t="inlineStr">
        <is>
          <t>100-3-LoD-26</t>
        </is>
      </c>
      <c r="D30" s="274" t="n">
        <v>46121</v>
      </c>
      <c r="E30" s="129" t="inlineStr">
        <is>
          <t>FHM-K</t>
        </is>
      </c>
      <c r="F30" s="129" t="inlineStr">
        <is>
          <t>#3</t>
        </is>
      </c>
      <c r="G30" s="133" t="inlineStr">
        <is>
          <t>#3 Identification C</t>
        </is>
      </c>
      <c r="H30" s="277" t="inlineStr">
        <is>
          <t>credit removed</t>
        </is>
      </c>
      <c r="I30" s="276" t="inlineStr">
        <is>
          <t>R1 Farmahem pair — loss-on-drying certificate; reports no such determination</t>
        </is>
      </c>
    </row>
    <row r="31">
      <c r="A31" s="130" t="inlineStr">
        <is>
          <t>J31112501</t>
        </is>
      </c>
      <c r="B31" s="129" t="inlineStr">
        <is>
          <t>P060202</t>
        </is>
      </c>
      <c r="C31" s="129" t="inlineStr">
        <is>
          <t>051-5-LoD-26</t>
        </is>
      </c>
      <c r="D31" s="274" t="n">
        <v>46083</v>
      </c>
      <c r="E31" s="129" t="inlineStr">
        <is>
          <t>FHM-K</t>
        </is>
      </c>
      <c r="F31" s="129" t="inlineStr">
        <is>
          <t>#4</t>
        </is>
      </c>
      <c r="G31" s="133" t="inlineStr">
        <is>
          <t>#4 Assay — Total Δ⁹-THC*</t>
        </is>
      </c>
      <c r="H31" s="277" t="inlineStr">
        <is>
          <t>credit removed</t>
        </is>
      </c>
      <c r="I31" s="276" t="inlineStr">
        <is>
          <t>R1 Farmahem pair — loss-on-drying certificate; reports no such determination</t>
        </is>
      </c>
    </row>
    <row r="32">
      <c r="A32" s="130" t="inlineStr">
        <is>
          <t>J31112501</t>
        </is>
      </c>
      <c r="B32" s="129" t="inlineStr">
        <is>
          <t>P060202</t>
        </is>
      </c>
      <c r="C32" s="129" t="inlineStr">
        <is>
          <t>100-1-LoD-26</t>
        </is>
      </c>
      <c r="D32" s="274" t="n">
        <v>46121</v>
      </c>
      <c r="E32" s="129" t="inlineStr">
        <is>
          <t>FHM-K</t>
        </is>
      </c>
      <c r="F32" s="129" t="inlineStr">
        <is>
          <t>#4</t>
        </is>
      </c>
      <c r="G32" s="133" t="inlineStr">
        <is>
          <t>#4 Assay — Total Δ⁹-THC*</t>
        </is>
      </c>
      <c r="H32" s="277" t="inlineStr">
        <is>
          <t>credit removed</t>
        </is>
      </c>
      <c r="I32" s="276" t="inlineStr">
        <is>
          <t>R1 Farmahem pair — loss-on-drying certificate; reports no such determination</t>
        </is>
      </c>
    </row>
    <row r="33">
      <c r="A33" s="130" t="inlineStr">
        <is>
          <t>J31112501</t>
        </is>
      </c>
      <c r="B33" s="129" t="inlineStr">
        <is>
          <t>P060202</t>
        </is>
      </c>
      <c r="C33" s="129" t="inlineStr">
        <is>
          <t>100-2-LoD-26</t>
        </is>
      </c>
      <c r="D33" s="274" t="n">
        <v>46121</v>
      </c>
      <c r="E33" s="129" t="inlineStr">
        <is>
          <t>FHM-K</t>
        </is>
      </c>
      <c r="F33" s="129" t="inlineStr">
        <is>
          <t>#4</t>
        </is>
      </c>
      <c r="G33" s="133" t="inlineStr">
        <is>
          <t>#4 Assay — Total Δ⁹-THC*</t>
        </is>
      </c>
      <c r="H33" s="277" t="inlineStr">
        <is>
          <t>credit removed</t>
        </is>
      </c>
      <c r="I33" s="276" t="inlineStr">
        <is>
          <t>R1 Farmahem pair — loss-on-drying certificate; reports no such determination</t>
        </is>
      </c>
    </row>
    <row r="34">
      <c r="A34" s="130" t="inlineStr">
        <is>
          <t>J31112501</t>
        </is>
      </c>
      <c r="B34" s="129" t="inlineStr">
        <is>
          <t>P060202</t>
        </is>
      </c>
      <c r="C34" s="129" t="inlineStr">
        <is>
          <t>100-3-LoD-26</t>
        </is>
      </c>
      <c r="D34" s="274" t="n">
        <v>46121</v>
      </c>
      <c r="E34" s="129" t="inlineStr">
        <is>
          <t>FHM-K</t>
        </is>
      </c>
      <c r="F34" s="129" t="inlineStr">
        <is>
          <t>#4</t>
        </is>
      </c>
      <c r="G34" s="133" t="inlineStr">
        <is>
          <t>#4 Assay — Total Δ⁹-THC*</t>
        </is>
      </c>
      <c r="H34" s="277" t="inlineStr">
        <is>
          <t>credit removed</t>
        </is>
      </c>
      <c r="I34" s="276" t="inlineStr">
        <is>
          <t>R1 Farmahem pair — loss-on-drying certificate; reports no such determination</t>
        </is>
      </c>
    </row>
    <row r="35">
      <c r="A35" s="130" t="inlineStr">
        <is>
          <t>J31112501</t>
        </is>
      </c>
      <c r="B35" s="129" t="inlineStr">
        <is>
          <t>P060202</t>
        </is>
      </c>
      <c r="C35" s="129" t="inlineStr">
        <is>
          <t>051-5-LoD-26</t>
        </is>
      </c>
      <c r="D35" s="274" t="n">
        <v>46083</v>
      </c>
      <c r="E35" s="129" t="inlineStr">
        <is>
          <t>FHM-K</t>
        </is>
      </c>
      <c r="F35" s="129" t="inlineStr">
        <is>
          <t>#5</t>
        </is>
      </c>
      <c r="G35" s="133" t="inlineStr">
        <is>
          <t>#5 Assay — Total CBD</t>
        </is>
      </c>
      <c r="H35" s="277" t="inlineStr">
        <is>
          <t>credit removed</t>
        </is>
      </c>
      <c r="I35" s="276" t="inlineStr">
        <is>
          <t>R1 Farmahem pair — loss-on-drying certificate; reports no such determination</t>
        </is>
      </c>
    </row>
    <row r="36">
      <c r="A36" s="130" t="inlineStr">
        <is>
          <t>J31112501</t>
        </is>
      </c>
      <c r="B36" s="129" t="inlineStr">
        <is>
          <t>P060202</t>
        </is>
      </c>
      <c r="C36" s="129" t="inlineStr">
        <is>
          <t>100-1-LoD-26</t>
        </is>
      </c>
      <c r="D36" s="274" t="n">
        <v>46121</v>
      </c>
      <c r="E36" s="129" t="inlineStr">
        <is>
          <t>FHM-K</t>
        </is>
      </c>
      <c r="F36" s="129" t="inlineStr">
        <is>
          <t>#5</t>
        </is>
      </c>
      <c r="G36" s="133" t="inlineStr">
        <is>
          <t>#5 Assay — Total CBD</t>
        </is>
      </c>
      <c r="H36" s="277" t="inlineStr">
        <is>
          <t>credit removed</t>
        </is>
      </c>
      <c r="I36" s="276" t="inlineStr">
        <is>
          <t>R1 Farmahem pair — loss-on-drying certificate; reports no such determination</t>
        </is>
      </c>
    </row>
    <row r="37">
      <c r="A37" s="130" t="inlineStr">
        <is>
          <t>J31112501</t>
        </is>
      </c>
      <c r="B37" s="129" t="inlineStr">
        <is>
          <t>P060202</t>
        </is>
      </c>
      <c r="C37" s="129" t="inlineStr">
        <is>
          <t>100-2-LoD-26</t>
        </is>
      </c>
      <c r="D37" s="274" t="n">
        <v>46121</v>
      </c>
      <c r="E37" s="129" t="inlineStr">
        <is>
          <t>FHM-K</t>
        </is>
      </c>
      <c r="F37" s="129" t="inlineStr">
        <is>
          <t>#5</t>
        </is>
      </c>
      <c r="G37" s="133" t="inlineStr">
        <is>
          <t>#5 Assay — Total CBD</t>
        </is>
      </c>
      <c r="H37" s="277" t="inlineStr">
        <is>
          <t>credit removed</t>
        </is>
      </c>
      <c r="I37" s="276" t="inlineStr">
        <is>
          <t>R1 Farmahem pair — loss-on-drying certificate; reports no such determination</t>
        </is>
      </c>
    </row>
    <row r="38">
      <c r="A38" s="130" t="inlineStr">
        <is>
          <t>J31112501</t>
        </is>
      </c>
      <c r="B38" s="129" t="inlineStr">
        <is>
          <t>P060202</t>
        </is>
      </c>
      <c r="C38" s="129" t="inlineStr">
        <is>
          <t>100-3-LoD-26</t>
        </is>
      </c>
      <c r="D38" s="274" t="n">
        <v>46121</v>
      </c>
      <c r="E38" s="129" t="inlineStr">
        <is>
          <t>FHM-K</t>
        </is>
      </c>
      <c r="F38" s="129" t="inlineStr">
        <is>
          <t>#5</t>
        </is>
      </c>
      <c r="G38" s="133" t="inlineStr">
        <is>
          <t>#5 Assay — Total CBD</t>
        </is>
      </c>
      <c r="H38" s="277" t="inlineStr">
        <is>
          <t>credit removed</t>
        </is>
      </c>
      <c r="I38" s="276" t="inlineStr">
        <is>
          <t>R1 Farmahem pair — loss-on-drying certificate; reports no such determination</t>
        </is>
      </c>
    </row>
    <row r="39">
      <c r="A39" s="130" t="inlineStr">
        <is>
          <t>J31112501</t>
        </is>
      </c>
      <c r="B39" s="129" t="inlineStr">
        <is>
          <t>P060202</t>
        </is>
      </c>
      <c r="C39" s="129" t="inlineStr">
        <is>
          <t>051-5-LoD-26</t>
        </is>
      </c>
      <c r="D39" s="274" t="n">
        <v>46083</v>
      </c>
      <c r="E39" s="129" t="inlineStr">
        <is>
          <t>FHM-K</t>
        </is>
      </c>
      <c r="F39" s="129" t="inlineStr">
        <is>
          <t>#6</t>
        </is>
      </c>
      <c r="G39" s="133" t="inlineStr">
        <is>
          <t>#6 Total CBN</t>
        </is>
      </c>
      <c r="H39" s="277" t="inlineStr">
        <is>
          <t>credit removed</t>
        </is>
      </c>
      <c r="I39" s="276" t="inlineStr">
        <is>
          <t>R1 Farmahem pair — loss-on-drying certificate; reports no such determination</t>
        </is>
      </c>
    </row>
    <row r="40">
      <c r="A40" s="130" t="inlineStr">
        <is>
          <t>J31112501</t>
        </is>
      </c>
      <c r="B40" s="129" t="inlineStr">
        <is>
          <t>P060202</t>
        </is>
      </c>
      <c r="C40" s="129" t="inlineStr">
        <is>
          <t>100-1-LoD-26</t>
        </is>
      </c>
      <c r="D40" s="274" t="n">
        <v>46121</v>
      </c>
      <c r="E40" s="129" t="inlineStr">
        <is>
          <t>FHM-K</t>
        </is>
      </c>
      <c r="F40" s="129" t="inlineStr">
        <is>
          <t>#6</t>
        </is>
      </c>
      <c r="G40" s="133" t="inlineStr">
        <is>
          <t>#6 Total CBN</t>
        </is>
      </c>
      <c r="H40" s="277" t="inlineStr">
        <is>
          <t>credit removed</t>
        </is>
      </c>
      <c r="I40" s="276" t="inlineStr">
        <is>
          <t>R1 Farmahem pair — loss-on-drying certificate; reports no such determination</t>
        </is>
      </c>
    </row>
    <row r="41">
      <c r="A41" s="130" t="inlineStr">
        <is>
          <t>J31112501</t>
        </is>
      </c>
      <c r="B41" s="129" t="inlineStr">
        <is>
          <t>P060202</t>
        </is>
      </c>
      <c r="C41" s="129" t="inlineStr">
        <is>
          <t>100-2-LoD-26</t>
        </is>
      </c>
      <c r="D41" s="274" t="n">
        <v>46121</v>
      </c>
      <c r="E41" s="129" t="inlineStr">
        <is>
          <t>FHM-K</t>
        </is>
      </c>
      <c r="F41" s="129" t="inlineStr">
        <is>
          <t>#6</t>
        </is>
      </c>
      <c r="G41" s="133" t="inlineStr">
        <is>
          <t>#6 Total CBN</t>
        </is>
      </c>
      <c r="H41" s="277" t="inlineStr">
        <is>
          <t>credit removed</t>
        </is>
      </c>
      <c r="I41" s="276" t="inlineStr">
        <is>
          <t>R1 Farmahem pair — loss-on-drying certificate; reports no such determination</t>
        </is>
      </c>
    </row>
    <row r="42">
      <c r="A42" s="130" t="inlineStr">
        <is>
          <t>J31112501</t>
        </is>
      </c>
      <c r="B42" s="129" t="inlineStr">
        <is>
          <t>P060202</t>
        </is>
      </c>
      <c r="C42" s="129" t="inlineStr">
        <is>
          <t>100-3-LoD-26</t>
        </is>
      </c>
      <c r="D42" s="274" t="n">
        <v>46121</v>
      </c>
      <c r="E42" s="129" t="inlineStr">
        <is>
          <t>FHM-K</t>
        </is>
      </c>
      <c r="F42" s="129" t="inlineStr">
        <is>
          <t>#6</t>
        </is>
      </c>
      <c r="G42" s="133" t="inlineStr">
        <is>
          <t>#6 Total CBN</t>
        </is>
      </c>
      <c r="H42" s="277" t="inlineStr">
        <is>
          <t>credit removed</t>
        </is>
      </c>
      <c r="I42" s="276" t="inlineStr">
        <is>
          <t>R1 Farmahem pair — loss-on-drying certificate; reports no such determination</t>
        </is>
      </c>
    </row>
    <row r="43">
      <c r="A43" s="130" t="inlineStr">
        <is>
          <t>J31112501</t>
        </is>
      </c>
      <c r="B43" s="129" t="inlineStr">
        <is>
          <t>P060202</t>
        </is>
      </c>
      <c r="C43" s="129" t="inlineStr">
        <is>
          <t>051-5-K-26</t>
        </is>
      </c>
      <c r="D43" s="274" t="n">
        <v>46085</v>
      </c>
      <c r="E43" s="129" t="inlineStr">
        <is>
          <t>FHM-K</t>
        </is>
      </c>
      <c r="F43" s="129" t="inlineStr">
        <is>
          <t>#8</t>
        </is>
      </c>
      <c r="G43" s="133" t="inlineStr">
        <is>
          <t>#8 Loss on Drying</t>
        </is>
      </c>
      <c r="H43" s="277" t="inlineStr">
        <is>
          <t>credit removed</t>
        </is>
      </c>
      <c r="I43" s="276" t="inlineStr">
        <is>
          <t>R1 Farmahem pair — cannabinoid certificate; loss on drying is on the LoD certificate</t>
        </is>
      </c>
    </row>
    <row r="44">
      <c r="A44" s="130" t="inlineStr">
        <is>
          <t>J31112501</t>
        </is>
      </c>
      <c r="B44" s="129" t="inlineStr">
        <is>
          <t>P060202</t>
        </is>
      </c>
      <c r="C44" s="129" t="inlineStr">
        <is>
          <t>100-1-K-26</t>
        </is>
      </c>
      <c r="D44" s="274" t="n">
        <v>46121</v>
      </c>
      <c r="E44" s="129" t="inlineStr">
        <is>
          <t>FHM-K</t>
        </is>
      </c>
      <c r="F44" s="129" t="inlineStr">
        <is>
          <t>#8</t>
        </is>
      </c>
      <c r="G44" s="133" t="inlineStr">
        <is>
          <t>#8 Loss on Drying</t>
        </is>
      </c>
      <c r="H44" s="277" t="inlineStr">
        <is>
          <t>credit removed</t>
        </is>
      </c>
      <c r="I44" s="276" t="inlineStr">
        <is>
          <t>R1 Farmahem pair — cannabinoid certificate; loss on drying is on the LoD certificate</t>
        </is>
      </c>
    </row>
    <row r="45">
      <c r="A45" s="130" t="inlineStr">
        <is>
          <t>J31122501</t>
        </is>
      </c>
      <c r="B45" s="129" t="inlineStr">
        <is>
          <t>P060262</t>
        </is>
      </c>
      <c r="C45" s="129" t="inlineStr">
        <is>
          <t>100-2-K-26</t>
        </is>
      </c>
      <c r="D45" s="274" t="n">
        <v>46121</v>
      </c>
      <c r="E45" s="129" t="inlineStr">
        <is>
          <t>FHM-K</t>
        </is>
      </c>
      <c r="F45" s="129" t="inlineStr">
        <is>
          <t>#8</t>
        </is>
      </c>
      <c r="G45" s="133" t="inlineStr">
        <is>
          <t>#8 Loss on Drying</t>
        </is>
      </c>
      <c r="H45" s="277" t="inlineStr">
        <is>
          <t>credit removed</t>
        </is>
      </c>
      <c r="I45" s="276" t="inlineStr">
        <is>
          <t>R1 Farmahem pair — cannabinoid certificate; loss on drying is on the LoD certificate</t>
        </is>
      </c>
    </row>
    <row r="46">
      <c r="A46" s="130" t="inlineStr">
        <is>
          <t>J31122501</t>
        </is>
      </c>
      <c r="B46" s="129" t="inlineStr">
        <is>
          <t>P060262</t>
        </is>
      </c>
      <c r="C46" s="129" t="inlineStr">
        <is>
          <t>100-3-K-26</t>
        </is>
      </c>
      <c r="D46" s="274" t="n">
        <v>46121</v>
      </c>
      <c r="E46" s="129" t="inlineStr">
        <is>
          <t>FHM-K</t>
        </is>
      </c>
      <c r="F46" s="129" t="inlineStr">
        <is>
          <t>#8</t>
        </is>
      </c>
      <c r="G46" s="133" t="inlineStr">
        <is>
          <t>#8 Loss on Drying</t>
        </is>
      </c>
      <c r="H46" s="277" t="inlineStr">
        <is>
          <t>credit removed</t>
        </is>
      </c>
      <c r="I46" s="276" t="inlineStr">
        <is>
          <t>R1 Farmahem pair — cannabinoid certificate; loss on drying is on the LoD certificate</t>
        </is>
      </c>
    </row>
    <row r="47">
      <c r="A47" s="130" t="inlineStr">
        <is>
          <t>JD112501</t>
        </is>
      </c>
      <c r="B47" s="129" t="inlineStr">
        <is>
          <t>P060212</t>
        </is>
      </c>
      <c r="C47" s="129" t="inlineStr">
        <is>
          <t>197-15-K-26</t>
        </is>
      </c>
      <c r="D47" s="274" t="n">
        <v>46241</v>
      </c>
      <c r="E47" s="129" t="inlineStr">
        <is>
          <t>FHM-K</t>
        </is>
      </c>
      <c r="F47" s="129" t="inlineStr">
        <is>
          <t>#8</t>
        </is>
      </c>
      <c r="G47" s="133" t="inlineStr">
        <is>
          <t>#8 Loss on Drying</t>
        </is>
      </c>
      <c r="H47" s="277" t="inlineStr">
        <is>
          <t>credit removed</t>
        </is>
      </c>
      <c r="I47" s="276" t="inlineStr">
        <is>
          <t>R1 Farmahem pair — cannabinoid certificate; loss on drying is on the LoD certificate</t>
        </is>
      </c>
    </row>
    <row r="48">
      <c r="A48" s="130" t="inlineStr">
        <is>
          <t>KC102501</t>
        </is>
      </c>
      <c r="B48" s="129" t="inlineStr">
        <is>
          <t>P060172</t>
        </is>
      </c>
      <c r="C48" s="129" t="inlineStr">
        <is>
          <t>051-4-LoD-26</t>
        </is>
      </c>
      <c r="D48" s="274" t="n">
        <v>46083</v>
      </c>
      <c r="E48" s="129" t="inlineStr">
        <is>
          <t>FHM-K</t>
        </is>
      </c>
      <c r="F48" s="129" t="inlineStr">
        <is>
          <t>#3</t>
        </is>
      </c>
      <c r="G48" s="133" t="inlineStr">
        <is>
          <t>#3 Identification C</t>
        </is>
      </c>
      <c r="H48" s="277" t="inlineStr">
        <is>
          <t>credit removed</t>
        </is>
      </c>
      <c r="I48" s="276" t="inlineStr">
        <is>
          <t>R1 Farmahem pair — loss-on-drying certificate; reports no such determination</t>
        </is>
      </c>
    </row>
    <row r="49">
      <c r="A49" s="130" t="inlineStr">
        <is>
          <t>KC102501</t>
        </is>
      </c>
      <c r="B49" s="129" t="inlineStr">
        <is>
          <t>P060172</t>
        </is>
      </c>
      <c r="C49" s="129" t="inlineStr">
        <is>
          <t>051-4-LoD-26</t>
        </is>
      </c>
      <c r="D49" s="274" t="n">
        <v>46083</v>
      </c>
      <c r="E49" s="129" t="inlineStr">
        <is>
          <t>FHM-K</t>
        </is>
      </c>
      <c r="F49" s="129" t="inlineStr">
        <is>
          <t>#4</t>
        </is>
      </c>
      <c r="G49" s="133" t="inlineStr">
        <is>
          <t>#4 Assay — Total Δ⁹-THC*</t>
        </is>
      </c>
      <c r="H49" s="277" t="inlineStr">
        <is>
          <t>credit removed</t>
        </is>
      </c>
      <c r="I49" s="276" t="inlineStr">
        <is>
          <t>R1 Farmahem pair — loss-on-drying certificate; reports no such determination</t>
        </is>
      </c>
    </row>
    <row r="50">
      <c r="A50" s="130" t="inlineStr">
        <is>
          <t>KC102501</t>
        </is>
      </c>
      <c r="B50" s="129" t="inlineStr">
        <is>
          <t>P060172</t>
        </is>
      </c>
      <c r="C50" s="129" t="inlineStr">
        <is>
          <t>051-4-LoD-26</t>
        </is>
      </c>
      <c r="D50" s="274" t="n">
        <v>46083</v>
      </c>
      <c r="E50" s="129" t="inlineStr">
        <is>
          <t>FHM-K</t>
        </is>
      </c>
      <c r="F50" s="129" t="inlineStr">
        <is>
          <t>#5</t>
        </is>
      </c>
      <c r="G50" s="133" t="inlineStr">
        <is>
          <t>#5 Assay — Total CBD</t>
        </is>
      </c>
      <c r="H50" s="277" t="inlineStr">
        <is>
          <t>credit removed</t>
        </is>
      </c>
      <c r="I50" s="276" t="inlineStr">
        <is>
          <t>R1 Farmahem pair — loss-on-drying certificate; reports no such determination</t>
        </is>
      </c>
    </row>
    <row r="51">
      <c r="A51" s="130" t="inlineStr">
        <is>
          <t>KC102501</t>
        </is>
      </c>
      <c r="B51" s="129" t="inlineStr">
        <is>
          <t>P060172</t>
        </is>
      </c>
      <c r="C51" s="129" t="inlineStr">
        <is>
          <t>051-4-LoD-26</t>
        </is>
      </c>
      <c r="D51" s="274" t="n">
        <v>46083</v>
      </c>
      <c r="E51" s="129" t="inlineStr">
        <is>
          <t>FHM-K</t>
        </is>
      </c>
      <c r="F51" s="129" t="inlineStr">
        <is>
          <t>#6</t>
        </is>
      </c>
      <c r="G51" s="133" t="inlineStr">
        <is>
          <t>#6 Total CBN</t>
        </is>
      </c>
      <c r="H51" s="277" t="inlineStr">
        <is>
          <t>credit removed</t>
        </is>
      </c>
      <c r="I51" s="276" t="inlineStr">
        <is>
          <t>R1 Farmahem pair — loss-on-drying certificate; reports no such determination</t>
        </is>
      </c>
    </row>
    <row r="52">
      <c r="A52" s="130" t="inlineStr">
        <is>
          <t>KC102501</t>
        </is>
      </c>
      <c r="B52" s="129" t="inlineStr">
        <is>
          <t>P060172</t>
        </is>
      </c>
      <c r="C52" s="129" t="inlineStr">
        <is>
          <t>051-4-K-26</t>
        </is>
      </c>
      <c r="D52" s="274" t="n">
        <v>46085</v>
      </c>
      <c r="E52" s="129" t="inlineStr">
        <is>
          <t>FHM-K</t>
        </is>
      </c>
      <c r="F52" s="129" t="inlineStr">
        <is>
          <t>#8</t>
        </is>
      </c>
      <c r="G52" s="133" t="inlineStr">
        <is>
          <t>#8 Loss on Drying</t>
        </is>
      </c>
      <c r="H52" s="277" t="inlineStr">
        <is>
          <t>credit removed</t>
        </is>
      </c>
      <c r="I52" s="276" t="inlineStr">
        <is>
          <t>R1 Farmahem pair — cannabinoid certificate; loss on drying is on the LoD certificate</t>
        </is>
      </c>
    </row>
    <row r="53">
      <c r="A53" s="130" t="inlineStr">
        <is>
          <t>OPM1024</t>
        </is>
      </c>
      <c r="B53" s="129" t="inlineStr">
        <is>
          <t>N/A — no P batch assigned</t>
        </is>
      </c>
      <c r="C53" s="129" t="inlineStr">
        <is>
          <t>197-17-K-26</t>
        </is>
      </c>
      <c r="D53" s="274" t="n">
        <v>46241</v>
      </c>
      <c r="E53" s="129" t="inlineStr">
        <is>
          <t>FHM-K</t>
        </is>
      </c>
      <c r="F53" s="129" t="inlineStr">
        <is>
          <t>#8</t>
        </is>
      </c>
      <c r="G53" s="133" t="inlineStr">
        <is>
          <t>#8 Loss on Drying</t>
        </is>
      </c>
      <c r="H53" s="277" t="inlineStr">
        <is>
          <t>credit removed</t>
        </is>
      </c>
      <c r="I53" s="276" t="inlineStr">
        <is>
          <t>R1 Farmahem pair — cannabinoid certificate; loss on drying is on the LoD certificate</t>
        </is>
      </c>
    </row>
    <row r="54">
      <c r="A54" s="130" t="inlineStr">
        <is>
          <t>OPM1024_02</t>
        </is>
      </c>
      <c r="B54" s="129" t="inlineStr">
        <is>
          <t>P050062</t>
        </is>
      </c>
      <c r="C54" s="129" t="inlineStr">
        <is>
          <t>197-18-K-26</t>
        </is>
      </c>
      <c r="D54" s="274" t="n">
        <v>46241</v>
      </c>
      <c r="E54" s="129" t="inlineStr">
        <is>
          <t>FHM-K</t>
        </is>
      </c>
      <c r="F54" s="129" t="inlineStr">
        <is>
          <t>#8</t>
        </is>
      </c>
      <c r="G54" s="133" t="inlineStr">
        <is>
          <t>#8 Loss on Drying</t>
        </is>
      </c>
      <c r="H54" s="277" t="inlineStr">
        <is>
          <t>credit removed</t>
        </is>
      </c>
      <c r="I54" s="276" t="inlineStr">
        <is>
          <t>R1 Farmahem pair — cannabinoid certificate; loss on drying is on the LoD certificate</t>
        </is>
      </c>
    </row>
    <row r="55">
      <c r="A55" s="130" t="inlineStr">
        <is>
          <t>OPM122501</t>
        </is>
      </c>
      <c r="B55" s="129" t="inlineStr">
        <is>
          <t>P060242</t>
        </is>
      </c>
      <c r="C55" s="129" t="inlineStr">
        <is>
          <t>100-4-LoD-26</t>
        </is>
      </c>
      <c r="D55" s="274" t="n">
        <v>46121</v>
      </c>
      <c r="E55" s="129" t="inlineStr">
        <is>
          <t>FHM-K</t>
        </is>
      </c>
      <c r="F55" s="129" t="inlineStr">
        <is>
          <t>#3</t>
        </is>
      </c>
      <c r="G55" s="133" t="inlineStr">
        <is>
          <t>#3 Identification C</t>
        </is>
      </c>
      <c r="H55" s="277" t="inlineStr">
        <is>
          <t>credit removed</t>
        </is>
      </c>
      <c r="I55" s="276" t="inlineStr">
        <is>
          <t>R1 Farmahem pair — loss-on-drying certificate; reports no such determination</t>
        </is>
      </c>
    </row>
    <row r="56">
      <c r="A56" s="130" t="inlineStr">
        <is>
          <t>OPM122501</t>
        </is>
      </c>
      <c r="B56" s="129" t="inlineStr">
        <is>
          <t>P060242</t>
        </is>
      </c>
      <c r="C56" s="129" t="inlineStr">
        <is>
          <t>100-4-LoD-26</t>
        </is>
      </c>
      <c r="D56" s="274" t="n">
        <v>46121</v>
      </c>
      <c r="E56" s="129" t="inlineStr">
        <is>
          <t>FHM-K</t>
        </is>
      </c>
      <c r="F56" s="129" t="inlineStr">
        <is>
          <t>#4</t>
        </is>
      </c>
      <c r="G56" s="133" t="inlineStr">
        <is>
          <t>#4 Assay — Total Δ⁹-THC*</t>
        </is>
      </c>
      <c r="H56" s="277" t="inlineStr">
        <is>
          <t>credit removed</t>
        </is>
      </c>
      <c r="I56" s="276" t="inlineStr">
        <is>
          <t>R1 Farmahem pair — loss-on-drying certificate; reports no such determination</t>
        </is>
      </c>
    </row>
    <row r="57">
      <c r="A57" s="130" t="inlineStr">
        <is>
          <t>OPM122501</t>
        </is>
      </c>
      <c r="B57" s="129" t="inlineStr">
        <is>
          <t>P060242</t>
        </is>
      </c>
      <c r="C57" s="129" t="inlineStr">
        <is>
          <t>100-4-LoD-26</t>
        </is>
      </c>
      <c r="D57" s="274" t="n">
        <v>46121</v>
      </c>
      <c r="E57" s="129" t="inlineStr">
        <is>
          <t>FHM-K</t>
        </is>
      </c>
      <c r="F57" s="129" t="inlineStr">
        <is>
          <t>#5</t>
        </is>
      </c>
      <c r="G57" s="133" t="inlineStr">
        <is>
          <t>#5 Assay — Total CBD</t>
        </is>
      </c>
      <c r="H57" s="277" t="inlineStr">
        <is>
          <t>credit removed</t>
        </is>
      </c>
      <c r="I57" s="276" t="inlineStr">
        <is>
          <t>R1 Farmahem pair — loss-on-drying certificate; reports no such determination</t>
        </is>
      </c>
    </row>
    <row r="58">
      <c r="A58" s="130" t="inlineStr">
        <is>
          <t>OPM122501</t>
        </is>
      </c>
      <c r="B58" s="129" t="inlineStr">
        <is>
          <t>P060242</t>
        </is>
      </c>
      <c r="C58" s="129" t="inlineStr">
        <is>
          <t>100-4-LoD-26</t>
        </is>
      </c>
      <c r="D58" s="274" t="n">
        <v>46121</v>
      </c>
      <c r="E58" s="129" t="inlineStr">
        <is>
          <t>FHM-K</t>
        </is>
      </c>
      <c r="F58" s="129" t="inlineStr">
        <is>
          <t>#6</t>
        </is>
      </c>
      <c r="G58" s="133" t="inlineStr">
        <is>
          <t>#6 Total CBN</t>
        </is>
      </c>
      <c r="H58" s="277" t="inlineStr">
        <is>
          <t>credit removed</t>
        </is>
      </c>
      <c r="I58" s="276" t="inlineStr">
        <is>
          <t>R1 Farmahem pair — loss-on-drying certificate; reports no such determination</t>
        </is>
      </c>
    </row>
    <row r="59">
      <c r="A59" s="130" t="inlineStr">
        <is>
          <t>OPM122501</t>
        </is>
      </c>
      <c r="B59" s="129" t="inlineStr">
        <is>
          <t>P060242</t>
        </is>
      </c>
      <c r="C59" s="129" t="inlineStr">
        <is>
          <t>100-4-K-26</t>
        </is>
      </c>
      <c r="D59" s="274" t="n">
        <v>46121</v>
      </c>
      <c r="E59" s="129" t="inlineStr">
        <is>
          <t>FHM-K</t>
        </is>
      </c>
      <c r="F59" s="129" t="inlineStr">
        <is>
          <t>#8</t>
        </is>
      </c>
      <c r="G59" s="133" t="inlineStr">
        <is>
          <t>#8 Loss on Drying</t>
        </is>
      </c>
      <c r="H59" s="277" t="inlineStr">
        <is>
          <t>credit removed</t>
        </is>
      </c>
      <c r="I59" s="276" t="inlineStr">
        <is>
          <t>R1 Farmahem pair — cannabinoid certificate; loss on drying is on the LoD certificate</t>
        </is>
      </c>
    </row>
    <row r="60">
      <c r="A60" s="130" t="inlineStr">
        <is>
          <t>OPM122501</t>
        </is>
      </c>
      <c r="B60" s="129" t="inlineStr">
        <is>
          <t>P060242</t>
        </is>
      </c>
      <c r="C60" s="129" t="inlineStr">
        <is>
          <t>197-19-K-26</t>
        </is>
      </c>
      <c r="D60" s="274" t="n">
        <v>46241</v>
      </c>
      <c r="E60" s="129" t="inlineStr">
        <is>
          <t>FHM-K</t>
        </is>
      </c>
      <c r="F60" s="129" t="inlineStr">
        <is>
          <t>#8</t>
        </is>
      </c>
      <c r="G60" s="133" t="inlineStr">
        <is>
          <t>#8 Loss on Drying</t>
        </is>
      </c>
      <c r="H60" s="277" t="inlineStr">
        <is>
          <t>credit removed</t>
        </is>
      </c>
      <c r="I60" s="276" t="inlineStr">
        <is>
          <t>R1 Farmahem pair — cannabinoid certificate; loss on drying is on the LoD certificate</t>
        </is>
      </c>
    </row>
    <row r="61">
      <c r="A61" s="130" t="inlineStr">
        <is>
          <t>PM092501</t>
        </is>
      </c>
      <c r="B61" s="129" t="inlineStr">
        <is>
          <t>P060062</t>
        </is>
      </c>
      <c r="C61" s="129" t="inlineStr">
        <is>
          <t>197-20-K-26</t>
        </is>
      </c>
      <c r="D61" s="274" t="n">
        <v>46241</v>
      </c>
      <c r="E61" s="129" t="inlineStr">
        <is>
          <t>FHM-K</t>
        </is>
      </c>
      <c r="F61" s="129" t="inlineStr">
        <is>
          <t>#8</t>
        </is>
      </c>
      <c r="G61" s="133" t="inlineStr">
        <is>
          <t>#8 Loss on Drying</t>
        </is>
      </c>
      <c r="H61" s="277" t="inlineStr">
        <is>
          <t>credit removed</t>
        </is>
      </c>
      <c r="I61" s="276" t="inlineStr">
        <is>
          <t>R1 Farmahem pair — cannabinoid certificate; loss on drying is on the LoD certificate</t>
        </is>
      </c>
    </row>
    <row r="62">
      <c r="A62" s="130" t="inlineStr">
        <is>
          <t>SCR012603</t>
        </is>
      </c>
      <c r="B62" s="129" t="inlineStr">
        <is>
          <t>P060382</t>
        </is>
      </c>
      <c r="C62" s="129" t="inlineStr">
        <is>
          <t>197-21-K-26</t>
        </is>
      </c>
      <c r="D62" s="274" t="n">
        <v>46241</v>
      </c>
      <c r="E62" s="129" t="inlineStr">
        <is>
          <t>FHM-K</t>
        </is>
      </c>
      <c r="F62" s="129" t="inlineStr">
        <is>
          <t>#8</t>
        </is>
      </c>
      <c r="G62" s="133" t="inlineStr">
        <is>
          <t>#8 Loss on Drying</t>
        </is>
      </c>
      <c r="H62" s="277" t="inlineStr">
        <is>
          <t>credit removed</t>
        </is>
      </c>
      <c r="I62" s="276" t="inlineStr">
        <is>
          <t>R1 Farmahem pair — cannabinoid certificate; loss on drying is on the LoD certificate</t>
        </is>
      </c>
    </row>
    <row r="63">
      <c r="A63" s="130" t="inlineStr">
        <is>
          <t>SJ102501</t>
        </is>
      </c>
      <c r="B63" s="129" t="inlineStr">
        <is>
          <t>P060162</t>
        </is>
      </c>
      <c r="C63" s="129" t="inlineStr">
        <is>
          <t>051-3-LoD-26</t>
        </is>
      </c>
      <c r="D63" s="274" t="n">
        <v>46083</v>
      </c>
      <c r="E63" s="129" t="inlineStr">
        <is>
          <t>FHM-K</t>
        </is>
      </c>
      <c r="F63" s="129" t="inlineStr">
        <is>
          <t>#3</t>
        </is>
      </c>
      <c r="G63" s="133" t="inlineStr">
        <is>
          <t>#3 Identification C</t>
        </is>
      </c>
      <c r="H63" s="277" t="inlineStr">
        <is>
          <t>credit removed</t>
        </is>
      </c>
      <c r="I63" s="276" t="inlineStr">
        <is>
          <t>R1 Farmahem pair — loss-on-drying certificate; reports no such determination</t>
        </is>
      </c>
    </row>
    <row r="64">
      <c r="A64" s="130" t="inlineStr">
        <is>
          <t>SJ102501</t>
        </is>
      </c>
      <c r="B64" s="129" t="inlineStr">
        <is>
          <t>P060162</t>
        </is>
      </c>
      <c r="C64" s="129" t="inlineStr">
        <is>
          <t>051-3-LoD-26</t>
        </is>
      </c>
      <c r="D64" s="274" t="n">
        <v>46083</v>
      </c>
      <c r="E64" s="129" t="inlineStr">
        <is>
          <t>FHM-K</t>
        </is>
      </c>
      <c r="F64" s="129" t="inlineStr">
        <is>
          <t>#4</t>
        </is>
      </c>
      <c r="G64" s="133" t="inlineStr">
        <is>
          <t>#4 Assay — Total Δ⁹-THC*</t>
        </is>
      </c>
      <c r="H64" s="277" t="inlineStr">
        <is>
          <t>credit removed</t>
        </is>
      </c>
      <c r="I64" s="276" t="inlineStr">
        <is>
          <t>R1 Farmahem pair — loss-on-drying certificate; reports no such determination</t>
        </is>
      </c>
    </row>
    <row r="65">
      <c r="A65" s="130" t="inlineStr">
        <is>
          <t>SJ102501</t>
        </is>
      </c>
      <c r="B65" s="129" t="inlineStr">
        <is>
          <t>P060162</t>
        </is>
      </c>
      <c r="C65" s="129" t="inlineStr">
        <is>
          <t>051-3-LoD-26</t>
        </is>
      </c>
      <c r="D65" s="274" t="n">
        <v>46083</v>
      </c>
      <c r="E65" s="129" t="inlineStr">
        <is>
          <t>FHM-K</t>
        </is>
      </c>
      <c r="F65" s="129" t="inlineStr">
        <is>
          <t>#5</t>
        </is>
      </c>
      <c r="G65" s="133" t="inlineStr">
        <is>
          <t>#5 Assay — Total CBD</t>
        </is>
      </c>
      <c r="H65" s="277" t="inlineStr">
        <is>
          <t>credit removed</t>
        </is>
      </c>
      <c r="I65" s="276" t="inlineStr">
        <is>
          <t>R1 Farmahem pair — loss-on-drying certificate; reports no such determination</t>
        </is>
      </c>
    </row>
    <row r="66">
      <c r="A66" s="130" t="inlineStr">
        <is>
          <t>SJ102501</t>
        </is>
      </c>
      <c r="B66" s="129" t="inlineStr">
        <is>
          <t>P060162</t>
        </is>
      </c>
      <c r="C66" s="129" t="inlineStr">
        <is>
          <t>051-3-LoD-26</t>
        </is>
      </c>
      <c r="D66" s="274" t="n">
        <v>46083</v>
      </c>
      <c r="E66" s="129" t="inlineStr">
        <is>
          <t>FHM-K</t>
        </is>
      </c>
      <c r="F66" s="129" t="inlineStr">
        <is>
          <t>#6</t>
        </is>
      </c>
      <c r="G66" s="133" t="inlineStr">
        <is>
          <t>#6 Total CBN</t>
        </is>
      </c>
      <c r="H66" s="277" t="inlineStr">
        <is>
          <t>credit removed</t>
        </is>
      </c>
      <c r="I66" s="276" t="inlineStr">
        <is>
          <t>R1 Farmahem pair — loss-on-drying certificate; reports no such determination</t>
        </is>
      </c>
    </row>
    <row r="67">
      <c r="A67" s="130" t="inlineStr">
        <is>
          <t>SJ102501</t>
        </is>
      </c>
      <c r="B67" s="129" t="inlineStr">
        <is>
          <t>P060162</t>
        </is>
      </c>
      <c r="C67" s="129" t="inlineStr">
        <is>
          <t>051-3-K-26</t>
        </is>
      </c>
      <c r="D67" s="274" t="n">
        <v>46085</v>
      </c>
      <c r="E67" s="129" t="inlineStr">
        <is>
          <t>FHM-K</t>
        </is>
      </c>
      <c r="F67" s="129" t="inlineStr">
        <is>
          <t>#8</t>
        </is>
      </c>
      <c r="G67" s="133" t="inlineStr">
        <is>
          <t>#8 Loss on Drying</t>
        </is>
      </c>
      <c r="H67" s="277" t="inlineStr">
        <is>
          <t>credit removed</t>
        </is>
      </c>
      <c r="I67" s="276" t="inlineStr">
        <is>
          <t>R1 Farmahem pair — cannabinoid certificate; loss on drying is on the LoD certificate</t>
        </is>
      </c>
    </row>
    <row r="68">
      <c r="A68" s="130" t="inlineStr">
        <is>
          <t>SJ112501</t>
        </is>
      </c>
      <c r="B68" s="129" t="inlineStr">
        <is>
          <t>P060192</t>
        </is>
      </c>
      <c r="C68" s="129" t="inlineStr">
        <is>
          <t>051-2-LoD-26</t>
        </is>
      </c>
      <c r="D68" s="274" t="n">
        <v>46083</v>
      </c>
      <c r="E68" s="129" t="inlineStr">
        <is>
          <t>FHM-K</t>
        </is>
      </c>
      <c r="F68" s="129" t="inlineStr">
        <is>
          <t>#3</t>
        </is>
      </c>
      <c r="G68" s="133" t="inlineStr">
        <is>
          <t>#3 Identification C</t>
        </is>
      </c>
      <c r="H68" s="277" t="inlineStr">
        <is>
          <t>credit removed</t>
        </is>
      </c>
      <c r="I68" s="276" t="inlineStr">
        <is>
          <t>R1 Farmahem pair — loss-on-drying certificate; reports no such determination</t>
        </is>
      </c>
    </row>
    <row r="69">
      <c r="A69" s="130" t="inlineStr">
        <is>
          <t>SJ112501</t>
        </is>
      </c>
      <c r="B69" s="129" t="inlineStr">
        <is>
          <t>P060192</t>
        </is>
      </c>
      <c r="C69" s="129" t="inlineStr">
        <is>
          <t>051-2-LoD-26</t>
        </is>
      </c>
      <c r="D69" s="274" t="n">
        <v>46083</v>
      </c>
      <c r="E69" s="129" t="inlineStr">
        <is>
          <t>FHM-K</t>
        </is>
      </c>
      <c r="F69" s="129" t="inlineStr">
        <is>
          <t>#4</t>
        </is>
      </c>
      <c r="G69" s="133" t="inlineStr">
        <is>
          <t>#4 Assay — Total Δ⁹-THC*</t>
        </is>
      </c>
      <c r="H69" s="277" t="inlineStr">
        <is>
          <t>credit removed</t>
        </is>
      </c>
      <c r="I69" s="276" t="inlineStr">
        <is>
          <t>R1 Farmahem pair — loss-on-drying certificate; reports no such determination</t>
        </is>
      </c>
    </row>
    <row r="70">
      <c r="A70" s="130" t="inlineStr">
        <is>
          <t>SJ112501</t>
        </is>
      </c>
      <c r="B70" s="129" t="inlineStr">
        <is>
          <t>P060192</t>
        </is>
      </c>
      <c r="C70" s="129" t="inlineStr">
        <is>
          <t>051-2-LoD-26</t>
        </is>
      </c>
      <c r="D70" s="274" t="n">
        <v>46083</v>
      </c>
      <c r="E70" s="129" t="inlineStr">
        <is>
          <t>FHM-K</t>
        </is>
      </c>
      <c r="F70" s="129" t="inlineStr">
        <is>
          <t>#5</t>
        </is>
      </c>
      <c r="G70" s="133" t="inlineStr">
        <is>
          <t>#5 Assay — Total CBD</t>
        </is>
      </c>
      <c r="H70" s="277" t="inlineStr">
        <is>
          <t>credit removed</t>
        </is>
      </c>
      <c r="I70" s="276" t="inlineStr">
        <is>
          <t>R1 Farmahem pair — loss-on-drying certificate; reports no such determination</t>
        </is>
      </c>
    </row>
    <row r="71">
      <c r="A71" s="130" t="inlineStr">
        <is>
          <t>SJ112501</t>
        </is>
      </c>
      <c r="B71" s="129" t="inlineStr">
        <is>
          <t>P060192</t>
        </is>
      </c>
      <c r="C71" s="129" t="inlineStr">
        <is>
          <t>051-2-LoD-26</t>
        </is>
      </c>
      <c r="D71" s="274" t="n">
        <v>46083</v>
      </c>
      <c r="E71" s="129" t="inlineStr">
        <is>
          <t>FHM-K</t>
        </is>
      </c>
      <c r="F71" s="129" t="inlineStr">
        <is>
          <t>#6</t>
        </is>
      </c>
      <c r="G71" s="133" t="inlineStr">
        <is>
          <t>#6 Total CBN</t>
        </is>
      </c>
      <c r="H71" s="277" t="inlineStr">
        <is>
          <t>credit removed</t>
        </is>
      </c>
      <c r="I71" s="276" t="inlineStr">
        <is>
          <t>R1 Farmahem pair — loss-on-drying certificate; reports no such determination</t>
        </is>
      </c>
    </row>
    <row r="72">
      <c r="A72" s="130" t="inlineStr">
        <is>
          <t>SJ112501</t>
        </is>
      </c>
      <c r="B72" s="129" t="inlineStr">
        <is>
          <t>P060192</t>
        </is>
      </c>
      <c r="C72" s="129" t="inlineStr">
        <is>
          <t>051-2-K-26</t>
        </is>
      </c>
      <c r="D72" s="274" t="n">
        <v>46085</v>
      </c>
      <c r="E72" s="129" t="inlineStr">
        <is>
          <t>FHM-K</t>
        </is>
      </c>
      <c r="F72" s="129" t="inlineStr">
        <is>
          <t>#8</t>
        </is>
      </c>
      <c r="G72" s="133" t="inlineStr">
        <is>
          <t>#8 Loss on Drying</t>
        </is>
      </c>
      <c r="H72" s="277" t="inlineStr">
        <is>
          <t>credit removed</t>
        </is>
      </c>
      <c r="I72" s="276" t="inlineStr">
        <is>
          <t>R1 Farmahem pair — cannabinoid certificate; loss on drying is on the LoD certificate</t>
        </is>
      </c>
    </row>
    <row r="73">
      <c r="A73" s="130" t="inlineStr">
        <is>
          <t>AB092501</t>
        </is>
      </c>
      <c r="B73" s="129" t="inlineStr">
        <is>
          <t>P060052</t>
        </is>
      </c>
      <c r="C73" s="129" t="inlineStr">
        <is>
          <t>ППК26005</t>
        </is>
      </c>
      <c r="D73" s="274" t="n">
        <v>46043</v>
      </c>
      <c r="E73" s="129" t="inlineStr">
        <is>
          <t>CNP</t>
        </is>
      </c>
      <c r="F73" s="129" t="inlineStr">
        <is>
          <t>#2</t>
        </is>
      </c>
      <c r="G73" s="133" t="inlineStr">
        <is>
          <t>#2 Identification B</t>
        </is>
      </c>
      <c r="H73" s="277" t="inlineStr">
        <is>
          <t>credit removed</t>
        </is>
      </c>
      <c r="I73" s="276" t="inlineStr">
        <is>
          <t>R2 CNP identification B — no microscopy row on this certificate</t>
        </is>
      </c>
    </row>
    <row r="74">
      <c r="A74" s="130" t="inlineStr">
        <is>
          <t>BG1024</t>
        </is>
      </c>
      <c r="B74" s="129" t="inlineStr">
        <is>
          <t>N/A — no P batch assigned</t>
        </is>
      </c>
      <c r="C74" s="129" t="inlineStr">
        <is>
          <t>ППК25050</t>
        </is>
      </c>
      <c r="D74" s="274" t="n">
        <v>45714</v>
      </c>
      <c r="E74" s="129" t="inlineStr">
        <is>
          <t>CNP</t>
        </is>
      </c>
      <c r="F74" s="129" t="inlineStr">
        <is>
          <t>#2</t>
        </is>
      </c>
      <c r="G74" s="133" t="inlineStr">
        <is>
          <t>#2 Identification B</t>
        </is>
      </c>
      <c r="H74" s="277" t="inlineStr">
        <is>
          <t>credit removed</t>
        </is>
      </c>
      <c r="I74" s="276" t="inlineStr">
        <is>
          <t>R2 CNP identification B — no microscopy row on this certificate</t>
        </is>
      </c>
    </row>
    <row r="75">
      <c r="A75" s="130" t="inlineStr">
        <is>
          <t>BSS1024</t>
        </is>
      </c>
      <c r="B75" s="129" t="inlineStr">
        <is>
          <t>N/A — no P batch assigned</t>
        </is>
      </c>
      <c r="C75" s="129" t="inlineStr">
        <is>
          <t>ППК25051</t>
        </is>
      </c>
      <c r="D75" s="274" t="n">
        <v>45714</v>
      </c>
      <c r="E75" s="129" t="inlineStr">
        <is>
          <t>CNP</t>
        </is>
      </c>
      <c r="F75" s="129" t="inlineStr">
        <is>
          <t>#2</t>
        </is>
      </c>
      <c r="G75" s="133" t="inlineStr">
        <is>
          <t>#2 Identification B</t>
        </is>
      </c>
      <c r="H75" s="277" t="inlineStr">
        <is>
          <t>credit removed</t>
        </is>
      </c>
      <c r="I75" s="276" t="inlineStr">
        <is>
          <t>R2 CNP identification B — no microscopy row on this certificate</t>
        </is>
      </c>
    </row>
    <row r="76">
      <c r="A76" s="130" t="inlineStr">
        <is>
          <t>BSS1024_01/1</t>
        </is>
      </c>
      <c r="B76" s="129" t="inlineStr">
        <is>
          <t>P050122</t>
        </is>
      </c>
      <c r="C76" s="129" t="inlineStr">
        <is>
          <t>ППК25176</t>
        </is>
      </c>
      <c r="D76" s="274" t="n">
        <v>45848</v>
      </c>
      <c r="E76" s="129" t="inlineStr">
        <is>
          <t>CNP</t>
        </is>
      </c>
      <c r="F76" s="129" t="inlineStr">
        <is>
          <t>#2</t>
        </is>
      </c>
      <c r="G76" s="133" t="inlineStr">
        <is>
          <t>#2 Identification B</t>
        </is>
      </c>
      <c r="H76" s="277" t="inlineStr">
        <is>
          <t>credit removed</t>
        </is>
      </c>
      <c r="I76" s="276" t="inlineStr">
        <is>
          <t>R2 CNP identification B — no microscopy row on this certificate</t>
        </is>
      </c>
    </row>
    <row r="77">
      <c r="A77" s="130" t="inlineStr">
        <is>
          <t>CC112501</t>
        </is>
      </c>
      <c r="B77" s="129" t="inlineStr">
        <is>
          <t>P060272</t>
        </is>
      </c>
      <c r="C77" s="129" t="inlineStr">
        <is>
          <t>ППК26068</t>
        </is>
      </c>
      <c r="D77" s="274" t="n">
        <v>46153</v>
      </c>
      <c r="E77" s="129" t="inlineStr">
        <is>
          <t>CNP</t>
        </is>
      </c>
      <c r="F77" s="129" t="inlineStr">
        <is>
          <t>#2</t>
        </is>
      </c>
      <c r="G77" s="133" t="inlineStr">
        <is>
          <t>#2 Identification B</t>
        </is>
      </c>
      <c r="H77" s="277" t="inlineStr">
        <is>
          <t>credit removed</t>
        </is>
      </c>
      <c r="I77" s="276" t="inlineStr">
        <is>
          <t>R2 CNP identification B — no microscopy row on this certificate</t>
        </is>
      </c>
    </row>
    <row r="78">
      <c r="A78" s="130" t="inlineStr">
        <is>
          <t>CJ052501/01</t>
        </is>
      </c>
      <c r="B78" s="129" t="inlineStr">
        <is>
          <t>P050162</t>
        </is>
      </c>
      <c r="C78" s="129" t="inlineStr">
        <is>
          <t>ППК25280</t>
        </is>
      </c>
      <c r="D78" s="274" t="n">
        <v>45917</v>
      </c>
      <c r="E78" s="129" t="inlineStr">
        <is>
          <t>CNP</t>
        </is>
      </c>
      <c r="F78" s="129" t="inlineStr">
        <is>
          <t>#2</t>
        </is>
      </c>
      <c r="G78" s="133" t="inlineStr">
        <is>
          <t>#2 Identification B</t>
        </is>
      </c>
      <c r="H78" s="277" t="inlineStr">
        <is>
          <t>credit removed</t>
        </is>
      </c>
      <c r="I78" s="276" t="inlineStr">
        <is>
          <t>R2 CNP identification B — no microscopy row on this certificate</t>
        </is>
      </c>
    </row>
    <row r="79">
      <c r="A79" s="130" t="inlineStr">
        <is>
          <t>CJ052501/02</t>
        </is>
      </c>
      <c r="B79" s="129" t="inlineStr">
        <is>
          <t>P050172</t>
        </is>
      </c>
      <c r="C79" s="129" t="inlineStr">
        <is>
          <t>ППК25281</t>
        </is>
      </c>
      <c r="D79" s="274" t="n">
        <v>45917</v>
      </c>
      <c r="E79" s="129" t="inlineStr">
        <is>
          <t>CNP</t>
        </is>
      </c>
      <c r="F79" s="129" t="inlineStr">
        <is>
          <t>#2</t>
        </is>
      </c>
      <c r="G79" s="133" t="inlineStr">
        <is>
          <t>#2 Identification B</t>
        </is>
      </c>
      <c r="H79" s="277" t="inlineStr">
        <is>
          <t>credit removed</t>
        </is>
      </c>
      <c r="I79" s="276" t="inlineStr">
        <is>
          <t>R2 CNP identification B — no microscopy row on this certificate</t>
        </is>
      </c>
    </row>
    <row r="80">
      <c r="A80" s="130" t="inlineStr">
        <is>
          <t>CJ062501/1</t>
        </is>
      </c>
      <c r="B80" s="129" t="inlineStr">
        <is>
          <t>P050222</t>
        </is>
      </c>
      <c r="C80" s="129" t="inlineStr">
        <is>
          <t>ППК25321</t>
        </is>
      </c>
      <c r="D80" s="274" t="n">
        <v>45953</v>
      </c>
      <c r="E80" s="129" t="inlineStr">
        <is>
          <t>CNP</t>
        </is>
      </c>
      <c r="F80" s="129" t="inlineStr">
        <is>
          <t>#2</t>
        </is>
      </c>
      <c r="G80" s="133" t="inlineStr">
        <is>
          <t>#2 Identification B</t>
        </is>
      </c>
      <c r="H80" s="277" t="inlineStr">
        <is>
          <t>credit removed</t>
        </is>
      </c>
      <c r="I80" s="276" t="inlineStr">
        <is>
          <t>R2 CNP identification B — no microscopy row on this certificate</t>
        </is>
      </c>
    </row>
    <row r="81">
      <c r="A81" s="130" t="inlineStr">
        <is>
          <t>CJ062501/2</t>
        </is>
      </c>
      <c r="B81" s="129" t="inlineStr">
        <is>
          <t>P050212</t>
        </is>
      </c>
      <c r="C81" s="129" t="inlineStr">
        <is>
          <t>ППК25322</t>
        </is>
      </c>
      <c r="D81" s="274" t="n">
        <v>45953</v>
      </c>
      <c r="E81" s="129" t="inlineStr">
        <is>
          <t>CNP</t>
        </is>
      </c>
      <c r="F81" s="129" t="inlineStr">
        <is>
          <t>#2</t>
        </is>
      </c>
      <c r="G81" s="133" t="inlineStr">
        <is>
          <t>#2 Identification B</t>
        </is>
      </c>
      <c r="H81" s="277" t="inlineStr">
        <is>
          <t>credit removed</t>
        </is>
      </c>
      <c r="I81" s="276" t="inlineStr">
        <is>
          <t>R2 CNP identification B — no microscopy row on this certificate</t>
        </is>
      </c>
    </row>
    <row r="82">
      <c r="A82" s="130" t="inlineStr">
        <is>
          <t>CJ072501</t>
        </is>
      </c>
      <c r="B82" s="129" t="inlineStr">
        <is>
          <t>P050252</t>
        </is>
      </c>
      <c r="C82" s="129" t="inlineStr">
        <is>
          <t>ППК25367</t>
        </is>
      </c>
      <c r="D82" s="274" t="n">
        <v>45989</v>
      </c>
      <c r="E82" s="129" t="inlineStr">
        <is>
          <t>CNP</t>
        </is>
      </c>
      <c r="F82" s="129" t="inlineStr">
        <is>
          <t>#2</t>
        </is>
      </c>
      <c r="G82" s="133" t="inlineStr">
        <is>
          <t>#2 Identification B</t>
        </is>
      </c>
      <c r="H82" s="277" t="inlineStr">
        <is>
          <t>credit removed</t>
        </is>
      </c>
      <c r="I82" s="276" t="inlineStr">
        <is>
          <t>R2 CNP identification B — no microscopy row on this certificate</t>
        </is>
      </c>
    </row>
    <row r="83">
      <c r="A83" s="130" t="inlineStr">
        <is>
          <t>CJ082501/1</t>
        </is>
      </c>
      <c r="B83" s="129" t="inlineStr">
        <is>
          <t>P060022</t>
        </is>
      </c>
      <c r="C83" s="129" t="inlineStr">
        <is>
          <t>ППК26002</t>
        </is>
      </c>
      <c r="D83" s="274" t="n">
        <v>46043</v>
      </c>
      <c r="E83" s="129" t="inlineStr">
        <is>
          <t>CNP</t>
        </is>
      </c>
      <c r="F83" s="129" t="inlineStr">
        <is>
          <t>#2</t>
        </is>
      </c>
      <c r="G83" s="133" t="inlineStr">
        <is>
          <t>#2 Identification B</t>
        </is>
      </c>
      <c r="H83" s="277" t="inlineStr">
        <is>
          <t>credit removed</t>
        </is>
      </c>
      <c r="I83" s="276" t="inlineStr">
        <is>
          <t>R2 CNP identification B — no microscopy row on this certificate</t>
        </is>
      </c>
    </row>
    <row r="84">
      <c r="A84" s="130" t="inlineStr">
        <is>
          <t>CJ082501/2</t>
        </is>
      </c>
      <c r="B84" s="129" t="inlineStr">
        <is>
          <t>P060032</t>
        </is>
      </c>
      <c r="C84" s="129" t="inlineStr">
        <is>
          <t>ППК26003</t>
        </is>
      </c>
      <c r="D84" s="274" t="n">
        <v>46043</v>
      </c>
      <c r="E84" s="129" t="inlineStr">
        <is>
          <t>CNP</t>
        </is>
      </c>
      <c r="F84" s="129" t="inlineStr">
        <is>
          <t>#2</t>
        </is>
      </c>
      <c r="G84" s="133" t="inlineStr">
        <is>
          <t>#2 Identification B</t>
        </is>
      </c>
      <c r="H84" s="277" t="inlineStr">
        <is>
          <t>credit removed</t>
        </is>
      </c>
      <c r="I84" s="276" t="inlineStr">
        <is>
          <t>R2 CNP identification B — no microscopy row on this certificate</t>
        </is>
      </c>
    </row>
    <row r="85">
      <c r="A85" s="130" t="inlineStr">
        <is>
          <t>CJ092501</t>
        </is>
      </c>
      <c r="B85" s="129" t="inlineStr">
        <is>
          <t>P060072</t>
        </is>
      </c>
      <c r="C85" s="129" t="inlineStr">
        <is>
          <t>ППК26007</t>
        </is>
      </c>
      <c r="D85" s="274" t="n">
        <v>46043</v>
      </c>
      <c r="E85" s="129" t="inlineStr">
        <is>
          <t>CNP</t>
        </is>
      </c>
      <c r="F85" s="129" t="inlineStr">
        <is>
          <t>#2</t>
        </is>
      </c>
      <c r="G85" s="133" t="inlineStr">
        <is>
          <t>#2 Identification B</t>
        </is>
      </c>
      <c r="H85" s="277" t="inlineStr">
        <is>
          <t>credit removed</t>
        </is>
      </c>
      <c r="I85" s="276" t="inlineStr">
        <is>
          <t>R2 CNP identification B — no microscopy row on this certificate</t>
        </is>
      </c>
    </row>
    <row r="86">
      <c r="A86" s="130" t="inlineStr">
        <is>
          <t>CJ1024</t>
        </is>
      </c>
      <c r="B86" s="129" t="inlineStr">
        <is>
          <t>N/A — no P batch assigned</t>
        </is>
      </c>
      <c r="C86" s="129" t="inlineStr">
        <is>
          <t>ППК25052</t>
        </is>
      </c>
      <c r="D86" s="274" t="n">
        <v>45714</v>
      </c>
      <c r="E86" s="129" t="inlineStr">
        <is>
          <t>CNP</t>
        </is>
      </c>
      <c r="F86" s="129" t="inlineStr">
        <is>
          <t>#2</t>
        </is>
      </c>
      <c r="G86" s="133" t="inlineStr">
        <is>
          <t>#2 Identification B</t>
        </is>
      </c>
      <c r="H86" s="277" t="inlineStr">
        <is>
          <t>credit removed</t>
        </is>
      </c>
      <c r="I86" s="276" t="inlineStr">
        <is>
          <t>R2 CNP identification B — no microscopy row on this certificate</t>
        </is>
      </c>
    </row>
    <row r="87">
      <c r="A87" s="130" t="inlineStr">
        <is>
          <t>CLE072501</t>
        </is>
      </c>
      <c r="B87" s="129" t="inlineStr">
        <is>
          <t>P050282</t>
        </is>
      </c>
      <c r="C87" s="129" t="inlineStr">
        <is>
          <t>ППК25370</t>
        </is>
      </c>
      <c r="D87" s="274" t="n">
        <v>45989</v>
      </c>
      <c r="E87" s="129" t="inlineStr">
        <is>
          <t>CNP</t>
        </is>
      </c>
      <c r="F87" s="129" t="inlineStr">
        <is>
          <t>#2</t>
        </is>
      </c>
      <c r="G87" s="133" t="inlineStr">
        <is>
          <t>#2 Identification B</t>
        </is>
      </c>
      <c r="H87" s="277" t="inlineStr">
        <is>
          <t>credit removed</t>
        </is>
      </c>
      <c r="I87" s="276" t="inlineStr">
        <is>
          <t>R2 CNP identification B — no microscopy row on this certificate</t>
        </is>
      </c>
    </row>
    <row r="88">
      <c r="A88" s="130" t="inlineStr">
        <is>
          <t>FB012601_1</t>
        </is>
      </c>
      <c r="B88" s="129" t="inlineStr">
        <is>
          <t>P060322</t>
        </is>
      </c>
      <c r="C88" s="129" t="inlineStr">
        <is>
          <t>ППК26067</t>
        </is>
      </c>
      <c r="D88" s="274" t="n">
        <v>46153</v>
      </c>
      <c r="E88" s="129" t="inlineStr">
        <is>
          <t>CNP</t>
        </is>
      </c>
      <c r="F88" s="129" t="inlineStr">
        <is>
          <t>#2</t>
        </is>
      </c>
      <c r="G88" s="133" t="inlineStr">
        <is>
          <t>#2 Identification B</t>
        </is>
      </c>
      <c r="H88" s="277" t="inlineStr">
        <is>
          <t>credit removed</t>
        </is>
      </c>
      <c r="I88" s="276" t="inlineStr">
        <is>
          <t>R2 CNP identification B — no microscopy row on this certificate</t>
        </is>
      </c>
    </row>
    <row r="89">
      <c r="A89" s="130" t="inlineStr">
        <is>
          <t>FB112501</t>
        </is>
      </c>
      <c r="B89" s="129" t="inlineStr">
        <is>
          <t>P060292</t>
        </is>
      </c>
      <c r="C89" s="129" t="inlineStr">
        <is>
          <t>ППК26066</t>
        </is>
      </c>
      <c r="D89" s="274" t="n">
        <v>46153</v>
      </c>
      <c r="E89" s="129" t="inlineStr">
        <is>
          <t>CNP</t>
        </is>
      </c>
      <c r="F89" s="129" t="inlineStr">
        <is>
          <t>#2</t>
        </is>
      </c>
      <c r="G89" s="133" t="inlineStr">
        <is>
          <t>#2 Identification B</t>
        </is>
      </c>
      <c r="H89" s="277" t="inlineStr">
        <is>
          <t>credit removed</t>
        </is>
      </c>
      <c r="I89" s="276" t="inlineStr">
        <is>
          <t>R2 CNP identification B — no microscopy row on this certificate</t>
        </is>
      </c>
    </row>
    <row r="90">
      <c r="A90" s="130" t="inlineStr">
        <is>
          <t>GG012601＊</t>
        </is>
      </c>
      <c r="B90" s="129" t="inlineStr">
        <is>
          <t>P060302</t>
        </is>
      </c>
      <c r="C90" s="129" t="inlineStr">
        <is>
          <t>ППК26062</t>
        </is>
      </c>
      <c r="D90" s="274" t="n">
        <v>46153</v>
      </c>
      <c r="E90" s="129" t="inlineStr">
        <is>
          <t>CNP</t>
        </is>
      </c>
      <c r="F90" s="129" t="inlineStr">
        <is>
          <t>#2</t>
        </is>
      </c>
      <c r="G90" s="133" t="inlineStr">
        <is>
          <t>#2 Identification B</t>
        </is>
      </c>
      <c r="H90" s="277" t="inlineStr">
        <is>
          <t>credit removed</t>
        </is>
      </c>
      <c r="I90" s="276" t="inlineStr">
        <is>
          <t>R2 CNP identification B — no microscopy row on this certificate</t>
        </is>
      </c>
    </row>
    <row r="91">
      <c r="A91" s="130" t="inlineStr">
        <is>
          <t>GG1024_01</t>
        </is>
      </c>
      <c r="B91" s="129" t="inlineStr">
        <is>
          <t>P050092</t>
        </is>
      </c>
      <c r="C91" s="129" t="inlineStr">
        <is>
          <t>ППК25104</t>
        </is>
      </c>
      <c r="D91" s="274" t="n">
        <v>45764</v>
      </c>
      <c r="E91" s="129" t="inlineStr">
        <is>
          <t>CNP</t>
        </is>
      </c>
      <c r="F91" s="129" t="inlineStr">
        <is>
          <t>#2</t>
        </is>
      </c>
      <c r="G91" s="133" t="inlineStr">
        <is>
          <t>#2 Identification B</t>
        </is>
      </c>
      <c r="H91" s="277" t="inlineStr">
        <is>
          <t>credit removed</t>
        </is>
      </c>
      <c r="I91" s="276" t="inlineStr">
        <is>
          <t>R2 CNP identification B — no microscopy row on this certificate</t>
        </is>
      </c>
    </row>
    <row r="92">
      <c r="A92" s="130" t="inlineStr">
        <is>
          <t>GG1024_02</t>
        </is>
      </c>
      <c r="B92" s="129" t="inlineStr">
        <is>
          <t>P050012</t>
        </is>
      </c>
      <c r="C92" s="129" t="inlineStr">
        <is>
          <t>ППК25140</t>
        </is>
      </c>
      <c r="D92" s="274" t="n">
        <v>45799</v>
      </c>
      <c r="E92" s="129" t="inlineStr">
        <is>
          <t>CNP</t>
        </is>
      </c>
      <c r="F92" s="129" t="inlineStr">
        <is>
          <t>#2</t>
        </is>
      </c>
      <c r="G92" s="133" t="inlineStr">
        <is>
          <t>#2 Identification B</t>
        </is>
      </c>
      <c r="H92" s="277" t="inlineStr">
        <is>
          <t>credit removed</t>
        </is>
      </c>
      <c r="I92" s="276" t="inlineStr">
        <is>
          <t>R2 CNP identification B — no microscopy row on this certificate</t>
        </is>
      </c>
    </row>
    <row r="93">
      <c r="A93" s="130" t="inlineStr">
        <is>
          <t>GG112501</t>
        </is>
      </c>
      <c r="B93" s="129" t="inlineStr">
        <is>
          <t>P060252</t>
        </is>
      </c>
      <c r="C93" s="129" t="inlineStr">
        <is>
          <t>ППК26061</t>
        </is>
      </c>
      <c r="D93" s="274" t="n">
        <v>46153</v>
      </c>
      <c r="E93" s="129" t="inlineStr">
        <is>
          <t>CNP</t>
        </is>
      </c>
      <c r="F93" s="129" t="inlineStr">
        <is>
          <t>#2</t>
        </is>
      </c>
      <c r="G93" s="133" t="inlineStr">
        <is>
          <t>#2 Identification B</t>
        </is>
      </c>
      <c r="H93" s="277" t="inlineStr">
        <is>
          <t>credit removed</t>
        </is>
      </c>
      <c r="I93" s="276" t="inlineStr">
        <is>
          <t>R2 CNP identification B — no microscopy row on this certificate</t>
        </is>
      </c>
    </row>
    <row r="94">
      <c r="A94" s="130" t="inlineStr">
        <is>
          <t>GP052501</t>
        </is>
      </c>
      <c r="B94" s="129" t="inlineStr">
        <is>
          <t>P050152</t>
        </is>
      </c>
      <c r="C94" s="129" t="inlineStr">
        <is>
          <t>ППК25279</t>
        </is>
      </c>
      <c r="D94" s="274" t="n">
        <v>45919</v>
      </c>
      <c r="E94" s="129" t="inlineStr">
        <is>
          <t>CNP</t>
        </is>
      </c>
      <c r="F94" s="129" t="inlineStr">
        <is>
          <t>#2</t>
        </is>
      </c>
      <c r="G94" s="133" t="inlineStr">
        <is>
          <t>#2 Identification B</t>
        </is>
      </c>
      <c r="H94" s="277" t="inlineStr">
        <is>
          <t>credit removed</t>
        </is>
      </c>
      <c r="I94" s="276" t="inlineStr">
        <is>
          <t>R2 CNP identification B — no microscopy row on this certificate</t>
        </is>
      </c>
    </row>
    <row r="95">
      <c r="A95" s="130" t="inlineStr">
        <is>
          <t>GP062501</t>
        </is>
      </c>
      <c r="B95" s="129" t="inlineStr">
        <is>
          <t>P050202</t>
        </is>
      </c>
      <c r="C95" s="129" t="inlineStr">
        <is>
          <t>ППК26036</t>
        </is>
      </c>
      <c r="D95" s="274" t="n">
        <v>46086</v>
      </c>
      <c r="E95" s="129" t="inlineStr">
        <is>
          <t>CNP</t>
        </is>
      </c>
      <c r="F95" s="129" t="inlineStr">
        <is>
          <t>#2</t>
        </is>
      </c>
      <c r="G95" s="133" t="inlineStr">
        <is>
          <t>#2 Identification B</t>
        </is>
      </c>
      <c r="H95" s="277" t="inlineStr">
        <is>
          <t>credit removed</t>
        </is>
      </c>
      <c r="I95" s="276" t="inlineStr">
        <is>
          <t>R2 CNP identification B — no microscopy row on this certificate</t>
        </is>
      </c>
    </row>
    <row r="96">
      <c r="A96" s="130" t="inlineStr">
        <is>
          <t>GP062501</t>
        </is>
      </c>
      <c r="B96" s="129" t="inlineStr">
        <is>
          <t>P050202</t>
        </is>
      </c>
      <c r="C96" s="129" t="inlineStr">
        <is>
          <t>ППК26037</t>
        </is>
      </c>
      <c r="D96" s="274" t="n">
        <v>46086</v>
      </c>
      <c r="E96" s="129" t="inlineStr">
        <is>
          <t>CNP</t>
        </is>
      </c>
      <c r="F96" s="129" t="inlineStr">
        <is>
          <t>#2</t>
        </is>
      </c>
      <c r="G96" s="133" t="inlineStr">
        <is>
          <t>#2 Identification B</t>
        </is>
      </c>
      <c r="H96" s="277" t="inlineStr">
        <is>
          <t>credit removed</t>
        </is>
      </c>
      <c r="I96" s="276" t="inlineStr">
        <is>
          <t>R2 CNP identification B — no microscopy row on this certificate</t>
        </is>
      </c>
    </row>
    <row r="97">
      <c r="A97" s="130" t="inlineStr">
        <is>
          <t>GP062501</t>
        </is>
      </c>
      <c r="B97" s="129" t="inlineStr">
        <is>
          <t>P050202</t>
        </is>
      </c>
      <c r="C97" s="129" t="inlineStr">
        <is>
          <t>ППК26057</t>
        </is>
      </c>
      <c r="D97" s="274" t="n">
        <v>46153</v>
      </c>
      <c r="E97" s="129" t="inlineStr">
        <is>
          <t>CNP</t>
        </is>
      </c>
      <c r="F97" s="129" t="inlineStr">
        <is>
          <t>#2</t>
        </is>
      </c>
      <c r="G97" s="133" t="inlineStr">
        <is>
          <t>#2 Identification B</t>
        </is>
      </c>
      <c r="H97" s="277" t="inlineStr">
        <is>
          <t>credit removed</t>
        </is>
      </c>
      <c r="I97" s="276" t="inlineStr">
        <is>
          <t>R2 CNP identification B — no microscopy row on this certificate</t>
        </is>
      </c>
    </row>
    <row r="98">
      <c r="A98" s="130" t="inlineStr">
        <is>
          <t>GP062501</t>
        </is>
      </c>
      <c r="B98" s="129" t="inlineStr">
        <is>
          <t>P050202</t>
        </is>
      </c>
      <c r="C98" s="129" t="inlineStr">
        <is>
          <t>ППК26058</t>
        </is>
      </c>
      <c r="D98" s="274" t="n">
        <v>46153</v>
      </c>
      <c r="E98" s="129" t="inlineStr">
        <is>
          <t>CNP</t>
        </is>
      </c>
      <c r="F98" s="129" t="inlineStr">
        <is>
          <t>#2</t>
        </is>
      </c>
      <c r="G98" s="133" t="inlineStr">
        <is>
          <t>#2 Identification B</t>
        </is>
      </c>
      <c r="H98" s="277" t="inlineStr">
        <is>
          <t>credit removed</t>
        </is>
      </c>
      <c r="I98" s="276" t="inlineStr">
        <is>
          <t>R2 CNP identification B — no microscopy row on this certificate</t>
        </is>
      </c>
    </row>
    <row r="99">
      <c r="A99" s="130" t="inlineStr">
        <is>
          <t>GP072501/1</t>
        </is>
      </c>
      <c r="B99" s="129" t="inlineStr">
        <is>
          <t>P050292</t>
        </is>
      </c>
      <c r="C99" s="129" t="inlineStr">
        <is>
          <t>ППК25378</t>
        </is>
      </c>
      <c r="D99" s="274" t="n">
        <v>46003</v>
      </c>
      <c r="E99" s="129" t="inlineStr">
        <is>
          <t>CNP</t>
        </is>
      </c>
      <c r="F99" s="129" t="inlineStr">
        <is>
          <t>#2</t>
        </is>
      </c>
      <c r="G99" s="133" t="inlineStr">
        <is>
          <t>#2 Identification B</t>
        </is>
      </c>
      <c r="H99" s="277" t="inlineStr">
        <is>
          <t>credit removed</t>
        </is>
      </c>
      <c r="I99" s="276" t="inlineStr">
        <is>
          <t>R2 CNP identification B — no microscopy row on this certificate</t>
        </is>
      </c>
    </row>
    <row r="100">
      <c r="A100" s="130" t="inlineStr">
        <is>
          <t>GP072501/2</t>
        </is>
      </c>
      <c r="B100" s="129" t="inlineStr">
        <is>
          <t>P050302</t>
        </is>
      </c>
      <c r="C100" s="129" t="inlineStr">
        <is>
          <t>ППК25379</t>
        </is>
      </c>
      <c r="D100" s="274" t="n">
        <v>46003</v>
      </c>
      <c r="E100" s="129" t="inlineStr">
        <is>
          <t>CNP</t>
        </is>
      </c>
      <c r="F100" s="129" t="inlineStr">
        <is>
          <t>#2</t>
        </is>
      </c>
      <c r="G100" s="133" t="inlineStr">
        <is>
          <t>#2 Identification B</t>
        </is>
      </c>
      <c r="H100" s="277" t="inlineStr">
        <is>
          <t>credit removed</t>
        </is>
      </c>
      <c r="I100" s="276" t="inlineStr">
        <is>
          <t>R2 CNP identification B — no microscopy row on this certificate</t>
        </is>
      </c>
    </row>
    <row r="101">
      <c r="A101" s="130" t="inlineStr">
        <is>
          <t>GP0824_01</t>
        </is>
      </c>
      <c r="B101" s="129" t="inlineStr">
        <is>
          <t>P050102</t>
        </is>
      </c>
      <c r="C101" s="129" t="inlineStr">
        <is>
          <t>ППК25105</t>
        </is>
      </c>
      <c r="D101" s="274" t="n">
        <v>45764</v>
      </c>
      <c r="E101" s="129" t="inlineStr">
        <is>
          <t>CNP</t>
        </is>
      </c>
      <c r="F101" s="129" t="inlineStr">
        <is>
          <t>#2</t>
        </is>
      </c>
      <c r="G101" s="133" t="inlineStr">
        <is>
          <t>#2 Identification B</t>
        </is>
      </c>
      <c r="H101" s="277" t="inlineStr">
        <is>
          <t>credit removed</t>
        </is>
      </c>
      <c r="I101" s="276" t="inlineStr">
        <is>
          <t>R2 CNP identification B — no microscopy row on this certificate</t>
        </is>
      </c>
    </row>
    <row r="102">
      <c r="A102" s="130" t="inlineStr">
        <is>
          <t>GP0824_02</t>
        </is>
      </c>
      <c r="B102" s="129" t="inlineStr">
        <is>
          <t>P050022</t>
        </is>
      </c>
      <c r="C102" s="129" t="inlineStr">
        <is>
          <t>ППК25139</t>
        </is>
      </c>
      <c r="D102" s="274" t="n">
        <v>45799</v>
      </c>
      <c r="E102" s="129" t="inlineStr">
        <is>
          <t>CNP</t>
        </is>
      </c>
      <c r="F102" s="129" t="inlineStr">
        <is>
          <t>#2</t>
        </is>
      </c>
      <c r="G102" s="133" t="inlineStr">
        <is>
          <t>#2 Identification B</t>
        </is>
      </c>
      <c r="H102" s="277" t="inlineStr">
        <is>
          <t>credit removed</t>
        </is>
      </c>
      <c r="I102" s="276" t="inlineStr">
        <is>
          <t>R2 CNP identification B — no microscopy row on this certificate</t>
        </is>
      </c>
    </row>
    <row r="103">
      <c r="A103" s="130" t="inlineStr">
        <is>
          <t>GP0824_02</t>
        </is>
      </c>
      <c r="B103" s="129" t="inlineStr">
        <is>
          <t>P050022</t>
        </is>
      </c>
      <c r="C103" s="129" t="inlineStr">
        <is>
          <t>ППК25174</t>
        </is>
      </c>
      <c r="D103" s="274" t="n">
        <v>45848</v>
      </c>
      <c r="E103" s="129" t="inlineStr">
        <is>
          <t>CNP</t>
        </is>
      </c>
      <c r="F103" s="129" t="inlineStr">
        <is>
          <t>#2</t>
        </is>
      </c>
      <c r="G103" s="133" t="inlineStr">
        <is>
          <t>#2 Identification B</t>
        </is>
      </c>
      <c r="H103" s="277" t="inlineStr">
        <is>
          <t>credit removed</t>
        </is>
      </c>
      <c r="I103" s="276" t="inlineStr">
        <is>
          <t>R2 CNP identification B — no microscopy row on this certificate</t>
        </is>
      </c>
    </row>
    <row r="104">
      <c r="A104" s="130" t="inlineStr">
        <is>
          <t>GP0824_02</t>
        </is>
      </c>
      <c r="B104" s="129" t="inlineStr">
        <is>
          <t>P050022</t>
        </is>
      </c>
      <c r="C104" s="129" t="inlineStr">
        <is>
          <t>ППК26032</t>
        </is>
      </c>
      <c r="D104" s="274" t="n">
        <v>46086</v>
      </c>
      <c r="E104" s="129" t="inlineStr">
        <is>
          <t>CNP</t>
        </is>
      </c>
      <c r="F104" s="129" t="inlineStr">
        <is>
          <t>#2</t>
        </is>
      </c>
      <c r="G104" s="133" t="inlineStr">
        <is>
          <t>#2 Identification B</t>
        </is>
      </c>
      <c r="H104" s="277" t="inlineStr">
        <is>
          <t>credit removed</t>
        </is>
      </c>
      <c r="I104" s="276" t="inlineStr">
        <is>
          <t>R2 CNP identification B — no microscopy row on this certificate</t>
        </is>
      </c>
    </row>
    <row r="105">
      <c r="A105" s="130" t="inlineStr">
        <is>
          <t>GP0824_02</t>
        </is>
      </c>
      <c r="B105" s="129" t="inlineStr">
        <is>
          <t>P050022</t>
        </is>
      </c>
      <c r="C105" s="129" t="inlineStr">
        <is>
          <t>ППК26033</t>
        </is>
      </c>
      <c r="D105" s="274" t="n">
        <v>46086</v>
      </c>
      <c r="E105" s="129" t="inlineStr">
        <is>
          <t>CNP</t>
        </is>
      </c>
      <c r="F105" s="129" t="inlineStr">
        <is>
          <t>#2</t>
        </is>
      </c>
      <c r="G105" s="133" t="inlineStr">
        <is>
          <t>#2 Identification B</t>
        </is>
      </c>
      <c r="H105" s="277" t="inlineStr">
        <is>
          <t>credit removed</t>
        </is>
      </c>
      <c r="I105" s="276" t="inlineStr">
        <is>
          <t>R2 CNP identification B — no microscopy row on this certificate</t>
        </is>
      </c>
    </row>
    <row r="106">
      <c r="A106" s="130" t="inlineStr">
        <is>
          <t>GP0824_02</t>
        </is>
      </c>
      <c r="B106" s="129" t="inlineStr">
        <is>
          <t>P050022</t>
        </is>
      </c>
      <c r="C106" s="129" t="inlineStr">
        <is>
          <t>ППК26059</t>
        </is>
      </c>
      <c r="D106" s="274" t="n">
        <v>46153</v>
      </c>
      <c r="E106" s="129" t="inlineStr">
        <is>
          <t>CNP</t>
        </is>
      </c>
      <c r="F106" s="129" t="inlineStr">
        <is>
          <t>#2</t>
        </is>
      </c>
      <c r="G106" s="133" t="inlineStr">
        <is>
          <t>#2 Identification B</t>
        </is>
      </c>
      <c r="H106" s="277" t="inlineStr">
        <is>
          <t>credit removed</t>
        </is>
      </c>
      <c r="I106" s="276" t="inlineStr">
        <is>
          <t>R2 CNP identification B — no microscopy row on this certificate</t>
        </is>
      </c>
    </row>
    <row r="107">
      <c r="A107" s="130" t="inlineStr">
        <is>
          <t>GP0824_03</t>
        </is>
      </c>
      <c r="B107" s="129" t="inlineStr">
        <is>
          <t>P050072</t>
        </is>
      </c>
      <c r="C107" s="129" t="inlineStr">
        <is>
          <t>ППК25175</t>
        </is>
      </c>
      <c r="D107" s="274" t="n">
        <v>45848</v>
      </c>
      <c r="E107" s="129" t="inlineStr">
        <is>
          <t>CNP</t>
        </is>
      </c>
      <c r="F107" s="129" t="inlineStr">
        <is>
          <t>#2</t>
        </is>
      </c>
      <c r="G107" s="133" t="inlineStr">
        <is>
          <t>#2 Identification B</t>
        </is>
      </c>
      <c r="H107" s="277" t="inlineStr">
        <is>
          <t>credit removed</t>
        </is>
      </c>
      <c r="I107" s="276" t="inlineStr">
        <is>
          <t>R2 CNP identification B — no microscopy row on this certificate</t>
        </is>
      </c>
    </row>
    <row r="108">
      <c r="A108" s="130" t="inlineStr">
        <is>
          <t>GP0824_03</t>
        </is>
      </c>
      <c r="B108" s="129" t="inlineStr">
        <is>
          <t>P050072</t>
        </is>
      </c>
      <c r="C108" s="129" t="inlineStr">
        <is>
          <t>ППК26034</t>
        </is>
      </c>
      <c r="D108" s="274" t="n">
        <v>46086</v>
      </c>
      <c r="E108" s="129" t="inlineStr">
        <is>
          <t>CNP</t>
        </is>
      </c>
      <c r="F108" s="129" t="inlineStr">
        <is>
          <t>#2</t>
        </is>
      </c>
      <c r="G108" s="133" t="inlineStr">
        <is>
          <t>#2 Identification B</t>
        </is>
      </c>
      <c r="H108" s="277" t="inlineStr">
        <is>
          <t>credit removed</t>
        </is>
      </c>
      <c r="I108" s="276" t="inlineStr">
        <is>
          <t>R2 CNP identification B — no microscopy row on this certificate</t>
        </is>
      </c>
    </row>
    <row r="109">
      <c r="A109" s="130" t="inlineStr">
        <is>
          <t>GP0824_03</t>
        </is>
      </c>
      <c r="B109" s="129" t="inlineStr">
        <is>
          <t>P050072</t>
        </is>
      </c>
      <c r="C109" s="129" t="inlineStr">
        <is>
          <t>ППК26035</t>
        </is>
      </c>
      <c r="D109" s="274" t="n">
        <v>46086</v>
      </c>
      <c r="E109" s="129" t="inlineStr">
        <is>
          <t>CNP</t>
        </is>
      </c>
      <c r="F109" s="129" t="inlineStr">
        <is>
          <t>#2</t>
        </is>
      </c>
      <c r="G109" s="133" t="inlineStr">
        <is>
          <t>#2 Identification B</t>
        </is>
      </c>
      <c r="H109" s="277" t="inlineStr">
        <is>
          <t>credit removed</t>
        </is>
      </c>
      <c r="I109" s="276" t="inlineStr">
        <is>
          <t>R2 CNP identification B — no microscopy row on this certificate</t>
        </is>
      </c>
    </row>
    <row r="110">
      <c r="A110" s="130" t="inlineStr">
        <is>
          <t>GP0824_03</t>
        </is>
      </c>
      <c r="B110" s="129" t="inlineStr">
        <is>
          <t>P050072</t>
        </is>
      </c>
      <c r="C110" s="129" t="inlineStr">
        <is>
          <t>ППК26060</t>
        </is>
      </c>
      <c r="D110" s="274" t="n">
        <v>46153</v>
      </c>
      <c r="E110" s="129" t="inlineStr">
        <is>
          <t>CNP</t>
        </is>
      </c>
      <c r="F110" s="129" t="inlineStr">
        <is>
          <t>#2</t>
        </is>
      </c>
      <c r="G110" s="133" t="inlineStr">
        <is>
          <t>#2 Identification B</t>
        </is>
      </c>
      <c r="H110" s="277" t="inlineStr">
        <is>
          <t>credit removed</t>
        </is>
      </c>
      <c r="I110" s="276" t="inlineStr">
        <is>
          <t>R2 CNP identification B — no microscopy row on this certificate</t>
        </is>
      </c>
    </row>
    <row r="111">
      <c r="A111" s="130" t="inlineStr">
        <is>
          <t>GP082501/1</t>
        </is>
      </c>
      <c r="B111" s="129" t="inlineStr">
        <is>
          <t>P050312</t>
        </is>
      </c>
      <c r="C111" s="129" t="inlineStr">
        <is>
          <t>ППК25380</t>
        </is>
      </c>
      <c r="D111" s="274" t="n">
        <v>46003</v>
      </c>
      <c r="E111" s="129" t="inlineStr">
        <is>
          <t>CNP</t>
        </is>
      </c>
      <c r="F111" s="129" t="inlineStr">
        <is>
          <t>#2</t>
        </is>
      </c>
      <c r="G111" s="133" t="inlineStr">
        <is>
          <t>#2 Identification B</t>
        </is>
      </c>
      <c r="H111" s="277" t="inlineStr">
        <is>
          <t>credit removed</t>
        </is>
      </c>
      <c r="I111" s="276" t="inlineStr">
        <is>
          <t>R2 CNP identification B — no microscopy row on this certificate</t>
        </is>
      </c>
    </row>
    <row r="112">
      <c r="A112" s="130" t="inlineStr">
        <is>
          <t>GP082501/2</t>
        </is>
      </c>
      <c r="B112" s="129" t="inlineStr">
        <is>
          <t>P050322</t>
        </is>
      </c>
      <c r="C112" s="129" t="inlineStr">
        <is>
          <t>ППК25381</t>
        </is>
      </c>
      <c r="D112" s="274" t="n">
        <v>46003</v>
      </c>
      <c r="E112" s="129" t="inlineStr">
        <is>
          <t>CNP</t>
        </is>
      </c>
      <c r="F112" s="129" t="inlineStr">
        <is>
          <t>#2</t>
        </is>
      </c>
      <c r="G112" s="133" t="inlineStr">
        <is>
          <t>#2 Identification B</t>
        </is>
      </c>
      <c r="H112" s="277" t="inlineStr">
        <is>
          <t>credit removed</t>
        </is>
      </c>
      <c r="I112" s="276" t="inlineStr">
        <is>
          <t>R2 CNP identification B — no microscopy row on this certificate</t>
        </is>
      </c>
    </row>
    <row r="113">
      <c r="A113" s="130" t="inlineStr">
        <is>
          <t>GP092501</t>
        </is>
      </c>
      <c r="B113" s="129" t="inlineStr">
        <is>
          <t>P060092</t>
        </is>
      </c>
      <c r="C113" s="129" t="inlineStr">
        <is>
          <t>ППК26009</t>
        </is>
      </c>
      <c r="D113" s="274" t="n">
        <v>46043</v>
      </c>
      <c r="E113" s="129" t="inlineStr">
        <is>
          <t>CNP</t>
        </is>
      </c>
      <c r="F113" s="129" t="inlineStr">
        <is>
          <t>#2</t>
        </is>
      </c>
      <c r="G113" s="133" t="inlineStr">
        <is>
          <t>#2 Identification B</t>
        </is>
      </c>
      <c r="H113" s="277" t="inlineStr">
        <is>
          <t>credit removed</t>
        </is>
      </c>
      <c r="I113" s="276" t="inlineStr">
        <is>
          <t>R2 CNP identification B — no microscopy row on this certificate</t>
        </is>
      </c>
    </row>
    <row r="114">
      <c r="A114" s="130" t="inlineStr">
        <is>
          <t>HPA052501</t>
        </is>
      </c>
      <c r="B114" s="129" t="inlineStr">
        <is>
          <t>P050182</t>
        </is>
      </c>
      <c r="C114" s="129" t="inlineStr">
        <is>
          <t>ППК25278</t>
        </is>
      </c>
      <c r="D114" s="274" t="n">
        <v>45919</v>
      </c>
      <c r="E114" s="129" t="inlineStr">
        <is>
          <t>CNP</t>
        </is>
      </c>
      <c r="F114" s="129" t="inlineStr">
        <is>
          <t>#2</t>
        </is>
      </c>
      <c r="G114" s="133" t="inlineStr">
        <is>
          <t>#2 Identification B</t>
        </is>
      </c>
      <c r="H114" s="277" t="inlineStr">
        <is>
          <t>credit removed</t>
        </is>
      </c>
      <c r="I114" s="276" t="inlineStr">
        <is>
          <t>R2 CNP identification B — no microscopy row on this certificate</t>
        </is>
      </c>
    </row>
    <row r="115">
      <c r="A115" s="130" t="inlineStr">
        <is>
          <t>HPA1024_01</t>
        </is>
      </c>
      <c r="B115" s="129" t="inlineStr">
        <is>
          <t>P050052</t>
        </is>
      </c>
      <c r="C115" s="129" t="inlineStr">
        <is>
          <t>ППК25155</t>
        </is>
      </c>
      <c r="D115" s="274" t="n">
        <v>45832</v>
      </c>
      <c r="E115" s="129" t="inlineStr">
        <is>
          <t>CNP</t>
        </is>
      </c>
      <c r="F115" s="129" t="inlineStr">
        <is>
          <t>#2</t>
        </is>
      </c>
      <c r="G115" s="133" t="inlineStr">
        <is>
          <t>#2 Identification B</t>
        </is>
      </c>
      <c r="H115" s="277" t="inlineStr">
        <is>
          <t>credit removed</t>
        </is>
      </c>
      <c r="I115" s="276" t="inlineStr">
        <is>
          <t>R2 CNP identification B — no microscopy row on this certificate</t>
        </is>
      </c>
    </row>
    <row r="116">
      <c r="A116" s="130" t="inlineStr">
        <is>
          <t>JD012601＊</t>
        </is>
      </c>
      <c r="B116" s="129" t="inlineStr">
        <is>
          <t>P060312</t>
        </is>
      </c>
      <c r="C116" s="129" t="inlineStr">
        <is>
          <t>ППК26064</t>
        </is>
      </c>
      <c r="D116" s="274" t="n">
        <v>46153</v>
      </c>
      <c r="E116" s="129" t="inlineStr">
        <is>
          <t>CNP</t>
        </is>
      </c>
      <c r="F116" s="129" t="inlineStr">
        <is>
          <t>#2</t>
        </is>
      </c>
      <c r="G116" s="133" t="inlineStr">
        <is>
          <t>#2 Identification B</t>
        </is>
      </c>
      <c r="H116" s="277" t="inlineStr">
        <is>
          <t>credit removed</t>
        </is>
      </c>
      <c r="I116" s="276" t="inlineStr">
        <is>
          <t>R2 CNP identification B — no microscopy row on this certificate</t>
        </is>
      </c>
    </row>
    <row r="117">
      <c r="A117" s="130" t="inlineStr">
        <is>
          <t>JD112501</t>
        </is>
      </c>
      <c r="B117" s="129" t="inlineStr">
        <is>
          <t>P060212</t>
        </is>
      </c>
      <c r="C117" s="129" t="inlineStr">
        <is>
          <t>ППК26063</t>
        </is>
      </c>
      <c r="D117" s="274" t="n">
        <v>46153</v>
      </c>
      <c r="E117" s="129" t="inlineStr">
        <is>
          <t>CNP</t>
        </is>
      </c>
      <c r="F117" s="129" t="inlineStr">
        <is>
          <t>#2</t>
        </is>
      </c>
      <c r="G117" s="133" t="inlineStr">
        <is>
          <t>#2 Identification B</t>
        </is>
      </c>
      <c r="H117" s="277" t="inlineStr">
        <is>
          <t>credit removed</t>
        </is>
      </c>
      <c r="I117" s="276" t="inlineStr">
        <is>
          <t>R2 CNP identification B — no microscopy row on this certificate</t>
        </is>
      </c>
    </row>
    <row r="118">
      <c r="A118" s="130" t="inlineStr">
        <is>
          <t>JD112501＊</t>
        </is>
      </c>
      <c r="B118" s="129" t="inlineStr">
        <is>
          <t>N/A — no P batch assigned</t>
        </is>
      </c>
      <c r="C118" s="129" t="inlineStr">
        <is>
          <t>ППК26065</t>
        </is>
      </c>
      <c r="D118" s="274" t="n">
        <v>46153</v>
      </c>
      <c r="E118" s="129" t="inlineStr">
        <is>
          <t>CNP</t>
        </is>
      </c>
      <c r="F118" s="129" t="inlineStr">
        <is>
          <t>#2</t>
        </is>
      </c>
      <c r="G118" s="133" t="inlineStr">
        <is>
          <t>#2 Identification B</t>
        </is>
      </c>
      <c r="H118" s="277" t="inlineStr">
        <is>
          <t>credit removed</t>
        </is>
      </c>
      <c r="I118" s="276" t="inlineStr">
        <is>
          <t>R2 CNP identification B — no microscopy row on this certificate</t>
        </is>
      </c>
    </row>
    <row r="119">
      <c r="A119" s="130" t="inlineStr">
        <is>
          <t>MB0824_04</t>
        </is>
      </c>
      <c r="B119" s="129" t="inlineStr">
        <is>
          <t>P050032</t>
        </is>
      </c>
      <c r="C119" s="129" t="inlineStr">
        <is>
          <t>ППК25118</t>
        </is>
      </c>
      <c r="D119" s="274" t="n">
        <v>45783</v>
      </c>
      <c r="E119" s="129" t="inlineStr">
        <is>
          <t>CNP</t>
        </is>
      </c>
      <c r="F119" s="129" t="inlineStr">
        <is>
          <t>#2</t>
        </is>
      </c>
      <c r="G119" s="133" t="inlineStr">
        <is>
          <t>#2 Identification B</t>
        </is>
      </c>
      <c r="H119" s="277" t="inlineStr">
        <is>
          <t>credit removed</t>
        </is>
      </c>
      <c r="I119" s="276" t="inlineStr">
        <is>
          <t>R2 CNP identification B — no microscopy row on this certificate</t>
        </is>
      </c>
    </row>
    <row r="120">
      <c r="A120" s="130" t="inlineStr">
        <is>
          <t>MB0824_05</t>
        </is>
      </c>
      <c r="B120" s="129" t="inlineStr">
        <is>
          <t>P050112</t>
        </is>
      </c>
      <c r="C120" s="129" t="inlineStr">
        <is>
          <t>ППК25211</t>
        </is>
      </c>
      <c r="D120" s="274" t="n">
        <v>45866</v>
      </c>
      <c r="E120" s="129" t="inlineStr">
        <is>
          <t>CNP</t>
        </is>
      </c>
      <c r="F120" s="129" t="inlineStr">
        <is>
          <t>#2</t>
        </is>
      </c>
      <c r="G120" s="133" t="inlineStr">
        <is>
          <t>#2 Identification B</t>
        </is>
      </c>
      <c r="H120" s="277" t="inlineStr">
        <is>
          <t>credit removed</t>
        </is>
      </c>
      <c r="I120" s="276" t="inlineStr">
        <is>
          <t>R2 CNP identification B — no microscopy row on this certificate</t>
        </is>
      </c>
    </row>
    <row r="121">
      <c r="A121" s="130" t="inlineStr">
        <is>
          <t>OMP1024_01</t>
        </is>
      </c>
      <c r="B121" s="129" t="inlineStr">
        <is>
          <t>P050042</t>
        </is>
      </c>
      <c r="C121" s="129" t="inlineStr">
        <is>
          <t>ППК25117</t>
        </is>
      </c>
      <c r="D121" s="274" t="n">
        <v>45783</v>
      </c>
      <c r="E121" s="129" t="inlineStr">
        <is>
          <t>CNP</t>
        </is>
      </c>
      <c r="F121" s="129" t="inlineStr">
        <is>
          <t>#2</t>
        </is>
      </c>
      <c r="G121" s="133" t="inlineStr">
        <is>
          <t>#2 Identification B</t>
        </is>
      </c>
      <c r="H121" s="277" t="inlineStr">
        <is>
          <t>credit removed</t>
        </is>
      </c>
      <c r="I121" s="276" t="inlineStr">
        <is>
          <t>R2 CNP identification B — no microscopy row on this certificate</t>
        </is>
      </c>
    </row>
    <row r="122">
      <c r="A122" s="130" t="inlineStr">
        <is>
          <t>OPM052501</t>
        </is>
      </c>
      <c r="B122" s="129" t="inlineStr">
        <is>
          <t>P050132</t>
        </is>
      </c>
      <c r="C122" s="129" t="inlineStr">
        <is>
          <t>ППК25257</t>
        </is>
      </c>
      <c r="D122" s="274" t="n">
        <v>45905</v>
      </c>
      <c r="E122" s="129" t="inlineStr">
        <is>
          <t>CNP</t>
        </is>
      </c>
      <c r="F122" s="129" t="inlineStr">
        <is>
          <t>#2</t>
        </is>
      </c>
      <c r="G122" s="133" t="inlineStr">
        <is>
          <t>#2 Identification B</t>
        </is>
      </c>
      <c r="H122" s="277" t="inlineStr">
        <is>
          <t>credit removed</t>
        </is>
      </c>
      <c r="I122" s="276" t="inlineStr">
        <is>
          <t>R2 CNP identification B — no microscopy row on this certificate</t>
        </is>
      </c>
    </row>
    <row r="123">
      <c r="A123" s="130" t="inlineStr">
        <is>
          <t>OPM092501</t>
        </is>
      </c>
      <c r="B123" s="129" t="inlineStr">
        <is>
          <t>P060042</t>
        </is>
      </c>
      <c r="C123" s="129" t="inlineStr">
        <is>
          <t>ППК26008</t>
        </is>
      </c>
      <c r="D123" s="274" t="n">
        <v>46043</v>
      </c>
      <c r="E123" s="129" t="inlineStr">
        <is>
          <t>CNP</t>
        </is>
      </c>
      <c r="F123" s="129" t="inlineStr">
        <is>
          <t>#2</t>
        </is>
      </c>
      <c r="G123" s="133" t="inlineStr">
        <is>
          <t>#2 Identification B</t>
        </is>
      </c>
      <c r="H123" s="277" t="inlineStr">
        <is>
          <t>credit removed</t>
        </is>
      </c>
      <c r="I123" s="276" t="inlineStr">
        <is>
          <t>R2 CNP identification B — no microscopy row on this certificate</t>
        </is>
      </c>
    </row>
    <row r="124">
      <c r="A124" s="130" t="inlineStr">
        <is>
          <t>OPM1024_02</t>
        </is>
      </c>
      <c r="B124" s="129" t="inlineStr">
        <is>
          <t>P050062</t>
        </is>
      </c>
      <c r="C124" s="129" t="inlineStr">
        <is>
          <t>ППК25154</t>
        </is>
      </c>
      <c r="D124" s="274" t="n">
        <v>45832</v>
      </c>
      <c r="E124" s="129" t="inlineStr">
        <is>
          <t>CNP</t>
        </is>
      </c>
      <c r="F124" s="129" t="inlineStr">
        <is>
          <t>#2</t>
        </is>
      </c>
      <c r="G124" s="133" t="inlineStr">
        <is>
          <t>#2 Identification B</t>
        </is>
      </c>
      <c r="H124" s="277" t="inlineStr">
        <is>
          <t>credit removed</t>
        </is>
      </c>
      <c r="I124" s="276" t="inlineStr">
        <is>
          <t>R2 CNP identification B — no microscopy row on this certificate</t>
        </is>
      </c>
    </row>
    <row r="125">
      <c r="A125" s="130" t="inlineStr">
        <is>
          <t>OPM1024_03</t>
        </is>
      </c>
      <c r="B125" s="129" t="inlineStr">
        <is>
          <t>P050082</t>
        </is>
      </c>
      <c r="C125" s="129" t="inlineStr">
        <is>
          <t>ППК25210</t>
        </is>
      </c>
      <c r="D125" s="274" t="n">
        <v>45866</v>
      </c>
      <c r="E125" s="129" t="inlineStr">
        <is>
          <t>CNP</t>
        </is>
      </c>
      <c r="F125" s="129" t="inlineStr">
        <is>
          <t>#2</t>
        </is>
      </c>
      <c r="G125" s="133" t="inlineStr">
        <is>
          <t>#2 Identification B</t>
        </is>
      </c>
      <c r="H125" s="277" t="inlineStr">
        <is>
          <t>credit removed</t>
        </is>
      </c>
      <c r="I125" s="276" t="inlineStr">
        <is>
          <t>R2 CNP identification B — no microscopy row on this certificate</t>
        </is>
      </c>
    </row>
    <row r="126">
      <c r="A126" s="130" t="inlineStr">
        <is>
          <t>OPM112501</t>
        </is>
      </c>
      <c r="B126" s="129" t="inlineStr">
        <is>
          <t>P060222</t>
        </is>
      </c>
      <c r="C126" s="129" t="inlineStr">
        <is>
          <t>ППК26031</t>
        </is>
      </c>
      <c r="D126" s="274" t="n">
        <v>46086</v>
      </c>
      <c r="E126" s="129" t="inlineStr">
        <is>
          <t>CNP</t>
        </is>
      </c>
      <c r="F126" s="129" t="inlineStr">
        <is>
          <t>#2</t>
        </is>
      </c>
      <c r="G126" s="133" t="inlineStr">
        <is>
          <t>#2 Identification B</t>
        </is>
      </c>
      <c r="H126" s="277" t="inlineStr">
        <is>
          <t>credit removed</t>
        </is>
      </c>
      <c r="I126" s="276" t="inlineStr">
        <is>
          <t>R2 CNP identification B — no microscopy row on this certificate</t>
        </is>
      </c>
    </row>
    <row r="127">
      <c r="A127" s="130" t="inlineStr">
        <is>
          <t>PM072501</t>
        </is>
      </c>
      <c r="B127" s="129" t="inlineStr">
        <is>
          <t>P050272</t>
        </is>
      </c>
      <c r="C127" s="129" t="inlineStr">
        <is>
          <t>ППК25368</t>
        </is>
      </c>
      <c r="D127" s="274" t="n">
        <v>45989</v>
      </c>
      <c r="E127" s="129" t="inlineStr">
        <is>
          <t>CNP</t>
        </is>
      </c>
      <c r="F127" s="129" t="inlineStr">
        <is>
          <t>#2</t>
        </is>
      </c>
      <c r="G127" s="133" t="inlineStr">
        <is>
          <t>#2 Identification B</t>
        </is>
      </c>
      <c r="H127" s="277" t="inlineStr">
        <is>
          <t>credit removed</t>
        </is>
      </c>
      <c r="I127" s="276" t="inlineStr">
        <is>
          <t>R2 CNP identification B — no microscopy row on this certificate</t>
        </is>
      </c>
    </row>
    <row r="128">
      <c r="A128" s="130" t="inlineStr">
        <is>
          <t>PM092501</t>
        </is>
      </c>
      <c r="B128" s="129" t="inlineStr">
        <is>
          <t>P060062</t>
        </is>
      </c>
      <c r="C128" s="129" t="inlineStr">
        <is>
          <t>ППК26004</t>
        </is>
      </c>
      <c r="D128" s="274" t="n">
        <v>46043</v>
      </c>
      <c r="E128" s="129" t="inlineStr">
        <is>
          <t>CNP</t>
        </is>
      </c>
      <c r="F128" s="129" t="inlineStr">
        <is>
          <t>#2</t>
        </is>
      </c>
      <c r="G128" s="133" t="inlineStr">
        <is>
          <t>#2 Identification B</t>
        </is>
      </c>
      <c r="H128" s="277" t="inlineStr">
        <is>
          <t>credit removed</t>
        </is>
      </c>
      <c r="I128" s="276" t="inlineStr">
        <is>
          <t>R2 CNP identification B — no microscopy row on this certificate</t>
        </is>
      </c>
    </row>
    <row r="129">
      <c r="A129" s="130" t="inlineStr">
        <is>
          <t>PM112501</t>
        </is>
      </c>
      <c r="B129" s="129" t="inlineStr">
        <is>
          <t>P060232</t>
        </is>
      </c>
      <c r="C129" s="129" t="inlineStr">
        <is>
          <t>ППК26030</t>
        </is>
      </c>
      <c r="D129" s="274" t="n">
        <v>46086</v>
      </c>
      <c r="E129" s="129" t="inlineStr">
        <is>
          <t>CNP</t>
        </is>
      </c>
      <c r="F129" s="129" t="inlineStr">
        <is>
          <t>#2</t>
        </is>
      </c>
      <c r="G129" s="133" t="inlineStr">
        <is>
          <t>#2 Identification B</t>
        </is>
      </c>
      <c r="H129" s="277" t="inlineStr">
        <is>
          <t>credit removed</t>
        </is>
      </c>
      <c r="I129" s="276" t="inlineStr">
        <is>
          <t>R2 CNP identification B — no microscopy row on this certificate</t>
        </is>
      </c>
    </row>
    <row r="130">
      <c r="A130" s="130" t="inlineStr">
        <is>
          <t>SCR112501</t>
        </is>
      </c>
      <c r="B130" s="129" t="inlineStr">
        <is>
          <t>P060282</t>
        </is>
      </c>
      <c r="C130" s="129" t="inlineStr">
        <is>
          <t>ППК26069</t>
        </is>
      </c>
      <c r="D130" s="274" t="n">
        <v>46153</v>
      </c>
      <c r="E130" s="129" t="inlineStr">
        <is>
          <t>CNP</t>
        </is>
      </c>
      <c r="F130" s="129" t="inlineStr">
        <is>
          <t>#2</t>
        </is>
      </c>
      <c r="G130" s="133" t="inlineStr">
        <is>
          <t>#2 Identification B</t>
        </is>
      </c>
      <c r="H130" s="277" t="inlineStr">
        <is>
          <t>credit removed</t>
        </is>
      </c>
      <c r="I130" s="276" t="inlineStr">
        <is>
          <t>R2 CNP identification B — no microscopy row on this certificate</t>
        </is>
      </c>
    </row>
    <row r="131">
      <c r="A131" s="130" t="inlineStr">
        <is>
          <t>SJ0925021</t>
        </is>
      </c>
      <c r="B131" s="129" t="inlineStr">
        <is>
          <t>P060082</t>
        </is>
      </c>
      <c r="C131" s="129" t="inlineStr">
        <is>
          <t>ППК26006</t>
        </is>
      </c>
      <c r="D131" s="274" t="n">
        <v>46043</v>
      </c>
      <c r="E131" s="129" t="inlineStr">
        <is>
          <t>CNP</t>
        </is>
      </c>
      <c r="F131" s="129" t="inlineStr">
        <is>
          <t>#2</t>
        </is>
      </c>
      <c r="G131" s="133" t="inlineStr">
        <is>
          <t>#2 Identification B</t>
        </is>
      </c>
      <c r="H131" s="277" t="inlineStr">
        <is>
          <t>credit removed</t>
        </is>
      </c>
      <c r="I131" s="276" t="inlineStr">
        <is>
          <t>R2 CNP identification B — no microscopy row on this certificate</t>
        </is>
      </c>
    </row>
    <row r="132">
      <c r="A132" s="130" t="inlineStr">
        <is>
          <t>WC072501</t>
        </is>
      </c>
      <c r="B132" s="129" t="inlineStr">
        <is>
          <t>P050262</t>
        </is>
      </c>
      <c r="C132" s="129" t="inlineStr">
        <is>
          <t>ППК25369</t>
        </is>
      </c>
      <c r="D132" s="274" t="n">
        <v>45989</v>
      </c>
      <c r="E132" s="129" t="inlineStr">
        <is>
          <t>CNP</t>
        </is>
      </c>
      <c r="F132" s="129" t="inlineStr">
        <is>
          <t>#2</t>
        </is>
      </c>
      <c r="G132" s="133" t="inlineStr">
        <is>
          <t>#2 Identification B</t>
        </is>
      </c>
      <c r="H132" s="277" t="inlineStr">
        <is>
          <t>credit removed</t>
        </is>
      </c>
      <c r="I132" s="276" t="inlineStr">
        <is>
          <t>R2 CNP identification B — no microscopy row on this certificate</t>
        </is>
      </c>
    </row>
    <row r="133">
      <c r="A133" s="130" t="inlineStr">
        <is>
          <t>WC082501</t>
        </is>
      </c>
      <c r="B133" s="129" t="inlineStr">
        <is>
          <t>P060012</t>
        </is>
      </c>
      <c r="C133" s="129" t="inlineStr">
        <is>
          <t>ППК26001</t>
        </is>
      </c>
      <c r="D133" s="274" t="n">
        <v>46043</v>
      </c>
      <c r="E133" s="129" t="inlineStr">
        <is>
          <t>CNP</t>
        </is>
      </c>
      <c r="F133" s="129" t="inlineStr">
        <is>
          <t>#2</t>
        </is>
      </c>
      <c r="G133" s="133" t="inlineStr">
        <is>
          <t>#2 Identification B</t>
        </is>
      </c>
      <c r="H133" s="277" t="inlineStr">
        <is>
          <t>credit removed</t>
        </is>
      </c>
      <c r="I133" s="276" t="inlineStr">
        <is>
          <t>R2 CNP identification B — no microscopy row on this certificate</t>
        </is>
      </c>
    </row>
    <row r="135" ht="58" customHeight="1" s="70">
      <c r="A135" s="139"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row>
  </sheetData>
  <autoFilter ref="A1:I133"/>
  <mergeCells count="1">
    <mergeCell ref="A135:I135"/>
  </mergeCells>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H20"/>
  <sheetViews>
    <sheetView workbookViewId="0">
      <pane ySplit="1" topLeftCell="A2" activePane="bottomLeft" state="frozen"/>
      <selection pane="bottomLeft" activeCell="A1" sqref="A1"/>
    </sheetView>
  </sheetViews>
  <sheetFormatPr baseColWidth="8" defaultRowHeight="15"/>
  <cols>
    <col width="22" customWidth="1" style="70" min="1" max="1"/>
    <col width="14" customWidth="1" style="70" min="2" max="2"/>
    <col width="14" customWidth="1" style="70" min="3" max="3"/>
    <col width="24" customWidth="1" style="70" min="4" max="4"/>
    <col width="11" customWidth="1" style="70" min="5" max="5"/>
    <col width="8" customWidth="1" style="70" min="6" max="6"/>
    <col width="26" customWidth="1" style="70" min="7" max="7"/>
    <col width="62" customWidth="1" style="70" min="8" max="8"/>
  </cols>
  <sheetData>
    <row r="1" ht="22" customHeight="1" s="70">
      <c r="A1" s="128" t="inlineStr">
        <is>
          <t>Task</t>
        </is>
      </c>
      <c r="B1" s="128" t="inlineStr">
        <is>
          <t>CU Batch</t>
        </is>
      </c>
      <c r="C1" s="128" t="inlineStr">
        <is>
          <t>P Batch</t>
        </is>
      </c>
      <c r="D1" s="128" t="inlineStr">
        <is>
          <t>Certificate</t>
        </is>
      </c>
      <c r="E1" s="128" t="inlineStr">
        <is>
          <t>Date</t>
        </is>
      </c>
      <c r="F1" s="128" t="inlineStr">
        <is>
          <t>Lab</t>
        </is>
      </c>
      <c r="G1" s="128" t="inlineStr">
        <is>
          <t>Parameters affected</t>
        </is>
      </c>
      <c r="H1" s="128" t="inlineStr">
        <is>
          <t>What is needed</t>
        </is>
      </c>
    </row>
    <row r="2">
      <c r="A2" s="277" t="inlineStr">
        <is>
          <t>held for review</t>
        </is>
      </c>
      <c r="B2" s="130" t="inlineStr">
        <is>
          <t>BSS052501</t>
        </is>
      </c>
      <c r="C2" s="129" t="inlineStr">
        <is>
          <t>P050192</t>
        </is>
      </c>
      <c r="D2" s="129" t="inlineStr">
        <is>
          <t>NGP-QCG-SOP-024 F3</t>
        </is>
      </c>
      <c r="E2" s="274" t="n">
        <v>45989</v>
      </c>
      <c r="F2" s="129" t="inlineStr">
        <is>
          <t>NGP</t>
        </is>
      </c>
      <c r="G2" s="129" t="inlineStr">
        <is>
          <t>#6</t>
        </is>
      </c>
      <c r="H2" s="276" t="inlineStr">
        <is>
          <t>The two independent reads disagreed. A person must read the figure from the page and confirm it.</t>
        </is>
      </c>
    </row>
    <row r="3">
      <c r="A3" s="277" t="inlineStr">
        <is>
          <t>held for review</t>
        </is>
      </c>
      <c r="B3" s="130" t="inlineStr">
        <is>
          <t>GP062501</t>
        </is>
      </c>
      <c r="C3" s="129" t="inlineStr">
        <is>
          <t>P050202</t>
        </is>
      </c>
      <c r="D3" s="129" t="inlineStr">
        <is>
          <t>NGP-QCG-SOP-024 F3</t>
        </is>
      </c>
      <c r="E3" s="274" t="n">
        <v>45989</v>
      </c>
      <c r="F3" s="129" t="inlineStr">
        <is>
          <t>NGP</t>
        </is>
      </c>
      <c r="G3" s="129" t="inlineStr">
        <is>
          <t>#6</t>
        </is>
      </c>
      <c r="H3" s="276" t="inlineStr">
        <is>
          <t>The two independent reads disagreed. A person must read the figure from the page and confirm it.</t>
        </is>
      </c>
    </row>
    <row r="4">
      <c r="A4" s="277" t="inlineStr">
        <is>
          <t>held for review</t>
        </is>
      </c>
      <c r="B4" s="130" t="inlineStr">
        <is>
          <t>J31112501</t>
        </is>
      </c>
      <c r="C4" s="129" t="inlineStr">
        <is>
          <t>P060202</t>
        </is>
      </c>
      <c r="D4" s="129" t="inlineStr">
        <is>
          <t>100-1-K-26</t>
        </is>
      </c>
      <c r="E4" s="274" t="n">
        <v>46121</v>
      </c>
      <c r="F4" s="129" t="inlineStr">
        <is>
          <t>FHM-K</t>
        </is>
      </c>
      <c r="G4" s="129" t="inlineStr">
        <is>
          <t>#3</t>
        </is>
      </c>
      <c r="H4" s="276" t="inlineStr">
        <is>
          <t>The two independent reads disagreed. A person must read the figure from the page and confirm it.</t>
        </is>
      </c>
    </row>
    <row r="5">
      <c r="A5" s="277" t="inlineStr">
        <is>
          <t>lot not on tracker</t>
        </is>
      </c>
      <c r="B5" s="130" t="inlineStr">
        <is>
          <t>P050142</t>
        </is>
      </c>
      <c r="C5" s="129" t="inlineStr">
        <is>
          <t>P050142</t>
        </is>
      </c>
      <c r="D5" s="129" t="inlineStr">
        <is>
          <t>559-1090-26</t>
        </is>
      </c>
      <c r="E5" s="274" t="n">
        <v>46266</v>
      </c>
      <c r="F5" s="129" t="inlineStr">
        <is>
          <t>IJZ-MB</t>
        </is>
      </c>
      <c r="G5" s="129" t="inlineStr">
        <is>
          <t>#9</t>
        </is>
      </c>
      <c r="H5" s="276" t="inlineStr">
        <is>
          <t>The certificate names a P batch the owner's tracker does not carry. Record the lot (cultivation batch code, strain) on the tracker so the certificate is credited under its batch.</t>
        </is>
      </c>
    </row>
    <row r="6">
      <c r="A6" s="277" t="inlineStr">
        <is>
          <t>lot not on tracker</t>
        </is>
      </c>
      <c r="B6" s="130" t="inlineStr">
        <is>
          <t>P060102</t>
        </is>
      </c>
      <c r="C6" s="129" t="inlineStr">
        <is>
          <t>P060102</t>
        </is>
      </c>
      <c r="D6" s="129" t="inlineStr">
        <is>
          <t>551-1082-26</t>
        </is>
      </c>
      <c r="E6" s="274" t="n">
        <v>46266</v>
      </c>
      <c r="F6" s="129" t="inlineStr">
        <is>
          <t>IJZ-MB</t>
        </is>
      </c>
      <c r="G6" s="129" t="inlineStr">
        <is>
          <t>#9</t>
        </is>
      </c>
      <c r="H6" s="276" t="inlineStr">
        <is>
          <t>The certificate names a P batch the owner's tracker does not carry. Record the lot (cultivation batch code, strain) on the tracker so the certificate is credited under its batch.</t>
        </is>
      </c>
    </row>
    <row r="7">
      <c r="A7" s="277" t="inlineStr">
        <is>
          <t>lot not on tracker</t>
        </is>
      </c>
      <c r="B7" s="130" t="inlineStr">
        <is>
          <t>P060342</t>
        </is>
      </c>
      <c r="C7" s="129" t="inlineStr">
        <is>
          <t>P060342</t>
        </is>
      </c>
      <c r="D7" s="129" t="inlineStr">
        <is>
          <t>539-1070-26</t>
        </is>
      </c>
      <c r="E7" s="274" t="n">
        <v>46265</v>
      </c>
      <c r="F7" s="129" t="inlineStr">
        <is>
          <t>IJZ-MB</t>
        </is>
      </c>
      <c r="G7" s="129" t="inlineStr">
        <is>
          <t>#9</t>
        </is>
      </c>
      <c r="H7" s="276" t="inlineStr">
        <is>
          <t>The certificate names a P batch the owner's tracker does not carry. Record the lot (cultivation batch code, strain) on the tracker so the certificate is credited under its batch.</t>
        </is>
      </c>
    </row>
    <row r="8">
      <c r="A8" s="277" t="inlineStr">
        <is>
          <t>non-conformance reported</t>
        </is>
      </c>
      <c r="B8" s="130" t="inlineStr">
        <is>
          <t>FB032601</t>
        </is>
      </c>
      <c r="C8" s="129" t="inlineStr">
        <is>
          <t>P060452</t>
        </is>
      </c>
      <c r="D8" s="129" t="inlineStr">
        <is>
          <t>ППК26127</t>
        </is>
      </c>
      <c r="E8" s="274" t="n">
        <v>46224</v>
      </c>
      <c r="F8" s="129" t="inlineStr">
        <is>
          <t>CNP</t>
        </is>
      </c>
      <c r="G8" s="129" t="inlineStr">
        <is>
          <t>#7</t>
        </is>
      </c>
      <c r="H8" s="276" t="inlineStr">
        <is>
          <t>The laboratory reports the result as not conforming (Не одговара). A deviation / OOS record is needed before this lot's CoQ can issue.</t>
        </is>
      </c>
    </row>
    <row r="9">
      <c r="A9" s="275" t="inlineStr">
        <is>
          <t>not ingested</t>
        </is>
      </c>
      <c r="B9" s="130" t="inlineStr">
        <is>
          <t>J31122501</t>
        </is>
      </c>
      <c r="C9" s="129" t="inlineStr">
        <is>
          <t>P060262</t>
        </is>
      </c>
      <c r="D9" s="129" t="inlineStr">
        <is>
          <t>1625-2026</t>
        </is>
      </c>
      <c r="E9" s="274" t="n">
        <v>46135</v>
      </c>
      <c r="F9" s="129" t="inlineStr">
        <is>
          <t>IJZ</t>
        </is>
      </c>
      <c r="G9" s="129" t="inlineStr">
        <is>
          <t>#11</t>
        </is>
      </c>
      <c r="H9" s="276" t="inlineStr">
        <is>
          <t>Re-extract the document into the eCoA database (two independent reads, 300 DPI). Until then the lot cannot reach a CoQ on these parameters.</t>
        </is>
      </c>
    </row>
    <row r="10">
      <c r="A10" s="275" t="inlineStr">
        <is>
          <t>not ingested</t>
        </is>
      </c>
      <c r="B10" s="130" t="inlineStr">
        <is>
          <t>J31122501</t>
        </is>
      </c>
      <c r="C10" s="129" t="inlineStr">
        <is>
          <t>P060262</t>
        </is>
      </c>
      <c r="D10" s="129" t="inlineStr">
        <is>
          <t>100-3-K-26</t>
        </is>
      </c>
      <c r="E10" s="274" t="n">
        <v>46121</v>
      </c>
      <c r="F10" s="129" t="inlineStr">
        <is>
          <t>FHM-K</t>
        </is>
      </c>
      <c r="G10" s="129" t="inlineStr">
        <is>
          <t>#3</t>
        </is>
      </c>
      <c r="H10" s="276" t="inlineStr">
        <is>
          <t>Re-extract the document into the eCoA database (two independent reads, 300 DPI). Until then the lot cannot reach a CoQ on these parameters.</t>
        </is>
      </c>
    </row>
    <row r="11">
      <c r="A11" s="275" t="inlineStr">
        <is>
          <t>not ingested</t>
        </is>
      </c>
      <c r="B11" s="130" t="inlineStr">
        <is>
          <t>MB0824_04</t>
        </is>
      </c>
      <c r="C11" s="129" t="inlineStr">
        <is>
          <t>P050032</t>
        </is>
      </c>
      <c r="D11" s="129" t="inlineStr">
        <is>
          <t>ППК25118</t>
        </is>
      </c>
      <c r="E11" s="274" t="n">
        <v>45783</v>
      </c>
      <c r="F11" s="129" t="inlineStr">
        <is>
          <t>CNP</t>
        </is>
      </c>
      <c r="G11" s="129" t="inlineStr">
        <is>
          <t>#6</t>
        </is>
      </c>
      <c r="H11" s="276" t="inlineStr">
        <is>
          <t>Re-extract the document into the eCoA database (two independent reads, 300 DPI). Until then the lot cannot reach a CoQ on these parameters.</t>
        </is>
      </c>
    </row>
    <row r="12">
      <c r="A12" s="275" t="inlineStr">
        <is>
          <t>not ingested</t>
        </is>
      </c>
      <c r="B12" s="130" t="inlineStr">
        <is>
          <t>OPM052501</t>
        </is>
      </c>
      <c r="C12" s="129" t="inlineStr">
        <is>
          <t>P050132</t>
        </is>
      </c>
      <c r="D12" s="129" t="inlineStr">
        <is>
          <t>ППК25257</t>
        </is>
      </c>
      <c r="E12" s="274" t="n">
        <v>45905</v>
      </c>
      <c r="F12" s="129" t="inlineStr">
        <is>
          <t>CNP</t>
        </is>
      </c>
      <c r="G12" s="129" t="inlineStr">
        <is>
          <t>#6</t>
        </is>
      </c>
      <c r="H12" s="276" t="inlineStr">
        <is>
          <t>Re-extract the document into the eCoA database (two independent reads, 300 DPI). Until then the lot cannot reach a CoQ on these parameters.</t>
        </is>
      </c>
    </row>
    <row r="13">
      <c r="A13" s="275" t="inlineStr">
        <is>
          <t>not ingested</t>
        </is>
      </c>
      <c r="B13" s="130" t="inlineStr">
        <is>
          <t>OPM112501</t>
        </is>
      </c>
      <c r="C13" s="129" t="inlineStr">
        <is>
          <t>P060222</t>
        </is>
      </c>
      <c r="D13" s="129" t="inlineStr">
        <is>
          <t>ППК26031</t>
        </is>
      </c>
      <c r="E13" s="274" t="n">
        <v>46086</v>
      </c>
      <c r="F13" s="129" t="inlineStr">
        <is>
          <t>CNP</t>
        </is>
      </c>
      <c r="G13" s="129" t="inlineStr">
        <is>
          <t>#6</t>
        </is>
      </c>
      <c r="H13" s="276" t="inlineStr">
        <is>
          <t>Re-extract the document into the eCoA database (two independent reads, 300 DPI). Until then the lot cannot reach a CoQ on these parameters.</t>
        </is>
      </c>
    </row>
    <row r="14">
      <c r="A14" s="275" t="inlineStr">
        <is>
          <t>not ingested</t>
        </is>
      </c>
      <c r="B14" s="130" t="inlineStr">
        <is>
          <t>PM072501</t>
        </is>
      </c>
      <c r="C14" s="129" t="inlineStr">
        <is>
          <t>P050272</t>
        </is>
      </c>
      <c r="D14" s="129" t="inlineStr">
        <is>
          <t>ППК25368</t>
        </is>
      </c>
      <c r="E14" s="274" t="n">
        <v>45989</v>
      </c>
      <c r="F14" s="129" t="inlineStr">
        <is>
          <t>CNP</t>
        </is>
      </c>
      <c r="G14" s="129" t="inlineStr">
        <is>
          <t>#6</t>
        </is>
      </c>
      <c r="H14" s="276" t="inlineStr">
        <is>
          <t>Re-extract the document into the eCoA database (two independent reads, 300 DPI). Until then the lot cannot reach a CoQ on these parameters.</t>
        </is>
      </c>
    </row>
    <row r="15">
      <c r="A15" s="277" t="inlineStr">
        <is>
          <t>strain name unruled</t>
        </is>
      </c>
      <c r="B15" s="130" t="inlineStr">
        <is>
          <t>Appels &amp; Bananas</t>
        </is>
      </c>
      <c r="C15" s="129" t="inlineStr">
        <is>
          <t>—</t>
        </is>
      </c>
      <c r="D15" s="129" t="inlineStr">
        <is>
          <t>—</t>
        </is>
      </c>
      <c r="E15" s="274" t="inlineStr">
        <is>
          <t>—</t>
        </is>
      </c>
      <c r="F15" s="129" t="inlineStr">
        <is>
          <t>—</t>
        </is>
      </c>
      <c r="G15" s="129" t="inlineStr">
        <is>
          <t>strain, printed on every CoQ</t>
        </is>
      </c>
      <c r="H15" s="276"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16">
      <c r="A16" s="277" t="inlineStr">
        <is>
          <t>strain name unruled</t>
        </is>
      </c>
      <c r="B16" s="130" t="inlineStr">
        <is>
          <t>Clemosa a bud</t>
        </is>
      </c>
      <c r="C16" s="129" t="inlineStr">
        <is>
          <t>—</t>
        </is>
      </c>
      <c r="D16" s="129" t="inlineStr">
        <is>
          <t>—</t>
        </is>
      </c>
      <c r="E16" s="274" t="inlineStr">
        <is>
          <t>—</t>
        </is>
      </c>
      <c r="F16" s="129" t="inlineStr">
        <is>
          <t>—</t>
        </is>
      </c>
      <c r="G16" s="129" t="inlineStr">
        <is>
          <t>strain, printed on every CoQ</t>
        </is>
      </c>
      <c r="H16" s="276"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17">
      <c r="A17" s="277" t="inlineStr">
        <is>
          <t>strain name unruled</t>
        </is>
      </c>
      <c r="B17" s="130" t="inlineStr">
        <is>
          <t>Jelly Donuts</t>
        </is>
      </c>
      <c r="C17" s="129" t="inlineStr">
        <is>
          <t>—</t>
        </is>
      </c>
      <c r="D17" s="129" t="inlineStr">
        <is>
          <t>—</t>
        </is>
      </c>
      <c r="E17" s="274" t="inlineStr">
        <is>
          <t>—</t>
        </is>
      </c>
      <c r="F17" s="129" t="inlineStr">
        <is>
          <t>—</t>
        </is>
      </c>
      <c r="G17" s="129" t="inlineStr">
        <is>
          <t>strain, printed on every CoQ</t>
        </is>
      </c>
      <c r="H17" s="276"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18">
      <c r="A18" s="277" t="inlineStr">
        <is>
          <t>strain name unruled</t>
        </is>
      </c>
      <c r="B18" s="130" t="inlineStr">
        <is>
          <t>Permanent Marker</t>
        </is>
      </c>
      <c r="C18" s="129" t="inlineStr">
        <is>
          <t>—</t>
        </is>
      </c>
      <c r="D18" s="129" t="inlineStr">
        <is>
          <t>—</t>
        </is>
      </c>
      <c r="E18" s="274" t="inlineStr">
        <is>
          <t>—</t>
        </is>
      </c>
      <c r="F18" s="129" t="inlineStr">
        <is>
          <t>—</t>
        </is>
      </c>
      <c r="G18" s="129" t="inlineStr">
        <is>
          <t>strain, printed on every CoQ</t>
        </is>
      </c>
      <c r="H18" s="276"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19">
      <c r="A19" s="277" t="inlineStr">
        <is>
          <t>strain name unruled</t>
        </is>
      </c>
      <c r="B19" s="130" t="inlineStr">
        <is>
          <t>Sleepy Joe</t>
        </is>
      </c>
      <c r="C19" s="129" t="inlineStr">
        <is>
          <t>—</t>
        </is>
      </c>
      <c r="D19" s="129" t="inlineStr">
        <is>
          <t>—</t>
        </is>
      </c>
      <c r="E19" s="274" t="inlineStr">
        <is>
          <t>—</t>
        </is>
      </c>
      <c r="F19" s="129" t="inlineStr">
        <is>
          <t>—</t>
        </is>
      </c>
      <c r="G19" s="129" t="inlineStr">
        <is>
          <t>strain, printed on every CoQ</t>
        </is>
      </c>
      <c r="H19" s="276"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20">
      <c r="A20" s="277" t="inlineStr">
        <is>
          <t>strain name unruled</t>
        </is>
      </c>
      <c r="B20" s="130" t="inlineStr">
        <is>
          <t>Wedding Crasher</t>
        </is>
      </c>
      <c r="C20" s="129" t="inlineStr">
        <is>
          <t>—</t>
        </is>
      </c>
      <c r="D20" s="129" t="inlineStr">
        <is>
          <t>—</t>
        </is>
      </c>
      <c r="E20" s="274" t="inlineStr">
        <is>
          <t>—</t>
        </is>
      </c>
      <c r="F20" s="129" t="inlineStr">
        <is>
          <t>—</t>
        </is>
      </c>
      <c r="G20" s="129" t="inlineStr">
        <is>
          <t>strain, printed on every CoQ</t>
        </is>
      </c>
      <c r="H20" s="276"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sheetData>
  <autoFilter ref="A1:H14"/>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H3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style="70" min="1" max="1"/>
    <col width="15" customWidth="1" style="70" min="2" max="2"/>
    <col width="9" customWidth="1" style="70" min="3" max="3"/>
    <col width="34" customWidth="1" style="70" min="4" max="4"/>
    <col width="52" customWidth="1" style="70" min="5" max="5"/>
    <col width="40" customWidth="1" style="70" min="6" max="6"/>
    <col width="44" customWidth="1" style="70" min="7" max="7"/>
    <col width="30" customWidth="1" style="70" min="8" max="8"/>
  </cols>
  <sheetData>
    <row r="1">
      <c r="A1" s="278" t="inlineStr">
        <is>
          <t>Ref</t>
        </is>
      </c>
      <c r="B1" s="278" t="inlineStr">
        <is>
          <t>Area</t>
        </is>
      </c>
      <c r="C1" s="278" t="inlineStr">
        <is>
          <t>State</t>
        </is>
      </c>
      <c r="D1" s="278" t="inlineStr">
        <is>
          <t>Item</t>
        </is>
      </c>
      <c r="E1" s="278" t="inlineStr">
        <is>
          <t>What was found</t>
        </is>
      </c>
      <c r="F1" s="278" t="inlineStr">
        <is>
          <t>What the desk did</t>
        </is>
      </c>
      <c r="G1" s="278" t="inlineStr">
        <is>
          <t>What is needed</t>
        </is>
      </c>
      <c r="H1" s="278" t="inlineStr">
        <is>
          <t>Evidence</t>
        </is>
      </c>
    </row>
    <row r="2" ht="66" customHeight="1" s="70">
      <c r="A2" s="279" t="inlineStr">
        <is>
          <t>OI-01</t>
        </is>
      </c>
      <c r="B2" s="279" t="inlineStr">
        <is>
          <t>Specification</t>
        </is>
      </c>
      <c r="C2" s="280" t="inlineStr">
        <is>
          <t>marked</t>
        </is>
      </c>
      <c r="D2" s="281" t="inlineStr">
        <is>
          <t>A lot graded IV or V whose strain has no specification at that grade</t>
        </is>
      </c>
      <c r="E2" s="281"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2" s="281" t="inlineStr">
        <is>
          <t>The phenotype, chemotype, processing and packaging pills are left unticked and the band is marked, on 3 lots.</t>
        </is>
      </c>
      <c r="G2" s="281"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2" s="281" t="inlineStr">
        <is>
          <t>spec_attributes_2026-09-10.csv; CJ082501/2, GP082501/2, OPM122501</t>
        </is>
      </c>
    </row>
    <row r="3" ht="66" customHeight="1" s="70">
      <c r="A3" s="279" t="inlineStr">
        <is>
          <t>OI-02</t>
        </is>
      </c>
      <c r="B3" s="279" t="inlineStr">
        <is>
          <t>Specification</t>
        </is>
      </c>
      <c r="C3" s="280" t="inlineStr">
        <is>
          <t>marked</t>
        </is>
      </c>
      <c r="D3" s="281" t="inlineStr">
        <is>
          <t>Two certificates name a specification by potency band instead of grade</t>
        </is>
      </c>
      <c r="E3" s="281" t="inlineStr">
        <is>
          <t>GP052501 names QCSP_001_GP-THC18_v.01 and GRC102501/2 names QCSP_001_GRC-THC12_v.01. Neither exists in the issued set under any name — but QCSP_001_GP-IV_v.01 does, and IV is the grade GP052501 carries.</t>
        </is>
      </c>
      <c r="F3" s="281" t="inlineStr">
        <is>
          <t>Both pills are marked. No substitution was made without a ruling.</t>
        </is>
      </c>
      <c r="G3" s="281" t="inlineStr">
        <is>
          <t>Is the potency-band name an older convention for the same document? If so the desk joins on the grade and both resolve immediately.</t>
        </is>
      </c>
      <c r="H3" s="281" t="inlineStr">
        <is>
          <t>export_coq_artifact_data.py specification join; 2 lots</t>
        </is>
      </c>
    </row>
    <row r="4" ht="66" customHeight="1" s="70">
      <c r="A4" s="279" t="inlineStr">
        <is>
          <t>OI-03</t>
        </is>
      </c>
      <c r="B4" s="279" t="inlineStr">
        <is>
          <t>Specification</t>
        </is>
      </c>
      <c r="C4" s="282" t="inlineStr">
        <is>
          <t>open</t>
        </is>
      </c>
      <c r="D4" s="281" t="inlineStr">
        <is>
          <t>Thirty-two lots have no grade, so no specification can be named at all</t>
        </is>
      </c>
      <c r="E4" s="281" t="inlineStr">
        <is>
          <t>The grade comes from product_specifications_QCSP001.json, built from the specification copies handed out with the tranches, which covers 48 of the 80 lots. For the other 32 the desk cannot compose a specification code, and the certificate names none.</t>
        </is>
      </c>
      <c r="F4" s="281" t="inlineStr">
        <is>
          <t>Nothing is printed and nothing is guessed.</t>
        </is>
      </c>
      <c r="G4" s="281" t="inlineStr">
        <is>
          <t>Where is the grade for the remaining 32 lots recorded? Once the desk has it, the specification code follows from the strain and the pills fill themselves.</t>
        </is>
      </c>
      <c r="H4" s="281" t="inlineStr">
        <is>
          <t>48 of 80 lots indexed; 68 of 164 certificate records carry no grade</t>
        </is>
      </c>
    </row>
    <row r="5" ht="66" customHeight="1" s="70">
      <c r="A5" s="279" t="inlineStr">
        <is>
          <t>OI-04</t>
        </is>
      </c>
      <c r="B5" s="279" t="inlineStr">
        <is>
          <t>Result reading</t>
        </is>
      </c>
      <c r="C5" s="280" t="inlineStr">
        <is>
          <t>marked</t>
        </is>
      </c>
      <c r="D5" s="281" t="inlineStr">
        <is>
          <t>Four lots where which analyte the figure belongs to decides pass or fail</t>
        </is>
      </c>
      <c r="E5" s="281"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5" s="281" t="inlineStr">
        <is>
          <t>The figure is printed as the desk reads it and the lot is named here. None of the four may be signed until a person has read the page.</t>
        </is>
      </c>
      <c r="G5" s="281" t="inlineStr">
        <is>
          <t>Read the four certificates and confirm which analyte the figure belongs to.</t>
        </is>
      </c>
      <c r="H5" s="281" t="inlineStr">
        <is>
          <t>COQ_DRAFTING_2026-09-10.md; 4 lots</t>
        </is>
      </c>
    </row>
    <row r="6" ht="66" customHeight="1" s="70">
      <c r="A6" s="279" t="inlineStr">
        <is>
          <t>OI-05</t>
        </is>
      </c>
      <c r="B6" s="279" t="inlineStr">
        <is>
          <t>Result reading</t>
        </is>
      </c>
      <c r="C6" s="282" t="inlineStr">
        <is>
          <t>open</t>
        </is>
      </c>
      <c r="D6" s="281" t="inlineStr">
        <is>
          <t>Nineteen lots print a Total Δ⁹-THC outside the range printed beside it</t>
        </is>
      </c>
      <c r="E6" s="281" t="inlineStr">
        <is>
          <t>The acceptance test was one-sided — it asked only whether a value exceeded its limit — so an assay BELOW its band was never flagged anywhere. Corpus-wide, 19 lots carry a potency outside the range on their own certificate, every one recorded as covered.</t>
        </is>
      </c>
      <c r="F6" s="281" t="inlineStr">
        <is>
          <t>The comparison now happens in the gap report, never on the certificate, and the report declines any criterion it cannot read as two numbers.</t>
        </is>
      </c>
      <c r="G6" s="281" t="inlineStr">
        <is>
          <t>Each of the 19 needs a disposition: re-read, re-test, or a regrade.</t>
        </is>
      </c>
      <c r="H6" s="281" t="inlineStr">
        <is>
          <t>status_of / the two-sided criterion; 19 lots</t>
        </is>
      </c>
    </row>
    <row r="7" ht="66" customHeight="1" s="70">
      <c r="A7" s="279" t="inlineStr">
        <is>
          <t>OI-06</t>
        </is>
      </c>
      <c r="B7" s="279" t="inlineStr">
        <is>
          <t>Reconciliation</t>
        </is>
      </c>
      <c r="C7" s="282" t="inlineStr">
        <is>
          <t>open</t>
        </is>
      </c>
      <c r="D7" s="281" t="inlineStr">
        <is>
          <t>Forty-six disagreements between the desk and the owner's 09.09 pass</t>
        </is>
      </c>
      <c r="E7" s="281" t="inlineStr">
        <is>
          <t>Put side by side on the Reconciliation 09.09 sheet: 218 determinations agree, 46 do not. One is a loss on drying of 76.07 % read on GG1024 against a 12.0 % limit.</t>
        </is>
      </c>
      <c r="F7" s="281" t="inlineStr">
        <is>
          <t>None is resolved by the desk. Both readings are shown with their sources.</t>
        </is>
      </c>
      <c r="G7" s="281" t="inlineStr">
        <is>
          <t>A person reads the page for each of the 46 and says which reading stands.</t>
        </is>
      </c>
      <c r="H7" s="281" t="inlineStr">
        <is>
          <t>Reconciliation 09.09 sheet; 46 rows</t>
        </is>
      </c>
    </row>
    <row r="8" ht="66" customHeight="1" s="70">
      <c r="A8" s="279" t="inlineStr">
        <is>
          <t>OI-07</t>
        </is>
      </c>
      <c r="B8" s="279" t="inlineStr">
        <is>
          <t>Issuance</t>
        </is>
      </c>
      <c r="C8" s="282" t="inlineStr">
        <is>
          <t>open</t>
        </is>
      </c>
      <c r="D8" s="281" t="inlineStr">
        <is>
          <t>Fifty-seven certificates of quality are dated on a Saturday</t>
        </is>
      </c>
      <c r="E8" s="281" t="inlineStr">
        <is>
          <t>06.06.2026, the blanket date for everything that would otherwise issue before the specification SOP, is a Saturday. The builder's own convention is that a controlled document issues on a working day.</t>
        </is>
      </c>
      <c r="F8" s="281" t="inlineStr">
        <is>
          <t>The owner's date outranks the desk's convention, so it is kept as given and the workbook carries a flag saying it was chosen deliberately.</t>
        </is>
      </c>
      <c r="G8" s="281" t="inlineStr">
        <is>
          <t>Confirm 06.06.2026, or name the working day it moves to (08.06.2026 is the Monday).</t>
        </is>
      </c>
      <c r="H8" s="281" t="inlineStr">
        <is>
          <t>issuance_schedule.COQ_BLANKET; 57 certificates</t>
        </is>
      </c>
    </row>
    <row r="9" ht="66" customHeight="1" s="70">
      <c r="A9" s="279" t="inlineStr">
        <is>
          <t>OI-08</t>
        </is>
      </c>
      <c r="B9" s="279" t="inlineStr">
        <is>
          <t>Reference</t>
        </is>
      </c>
      <c r="C9" s="282" t="inlineStr">
        <is>
          <t>open</t>
        </is>
      </c>
      <c r="D9" s="281" t="inlineStr">
        <is>
          <t>Five result cells cite an SOP form number instead of a certificate</t>
        </is>
      </c>
      <c r="E9" s="281"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9" s="281" t="inlineStr">
        <is>
          <t>The reference is printed as it stands and the lots are named here.</t>
        </is>
      </c>
      <c r="G9" s="281" t="inlineStr">
        <is>
          <t>Does the NGP laboratory issue a numbered report for this work? If not, these results need a different basis.</t>
        </is>
      </c>
      <c r="H9" s="281" t="inlineStr">
        <is>
          <t>2 lots, 10 result cells</t>
        </is>
      </c>
    </row>
    <row r="10" ht="66" customHeight="1" s="70">
      <c r="A10" s="279" t="inlineStr">
        <is>
          <t>OI-09</t>
        </is>
      </c>
      <c r="B10" s="279" t="inlineStr">
        <is>
          <t>Reference</t>
        </is>
      </c>
      <c r="C10" s="282" t="inlineStr">
        <is>
          <t>open</t>
        </is>
      </c>
      <c r="D10" s="281" t="inlineStr">
        <is>
          <t>One laboratory report is on file twice, once per language</t>
        </is>
      </c>
      <c r="E10" s="281" t="inlineStr">
        <is>
          <t>10802_2845-2 EN and 10802_2845-2 MK are the same DFL report for BSS052501, cited as two documents, which is why that lot's certificate count reads one higher than the sheet's.</t>
        </is>
      </c>
      <c r="F10" s="281" t="inlineStr">
        <is>
          <t>Both are cited as the desk found them.</t>
        </is>
      </c>
      <c r="G10" s="281" t="inlineStr">
        <is>
          <t>Confirm the two files are one report, and which language version is the controlled copy.</t>
        </is>
      </c>
      <c r="H10" s="281" t="inlineStr">
        <is>
          <t>BSS052501; Batch Coverage Certificates (n)</t>
        </is>
      </c>
    </row>
    <row r="11" ht="66" customHeight="1" s="70">
      <c r="A11" s="279" t="inlineStr">
        <is>
          <t>OI-10</t>
        </is>
      </c>
      <c r="B11" s="279" t="inlineStr">
        <is>
          <t>Batch identity</t>
        </is>
      </c>
      <c r="C11" s="282" t="inlineStr">
        <is>
          <t>open</t>
        </is>
      </c>
      <c r="D11" s="281" t="inlineStr">
        <is>
          <t>Three delivered lots have no cultivation batch recorded anywhere</t>
        </is>
      </c>
      <c r="E11" s="281" t="inlineStr">
        <is>
          <t>P160012, P160022 and P160032 carry full CNP results (ППК26117/18/19, 06.07.2026) and a P number in a series of their own, but no cultivation batch, and no row at all in the Head of QC's Batch Dates list — so no manufacturing date and no internal CoA basis.</t>
        </is>
      </c>
      <c r="F11" s="281" t="inlineStr">
        <is>
          <t>Each row now names its P number inside the label so the three are distinguishable and no join collapses them; the cultivation batch is left unrecorded rather than invented.</t>
        </is>
      </c>
      <c r="G11" s="281" t="inlineStr">
        <is>
          <t>What are the cultivation batches, manufacturing and packaging dates for the P1600xx series?</t>
        </is>
      </c>
      <c r="H11" s="281" t="inlineStr">
        <is>
          <t>3 lots; also absent from Batch Dates: JD112501＊</t>
        </is>
      </c>
    </row>
    <row r="12" ht="66" customHeight="1" s="70">
      <c r="A12" s="279" t="inlineStr">
        <is>
          <t>OI-11</t>
        </is>
      </c>
      <c r="B12" s="279" t="inlineStr">
        <is>
          <t>Batch identity</t>
        </is>
      </c>
      <c r="C12" s="282" t="inlineStr">
        <is>
          <t>open</t>
        </is>
      </c>
      <c r="D12" s="281" t="inlineStr">
        <is>
          <t>One lot carries two P batches in a single cell</t>
        </is>
      </c>
      <c r="E12" s="281" t="inlineStr">
        <is>
          <t>GRC102501 is recorded against P060142 / P060182 in one cell, so its coverage row aggregates what are arguably two lots and its certificate count cannot reconcile.</t>
        </is>
      </c>
      <c r="F12" s="281" t="inlineStr">
        <is>
          <t>Left as the owner's tracker records it.</t>
        </is>
      </c>
      <c r="G12" s="281" t="inlineStr">
        <is>
          <t>Are these one lot packed into two P batches, or two lots sharing a cultivation batch? If two, they need two rows.</t>
        </is>
      </c>
      <c r="H12" s="281" t="inlineStr">
        <is>
          <t>GRC102501</t>
        </is>
      </c>
    </row>
    <row r="13" ht="66" customHeight="1" s="70">
      <c r="A13" s="279" t="inlineStr">
        <is>
          <t>OI-12</t>
        </is>
      </c>
      <c r="B13" s="279" t="inlineStr">
        <is>
          <t>Batch identity</t>
        </is>
      </c>
      <c r="C13" s="282" t="inlineStr">
        <is>
          <t>open</t>
        </is>
      </c>
      <c r="D13" s="281" t="inlineStr">
        <is>
          <t>A lot and its ＊ sub-lot are credited from the same three documents</t>
        </is>
      </c>
      <c r="E13" s="281"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t>
        </is>
      </c>
      <c r="F13" s="281" t="inlineStr">
        <is>
          <t>Both rows are left as recorded and the pair is named here.</t>
        </is>
      </c>
      <c r="G13" s="281" t="inlineStr">
        <is>
          <t>Is JD112501＊ a distinct lot? If so, which round's microbiology belongs to it?</t>
        </is>
      </c>
      <c r="H13" s="281" t="inlineStr">
        <is>
          <t>JD112501 / JD112501＊</t>
        </is>
      </c>
    </row>
    <row r="14" ht="66" customHeight="1" s="70">
      <c r="A14" s="279" t="inlineStr">
        <is>
          <t>OI-29</t>
        </is>
      </c>
      <c r="B14" s="279" t="inlineStr">
        <is>
          <t>Document identity</t>
        </is>
      </c>
      <c r="C14" s="282" t="inlineStr">
        <is>
          <t>open</t>
        </is>
      </c>
      <c r="D14" s="281" t="inlineStr">
        <is>
          <t>The two series count different things, so they cannot be the same length</t>
        </is>
      </c>
      <c r="E14" s="281"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14" s="281"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14" s="281"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14" s="281" t="inlineStr">
        <is>
          <t>icoa_register.py 102 rounds / 76 lots vs coq_artifact_data.json 164 records / 82 lots; 3 lots with 4, 5 and 6 rounds</t>
        </is>
      </c>
    </row>
    <row r="15" ht="66" customHeight="1" s="70">
      <c r="A15" s="279" t="inlineStr">
        <is>
          <t>OI-28</t>
        </is>
      </c>
      <c r="B15" s="279" t="inlineStr">
        <is>
          <t>Batch identity</t>
        </is>
      </c>
      <c r="C15" s="282" t="inlineStr">
        <is>
          <t>open</t>
        </is>
      </c>
      <c r="D15" s="281" t="inlineStr">
        <is>
          <t>Seven starred lots have no internal certificate of analysis at all</t>
        </is>
      </c>
      <c r="E15" s="281" t="inlineStr">
        <is>
          <t>GG1024, BSS1024_01/2 (P050142), WED102501 (P060102), GRC102501 (P060142), GG012601 (P060302), JD012601 (P060312) and SCR012601* (P060342) appear on the register sheet with no certificate in the series behind them. The cause is the star. The company writes GG012601* and the testing record writes GG012601, and batch_id.batch_key keeps the mark on purpose — its own docstring says whether a starred lot and its unstarred namesake are the same batch "is NOT a question this function may answer: it is a fact about the floor". So the two spellings are two batches, the testing record attaches to one and the register sheet's row to the other, and neither can see the other.</t>
        </is>
      </c>
      <c r="F15" s="281" t="inlineStr">
        <is>
          <t>Nothing invented. batch_key is untouched, the seven rows sit on the register unnumbered, and each says the series does not carry it. They are the whole of the difference between the sheet's 83 release rows and the series' 76.</t>
        </is>
      </c>
      <c r="G15" s="281" t="inlineStr">
        <is>
          <t>For each pair, is the starred lot the same batch as the unstarred one? A ruling goes in ingestion/ecoa_runner/identity_decisions.tsv, which is where batch_key says such a ruling belongs, and the seven certificates then issue by themselves.</t>
        </is>
      </c>
      <c r="H15" s="281" t="inlineStr">
        <is>
          <t>ingestion/common/batch_id.py; 7 lots on the iCoA Register with no series row</t>
        </is>
      </c>
    </row>
    <row r="16" ht="66" customHeight="1" s="70">
      <c r="A16" s="279" t="inlineStr">
        <is>
          <t>OI-30</t>
        </is>
      </c>
      <c r="B16" s="279" t="inlineStr">
        <is>
          <t>Method status</t>
        </is>
      </c>
      <c r="C16" s="282" t="inlineStr">
        <is>
          <t>open</t>
        </is>
      </c>
      <c r="D16" s="281" t="inlineStr">
        <is>
          <t>The Loss on Drying method text is not verified per lot against the era it was tested in</t>
        </is>
      </c>
      <c r="E16" s="281"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16" s="281" t="inlineStr">
        <is>
          <t>Nothing changed on the printed method text — it was already uniform before this check and stays uniform, because there is no per-certificate method record to read it from. Nothing is guessed.</t>
        </is>
      </c>
      <c r="G16" s="281"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16" s="281" t="inlineStr">
        <is>
          <t>ISSUANCE_RULES_2026-09-10.md §4; extract_product_specifications.py #8; 70 numeric results, 1 in the disputed band (already resolved)</t>
        </is>
      </c>
    </row>
    <row r="17" ht="66" customHeight="1" s="70">
      <c r="A17" s="279" t="inlineStr">
        <is>
          <t>OI-31</t>
        </is>
      </c>
      <c r="B17" s="279" t="inlineStr">
        <is>
          <t>Batch identity</t>
        </is>
      </c>
      <c r="C17" s="282" t="inlineStr">
        <is>
          <t>open</t>
        </is>
      </c>
      <c r="D17" s="281" t="inlineStr">
        <is>
          <t>Six batches are silently filed under one strain name where a source document keeps two</t>
        </is>
      </c>
      <c r="E17" s="281"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Issuance sheet today prints all six GG batches as strain ‘Gorilla Glue’ (one, GG012603, still unspaced as ‘GorillaGlue’) — a de facto merge nobody ruled on.</t>
        </is>
      </c>
      <c r="F17" s="281"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17" s="281" t="inlineStr">
        <is>
          <t>Is GG4 the same strain as Gorilla Glue, or a separate strain that happens to be filed under it? If separate, the six lots need their own strain field and, in time, their own specification.</t>
        </is>
      </c>
      <c r="H17" s="281" t="inlineStr">
        <is>
          <t>tracker/DELIVERY_RECONCILIATION_2026-09-07.md §5; tracker/strains.py; iCoA Issuance sheet Strain column, 6 lots</t>
        </is>
      </c>
    </row>
    <row r="18" ht="66" customHeight="1" s="70">
      <c r="A18" s="279" t="inlineStr">
        <is>
          <t>OI-13</t>
        </is>
      </c>
      <c r="B18" s="279" t="inlineStr">
        <is>
          <t>Panel scope</t>
        </is>
      </c>
      <c r="C18" s="282" t="inlineStr">
        <is>
          <t>open</t>
        </is>
      </c>
      <c r="D18" s="281" t="inlineStr">
        <is>
          <t>Two optional test panels have never been exercised</t>
        </is>
      </c>
      <c r="E18" s="281" t="inlineStr">
        <is>
          <t>The pesticide panel offers a Ph. Eur. 2.8.13 option and a CUMCS-equivalency option, and none of the lots was tested to equivalency. The expanded microbiology option (P. aeruginosa, S. aureus) has never been run.</t>
        </is>
      </c>
      <c r="F18" s="281" t="inlineStr">
        <is>
          <t>Neither is claimed on any certificate.</t>
        </is>
      </c>
      <c r="G18" s="281" t="inlineStr">
        <is>
          <t>Should the certificates record that the option exists and was not exercised, or stay silent on it?</t>
        </is>
      </c>
      <c r="H18" s="281" t="inlineStr">
        <is>
          <t>Ph. Eur. 2.8.13; Ph. Eur. 2.6.13 expanded panel</t>
        </is>
      </c>
    </row>
    <row r="19" ht="66" customHeight="1" s="70">
      <c r="A19" s="279" t="inlineStr">
        <is>
          <t>OI-14</t>
        </is>
      </c>
      <c r="B19" s="279" t="inlineStr">
        <is>
          <t>Document content</t>
        </is>
      </c>
      <c r="C19" s="282" t="inlineStr">
        <is>
          <t>open</t>
        </is>
      </c>
      <c r="D19" s="281" t="inlineStr">
        <is>
          <t>Two fields still print a specimen or a placeholder</t>
        </is>
      </c>
      <c r="E19" s="281" t="inlineStr">
        <is>
          <t>The two approvers' names are the master template's specimen. The potency acceptance range is a bracketed placeholder in both places it prints.</t>
        </is>
      </c>
      <c r="F19" s="281"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19" s="281" t="inlineStr">
        <is>
          <t>The approvers' names and titles; the potency range per grade.</t>
        </is>
      </c>
      <c r="H19" s="281" t="inlineStr">
        <is>
          <t>_CoQ_MASTER_Template.html; 22 drafts</t>
        </is>
      </c>
    </row>
    <row r="20" ht="66" customHeight="1" s="70">
      <c r="A20" s="279" t="inlineStr">
        <is>
          <t>OI-15</t>
        </is>
      </c>
      <c r="B20" s="279" t="inlineStr">
        <is>
          <t>Method status</t>
        </is>
      </c>
      <c r="C20" s="282" t="inlineStr">
        <is>
          <t>open</t>
        </is>
      </c>
      <c r="D20" s="281" t="inlineStr">
        <is>
          <t>The pesticide acceptance criterion is stated as ≤ LOQ, which is not the Ph. Eur. test</t>
        </is>
      </c>
      <c r="E20" s="281"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20" s="281" t="inlineStr">
        <is>
          <t>The result is printed as the laboratory reports it.</t>
        </is>
      </c>
      <c r="G20" s="281" t="inlineStr">
        <is>
          <t>Restate the criterion as the Ph. Eur. maximum table, and say how a conforming detection should print beside 28 not-detected residues.</t>
        </is>
      </c>
      <c r="H20" s="281" t="inlineStr">
        <is>
          <t>IJZ 2994/2025, 19.06.2025, OPM 1024_02 (P050062); verdict on the page: ОДГОВАРА</t>
        </is>
      </c>
    </row>
    <row r="21" ht="66" customHeight="1" s="70">
      <c r="A21" s="279" t="inlineStr">
        <is>
          <t>OI-16</t>
        </is>
      </c>
      <c r="B21" s="279" t="inlineStr">
        <is>
          <t>Result</t>
        </is>
      </c>
      <c r="C21" s="282" t="inlineStr">
        <is>
          <t>open</t>
        </is>
      </c>
      <c r="D21" s="281" t="inlineStr">
        <is>
          <t>One lot's foreign matter is reported by the laboratory as not conforming</t>
        </is>
      </c>
      <c r="E21" s="281"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21" s="281" t="inlineStr">
        <is>
          <t>Flagged OOS. An out-of-specification result needs an investigation record.</t>
        </is>
      </c>
      <c r="G21" s="281" t="inlineStr">
        <is>
          <t>Confirm the non-conformity with CNP and open the deviation, or obtain a corrected certificate.</t>
        </is>
      </c>
      <c r="H21" s="281" t="inlineStr">
        <is>
          <t>FB032601; ППК26127, 21.07.2026 [CNP]</t>
        </is>
      </c>
    </row>
    <row r="22" ht="66" customHeight="1" s="70">
      <c r="A22" s="279" t="inlineStr">
        <is>
          <t>OI-17</t>
        </is>
      </c>
      <c r="B22" s="279" t="inlineStr">
        <is>
          <t>Result</t>
        </is>
      </c>
      <c r="C22" s="282" t="inlineStr">
        <is>
          <t>open</t>
        </is>
      </c>
      <c r="D22" s="281" t="inlineStr">
        <is>
          <t>Five microbiological counts exceed the Ph. Eur. 5.1.4 band and four sit inside it</t>
        </is>
      </c>
      <c r="E22" s="281" t="inlineStr">
        <is>
          <t>Judged as the desk judges a counted limit — ≤ 10ⁿ against 2 × 10ⁿ — GG1024_01, OPM052501, GP052501, HPA052501 and CJ062501/2 are out of specification on TYMC; GG1024_02, HPA1024_01, GP0824_03 and CJ052501/01 are in the undetermined band.</t>
        </is>
      </c>
      <c r="F22" s="281" t="inlineStr">
        <is>
          <t>Printed red bold and amber bold respectively, and named in each lot's STATUS.</t>
        </is>
      </c>
      <c r="G22" s="281" t="inlineStr">
        <is>
          <t>Each out-of-specification count needs an investigation record; the four undetermined need a disposition.</t>
        </is>
      </c>
      <c r="H22" s="281" t="inlineStr">
        <is>
          <t>Ph. Eur. 5.1.4; 9 lots</t>
        </is>
      </c>
    </row>
    <row r="23" ht="66" customHeight="1" s="70">
      <c r="A23" s="279" t="inlineStr">
        <is>
          <t>OI-18</t>
        </is>
      </c>
      <c r="B23" s="279" t="inlineStr">
        <is>
          <t>Document content</t>
        </is>
      </c>
      <c r="C23" s="283" t="inlineStr">
        <is>
          <t>ruled</t>
        </is>
      </c>
      <c r="D23" s="281" t="inlineStr">
        <is>
          <t>The same assertion printed bilingually on some certificates and in English on others</t>
        </is>
      </c>
      <c r="E23" s="281" t="inlineStr">
        <is>
          <t>Identification A and foreign matter print Conforms on 51 determinations and Conforms | Соодветствува on 12 — the certificate's own English | Macedonian pattern, applied to some cells and not others.</t>
        </is>
      </c>
      <c r="F23" s="281"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23" s="281" t="inlineStr">
        <is>
          <t>Nothing further.</t>
        </is>
      </c>
      <c r="H23" s="281" t="inlineStr">
        <is>
          <t>375 determinations; .r-conform .mk in _CoQ_MASTER_Template.html</t>
        </is>
      </c>
    </row>
    <row r="24" ht="66" customHeight="1" s="70">
      <c r="A24" s="279" t="inlineStr">
        <is>
          <t>OI-19</t>
        </is>
      </c>
      <c r="B24" s="279" t="inlineStr">
        <is>
          <t>Result</t>
        </is>
      </c>
      <c r="C24" s="282" t="inlineStr">
        <is>
          <t>open</t>
        </is>
      </c>
      <c r="D24" s="281" t="inlineStr">
        <is>
          <t>One ochratoxin result prints as a working note rather than a value</t>
        </is>
      </c>
      <c r="E24" s="281" t="inlineStr">
        <is>
          <t>2.06 — DETECTED, &gt;LOQ on Ochratoxin A. The limit is 20 µg/kg so it conforms, but the cell carries the reader's note instead of the figure and its qualifier.</t>
        </is>
      </c>
      <c r="F24" s="281" t="inlineStr">
        <is>
          <t>Printed as the desk holds it.</t>
        </is>
      </c>
      <c r="G24" s="281" t="inlineStr">
        <is>
          <t>How should a conforming detection print — the figure alone, or the figure with a detected qualifier? The same question as OI-15 for pesticides.</t>
        </is>
      </c>
      <c r="H24" s="281" t="inlineStr">
        <is>
          <t>#10.3 Ochratoxin A, 1 determination</t>
        </is>
      </c>
    </row>
    <row r="25" ht="66" customHeight="1" s="70">
      <c r="A25" s="279" t="inlineStr">
        <is>
          <t>OI-24</t>
        </is>
      </c>
      <c r="B25" s="279" t="inlineStr">
        <is>
          <t>Document content</t>
        </is>
      </c>
      <c r="C25" s="282" t="inlineStr">
        <is>
          <t>open</t>
        </is>
      </c>
      <c r="D25" s="281" t="inlineStr">
        <is>
          <t>The Identification C result no longer states the method on the face of the document</t>
        </is>
      </c>
      <c r="E25" s="281"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25" s="281" t="inlineStr">
        <is>
          <t>Shortened to "Conforms | Одговара" like every other identity row. The basis for Identification C stays in the Section 03 citation, where a basis belongs.</t>
        </is>
      </c>
      <c r="G25" s="281" t="inlineStr">
        <is>
          <t>Do you want the method restated in the result cell? It would need a wider results column, which is a change to the master.</t>
        </is>
      </c>
      <c r="H25" s="281" t="inlineStr">
        <is>
          <t>#3 Identification C; 35 determinations</t>
        </is>
      </c>
    </row>
    <row r="26" ht="66" customHeight="1" s="70">
      <c r="A26" s="279" t="inlineStr">
        <is>
          <t>OI-27</t>
        </is>
      </c>
      <c r="B26" s="279" t="inlineStr">
        <is>
          <t>Document identity</t>
        </is>
      </c>
      <c r="C26" s="283" t="inlineStr">
        <is>
          <t>ruled</t>
        </is>
      </c>
      <c r="D26" s="281" t="inlineStr">
        <is>
          <t>The register sheet carried 60 of the series' 95 internal certificates</t>
        </is>
      </c>
      <c r="E26" s="281"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26" s="281"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26" s="281"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26" s="281" t="inlineStr">
        <is>
          <t>95 of 95 series codes on the sheet (was 60); 166 rows; verify_workbook.py 0 findings</t>
        </is>
      </c>
    </row>
    <row r="27" ht="66" customHeight="1" s="70">
      <c r="A27" s="279" t="inlineStr">
        <is>
          <t>OI-26</t>
        </is>
      </c>
      <c r="B27" s="279" t="inlineStr">
        <is>
          <t>Document identity</t>
        </is>
      </c>
      <c r="C27" s="283" t="inlineStr">
        <is>
          <t>ruled</t>
        </is>
      </c>
      <c r="D27" s="281" t="inlineStr">
        <is>
          <t>The internal-CoA number was defined twice and the two disagreed on every comparable row</t>
        </is>
      </c>
      <c r="E27" s="281"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27" s="281"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27" s="281" t="inlineStr">
        <is>
          <t>Nothing. Recorded because the numbers moved: de-duplicating shifted every code from 045 onward, so any code quoted before 11.09.2026 is stale.</t>
        </is>
      </c>
      <c r="H27" s="281" t="inlineStr">
        <is>
          <t>icoa_register.py and the iCoA Register sheet; 49 of 49 differed, now 0</t>
        </is>
      </c>
    </row>
    <row r="28" ht="66" customHeight="1" s="70">
      <c r="A28" s="279" t="inlineStr">
        <is>
          <t>OI-25</t>
        </is>
      </c>
      <c r="B28" s="279" t="inlineStr">
        <is>
          <t>Document rendering</t>
        </is>
      </c>
      <c r="C28" s="283" t="inlineStr">
        <is>
          <t>ruled</t>
        </is>
      </c>
      <c r="D28" s="281" t="inlineStr">
        <is>
          <t>The A4 page was never measured with the fonts it prints in</t>
        </is>
      </c>
      <c r="E28" s="281"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28" s="281"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28" s="281" t="inlineStr">
        <is>
          <t>Nothing. Recorded because the claim had been made and was not true, and because the page has very little slack: the next thing that adds a line will need this check.</t>
        </is>
      </c>
      <c r="H28" s="281" t="inlineStr">
        <is>
          <t>build_coq_drafts.py page-height report; measured 5 of 22 -&gt; 0 of 22 losing content</t>
        </is>
      </c>
    </row>
    <row r="29" ht="66" customHeight="1" s="70">
      <c r="A29" s="279" t="inlineStr">
        <is>
          <t>OI-23</t>
        </is>
      </c>
      <c r="B29" s="279" t="inlineStr">
        <is>
          <t>Document content</t>
        </is>
      </c>
      <c r="C29" s="282" t="inlineStr">
        <is>
          <t>open</t>
        </is>
      </c>
      <c r="D29" s="281" t="inlineStr">
        <is>
          <t>The Macedonian for an absent organism was chosen from the laboratories' own usage</t>
        </is>
      </c>
      <c r="E29" s="281"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29" s="281" t="inlineStr">
        <is>
          <t>The certificate prints "Absent | Отсутна" on 92 determinations: CNP's own most-used form ("отсутна/25 g"), capitalised, rather than a term translated afresh for a controlled document.</t>
        </is>
      </c>
      <c r="G29" s="281" t="inlineStr">
        <is>
          <t>Confirm Отсутна, or give the term the two absence rows should carry.</t>
        </is>
      </c>
      <c r="H29" s="281" t="inlineStr">
        <is>
          <t>#9.4 Salmonella, #9.5 E. coli; 92 determinations</t>
        </is>
      </c>
    </row>
    <row r="30" ht="66" customHeight="1" s="70">
      <c r="A30" s="279" t="inlineStr">
        <is>
          <t>OI-22</t>
        </is>
      </c>
      <c r="B30" s="279" t="inlineStr">
        <is>
          <t>Result reading</t>
        </is>
      </c>
      <c r="C30" s="283" t="inlineStr">
        <is>
          <t>ruled</t>
        </is>
      </c>
      <c r="D30" s="281" t="inlineStr">
        <is>
          <t>An analyte the laboratory never tested was printing a line on the certificate</t>
        </is>
      </c>
      <c r="E30" s="281"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30" s="281"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30" s="281" t="inlineStr">
        <is>
          <t>Nothing. Recorded because it is the boundary of the ND ruling: n.r. printed by a laboratory as a result means ND, and an analyte absent from the panel is not a result at all.</t>
        </is>
      </c>
      <c r="H30" s="281" t="inlineStr">
        <is>
          <t>BG1024 release vs 12-month retest, verified through fillCoq in headless Chromium</t>
        </is>
      </c>
    </row>
    <row r="31" ht="66" customHeight="1" s="70">
      <c r="A31" s="279" t="inlineStr">
        <is>
          <t>OI-21</t>
        </is>
      </c>
      <c r="B31" s="279" t="inlineStr">
        <is>
          <t>Document rendering</t>
        </is>
      </c>
      <c r="C31" s="283" t="inlineStr">
        <is>
          <t>ruled</t>
        </is>
      </c>
      <c r="D31" s="281" t="inlineStr">
        <is>
          <t>Sixty-six faces in the tranche PDFs embedded as Type 3 rather than outlines</t>
        </is>
      </c>
      <c r="E31" s="281"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31" s="281" t="inlineStr">
        <is>
          <t>Fixed: italic 600 and 700 added to the font request in both print_coq_pdfs.py and house_fonts.py, and the rule written down beside them — when a stylesheet sets an italic weight, that weight belongs in FAMILIES.</t>
        </is>
      </c>
      <c r="G31" s="281" t="inlineStr">
        <is>
          <t>Nothing. Recorded because the first Type 3 fix (pinning the variable axes) looked complete and was not: it fixes the faces the page asks for by name, never one the page never asked for.</t>
        </is>
      </c>
      <c r="H31" s="281" t="inlineStr">
        <is>
          <t>print_coq_pdfs.py FAMILIES; pdffonts on both tranche PDFs</t>
        </is>
      </c>
    </row>
    <row r="32" ht="66" customHeight="1" s="70">
      <c r="A32" s="279" t="inlineStr">
        <is>
          <t>OI-20</t>
        </is>
      </c>
      <c r="B32" s="279" t="inlineStr">
        <is>
          <t>Desk status</t>
        </is>
      </c>
      <c r="C32" s="282" t="inlineStr">
        <is>
          <t>open</t>
        </is>
      </c>
      <c r="D32" s="281" t="inlineStr">
        <is>
          <t>Nine result cells hold a desk status instead of a value</t>
        </is>
      </c>
      <c r="E32" s="281" t="inlineStr">
        <is>
          <t>not ingested (the document exists but has not been extracted into the eCoA database) on 5 cells, held for review (the two independent reads disagreed) on 3, and one Identification C awaiting a decision.</t>
        </is>
      </c>
      <c r="F32" s="281" t="inlineStr">
        <is>
          <t>Each is carried on the Work Order sheet with what it needs; none reaches a certificate.</t>
        </is>
      </c>
      <c r="G32" s="281" t="inlineStr">
        <is>
          <t>Nothing — these are desk work, listed so the count is visible.</t>
        </is>
      </c>
      <c r="H32" s="281" t="inlineStr">
        <is>
          <t>Work Order sheet</t>
        </is>
      </c>
    </row>
  </sheetData>
  <autoFilter ref="A1:H32"/>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Y160"/>
  <sheetViews>
    <sheetView workbookViewId="0">
      <pane ySplit="1" topLeftCell="A2" activePane="bottomLeft" state="frozen"/>
      <selection pane="bottomLeft" activeCell="A1" sqref="A1"/>
    </sheetView>
  </sheetViews>
  <sheetFormatPr baseColWidth="8" defaultRowHeight="15"/>
  <cols>
    <col width="6" customWidth="1" style="70" min="1" max="1"/>
    <col width="20" customWidth="1" style="70" min="2" max="2"/>
    <col width="20" customWidth="1" style="70" min="3" max="3"/>
    <col width="20" customWidth="1" style="70" min="4" max="4"/>
    <col width="30" customWidth="1" style="70" min="5" max="5"/>
    <col width="10" customWidth="1" style="70" min="6" max="6"/>
    <col width="12" customWidth="1" style="70" min="7" max="7"/>
    <col width="14" customWidth="1" style="70" min="8" max="8"/>
    <col width="16" customWidth="1" style="70" min="9" max="9"/>
    <col width="16" customWidth="1" style="70" min="10" max="10"/>
    <col width="16" customWidth="1" style="70" min="11" max="11"/>
    <col width="22" customWidth="1" style="70" min="12" max="12"/>
    <col width="20" customWidth="1" style="70" min="13" max="13"/>
    <col width="24" customWidth="1" style="70" min="14" max="14"/>
    <col width="28" customWidth="1" style="70" min="15" max="15"/>
    <col width="18" customWidth="1" style="70" min="16" max="16"/>
    <col width="30" customWidth="1" style="70" min="17" max="17"/>
    <col width="14" customWidth="1" style="70" min="18" max="18"/>
    <col width="14" customWidth="1" style="70" min="19" max="19"/>
    <col width="16" customWidth="1" style="70" min="20" max="20"/>
    <col width="34" customWidth="1" style="70" min="21" max="21"/>
    <col width="34" customWidth="1" style="70" min="22" max="22"/>
    <col width="34" customWidth="1" style="70" min="23" max="23"/>
    <col width="30" customWidth="1" style="70" min="24" max="24"/>
    <col width="48" customWidth="1" style="70" min="25" max="25"/>
  </cols>
  <sheetData>
    <row r="1" ht="22" customHeight="1" s="70">
      <c r="A1" s="128" t="inlineStr">
        <is>
          <t>Seq</t>
        </is>
      </c>
      <c r="B1" s="128" t="inlineStr">
        <is>
          <t>Series</t>
        </is>
      </c>
      <c r="C1" s="128" t="inlineStr">
        <is>
          <t>iCoA</t>
        </is>
      </c>
      <c r="D1" s="128" t="inlineStr">
        <is>
          <t>CoQ</t>
        </is>
      </c>
      <c r="E1" s="128" t="inlineStr">
        <is>
          <t>Plan references (31.08.2026)</t>
        </is>
      </c>
      <c r="F1" s="128" t="inlineStr">
        <is>
          <t>Group</t>
        </is>
      </c>
      <c r="G1" s="128" t="inlineStr">
        <is>
          <t>Basis date</t>
        </is>
      </c>
      <c r="H1" s="128" t="inlineStr">
        <is>
          <t>Test date (packaging)</t>
        </is>
      </c>
      <c r="I1" s="128" t="inlineStr">
        <is>
          <t>iCoA issue (planned)</t>
        </is>
      </c>
      <c r="J1" s="128" t="inlineStr">
        <is>
          <t>CoQ issue (planned)</t>
        </is>
      </c>
      <c r="K1" s="128" t="inlineStr">
        <is>
          <t>CU Batch</t>
        </is>
      </c>
      <c r="L1" s="128" t="inlineStr">
        <is>
          <t>P Batch</t>
        </is>
      </c>
      <c r="M1" s="128" t="inlineStr">
        <is>
          <t>Strain</t>
        </is>
      </c>
      <c r="N1" s="128" t="inlineStr">
        <is>
          <t>Harvest</t>
        </is>
      </c>
      <c r="O1" s="128" t="inlineStr">
        <is>
          <t>Packaging</t>
        </is>
      </c>
      <c r="P1" s="128" t="inlineStr">
        <is>
          <t>Packaging complete</t>
        </is>
      </c>
      <c r="Q1" s="128" t="inlineStr">
        <is>
          <t>iCoA scope</t>
        </is>
      </c>
      <c r="R1" s="128" t="inlineStr">
        <is>
          <t>#1 Ident. A</t>
        </is>
      </c>
      <c r="S1" s="128" t="inlineStr">
        <is>
          <t>#2 Ident. B</t>
        </is>
      </c>
      <c r="T1" s="128" t="inlineStr">
        <is>
          <t>#7 Foreign matter</t>
        </is>
      </c>
      <c r="U1" s="128" t="inlineStr">
        <is>
          <t>Ident C — covered by (eCoA)</t>
        </is>
      </c>
      <c r="V1" s="128" t="inlineStr">
        <is>
          <t>Retest assay #4–#6 (eCoA)</t>
        </is>
      </c>
      <c r="W1" s="128" t="inlineStr">
        <is>
          <t>Retest mycotoxins #10 (eCoA)</t>
        </is>
      </c>
      <c r="X1" s="128" t="inlineStr">
        <is>
          <t>Carried forward</t>
        </is>
      </c>
      <c r="Y1" s="128" t="inlineStr">
        <is>
          <t>Status</t>
        </is>
      </c>
    </row>
    <row r="2">
      <c r="A2" s="129" t="n">
        <v>1</v>
      </c>
      <c r="B2" s="129" t="inlineStr">
        <is>
          <t>initial release</t>
        </is>
      </c>
      <c r="C2" s="130">
        <f>IFERROR(INDEX('iCoA Register'!$B:$B,MATCH("CJ1024|I",'iCoA Register'!$P:$P,0)),"— at issue —")</f>
        <v/>
      </c>
      <c r="D2" s="130">
        <f>IFERROR(INDEX('CoQ Register'!$B:$B,MATCH("CJ1024|I",'CoQ Register'!$S:$S,0)),"—")</f>
        <v/>
      </c>
      <c r="E2" s="129" t="inlineStr">
        <is>
          <t>(assigned on issue)</t>
        </is>
      </c>
      <c r="F2" s="129" t="inlineStr">
        <is>
          <t>legacy</t>
        </is>
      </c>
      <c r="G2" s="129" t="inlineStr">
        <is>
          <t>27.02.2025</t>
        </is>
      </c>
      <c r="H2" s="129" t="inlineStr">
        <is>
          <t>03.03.2025</t>
        </is>
      </c>
      <c r="I2" s="274">
        <f>IFERROR(INDEX('iCoA Register'!$D:$D,MATCH("CJ1024|I",'iCoA Register'!$P:$P,0)),"")</f>
        <v/>
      </c>
      <c r="J2" s="274">
        <f>IFERROR(INDEX('CoQ Register'!$D:$D,MATCH("CJ1024|I",'CoQ Register'!$S:$S,0)),"")</f>
        <v/>
      </c>
      <c r="K2" s="130" t="inlineStr">
        <is>
          <t>CJ1024</t>
        </is>
      </c>
      <c r="L2" s="129" t="inlineStr">
        <is>
          <t>N/A — no P batch assigned</t>
        </is>
      </c>
      <c r="M2" s="129" t="inlineStr">
        <is>
          <t>Cap Junky</t>
        </is>
      </c>
      <c r="N2" s="129" t="inlineStr">
        <is>
          <t>20.01.2025</t>
        </is>
      </c>
      <c r="O2" s="129" t="inlineStr">
        <is>
          <t>03.03.2025 (the issuance plan's basis: 27.02.2025)</t>
        </is>
      </c>
      <c r="P2" s="129" t="inlineStr">
        <is>
          <t>03.03.2025</t>
        </is>
      </c>
      <c r="Q2" s="129" t="inlineStr">
        <is>
          <t>Ident A + Ident B + Foreign matter</t>
        </is>
      </c>
      <c r="R2" s="129" t="inlineStr">
        <is>
          <t>Conforms</t>
        </is>
      </c>
      <c r="S2" s="129" t="inlineStr">
        <is>
          <t>Conforms</t>
        </is>
      </c>
      <c r="T2" s="129" t="inlineStr">
        <is>
          <t>Conforms</t>
        </is>
      </c>
      <c r="U2" s="129" t="inlineStr">
        <is>
          <t>ППК25052, (26.02.2025) [CNP]</t>
        </is>
      </c>
      <c r="V2" s="129" t="inlineStr"/>
      <c r="W2" s="129" t="inlineStr"/>
      <c r="X2" s="129" t="inlineStr"/>
      <c r="Y2" s="140" t="inlineStr">
        <is>
          <t>registered — issued with the legacy series on 15.05.2026</t>
        </is>
      </c>
    </row>
    <row r="3">
      <c r="A3" s="129" t="n">
        <v>2</v>
      </c>
      <c r="B3" s="129" t="inlineStr">
        <is>
          <t>initial release</t>
        </is>
      </c>
      <c r="C3" s="130">
        <f>IFERROR(INDEX('iCoA Register'!$B:$B,MATCH("BSS1024|I",'iCoA Register'!$P:$P,0)),"— at issue —")</f>
        <v/>
      </c>
      <c r="D3" s="130">
        <f>IFERROR(INDEX('CoQ Register'!$B:$B,MATCH("BSS1024|I",'CoQ Register'!$S:$S,0)),"—")</f>
        <v/>
      </c>
      <c r="E3" s="129" t="inlineStr">
        <is>
          <t>iCoA-PP-2025-0001 / CoQ-PP-2025-0001</t>
        </is>
      </c>
      <c r="F3" s="129" t="inlineStr">
        <is>
          <t>legacy</t>
        </is>
      </c>
      <c r="G3" s="129" t="inlineStr">
        <is>
          <t>04.03.2025</t>
        </is>
      </c>
      <c r="H3" s="129" t="inlineStr">
        <is>
          <t>04.03.2025</t>
        </is>
      </c>
      <c r="I3" s="274">
        <f>IFERROR(INDEX('iCoA Register'!$D:$D,MATCH("BSS1024|I",'iCoA Register'!$P:$P,0)),"")</f>
        <v/>
      </c>
      <c r="J3" s="274">
        <f>IFERROR(INDEX('CoQ Register'!$D:$D,MATCH("BSS1024|I",'CoQ Register'!$S:$S,0)),"")</f>
        <v/>
      </c>
      <c r="K3" s="130" t="inlineStr">
        <is>
          <t>BSS1024</t>
        </is>
      </c>
      <c r="L3" s="129" t="inlineStr">
        <is>
          <t>N/A — no P batch assigned</t>
        </is>
      </c>
      <c r="M3" s="129" t="inlineStr">
        <is>
          <t>Blue Sunset Sherbet</t>
        </is>
      </c>
      <c r="N3" s="129" t="inlineStr">
        <is>
          <t>22.01.2025</t>
        </is>
      </c>
      <c r="O3" s="129" t="inlineStr">
        <is>
          <t>04.03.2025</t>
        </is>
      </c>
      <c r="P3" s="129" t="inlineStr">
        <is>
          <t>04.03.2025</t>
        </is>
      </c>
      <c r="Q3" s="129" t="inlineStr">
        <is>
          <t>Ident A + Ident B + Foreign matter</t>
        </is>
      </c>
      <c r="R3" s="129" t="inlineStr">
        <is>
          <t>Conforms</t>
        </is>
      </c>
      <c r="S3" s="129" t="inlineStr">
        <is>
          <t>Conforms</t>
        </is>
      </c>
      <c r="T3" s="129" t="inlineStr">
        <is>
          <t>Conforms</t>
        </is>
      </c>
      <c r="U3" s="129" t="inlineStr">
        <is>
          <t>ППК25051, (26.02.2025) [CNP]</t>
        </is>
      </c>
      <c r="V3" s="129" t="inlineStr"/>
      <c r="W3" s="129" t="inlineStr"/>
      <c r="X3" s="129" t="inlineStr"/>
      <c r="Y3" s="140" t="inlineStr">
        <is>
          <t>registered — issued with the legacy series on 15.05.2026</t>
        </is>
      </c>
    </row>
    <row r="4">
      <c r="A4" s="129" t="n">
        <v>3</v>
      </c>
      <c r="B4" s="129" t="inlineStr">
        <is>
          <t>initial release</t>
        </is>
      </c>
      <c r="C4" s="130">
        <f>IFERROR(INDEX('iCoA Register'!$B:$B,MATCH("BG1024|I",'iCoA Register'!$P:$P,0)),"— at issue —")</f>
        <v/>
      </c>
      <c r="D4" s="130">
        <f>IFERROR(INDEX('CoQ Register'!$B:$B,MATCH("BG1024|I",'CoQ Register'!$S:$S,0)),"—")</f>
        <v/>
      </c>
      <c r="E4" s="129" t="inlineStr">
        <is>
          <t>iCoA-PP-2025-0002 / CoQ-PP-2025-0002</t>
        </is>
      </c>
      <c r="F4" s="129" t="inlineStr">
        <is>
          <t>legacy</t>
        </is>
      </c>
      <c r="G4" s="129" t="inlineStr">
        <is>
          <t>07.03.2025</t>
        </is>
      </c>
      <c r="H4" s="129" t="inlineStr">
        <is>
          <t>07.03.2025</t>
        </is>
      </c>
      <c r="I4" s="274">
        <f>IFERROR(INDEX('iCoA Register'!$D:$D,MATCH("BG1024|I",'iCoA Register'!$P:$P,0)),"")</f>
        <v/>
      </c>
      <c r="J4" s="274">
        <f>IFERROR(INDEX('CoQ Register'!$D:$D,MATCH("BG1024|I",'CoQ Register'!$S:$S,0)),"")</f>
        <v/>
      </c>
      <c r="K4" s="130" t="inlineStr">
        <is>
          <t>BG1024</t>
        </is>
      </c>
      <c r="L4" s="129" t="inlineStr">
        <is>
          <t>N/A — no P batch assigned</t>
        </is>
      </c>
      <c r="M4" s="129" t="inlineStr">
        <is>
          <t>Blue Gelato</t>
        </is>
      </c>
      <c r="N4" s="129" t="inlineStr">
        <is>
          <t>21.01.2025</t>
        </is>
      </c>
      <c r="O4" s="129" t="inlineStr">
        <is>
          <t>07.03.2025</t>
        </is>
      </c>
      <c r="P4" s="129" t="inlineStr">
        <is>
          <t>07.03.2025</t>
        </is>
      </c>
      <c r="Q4" s="129" t="inlineStr">
        <is>
          <t>Ident A + Ident B + Foreign matter</t>
        </is>
      </c>
      <c r="R4" s="129" t="inlineStr">
        <is>
          <t>Conforms</t>
        </is>
      </c>
      <c r="S4" s="129" t="inlineStr">
        <is>
          <t>Conforms</t>
        </is>
      </c>
      <c r="T4" s="129" t="inlineStr">
        <is>
          <t>Conforms</t>
        </is>
      </c>
      <c r="U4" s="129" t="inlineStr">
        <is>
          <t>ППК25050, (26.02.2025) [CNP]</t>
        </is>
      </c>
      <c r="V4" s="129" t="inlineStr"/>
      <c r="W4" s="129" t="inlineStr"/>
      <c r="X4" s="129" t="inlineStr"/>
      <c r="Y4" s="140" t="inlineStr">
        <is>
          <t>registered — issued with the legacy series on 15.05.2026</t>
        </is>
      </c>
    </row>
    <row r="5">
      <c r="A5" s="129" t="n">
        <v>4</v>
      </c>
      <c r="B5" s="129" t="inlineStr">
        <is>
          <t>initial release</t>
        </is>
      </c>
      <c r="C5" s="130">
        <f>IFERROR(INDEX('iCoA Register'!$B:$B,MATCH("GG1024|I",'iCoA Register'!$P:$P,0)),"— at issue —")</f>
        <v/>
      </c>
      <c r="D5" s="130">
        <f>IFERROR(INDEX('CoQ Register'!$B:$B,MATCH("GG1024|I",'CoQ Register'!$S:$S,0)),"—")</f>
        <v/>
      </c>
      <c r="E5" s="129" t="inlineStr">
        <is>
          <t>iCoA-PP-2025-0003 / CoQ-PP-2025-0003</t>
        </is>
      </c>
      <c r="F5" s="129" t="inlineStr">
        <is>
          <t>legacy</t>
        </is>
      </c>
      <c r="G5" s="129" t="inlineStr">
        <is>
          <t>11.03.2025</t>
        </is>
      </c>
      <c r="H5" s="129" t="inlineStr">
        <is>
          <t>11.03.2025</t>
        </is>
      </c>
      <c r="I5" s="129" t="inlineStr">
        <is>
          <t>03.06.2026</t>
        </is>
      </c>
      <c r="J5" s="274">
        <f>IFERROR(INDEX('CoQ Register'!$D:$D,MATCH("GG1024|I",'CoQ Register'!$S:$S,0)),"")</f>
        <v/>
      </c>
      <c r="K5" s="130" t="inlineStr">
        <is>
          <t>GG1024</t>
        </is>
      </c>
      <c r="L5" s="129" t="inlineStr">
        <is>
          <t>N/A — no P batch assigned</t>
        </is>
      </c>
      <c r="M5" s="129" t="inlineStr">
        <is>
          <t>Gorilla Glue</t>
        </is>
      </c>
      <c r="N5" s="129" t="inlineStr">
        <is>
          <t>20.01.2025</t>
        </is>
      </c>
      <c r="O5" s="129" t="inlineStr">
        <is>
          <t>11.03.2025</t>
        </is>
      </c>
      <c r="P5" s="129" t="inlineStr">
        <is>
          <t>11.03.2025</t>
        </is>
      </c>
      <c r="Q5" s="129" t="inlineStr">
        <is>
          <t>Ident A + Ident B + Foreign matter</t>
        </is>
      </c>
      <c r="R5" s="129" t="inlineStr">
        <is>
          <t>Conforms</t>
        </is>
      </c>
      <c r="S5" s="129" t="inlineStr">
        <is>
          <t>Conforms</t>
        </is>
      </c>
      <c r="T5" s="129" t="inlineStr">
        <is>
          <t>Conforms</t>
        </is>
      </c>
      <c r="U5" s="141" t="inlineStr">
        <is>
          <t>— no cannabinoid certificate from the initial testing —</t>
        </is>
      </c>
      <c r="V5" s="129" t="inlineStr"/>
      <c r="W5" s="129" t="inlineStr"/>
      <c r="X5" s="129" t="inlineStr"/>
      <c r="Y5" s="141" t="inlineStr">
        <is>
          <t>not yet issuable — not in icoa_register.py — the register numbers the series and does not carry this round</t>
        </is>
      </c>
    </row>
    <row r="6">
      <c r="A6" s="129" t="n">
        <v>5</v>
      </c>
      <c r="B6" s="129" t="inlineStr">
        <is>
          <t>initial release</t>
        </is>
      </c>
      <c r="C6" s="130">
        <f>IFERROR(INDEX('iCoA Register'!$B:$B,MATCH("HPA1024|I",'iCoA Register'!$P:$P,0)),"— at issue —")</f>
        <v/>
      </c>
      <c r="D6" s="130">
        <f>IFERROR(INDEX('CoQ Register'!$B:$B,MATCH("HPA1024|I",'CoQ Register'!$S:$S,0)),"—")</f>
        <v/>
      </c>
      <c r="E6" s="129" t="inlineStr">
        <is>
          <t>iCoA-PP-2025-0004 / CoQ-PP-2025-0004</t>
        </is>
      </c>
      <c r="F6" s="129" t="inlineStr">
        <is>
          <t>legacy</t>
        </is>
      </c>
      <c r="G6" s="129" t="inlineStr">
        <is>
          <t>11.04.2025</t>
        </is>
      </c>
      <c r="H6" s="129" t="inlineStr">
        <is>
          <t>11.04.2025</t>
        </is>
      </c>
      <c r="I6" s="274">
        <f>IFERROR(INDEX('iCoA Register'!$D:$D,MATCH("HPA1024|I",'iCoA Register'!$P:$P,0)),"")</f>
        <v/>
      </c>
      <c r="J6" s="274">
        <f>IFERROR(INDEX('CoQ Register'!$D:$D,MATCH("HPA1024|I",'CoQ Register'!$S:$S,0)),"")</f>
        <v/>
      </c>
      <c r="K6" s="130" t="inlineStr">
        <is>
          <t>HPA1024</t>
        </is>
      </c>
      <c r="L6" s="129" t="inlineStr">
        <is>
          <t>N/A — no P batch assigned</t>
        </is>
      </c>
      <c r="M6" s="129" t="inlineStr">
        <is>
          <t>HighProAmnesia</t>
        </is>
      </c>
      <c r="N6" s="129" t="inlineStr">
        <is>
          <t>22.01.2025</t>
        </is>
      </c>
      <c r="O6" s="129" t="inlineStr">
        <is>
          <t>11.04.2025</t>
        </is>
      </c>
      <c r="P6" s="129" t="inlineStr">
        <is>
          <t>11.04.2025</t>
        </is>
      </c>
      <c r="Q6" s="129" t="inlineStr">
        <is>
          <t>Ident A + Ident B + Foreign matter</t>
        </is>
      </c>
      <c r="R6" s="129" t="inlineStr">
        <is>
          <t>Conforms</t>
        </is>
      </c>
      <c r="S6" s="129" t="inlineStr">
        <is>
          <t>Conforms</t>
        </is>
      </c>
      <c r="T6" s="129" t="inlineStr">
        <is>
          <t>Conforms</t>
        </is>
      </c>
      <c r="U6" s="141" t="inlineStr">
        <is>
          <t>— no cannabinoid certificate from the initial testing —</t>
        </is>
      </c>
      <c r="V6" s="129" t="inlineStr"/>
      <c r="W6" s="129" t="inlineStr"/>
      <c r="X6" s="129" t="inlineStr"/>
      <c r="Y6" s="140" t="inlineStr">
        <is>
          <t>registered — issued with the legacy series on 15.05.2026</t>
        </is>
      </c>
    </row>
    <row r="7">
      <c r="A7" s="129" t="n">
        <v>6</v>
      </c>
      <c r="B7" s="129" t="inlineStr">
        <is>
          <t>initial release</t>
        </is>
      </c>
      <c r="C7" s="130">
        <f>IFERROR(INDEX('iCoA Register'!$B:$B,MATCH("OPM1024|I",'iCoA Register'!$P:$P,0)),"— at issue —")</f>
        <v/>
      </c>
      <c r="D7" s="130">
        <f>IFERROR(INDEX('CoQ Register'!$B:$B,MATCH("OPM1024|I",'CoQ Register'!$S:$S,0)),"—")</f>
        <v/>
      </c>
      <c r="E7" s="129" t="inlineStr">
        <is>
          <t>iCoA-PP-2025-0005 / CoQ-PP-2025-0005</t>
        </is>
      </c>
      <c r="F7" s="129" t="inlineStr">
        <is>
          <t>legacy</t>
        </is>
      </c>
      <c r="G7" s="129" t="inlineStr">
        <is>
          <t>24.04.2025</t>
        </is>
      </c>
      <c r="H7" s="129" t="inlineStr">
        <is>
          <t>24.04.2025</t>
        </is>
      </c>
      <c r="I7" s="274">
        <f>IFERROR(INDEX('iCoA Register'!$D:$D,MATCH("OPM1024|I",'iCoA Register'!$P:$P,0)),"")</f>
        <v/>
      </c>
      <c r="J7" s="274">
        <f>IFERROR(INDEX('CoQ Register'!$D:$D,MATCH("OPM1024|I",'CoQ Register'!$S:$S,0)),"")</f>
        <v/>
      </c>
      <c r="K7" s="130" t="inlineStr">
        <is>
          <t>OPM1024</t>
        </is>
      </c>
      <c r="L7" s="129" t="inlineStr">
        <is>
          <t>N/A — no P batch assigned</t>
        </is>
      </c>
      <c r="M7" s="129" t="inlineStr">
        <is>
          <t>OrangePunchMimosa</t>
        </is>
      </c>
      <c r="N7" s="129" t="inlineStr">
        <is>
          <t>21.01.2025</t>
        </is>
      </c>
      <c r="O7" s="129" t="inlineStr">
        <is>
          <t>24.04.2025 – 25.04.2025</t>
        </is>
      </c>
      <c r="P7" s="129" t="inlineStr">
        <is>
          <t>25.04.2025</t>
        </is>
      </c>
      <c r="Q7" s="129" t="inlineStr">
        <is>
          <t>Ident A + Ident B + Foreign matter</t>
        </is>
      </c>
      <c r="R7" s="129" t="inlineStr">
        <is>
          <t>Conforms</t>
        </is>
      </c>
      <c r="S7" s="129" t="inlineStr">
        <is>
          <t>Conforms</t>
        </is>
      </c>
      <c r="T7" s="129" t="inlineStr">
        <is>
          <t>Conforms</t>
        </is>
      </c>
      <c r="U7" s="141" t="inlineStr">
        <is>
          <t>— no cannabinoid certificate from the initial testing —</t>
        </is>
      </c>
      <c r="V7" s="129" t="inlineStr"/>
      <c r="W7" s="129" t="inlineStr"/>
      <c r="X7" s="129" t="inlineStr"/>
      <c r="Y7" s="140" t="inlineStr">
        <is>
          <t>registered — issued with the legacy series on 15.05.2026</t>
        </is>
      </c>
    </row>
    <row r="8">
      <c r="A8" s="129" t="n">
        <v>7</v>
      </c>
      <c r="B8" s="129" t="inlineStr">
        <is>
          <t>initial release</t>
        </is>
      </c>
      <c r="C8" s="130">
        <f>IFERROR(INDEX('iCoA Register'!$B:$B,MATCH("P050022|I",'iCoA Register'!$P:$P,0)),"— at issue —")</f>
        <v/>
      </c>
      <c r="D8" s="130">
        <f>IFERROR(INDEX('CoQ Register'!$B:$B,MATCH("P050022|I",'CoQ Register'!$S:$S,0)),"—")</f>
        <v/>
      </c>
      <c r="E8" s="129" t="inlineStr">
        <is>
          <t>iCoA-PP-2025-0006 / CoQ-PP-2025-0006</t>
        </is>
      </c>
      <c r="F8" s="129" t="inlineStr">
        <is>
          <t>legacy</t>
        </is>
      </c>
      <c r="G8" s="129" t="inlineStr">
        <is>
          <t>03.06.2025</t>
        </is>
      </c>
      <c r="H8" s="129" t="inlineStr">
        <is>
          <t>03.06.2025</t>
        </is>
      </c>
      <c r="I8" s="274">
        <f>IFERROR(INDEX('iCoA Register'!$D:$D,MATCH("P050022|I",'iCoA Register'!$P:$P,0)),"")</f>
        <v/>
      </c>
      <c r="J8" s="274">
        <f>IFERROR(INDEX('CoQ Register'!$D:$D,MATCH("P050022|I",'CoQ Register'!$S:$S,0)),"")</f>
        <v/>
      </c>
      <c r="K8" s="130" t="inlineStr">
        <is>
          <t>GP0824_02</t>
        </is>
      </c>
      <c r="L8" s="129" t="inlineStr">
        <is>
          <t>P050022</t>
        </is>
      </c>
      <c r="M8" s="129" t="inlineStr">
        <is>
          <t>Grape Pie</t>
        </is>
      </c>
      <c r="N8" s="129" t="inlineStr">
        <is>
          <t>22.04.2025 – 23.04.2025</t>
        </is>
      </c>
      <c r="O8" s="129" t="inlineStr">
        <is>
          <t>03.06.2025 – 11.06.2025</t>
        </is>
      </c>
      <c r="P8" s="129" t="inlineStr">
        <is>
          <t>11.06.2025</t>
        </is>
      </c>
      <c r="Q8" s="129" t="inlineStr">
        <is>
          <t>Ident A + Ident B + Foreign matter</t>
        </is>
      </c>
      <c r="R8" s="129" t="inlineStr">
        <is>
          <t>Conforms</t>
        </is>
      </c>
      <c r="S8" s="129" t="inlineStr">
        <is>
          <t>Conforms</t>
        </is>
      </c>
      <c r="T8" s="129" t="inlineStr">
        <is>
          <t>Conforms</t>
        </is>
      </c>
      <c r="U8" s="129" t="inlineStr">
        <is>
          <t>ППК25139, (22.05.2025) [CNP]</t>
        </is>
      </c>
      <c r="V8" s="129" t="inlineStr"/>
      <c r="W8" s="129" t="inlineStr"/>
      <c r="X8" s="129" t="inlineStr"/>
      <c r="Y8" s="140" t="inlineStr">
        <is>
          <t>registered — issued with the legacy series on 15.05.2026</t>
        </is>
      </c>
    </row>
    <row r="9">
      <c r="A9" s="129" t="n">
        <v>8</v>
      </c>
      <c r="B9" s="129" t="inlineStr">
        <is>
          <t>initial release</t>
        </is>
      </c>
      <c r="C9" s="130">
        <f>IFERROR(INDEX('iCoA Register'!$B:$B,MATCH("P050012|I",'iCoA Register'!$P:$P,0)),"— at issue —")</f>
        <v/>
      </c>
      <c r="D9" s="130">
        <f>IFERROR(INDEX('CoQ Register'!$B:$B,MATCH("P050012|I",'CoQ Register'!$S:$S,0)),"—")</f>
        <v/>
      </c>
      <c r="E9" s="129" t="inlineStr">
        <is>
          <t>(assigned on issue)</t>
        </is>
      </c>
      <c r="F9" s="129" t="inlineStr">
        <is>
          <t>legacy</t>
        </is>
      </c>
      <c r="G9" s="129" t="inlineStr">
        <is>
          <t>30.05.2025</t>
        </is>
      </c>
      <c r="H9" s="129" t="inlineStr">
        <is>
          <t>11.06.2025</t>
        </is>
      </c>
      <c r="I9" s="274">
        <f>IFERROR(INDEX('iCoA Register'!$D:$D,MATCH("P050012|I",'iCoA Register'!$P:$P,0)),"")</f>
        <v/>
      </c>
      <c r="J9" s="274">
        <f>IFERROR(INDEX('CoQ Register'!$D:$D,MATCH("P050012|I",'CoQ Register'!$S:$S,0)),"")</f>
        <v/>
      </c>
      <c r="K9" s="130" t="inlineStr">
        <is>
          <t>GG1024_02</t>
        </is>
      </c>
      <c r="L9" s="129" t="inlineStr">
        <is>
          <t>P050012</t>
        </is>
      </c>
      <c r="M9" s="129" t="inlineStr">
        <is>
          <t>Gorilla Glue</t>
        </is>
      </c>
      <c r="N9" s="129" t="inlineStr">
        <is>
          <t>14.04.2025 – 15.04.2025</t>
        </is>
      </c>
      <c r="O9" s="129" t="inlineStr">
        <is>
          <t>11.06.2025 – 16.06.2025 (the issuance plan's basis: 30.05.2025)</t>
        </is>
      </c>
      <c r="P9" s="129" t="inlineStr">
        <is>
          <t>16.06.2025</t>
        </is>
      </c>
      <c r="Q9" s="129" t="inlineStr">
        <is>
          <t>Ident A + Ident B + Foreign matter</t>
        </is>
      </c>
      <c r="R9" s="129" t="inlineStr">
        <is>
          <t>Conforms</t>
        </is>
      </c>
      <c r="S9" s="129" t="inlineStr">
        <is>
          <t>Conforms</t>
        </is>
      </c>
      <c r="T9" s="129" t="inlineStr">
        <is>
          <t>Conforms</t>
        </is>
      </c>
      <c r="U9" s="129" t="inlineStr">
        <is>
          <t>ППК25140, (22.05.2025) [CNP]</t>
        </is>
      </c>
      <c r="V9" s="129" t="inlineStr"/>
      <c r="W9" s="129" t="inlineStr"/>
      <c r="X9" s="129" t="inlineStr"/>
      <c r="Y9" s="140" t="inlineStr">
        <is>
          <t>registered — issued with the legacy series on 15.05.2026</t>
        </is>
      </c>
    </row>
    <row r="10">
      <c r="A10" s="129" t="n">
        <v>9</v>
      </c>
      <c r="B10" s="129" t="inlineStr">
        <is>
          <t>initial release</t>
        </is>
      </c>
      <c r="C10" s="130">
        <f>IFERROR(INDEX('iCoA Register'!$B:$B,MATCH("P050032|I",'iCoA Register'!$P:$P,0)),"— at issue —")</f>
        <v/>
      </c>
      <c r="D10" s="130">
        <f>IFERROR(INDEX('CoQ Register'!$B:$B,MATCH("P050032|I",'CoQ Register'!$S:$S,0)),"—")</f>
        <v/>
      </c>
      <c r="E10" s="129" t="inlineStr">
        <is>
          <t>(assigned on issue)</t>
        </is>
      </c>
      <c r="F10" s="129" t="inlineStr">
        <is>
          <t>legacy</t>
        </is>
      </c>
      <c r="G10" s="129" t="inlineStr">
        <is>
          <t>07.05.2025</t>
        </is>
      </c>
      <c r="H10" s="129" t="inlineStr">
        <is>
          <t>16.06.2025</t>
        </is>
      </c>
      <c r="I10" s="274">
        <f>IFERROR(INDEX('iCoA Register'!$D:$D,MATCH("P050032|I",'iCoA Register'!$P:$P,0)),"")</f>
        <v/>
      </c>
      <c r="J10" s="274">
        <f>IFERROR(INDEX('CoQ Register'!$D:$D,MATCH("P050032|I",'CoQ Register'!$S:$S,0)),"")</f>
        <v/>
      </c>
      <c r="K10" s="130" t="inlineStr">
        <is>
          <t>MB0824_04</t>
        </is>
      </c>
      <c r="L10" s="129" t="inlineStr">
        <is>
          <t>P050032</t>
        </is>
      </c>
      <c r="M10" s="129" t="inlineStr">
        <is>
          <t>Motor Breath</t>
        </is>
      </c>
      <c r="N10" s="129" t="inlineStr">
        <is>
          <t>02.04.2025 – 03.04.2025</t>
        </is>
      </c>
      <c r="O10" s="129" t="inlineStr">
        <is>
          <t>16.06.2025 – 19.06.2025 (the issuance plan's basis: 07.05.2025)</t>
        </is>
      </c>
      <c r="P10" s="129" t="inlineStr">
        <is>
          <t>19.06.2025</t>
        </is>
      </c>
      <c r="Q10" s="129" t="inlineStr">
        <is>
          <t>Ident A + Ident B + Foreign matter</t>
        </is>
      </c>
      <c r="R10" s="129" t="inlineStr">
        <is>
          <t>Conforms</t>
        </is>
      </c>
      <c r="S10" s="129" t="inlineStr">
        <is>
          <t>Conforms</t>
        </is>
      </c>
      <c r="T10" s="129" t="inlineStr">
        <is>
          <t>Conforms</t>
        </is>
      </c>
      <c r="U10" s="129" t="inlineStr">
        <is>
          <t>ППК25118, (06.05.2025) [CNP]</t>
        </is>
      </c>
      <c r="V10" s="129" t="inlineStr"/>
      <c r="W10" s="129" t="inlineStr"/>
      <c r="X10" s="129" t="inlineStr"/>
      <c r="Y10" s="140" t="inlineStr">
        <is>
          <t>registered — issued with the legacy series on 15.05.2026</t>
        </is>
      </c>
    </row>
    <row r="11">
      <c r="A11" s="129" t="n">
        <v>10</v>
      </c>
      <c r="B11" s="129" t="inlineStr">
        <is>
          <t>initial release</t>
        </is>
      </c>
      <c r="C11" s="130">
        <f>IFERROR(INDEX('iCoA Register'!$B:$B,MATCH("P050042|I",'iCoA Register'!$P:$P,0)),"— at issue —")</f>
        <v/>
      </c>
      <c r="D11" s="130">
        <f>IFERROR(INDEX('CoQ Register'!$B:$B,MATCH("P050042|I",'CoQ Register'!$S:$S,0)),"—")</f>
        <v/>
      </c>
      <c r="E11" s="129" t="inlineStr">
        <is>
          <t>iCoA-PP-2025-0007 / CoQ-PP-2025-0007</t>
        </is>
      </c>
      <c r="F11" s="129" t="inlineStr">
        <is>
          <t>legacy</t>
        </is>
      </c>
      <c r="G11" s="129" t="inlineStr">
        <is>
          <t>20.06.2025</t>
        </is>
      </c>
      <c r="H11" s="129" t="inlineStr">
        <is>
          <t>20.06.2025</t>
        </is>
      </c>
      <c r="I11" s="129" t="inlineStr">
        <is>
          <t>03.06.2026</t>
        </is>
      </c>
      <c r="J11" s="274">
        <f>IFERROR(INDEX('CoQ Register'!$D:$D,MATCH("P050042|I",'CoQ Register'!$S:$S,0)),"")</f>
        <v/>
      </c>
      <c r="K11" s="130" t="inlineStr">
        <is>
          <t>OMP1024_01</t>
        </is>
      </c>
      <c r="L11" s="129" t="inlineStr">
        <is>
          <t>P050042</t>
        </is>
      </c>
      <c r="M11" s="129" t="inlineStr">
        <is>
          <t>Orange Punch Mimosa</t>
        </is>
      </c>
      <c r="N11" s="129" t="inlineStr">
        <is>
          <t>26.03.2025 – 27.03.2025</t>
        </is>
      </c>
      <c r="O11" s="129" t="inlineStr">
        <is>
          <t>20.06.2025</t>
        </is>
      </c>
      <c r="P11" s="129" t="inlineStr">
        <is>
          <t>20.06.2025</t>
        </is>
      </c>
      <c r="Q11" s="129" t="inlineStr">
        <is>
          <t>Ident A + Ident B + Foreign matter</t>
        </is>
      </c>
      <c r="R11" s="129" t="inlineStr">
        <is>
          <t>Conforms</t>
        </is>
      </c>
      <c r="S11" s="129" t="inlineStr">
        <is>
          <t>Conforms</t>
        </is>
      </c>
      <c r="T11" s="129" t="inlineStr">
        <is>
          <t>Conforms</t>
        </is>
      </c>
      <c r="U11" s="129" t="inlineStr">
        <is>
          <t>ППК25117, (06.05.2025) [CNP]</t>
        </is>
      </c>
      <c r="V11" s="129" t="inlineStr"/>
      <c r="W11" s="129" t="inlineStr"/>
      <c r="X11" s="129" t="inlineStr"/>
      <c r="Y11" s="141" t="inlineStr">
        <is>
          <t>not yet issuable — no packaging date on the list — the register withholds a number</t>
        </is>
      </c>
    </row>
    <row r="12">
      <c r="A12" s="129" t="n">
        <v>11</v>
      </c>
      <c r="B12" s="129" t="inlineStr">
        <is>
          <t>initial release</t>
        </is>
      </c>
      <c r="C12" s="130">
        <f>IFERROR(INDEX('iCoA Register'!$B:$B,MATCH("P050052|I",'iCoA Register'!$P:$P,0)),"— at issue —")</f>
        <v/>
      </c>
      <c r="D12" s="130">
        <f>IFERROR(INDEX('CoQ Register'!$B:$B,MATCH("P050052|I",'CoQ Register'!$S:$S,0)),"—")</f>
        <v/>
      </c>
      <c r="E12" s="129" t="inlineStr">
        <is>
          <t>iCoA-PP-2025-0008 / CoQ-PP-2025-0008</t>
        </is>
      </c>
      <c r="F12" s="129" t="inlineStr">
        <is>
          <t>legacy</t>
        </is>
      </c>
      <c r="G12" s="129" t="inlineStr">
        <is>
          <t>27.06.2025</t>
        </is>
      </c>
      <c r="H12" s="129" t="inlineStr">
        <is>
          <t>27.06.2025</t>
        </is>
      </c>
      <c r="I12" s="274">
        <f>IFERROR(INDEX('iCoA Register'!$D:$D,MATCH("P050052|I",'iCoA Register'!$P:$P,0)),"")</f>
        <v/>
      </c>
      <c r="J12" s="274">
        <f>IFERROR(INDEX('CoQ Register'!$D:$D,MATCH("P050052|I",'CoQ Register'!$S:$S,0)),"")</f>
        <v/>
      </c>
      <c r="K12" s="130" t="inlineStr">
        <is>
          <t>HPA1024_01</t>
        </is>
      </c>
      <c r="L12" s="129" t="inlineStr">
        <is>
          <t>P050052</t>
        </is>
      </c>
      <c r="M12" s="129" t="inlineStr">
        <is>
          <t>High Pro Amnesia</t>
        </is>
      </c>
      <c r="N12" s="129" t="inlineStr">
        <is>
          <t>27.05.2025 – 28.05.2025</t>
        </is>
      </c>
      <c r="O12" s="129" t="inlineStr">
        <is>
          <t>27.06.2025 – 04.07.2025</t>
        </is>
      </c>
      <c r="P12" s="129" t="inlineStr">
        <is>
          <t>04.07.2025</t>
        </is>
      </c>
      <c r="Q12" s="129" t="inlineStr">
        <is>
          <t>Ident A + Ident B + Foreign matter</t>
        </is>
      </c>
      <c r="R12" s="129" t="inlineStr">
        <is>
          <t>Conforms</t>
        </is>
      </c>
      <c r="S12" s="129" t="inlineStr">
        <is>
          <t>Conforms</t>
        </is>
      </c>
      <c r="T12" s="129" t="inlineStr">
        <is>
          <t>Conforms</t>
        </is>
      </c>
      <c r="U12" s="129" t="inlineStr">
        <is>
          <t>ППК25155, (24.06.2025) [CNP]</t>
        </is>
      </c>
      <c r="V12" s="129" t="inlineStr"/>
      <c r="W12" s="129" t="inlineStr"/>
      <c r="X12" s="129" t="inlineStr"/>
      <c r="Y12" s="140" t="inlineStr">
        <is>
          <t>registered — issued with the legacy series on 15.05.2026</t>
        </is>
      </c>
    </row>
    <row r="13">
      <c r="A13" s="129" t="n">
        <v>12</v>
      </c>
      <c r="B13" s="129" t="inlineStr">
        <is>
          <t>initial release</t>
        </is>
      </c>
      <c r="C13" s="130">
        <f>IFERROR(INDEX('iCoA Register'!$B:$B,MATCH("P050062|I",'iCoA Register'!$P:$P,0)),"— at issue —")</f>
        <v/>
      </c>
      <c r="D13" s="130">
        <f>IFERROR(INDEX('CoQ Register'!$B:$B,MATCH("P050062|I",'CoQ Register'!$S:$S,0)),"—")</f>
        <v/>
      </c>
      <c r="E13" s="129" t="inlineStr">
        <is>
          <t>iCoA-PP-2025-0009 / CoQ-PP-2025-0009</t>
        </is>
      </c>
      <c r="F13" s="129" t="inlineStr">
        <is>
          <t>legacy</t>
        </is>
      </c>
      <c r="G13" s="129" t="inlineStr">
        <is>
          <t>04.07.2025</t>
        </is>
      </c>
      <c r="H13" s="129" t="inlineStr">
        <is>
          <t>04.07.2025</t>
        </is>
      </c>
      <c r="I13" s="274">
        <f>IFERROR(INDEX('iCoA Register'!$D:$D,MATCH("P050062|I",'iCoA Register'!$P:$P,0)),"")</f>
        <v/>
      </c>
      <c r="J13" s="274">
        <f>IFERROR(INDEX('CoQ Register'!$D:$D,MATCH("P050062|I",'CoQ Register'!$S:$S,0)),"")</f>
        <v/>
      </c>
      <c r="K13" s="130" t="inlineStr">
        <is>
          <t>OPM1024_02</t>
        </is>
      </c>
      <c r="L13" s="129" t="inlineStr">
        <is>
          <t>P050062</t>
        </is>
      </c>
      <c r="M13" s="129" t="inlineStr">
        <is>
          <t>Orange Punch Mimosa</t>
        </is>
      </c>
      <c r="N13" s="129" t="inlineStr">
        <is>
          <t>29.05.2025 – 30.05.2025</t>
        </is>
      </c>
      <c r="O13" s="129" t="inlineStr">
        <is>
          <t>04.07.2025 – 10.07.2025</t>
        </is>
      </c>
      <c r="P13" s="129" t="inlineStr">
        <is>
          <t>10.07.2025</t>
        </is>
      </c>
      <c r="Q13" s="129" t="inlineStr">
        <is>
          <t>Ident A + Ident B + Foreign matter</t>
        </is>
      </c>
      <c r="R13" s="129" t="inlineStr">
        <is>
          <t>Conforms</t>
        </is>
      </c>
      <c r="S13" s="129" t="inlineStr">
        <is>
          <t>Conforms</t>
        </is>
      </c>
      <c r="T13" s="129" t="inlineStr">
        <is>
          <t>Conforms</t>
        </is>
      </c>
      <c r="U13" s="129" t="inlineStr">
        <is>
          <t>ППК25154, (24.06.2025) [CNP]</t>
        </is>
      </c>
      <c r="V13" s="129" t="inlineStr"/>
      <c r="W13" s="129" t="inlineStr"/>
      <c r="X13" s="129" t="inlineStr"/>
      <c r="Y13" s="140" t="inlineStr">
        <is>
          <t>registered — issued with the legacy series on 15.05.2026</t>
        </is>
      </c>
    </row>
    <row r="14">
      <c r="A14" s="129" t="n">
        <v>13</v>
      </c>
      <c r="B14" s="129" t="inlineStr">
        <is>
          <t>initial release</t>
        </is>
      </c>
      <c r="C14" s="130">
        <f>IFERROR(INDEX('iCoA Register'!$B:$B,MATCH("P050072|I",'iCoA Register'!$P:$P,0)),"— at issue —")</f>
        <v/>
      </c>
      <c r="D14" s="130">
        <f>IFERROR(INDEX('CoQ Register'!$B:$B,MATCH("P050072|I",'CoQ Register'!$S:$S,0)),"—")</f>
        <v/>
      </c>
      <c r="E14" s="129" t="inlineStr">
        <is>
          <t>iCoA-PP-2025-0010 / CoQ-PP-2025-0010</t>
        </is>
      </c>
      <c r="F14" s="129" t="inlineStr">
        <is>
          <t>legacy</t>
        </is>
      </c>
      <c r="G14" s="129" t="inlineStr">
        <is>
          <t>14.07.2025</t>
        </is>
      </c>
      <c r="H14" s="129" t="inlineStr">
        <is>
          <t>14.07.2025</t>
        </is>
      </c>
      <c r="I14" s="274">
        <f>IFERROR(INDEX('iCoA Register'!$D:$D,MATCH("P050072|I",'iCoA Register'!$P:$P,0)),"")</f>
        <v/>
      </c>
      <c r="J14" s="274">
        <f>IFERROR(INDEX('CoQ Register'!$D:$D,MATCH("P050072|I",'CoQ Register'!$S:$S,0)),"")</f>
        <v/>
      </c>
      <c r="K14" s="130" t="inlineStr">
        <is>
          <t>GP0824_03</t>
        </is>
      </c>
      <c r="L14" s="129" t="inlineStr">
        <is>
          <t>P050072</t>
        </is>
      </c>
      <c r="M14" s="129" t="inlineStr">
        <is>
          <t>Grape Pie</t>
        </is>
      </c>
      <c r="N14" s="129" t="inlineStr">
        <is>
          <t>09.06.2025 – 10.06.2025</t>
        </is>
      </c>
      <c r="O14" s="129" t="inlineStr">
        <is>
          <t>14.07.2025 – 17.07.2025</t>
        </is>
      </c>
      <c r="P14" s="129" t="inlineStr">
        <is>
          <t>17.07.2025</t>
        </is>
      </c>
      <c r="Q14" s="129" t="inlineStr">
        <is>
          <t>Ident A + Ident B + Foreign matter</t>
        </is>
      </c>
      <c r="R14" s="129" t="inlineStr">
        <is>
          <t>Conforms</t>
        </is>
      </c>
      <c r="S14" s="129" t="inlineStr">
        <is>
          <t>Conforms</t>
        </is>
      </c>
      <c r="T14" s="129" t="inlineStr">
        <is>
          <t>Conforms</t>
        </is>
      </c>
      <c r="U14" s="129" t="inlineStr">
        <is>
          <t>ППК25175, (10.07.2025) [CNP]</t>
        </is>
      </c>
      <c r="V14" s="129" t="inlineStr"/>
      <c r="W14" s="129" t="inlineStr"/>
      <c r="X14" s="129" t="inlineStr"/>
      <c r="Y14" s="140" t="inlineStr">
        <is>
          <t>registered — issued with the legacy series on 15.05.2026</t>
        </is>
      </c>
    </row>
    <row r="15">
      <c r="A15" s="129" t="n">
        <v>14</v>
      </c>
      <c r="B15" s="129" t="inlineStr">
        <is>
          <t>initial release</t>
        </is>
      </c>
      <c r="C15" s="130">
        <f>IFERROR(INDEX('iCoA Register'!$B:$B,MATCH("P050082|I",'iCoA Register'!$P:$P,0)),"— at issue —")</f>
        <v/>
      </c>
      <c r="D15" s="130">
        <f>IFERROR(INDEX('CoQ Register'!$B:$B,MATCH("P050082|I",'CoQ Register'!$S:$S,0)),"—")</f>
        <v/>
      </c>
      <c r="E15" s="129" t="inlineStr">
        <is>
          <t>iCoA-PP-2025-0011 / CoQ-PP-2025-0011</t>
        </is>
      </c>
      <c r="F15" s="129" t="inlineStr">
        <is>
          <t>legacy</t>
        </is>
      </c>
      <c r="G15" s="129" t="inlineStr">
        <is>
          <t>22.07.2025</t>
        </is>
      </c>
      <c r="H15" s="129" t="inlineStr">
        <is>
          <t>22.07.2025</t>
        </is>
      </c>
      <c r="I15" s="274">
        <f>IFERROR(INDEX('iCoA Register'!$D:$D,MATCH("P050082|I",'iCoA Register'!$P:$P,0)),"")</f>
        <v/>
      </c>
      <c r="J15" s="274">
        <f>IFERROR(INDEX('CoQ Register'!$D:$D,MATCH("P050082|I",'CoQ Register'!$S:$S,0)),"")</f>
        <v/>
      </c>
      <c r="K15" s="130" t="inlineStr">
        <is>
          <t>OPM1024_03</t>
        </is>
      </c>
      <c r="L15" s="129" t="inlineStr">
        <is>
          <t>P050082</t>
        </is>
      </c>
      <c r="M15" s="129" t="inlineStr">
        <is>
          <t>Orange Punch Mimosa</t>
        </is>
      </c>
      <c r="N15" s="129" t="inlineStr">
        <is>
          <t>01.07.2025 – 02.07.2025</t>
        </is>
      </c>
      <c r="O15" s="129" t="inlineStr">
        <is>
          <t>22.07.2025 – 30.07.2025</t>
        </is>
      </c>
      <c r="P15" s="129" t="inlineStr">
        <is>
          <t>30.07.2025</t>
        </is>
      </c>
      <c r="Q15" s="129" t="inlineStr">
        <is>
          <t>Ident A + Ident B + Foreign matter</t>
        </is>
      </c>
      <c r="R15" s="129" t="inlineStr">
        <is>
          <t>Conforms</t>
        </is>
      </c>
      <c r="S15" s="129" t="inlineStr">
        <is>
          <t>Conforms</t>
        </is>
      </c>
      <c r="T15" s="129" t="inlineStr">
        <is>
          <t>Conforms</t>
        </is>
      </c>
      <c r="U15" s="129" t="inlineStr">
        <is>
          <t>ППК25210, (28.07.2025) [CNP]</t>
        </is>
      </c>
      <c r="V15" s="129" t="inlineStr"/>
      <c r="W15" s="129" t="inlineStr"/>
      <c r="X15" s="129" t="inlineStr"/>
      <c r="Y15" s="140" t="inlineStr">
        <is>
          <t>registered — issued with the legacy series on 15.05.2026</t>
        </is>
      </c>
    </row>
    <row r="16">
      <c r="A16" s="129" t="n">
        <v>15</v>
      </c>
      <c r="B16" s="129" t="inlineStr">
        <is>
          <t>initial release</t>
        </is>
      </c>
      <c r="C16" s="130">
        <f>IFERROR(INDEX('iCoA Register'!$B:$B,MATCH("P050092|I",'iCoA Register'!$P:$P,0)),"— at issue —")</f>
        <v/>
      </c>
      <c r="D16" s="130">
        <f>IFERROR(INDEX('CoQ Register'!$B:$B,MATCH("P050092|I",'CoQ Register'!$S:$S,0)),"—")</f>
        <v/>
      </c>
      <c r="E16" s="129" t="inlineStr">
        <is>
          <t>iCoA-PP-2025-0012 / CoQ-PP-2025-0012</t>
        </is>
      </c>
      <c r="F16" s="129" t="inlineStr">
        <is>
          <t>legacy</t>
        </is>
      </c>
      <c r="G16" s="129" t="inlineStr">
        <is>
          <t>31.07.2025</t>
        </is>
      </c>
      <c r="H16" s="129" t="inlineStr">
        <is>
          <t>31.07.2025</t>
        </is>
      </c>
      <c r="I16" s="274">
        <f>IFERROR(INDEX('iCoA Register'!$D:$D,MATCH("P050092|I",'iCoA Register'!$P:$P,0)),"")</f>
        <v/>
      </c>
      <c r="J16" s="274">
        <f>IFERROR(INDEX('CoQ Register'!$D:$D,MATCH("P050092|I",'CoQ Register'!$S:$S,0)),"")</f>
        <v/>
      </c>
      <c r="K16" s="130" t="inlineStr">
        <is>
          <t>GG1024_01</t>
        </is>
      </c>
      <c r="L16" s="129" t="inlineStr">
        <is>
          <t>P050092</t>
        </is>
      </c>
      <c r="M16" s="129" t="inlineStr">
        <is>
          <t>Gorilla Glue</t>
        </is>
      </c>
      <c r="N16" s="129" t="inlineStr">
        <is>
          <t>17.03.2025 – 18.03.2025</t>
        </is>
      </c>
      <c r="O16" s="129" t="inlineStr">
        <is>
          <t>31.07.2025 – 05.08.2025</t>
        </is>
      </c>
      <c r="P16" s="129" t="inlineStr">
        <is>
          <t>05.08.2025</t>
        </is>
      </c>
      <c r="Q16" s="129" t="inlineStr">
        <is>
          <t>Ident A + Ident B + Foreign matter</t>
        </is>
      </c>
      <c r="R16" s="129" t="inlineStr">
        <is>
          <t>Conforms</t>
        </is>
      </c>
      <c r="S16" s="129" t="inlineStr">
        <is>
          <t>Conforms</t>
        </is>
      </c>
      <c r="T16" s="129" t="inlineStr">
        <is>
          <t>Conforms</t>
        </is>
      </c>
      <c r="U16" s="129" t="inlineStr">
        <is>
          <t>ППК25104, (17.04.2025) [CNP]</t>
        </is>
      </c>
      <c r="V16" s="129" t="inlineStr"/>
      <c r="W16" s="129" t="inlineStr"/>
      <c r="X16" s="129" t="inlineStr"/>
      <c r="Y16" s="140" t="inlineStr">
        <is>
          <t>registered — issued with the legacy series on 15.05.2026</t>
        </is>
      </c>
    </row>
    <row r="17">
      <c r="A17" s="129" t="n">
        <v>16</v>
      </c>
      <c r="B17" s="129" t="inlineStr">
        <is>
          <t>initial release</t>
        </is>
      </c>
      <c r="C17" s="130">
        <f>IFERROR(INDEX('iCoA Register'!$B:$B,MATCH("P050102|I",'iCoA Register'!$P:$P,0)),"— at issue —")</f>
        <v/>
      </c>
      <c r="D17" s="130">
        <f>IFERROR(INDEX('CoQ Register'!$B:$B,MATCH("P050102|I",'CoQ Register'!$S:$S,0)),"—")</f>
        <v/>
      </c>
      <c r="E17" s="129" t="inlineStr">
        <is>
          <t>(assigned on issue)</t>
        </is>
      </c>
      <c r="F17" s="129" t="inlineStr">
        <is>
          <t>legacy</t>
        </is>
      </c>
      <c r="G17" s="129" t="inlineStr">
        <is>
          <t>17.04.2025</t>
        </is>
      </c>
      <c r="H17" s="129" t="inlineStr">
        <is>
          <t>05.08.2025</t>
        </is>
      </c>
      <c r="I17" s="274">
        <f>IFERROR(INDEX('iCoA Register'!$D:$D,MATCH("P050102|I",'iCoA Register'!$P:$P,0)),"")</f>
        <v/>
      </c>
      <c r="J17" s="274">
        <f>IFERROR(INDEX('CoQ Register'!$D:$D,MATCH("P050102|I",'CoQ Register'!$S:$S,0)),"")</f>
        <v/>
      </c>
      <c r="K17" s="130" t="inlineStr">
        <is>
          <t>GP0824_01</t>
        </is>
      </c>
      <c r="L17" s="129" t="inlineStr">
        <is>
          <t>P050102</t>
        </is>
      </c>
      <c r="M17" s="129" t="inlineStr">
        <is>
          <t>Grape Pie</t>
        </is>
      </c>
      <c r="N17" s="129" t="inlineStr">
        <is>
          <t>20.03.2025 – 21.03.2025</t>
        </is>
      </c>
      <c r="O17" s="129" t="inlineStr">
        <is>
          <t>05.08.2025 – 07.08.2025 (the issuance plan's basis: 17.04.2025)</t>
        </is>
      </c>
      <c r="P17" s="129" t="inlineStr">
        <is>
          <t>07.08.2025</t>
        </is>
      </c>
      <c r="Q17" s="129" t="inlineStr">
        <is>
          <t>Ident A + Ident B + Foreign matter</t>
        </is>
      </c>
      <c r="R17" s="129" t="inlineStr">
        <is>
          <t>Conforms</t>
        </is>
      </c>
      <c r="S17" s="129" t="inlineStr">
        <is>
          <t>Conforms</t>
        </is>
      </c>
      <c r="T17" s="129" t="inlineStr">
        <is>
          <t>Conforms</t>
        </is>
      </c>
      <c r="U17" s="129" t="inlineStr">
        <is>
          <t>ППК25105, (17.04.2025) [CNP]</t>
        </is>
      </c>
      <c r="V17" s="129" t="inlineStr"/>
      <c r="W17" s="129" t="inlineStr"/>
      <c r="X17" s="129" t="inlineStr"/>
      <c r="Y17" s="140" t="inlineStr">
        <is>
          <t>registered — issued with the legacy series on 15.05.2026</t>
        </is>
      </c>
    </row>
    <row r="18">
      <c r="A18" s="129" t="n">
        <v>17</v>
      </c>
      <c r="B18" s="129" t="inlineStr">
        <is>
          <t>initial release</t>
        </is>
      </c>
      <c r="C18" s="130">
        <f>IFERROR(INDEX('iCoA Register'!$B:$B,MATCH("P050112|I",'iCoA Register'!$P:$P,0)),"— at issue —")</f>
        <v/>
      </c>
      <c r="D18" s="130">
        <f>IFERROR(INDEX('CoQ Register'!$B:$B,MATCH("P050112|I",'CoQ Register'!$S:$S,0)),"—")</f>
        <v/>
      </c>
      <c r="E18" s="129" t="inlineStr">
        <is>
          <t>iCoA-PP-2025-0013 / CoQ-PP-2025-0013</t>
        </is>
      </c>
      <c r="F18" s="129" t="inlineStr">
        <is>
          <t>legacy</t>
        </is>
      </c>
      <c r="G18" s="129" t="inlineStr">
        <is>
          <t>25.08.2025</t>
        </is>
      </c>
      <c r="H18" s="129" t="inlineStr">
        <is>
          <t>25.08.2025</t>
        </is>
      </c>
      <c r="I18" s="274">
        <f>IFERROR(INDEX('iCoA Register'!$D:$D,MATCH("P050112|I",'iCoA Register'!$P:$P,0)),"")</f>
        <v/>
      </c>
      <c r="J18" s="274">
        <f>IFERROR(INDEX('CoQ Register'!$D:$D,MATCH("P050112|I",'CoQ Register'!$S:$S,0)),"")</f>
        <v/>
      </c>
      <c r="K18" s="130" t="inlineStr">
        <is>
          <t>MB0824_05</t>
        </is>
      </c>
      <c r="L18" s="129" t="inlineStr">
        <is>
          <t>P050112</t>
        </is>
      </c>
      <c r="M18" s="129" t="inlineStr">
        <is>
          <t>Motor Breath</t>
        </is>
      </c>
      <c r="N18" s="129" t="inlineStr">
        <is>
          <t>08.07.2025 – 09.07.2025</t>
        </is>
      </c>
      <c r="O18" s="129" t="inlineStr">
        <is>
          <t>25.08.2025 – 31.08.2025</t>
        </is>
      </c>
      <c r="P18" s="129" t="inlineStr">
        <is>
          <t>31.08.2025</t>
        </is>
      </c>
      <c r="Q18" s="129" t="inlineStr">
        <is>
          <t>Ident A + Ident B + Foreign matter</t>
        </is>
      </c>
      <c r="R18" s="129" t="inlineStr">
        <is>
          <t>Conforms</t>
        </is>
      </c>
      <c r="S18" s="129" t="inlineStr">
        <is>
          <t>Conforms</t>
        </is>
      </c>
      <c r="T18" s="129" t="inlineStr">
        <is>
          <t>Conforms</t>
        </is>
      </c>
      <c r="U18" s="129" t="inlineStr">
        <is>
          <t>ППК25211, (28.07.2025) [CNP]</t>
        </is>
      </c>
      <c r="V18" s="129" t="inlineStr"/>
      <c r="W18" s="129" t="inlineStr"/>
      <c r="X18" s="129" t="inlineStr"/>
      <c r="Y18" s="140" t="inlineStr">
        <is>
          <t>registered — issued with the legacy series on 15.05.2026</t>
        </is>
      </c>
    </row>
    <row r="19">
      <c r="A19" s="129" t="n">
        <v>18</v>
      </c>
      <c r="B19" s="129" t="inlineStr">
        <is>
          <t>initial release</t>
        </is>
      </c>
      <c r="C19" s="130">
        <f>IFERROR(INDEX('iCoA Register'!$B:$B,MATCH("P050122|I",'iCoA Register'!$P:$P,0)),"— at issue —")</f>
        <v/>
      </c>
      <c r="D19" s="130">
        <f>IFERROR(INDEX('CoQ Register'!$B:$B,MATCH("P050122|I",'CoQ Register'!$S:$S,0)),"—")</f>
        <v/>
      </c>
      <c r="E19" s="129" t="inlineStr">
        <is>
          <t>—</t>
        </is>
      </c>
      <c r="F19" s="129" t="inlineStr">
        <is>
          <t>legacy</t>
        </is>
      </c>
      <c r="G19" s="129" t="inlineStr">
        <is>
          <t>01.09.2025</t>
        </is>
      </c>
      <c r="H19" s="129" t="inlineStr">
        <is>
          <t>01.09.2025</t>
        </is>
      </c>
      <c r="I19" s="129" t="inlineStr">
        <is>
          <t>03.06.2026</t>
        </is>
      </c>
      <c r="J19" s="274">
        <f>IFERROR(INDEX('CoQ Register'!$D:$D,MATCH("P050122|I",'CoQ Register'!$S:$S,0)),"")</f>
        <v/>
      </c>
      <c r="K19" s="130" t="inlineStr">
        <is>
          <t>BSS1024_01/1</t>
        </is>
      </c>
      <c r="L19" s="129" t="inlineStr">
        <is>
          <t>P050122</t>
        </is>
      </c>
      <c r="M19" s="129" t="inlineStr">
        <is>
          <t>Blue Sunset Sherbet</t>
        </is>
      </c>
      <c r="N19" s="129" t="inlineStr">
        <is>
          <t>04.06.2025 – 05.06.2025</t>
        </is>
      </c>
      <c r="O19" s="129" t="inlineStr">
        <is>
          <t>01.09.2025 – 09.09.2025</t>
        </is>
      </c>
      <c r="P19" s="129" t="inlineStr">
        <is>
          <t>09.09.2025</t>
        </is>
      </c>
      <c r="Q19" s="129" t="inlineStr">
        <is>
          <t>Ident A + Ident B + Foreign matter</t>
        </is>
      </c>
      <c r="R19" s="129" t="inlineStr">
        <is>
          <t>Conforms</t>
        </is>
      </c>
      <c r="S19" s="129" t="inlineStr">
        <is>
          <t>Conforms</t>
        </is>
      </c>
      <c r="T19" s="129" t="inlineStr">
        <is>
          <t>Conforms</t>
        </is>
      </c>
      <c r="U19" s="129" t="inlineStr">
        <is>
          <t>ППК25176, (10.07.2025) [CNP]</t>
        </is>
      </c>
      <c r="V19" s="129" t="inlineStr"/>
      <c r="W19" s="129" t="inlineStr"/>
      <c r="X19" s="129" t="inlineStr"/>
      <c r="Y19" s="141" t="inlineStr">
        <is>
          <t>not yet issuable — no packaging date on the list — the register withholds a number</t>
        </is>
      </c>
    </row>
    <row r="20">
      <c r="A20" s="129" t="n">
        <v>19</v>
      </c>
      <c r="B20" s="129" t="inlineStr">
        <is>
          <t>initial release</t>
        </is>
      </c>
      <c r="C20" s="130">
        <f>IFERROR(INDEX('iCoA Register'!$B:$B,MATCH("P050132|I",'iCoA Register'!$P:$P,0)),"— at issue —")</f>
        <v/>
      </c>
      <c r="D20" s="130">
        <f>IFERROR(INDEX('CoQ Register'!$B:$B,MATCH("P050132|I",'CoQ Register'!$S:$S,0)),"—")</f>
        <v/>
      </c>
      <c r="E20" s="129" t="inlineStr">
        <is>
          <t>(assigned on issue)</t>
        </is>
      </c>
      <c r="F20" s="129" t="inlineStr">
        <is>
          <t>legacy</t>
        </is>
      </c>
      <c r="G20" s="129" t="inlineStr">
        <is>
          <t>05.09.2025</t>
        </is>
      </c>
      <c r="H20" s="129" t="inlineStr">
        <is>
          <t>09.09.2025</t>
        </is>
      </c>
      <c r="I20" s="274">
        <f>IFERROR(INDEX('iCoA Register'!$D:$D,MATCH("P050132|I",'iCoA Register'!$P:$P,0)),"")</f>
        <v/>
      </c>
      <c r="J20" s="274">
        <f>IFERROR(INDEX('CoQ Register'!$D:$D,MATCH("P050132|I",'CoQ Register'!$S:$S,0)),"")</f>
        <v/>
      </c>
      <c r="K20" s="130" t="inlineStr">
        <is>
          <t>OPM052501</t>
        </is>
      </c>
      <c r="L20" s="129" t="inlineStr">
        <is>
          <t>P050132</t>
        </is>
      </c>
      <c r="M20" s="129" t="inlineStr">
        <is>
          <t>Orange Punch Mimosa</t>
        </is>
      </c>
      <c r="N20" s="129" t="inlineStr">
        <is>
          <t>11.08.2025 – 13.08.2025</t>
        </is>
      </c>
      <c r="O20" s="129" t="inlineStr">
        <is>
          <t>09.09.2025 – 15.09.2025 (the issuance plan's basis: 05.09.2025)</t>
        </is>
      </c>
      <c r="P20" s="129" t="inlineStr">
        <is>
          <t>15.09.2025</t>
        </is>
      </c>
      <c r="Q20" s="129" t="inlineStr">
        <is>
          <t>Ident A + Ident B + Foreign matter</t>
        </is>
      </c>
      <c r="R20" s="129" t="inlineStr">
        <is>
          <t>Conforms</t>
        </is>
      </c>
      <c r="S20" s="129" t="inlineStr">
        <is>
          <t>Conforms</t>
        </is>
      </c>
      <c r="T20" s="129" t="inlineStr">
        <is>
          <t>Conforms</t>
        </is>
      </c>
      <c r="U20" s="129" t="inlineStr">
        <is>
          <t>ППК25257, (05.09.2025) [CNP]</t>
        </is>
      </c>
      <c r="V20" s="129" t="inlineStr"/>
      <c r="W20" s="129" t="inlineStr"/>
      <c r="X20" s="129" t="inlineStr"/>
      <c r="Y20" s="140" t="inlineStr">
        <is>
          <t>registered — issued with the legacy series on 15.05.2026</t>
        </is>
      </c>
    </row>
    <row r="21">
      <c r="A21" s="129" t="n">
        <v>20</v>
      </c>
      <c r="B21" s="129" t="inlineStr">
        <is>
          <t>initial release</t>
        </is>
      </c>
      <c r="C21" s="130">
        <f>IFERROR(INDEX('iCoA Register'!$B:$B,MATCH("P050152|I",'iCoA Register'!$P:$P,0)),"— at issue —")</f>
        <v/>
      </c>
      <c r="D21" s="130">
        <f>IFERROR(INDEX('CoQ Register'!$B:$B,MATCH("P050152|I",'CoQ Register'!$S:$S,0)),"—")</f>
        <v/>
      </c>
      <c r="E21" s="129" t="inlineStr">
        <is>
          <t>iCoA-PP-2025-0014 / CoQ-PP-2025-0014</t>
        </is>
      </c>
      <c r="F21" s="129" t="inlineStr">
        <is>
          <t>legacy</t>
        </is>
      </c>
      <c r="G21" s="129" t="inlineStr">
        <is>
          <t>25.09.2025</t>
        </is>
      </c>
      <c r="H21" s="129" t="inlineStr">
        <is>
          <t>25.09.2025</t>
        </is>
      </c>
      <c r="I21" s="274">
        <f>IFERROR(INDEX('iCoA Register'!$D:$D,MATCH("P050152|I",'iCoA Register'!$P:$P,0)),"")</f>
        <v/>
      </c>
      <c r="J21" s="274">
        <f>IFERROR(INDEX('CoQ Register'!$D:$D,MATCH("P050152|I",'CoQ Register'!$S:$S,0)),"")</f>
        <v/>
      </c>
      <c r="K21" s="130" t="inlineStr">
        <is>
          <t>GP052501</t>
        </is>
      </c>
      <c r="L21" s="129" t="inlineStr">
        <is>
          <t>P050152</t>
        </is>
      </c>
      <c r="M21" s="129" t="inlineStr">
        <is>
          <t>Grape Pie</t>
        </is>
      </c>
      <c r="N21" s="141" t="inlineStr">
        <is>
          <t>— not given —</t>
        </is>
      </c>
      <c r="O21" s="129" t="inlineStr">
        <is>
          <t>25.09.2025</t>
        </is>
      </c>
      <c r="P21" s="129" t="inlineStr">
        <is>
          <t>25.09.2025</t>
        </is>
      </c>
      <c r="Q21" s="129" t="inlineStr">
        <is>
          <t>Ident A + Ident B + Foreign matter</t>
        </is>
      </c>
      <c r="R21" s="129" t="inlineStr">
        <is>
          <t>Conforms</t>
        </is>
      </c>
      <c r="S21" s="129" t="inlineStr">
        <is>
          <t>Conforms</t>
        </is>
      </c>
      <c r="T21" s="129" t="inlineStr">
        <is>
          <t>Conforms</t>
        </is>
      </c>
      <c r="U21" s="129" t="inlineStr">
        <is>
          <t>ППК25279, (19.09.2025) [CNP]</t>
        </is>
      </c>
      <c r="V21" s="129" t="inlineStr"/>
      <c r="W21" s="129" t="inlineStr"/>
      <c r="X21" s="129" t="inlineStr"/>
      <c r="Y21" s="140" t="inlineStr">
        <is>
          <t>registered — issued with the legacy series on 15.05.2026</t>
        </is>
      </c>
    </row>
    <row r="22">
      <c r="A22" s="129" t="n">
        <v>21</v>
      </c>
      <c r="B22" s="129" t="inlineStr">
        <is>
          <t>initial release</t>
        </is>
      </c>
      <c r="C22" s="130">
        <f>IFERROR(INDEX('iCoA Register'!$B:$B,MATCH("P050142|I",'iCoA Register'!$P:$P,0)),"— at issue —")</f>
        <v/>
      </c>
      <c r="D22" s="130">
        <f>IFERROR(INDEX('CoQ Register'!$B:$B,MATCH("P050142|I",'CoQ Register'!$S:$S,0)),"—")</f>
        <v/>
      </c>
      <c r="E22" s="129" t="inlineStr">
        <is>
          <t>—</t>
        </is>
      </c>
      <c r="F22" s="129" t="inlineStr">
        <is>
          <t>legacy</t>
        </is>
      </c>
      <c r="G22" s="129" t="inlineStr">
        <is>
          <t>30.09.2025</t>
        </is>
      </c>
      <c r="H22" s="129" t="inlineStr">
        <is>
          <t>30.09.2025</t>
        </is>
      </c>
      <c r="I22" s="129" t="inlineStr">
        <is>
          <t>03.06.2026</t>
        </is>
      </c>
      <c r="J22" s="274">
        <f>IFERROR(INDEX('CoQ Register'!$D:$D,MATCH("P050142|I",'CoQ Register'!$S:$S,0)),"")</f>
        <v/>
      </c>
      <c r="K22" s="130" t="inlineStr">
        <is>
          <t>BSS1024_01/2</t>
        </is>
      </c>
      <c r="L22" s="129" t="inlineStr">
        <is>
          <t>P050142</t>
        </is>
      </c>
      <c r="M22" s="129" t="inlineStr">
        <is>
          <t>Blue Sunset Sherbet</t>
        </is>
      </c>
      <c r="N22" s="141" t="inlineStr">
        <is>
          <t>— not given —</t>
        </is>
      </c>
      <c r="O22" s="129" t="inlineStr">
        <is>
          <t>30.09.2025</t>
        </is>
      </c>
      <c r="P22" s="129" t="inlineStr">
        <is>
          <t>30.09.2025</t>
        </is>
      </c>
      <c r="Q22" s="129" t="inlineStr">
        <is>
          <t>Ident A + Ident B + Foreign matter</t>
        </is>
      </c>
      <c r="R22" s="129" t="inlineStr">
        <is>
          <t>Conforms</t>
        </is>
      </c>
      <c r="S22" s="129" t="inlineStr">
        <is>
          <t>Conforms</t>
        </is>
      </c>
      <c r="T22" s="129" t="inlineStr">
        <is>
          <t>Conforms</t>
        </is>
      </c>
      <c r="U22" s="141" t="inlineStr">
        <is>
          <t>— no cannabinoid certificate from the initial testing —</t>
        </is>
      </c>
      <c r="V22" s="129" t="inlineStr"/>
      <c r="W22" s="129" t="inlineStr"/>
      <c r="X22" s="129" t="inlineStr"/>
      <c r="Y22" s="141" t="inlineStr">
        <is>
          <t>not yet issuable — not in icoa_register.py — the register numbers the series and does not carry this round</t>
        </is>
      </c>
    </row>
    <row r="23">
      <c r="A23" s="129" t="n">
        <v>22</v>
      </c>
      <c r="B23" s="129" t="inlineStr">
        <is>
          <t>initial release</t>
        </is>
      </c>
      <c r="C23" s="130">
        <f>IFERROR(INDEX('iCoA Register'!$B:$B,MATCH("P050162|I",'iCoA Register'!$P:$P,0)),"— at issue —")</f>
        <v/>
      </c>
      <c r="D23" s="130">
        <f>IFERROR(INDEX('CoQ Register'!$B:$B,MATCH("P050162|I",'CoQ Register'!$S:$S,0)),"—")</f>
        <v/>
      </c>
      <c r="E23" s="129" t="inlineStr">
        <is>
          <t>iCoA-PP-2025-0015 / CoQ-PP-2025-0015</t>
        </is>
      </c>
      <c r="F23" s="129" t="inlineStr">
        <is>
          <t>legacy</t>
        </is>
      </c>
      <c r="G23" s="129" t="inlineStr">
        <is>
          <t>30.09.2025</t>
        </is>
      </c>
      <c r="H23" s="129" t="inlineStr">
        <is>
          <t>30.09.2025</t>
        </is>
      </c>
      <c r="I23" s="274">
        <f>IFERROR(INDEX('iCoA Register'!$D:$D,MATCH("P050162|I",'iCoA Register'!$P:$P,0)),"")</f>
        <v/>
      </c>
      <c r="J23" s="274">
        <f>IFERROR(INDEX('CoQ Register'!$D:$D,MATCH("P050162|I",'CoQ Register'!$S:$S,0)),"")</f>
        <v/>
      </c>
      <c r="K23" s="130" t="inlineStr">
        <is>
          <t>CJ052501/01</t>
        </is>
      </c>
      <c r="L23" s="129" t="inlineStr">
        <is>
          <t>P050162</t>
        </is>
      </c>
      <c r="M23" s="129" t="inlineStr">
        <is>
          <t>Cup Junky</t>
        </is>
      </c>
      <c r="N23" s="129" t="inlineStr">
        <is>
          <t>20.08.2025</t>
        </is>
      </c>
      <c r="O23" s="129" t="inlineStr">
        <is>
          <t>30.09.2025 – 01.10.2025</t>
        </is>
      </c>
      <c r="P23" s="129" t="inlineStr">
        <is>
          <t>01.10.2025</t>
        </is>
      </c>
      <c r="Q23" s="129" t="inlineStr">
        <is>
          <t>Ident A + Ident B + Foreign matter</t>
        </is>
      </c>
      <c r="R23" s="129" t="inlineStr">
        <is>
          <t>Conforms</t>
        </is>
      </c>
      <c r="S23" s="129" t="inlineStr">
        <is>
          <t>Conforms</t>
        </is>
      </c>
      <c r="T23" s="129" t="inlineStr">
        <is>
          <t>Conforms</t>
        </is>
      </c>
      <c r="U23" s="129" t="inlineStr">
        <is>
          <t>ППК25280, (17.09.2025) [CNP]</t>
        </is>
      </c>
      <c r="V23" s="129" t="inlineStr"/>
      <c r="W23" s="129" t="inlineStr"/>
      <c r="X23" s="129" t="inlineStr"/>
      <c r="Y23" s="140" t="inlineStr">
        <is>
          <t>registered — issued with the legacy series on 15.05.2026</t>
        </is>
      </c>
    </row>
    <row r="24">
      <c r="A24" s="129" t="n">
        <v>23</v>
      </c>
      <c r="B24" s="129" t="inlineStr">
        <is>
          <t>initial release</t>
        </is>
      </c>
      <c r="C24" s="130">
        <f>IFERROR(INDEX('iCoA Register'!$B:$B,MATCH("P050172|I",'iCoA Register'!$P:$P,0)),"— at issue —")</f>
        <v/>
      </c>
      <c r="D24" s="130">
        <f>IFERROR(INDEX('CoQ Register'!$B:$B,MATCH("P050172|I",'CoQ Register'!$S:$S,0)),"—")</f>
        <v/>
      </c>
      <c r="E24" s="129" t="inlineStr">
        <is>
          <t>(assigned on issue)</t>
        </is>
      </c>
      <c r="F24" s="129" t="inlineStr">
        <is>
          <t>legacy</t>
        </is>
      </c>
      <c r="G24" s="129" t="inlineStr">
        <is>
          <t>17.09.2025</t>
        </is>
      </c>
      <c r="H24" s="129" t="inlineStr">
        <is>
          <t>01.10.2025</t>
        </is>
      </c>
      <c r="I24" s="274">
        <f>IFERROR(INDEX('iCoA Register'!$D:$D,MATCH("P050172|I",'iCoA Register'!$P:$P,0)),"")</f>
        <v/>
      </c>
      <c r="J24" s="274">
        <f>IFERROR(INDEX('CoQ Register'!$D:$D,MATCH("P050172|I",'CoQ Register'!$S:$S,0)),"")</f>
        <v/>
      </c>
      <c r="K24" s="130" t="inlineStr">
        <is>
          <t>CJ052501/02</t>
        </is>
      </c>
      <c r="L24" s="129" t="inlineStr">
        <is>
          <t>P050172</t>
        </is>
      </c>
      <c r="M24" s="129" t="inlineStr">
        <is>
          <t>Cap Junky</t>
        </is>
      </c>
      <c r="N24" s="129" t="inlineStr">
        <is>
          <t>20.08.2025</t>
        </is>
      </c>
      <c r="O24" s="129" t="inlineStr">
        <is>
          <t>01.10.2025 – 02.10.2025 (the issuance plan's basis: 17.09.2025)</t>
        </is>
      </c>
      <c r="P24" s="129" t="inlineStr">
        <is>
          <t>02.10.2025</t>
        </is>
      </c>
      <c r="Q24" s="129" t="inlineStr">
        <is>
          <t>Ident A + Ident B + Foreign matter</t>
        </is>
      </c>
      <c r="R24" s="129" t="inlineStr">
        <is>
          <t>Conforms</t>
        </is>
      </c>
      <c r="S24" s="129" t="inlineStr">
        <is>
          <t>Conforms</t>
        </is>
      </c>
      <c r="T24" s="129" t="inlineStr">
        <is>
          <t>Conforms</t>
        </is>
      </c>
      <c r="U24" s="129" t="inlineStr">
        <is>
          <t>ППК25281, (17.09.2025) [CNP]</t>
        </is>
      </c>
      <c r="V24" s="129" t="inlineStr"/>
      <c r="W24" s="129" t="inlineStr"/>
      <c r="X24" s="129" t="inlineStr"/>
      <c r="Y24" s="140" t="inlineStr">
        <is>
          <t>registered — issued with the legacy series on 15.05.2026</t>
        </is>
      </c>
    </row>
    <row r="25">
      <c r="A25" s="129" t="n">
        <v>24</v>
      </c>
      <c r="B25" s="129" t="inlineStr">
        <is>
          <t>initial release</t>
        </is>
      </c>
      <c r="C25" s="130">
        <f>IFERROR(INDEX('iCoA Register'!$B:$B,MATCH("P050182|I",'iCoA Register'!$P:$P,0)),"— at issue —")</f>
        <v/>
      </c>
      <c r="D25" s="130">
        <f>IFERROR(INDEX('CoQ Register'!$B:$B,MATCH("P050182|I",'CoQ Register'!$S:$S,0)),"—")</f>
        <v/>
      </c>
      <c r="E25" s="129" t="inlineStr">
        <is>
          <t>iCoA-PP-2025-0016 / CoQ-PP-2025-0016</t>
        </is>
      </c>
      <c r="F25" s="129" t="inlineStr">
        <is>
          <t>legacy</t>
        </is>
      </c>
      <c r="G25" s="129" t="inlineStr">
        <is>
          <t>03.10.2025</t>
        </is>
      </c>
      <c r="H25" s="129" t="inlineStr">
        <is>
          <t>03.10.2025</t>
        </is>
      </c>
      <c r="I25" s="274">
        <f>IFERROR(INDEX('iCoA Register'!$D:$D,MATCH("P050182|I",'iCoA Register'!$P:$P,0)),"")</f>
        <v/>
      </c>
      <c r="J25" s="274">
        <f>IFERROR(INDEX('CoQ Register'!$D:$D,MATCH("P050182|I",'CoQ Register'!$S:$S,0)),"")</f>
        <v/>
      </c>
      <c r="K25" s="130" t="inlineStr">
        <is>
          <t>HPA052501</t>
        </is>
      </c>
      <c r="L25" s="129" t="inlineStr">
        <is>
          <t>P050182</t>
        </is>
      </c>
      <c r="M25" s="129" t="inlineStr">
        <is>
          <t>High Pro Amnesia</t>
        </is>
      </c>
      <c r="N25" s="129" t="inlineStr">
        <is>
          <t>21.08.2025 – 23.08.2025</t>
        </is>
      </c>
      <c r="O25" s="129" t="inlineStr">
        <is>
          <t>03.10.2025 – 09.10.2025</t>
        </is>
      </c>
      <c r="P25" s="129" t="inlineStr">
        <is>
          <t>09.10.2025</t>
        </is>
      </c>
      <c r="Q25" s="129" t="inlineStr">
        <is>
          <t>Ident A + Ident B + Foreign matter</t>
        </is>
      </c>
      <c r="R25" s="129" t="inlineStr">
        <is>
          <t>Conforms</t>
        </is>
      </c>
      <c r="S25" s="129" t="inlineStr">
        <is>
          <t>Conforms</t>
        </is>
      </c>
      <c r="T25" s="129" t="inlineStr">
        <is>
          <t>Conforms</t>
        </is>
      </c>
      <c r="U25" s="129" t="inlineStr">
        <is>
          <t>ППК25278, (19.09.2025) [CNP]</t>
        </is>
      </c>
      <c r="V25" s="129" t="inlineStr"/>
      <c r="W25" s="129" t="inlineStr"/>
      <c r="X25" s="129" t="inlineStr"/>
      <c r="Y25" s="140" t="inlineStr">
        <is>
          <t>registered — issued with the legacy series on 15.05.2026</t>
        </is>
      </c>
    </row>
    <row r="26">
      <c r="A26" s="129" t="n">
        <v>25</v>
      </c>
      <c r="B26" s="129" t="inlineStr">
        <is>
          <t>initial release</t>
        </is>
      </c>
      <c r="C26" s="130">
        <f>IFERROR(INDEX('iCoA Register'!$B:$B,MATCH("P050192|I",'iCoA Register'!$P:$P,0)),"— at issue —")</f>
        <v/>
      </c>
      <c r="D26" s="130">
        <f>IFERROR(INDEX('CoQ Register'!$B:$B,MATCH("P050192|I",'CoQ Register'!$S:$S,0)),"—")</f>
        <v/>
      </c>
      <c r="E26" s="129" t="inlineStr">
        <is>
          <t>iCoA-PP-2025-0017 / CoQ-PP-2025-0017</t>
        </is>
      </c>
      <c r="F26" s="129" t="inlineStr">
        <is>
          <t>legacy</t>
        </is>
      </c>
      <c r="G26" s="129" t="inlineStr">
        <is>
          <t>10.10.2025</t>
        </is>
      </c>
      <c r="H26" s="129" t="inlineStr">
        <is>
          <t>10.10.2025</t>
        </is>
      </c>
      <c r="I26" s="274">
        <f>IFERROR(INDEX('iCoA Register'!$D:$D,MATCH("P050192|I",'iCoA Register'!$P:$P,0)),"")</f>
        <v/>
      </c>
      <c r="J26" s="274">
        <f>IFERROR(INDEX('CoQ Register'!$D:$D,MATCH("P050192|I",'CoQ Register'!$S:$S,0)),"")</f>
        <v/>
      </c>
      <c r="K26" s="130" t="inlineStr">
        <is>
          <t>BSS052501</t>
        </is>
      </c>
      <c r="L26" s="129" t="inlineStr">
        <is>
          <t>P050192</t>
        </is>
      </c>
      <c r="M26" s="129" t="inlineStr">
        <is>
          <t>Sleepy Joe</t>
        </is>
      </c>
      <c r="N26" s="129" t="inlineStr">
        <is>
          <t>01.09.2025 – 03.09.2025</t>
        </is>
      </c>
      <c r="O26" s="129" t="inlineStr">
        <is>
          <t>10.10.2025 – 21.10.2025</t>
        </is>
      </c>
      <c r="P26" s="129" t="inlineStr">
        <is>
          <t>21.10.2025</t>
        </is>
      </c>
      <c r="Q26" s="129" t="inlineStr">
        <is>
          <t>Ident A + Ident B + Foreign matter</t>
        </is>
      </c>
      <c r="R26" s="129" t="inlineStr">
        <is>
          <t>Conforms</t>
        </is>
      </c>
      <c r="S26" s="129" t="inlineStr">
        <is>
          <t>Conforms</t>
        </is>
      </c>
      <c r="T26" s="129" t="inlineStr">
        <is>
          <t>Conforms</t>
        </is>
      </c>
      <c r="U26" s="129" t="inlineStr">
        <is>
          <t>NGP-QCG-SOP-024 F3, (28.11.2025) [NGP]</t>
        </is>
      </c>
      <c r="V26" s="129" t="inlineStr"/>
      <c r="W26" s="129" t="inlineStr"/>
      <c r="X26" s="129" t="inlineStr"/>
      <c r="Y26" s="140" t="inlineStr">
        <is>
          <t>registered — issued with the legacy series on 15.05.2026</t>
        </is>
      </c>
    </row>
    <row r="27">
      <c r="A27" s="129" t="n">
        <v>26</v>
      </c>
      <c r="B27" s="129" t="inlineStr">
        <is>
          <t>initial release</t>
        </is>
      </c>
      <c r="C27" s="130">
        <f>IFERROR(INDEX('iCoA Register'!$B:$B,MATCH("P050202|I",'iCoA Register'!$P:$P,0)),"— at issue —")</f>
        <v/>
      </c>
      <c r="D27" s="130">
        <f>IFERROR(INDEX('CoQ Register'!$B:$B,MATCH("P050202|I",'CoQ Register'!$S:$S,0)),"—")</f>
        <v/>
      </c>
      <c r="E27" s="129" t="inlineStr">
        <is>
          <t>(assigned on issue)</t>
        </is>
      </c>
      <c r="F27" s="129" t="inlineStr">
        <is>
          <t>legacy</t>
        </is>
      </c>
      <c r="G27" s="129" t="inlineStr">
        <is>
          <t>11.05.2026</t>
        </is>
      </c>
      <c r="H27" s="129" t="inlineStr">
        <is>
          <t>30.10.2025</t>
        </is>
      </c>
      <c r="I27" s="274">
        <f>IFERROR(INDEX('iCoA Register'!$D:$D,MATCH("P050202|I",'iCoA Register'!$P:$P,0)),"")</f>
        <v/>
      </c>
      <c r="J27" s="274">
        <f>IFERROR(INDEX('CoQ Register'!$D:$D,MATCH("P050202|I",'CoQ Register'!$S:$S,0)),"")</f>
        <v/>
      </c>
      <c r="K27" s="130" t="inlineStr">
        <is>
          <t>GP062501</t>
        </is>
      </c>
      <c r="L27" s="129" t="inlineStr">
        <is>
          <t>P050202</t>
        </is>
      </c>
      <c r="M27" s="129" t="inlineStr">
        <is>
          <t>Grape Pie</t>
        </is>
      </c>
      <c r="N27" s="129" t="inlineStr">
        <is>
          <t>15.09.2025 – 17.09.2025</t>
        </is>
      </c>
      <c r="O27" s="129" t="inlineStr">
        <is>
          <t>30.10.2025 – 07.11.2025 (the issuance plan's basis: 11.05.2026)</t>
        </is>
      </c>
      <c r="P27" s="129" t="inlineStr">
        <is>
          <t>07.11.2025</t>
        </is>
      </c>
      <c r="Q27" s="129" t="inlineStr">
        <is>
          <t>Ident A + Ident B + Foreign matter</t>
        </is>
      </c>
      <c r="R27" s="129" t="inlineStr">
        <is>
          <t>Conforms</t>
        </is>
      </c>
      <c r="S27" s="129" t="inlineStr">
        <is>
          <t>Conforms</t>
        </is>
      </c>
      <c r="T27" s="129" t="inlineStr">
        <is>
          <t>Conforms</t>
        </is>
      </c>
      <c r="U27" s="129" t="inlineStr">
        <is>
          <t>NGP-QCG-SOP-024 F3, (28.11.2025) [NGP]</t>
        </is>
      </c>
      <c r="V27" s="129" t="inlineStr"/>
      <c r="W27" s="129" t="inlineStr"/>
      <c r="X27" s="129" t="inlineStr"/>
      <c r="Y27" s="140" t="inlineStr">
        <is>
          <t>registered — issued with the legacy series on 15.05.2026</t>
        </is>
      </c>
    </row>
    <row r="28">
      <c r="A28" s="129" t="n">
        <v>27</v>
      </c>
      <c r="B28" s="129" t="inlineStr">
        <is>
          <t>initial release</t>
        </is>
      </c>
      <c r="C28" s="130">
        <f>IFERROR(INDEX('iCoA Register'!$B:$B,MATCH("P050212|I",'iCoA Register'!$P:$P,0)),"— at issue —")</f>
        <v/>
      </c>
      <c r="D28" s="130">
        <f>IFERROR(INDEX('CoQ Register'!$B:$B,MATCH("P050212|I",'CoQ Register'!$S:$S,0)),"—")</f>
        <v/>
      </c>
      <c r="E28" s="129" t="inlineStr">
        <is>
          <t>(assigned on issue)</t>
        </is>
      </c>
      <c r="F28" s="129" t="inlineStr">
        <is>
          <t>legacy</t>
        </is>
      </c>
      <c r="G28" s="129" t="inlineStr">
        <is>
          <t>24.01.2026</t>
        </is>
      </c>
      <c r="H28" s="129" t="inlineStr">
        <is>
          <t>18.11.2025</t>
        </is>
      </c>
      <c r="I28" s="274">
        <f>IFERROR(INDEX('iCoA Register'!$D:$D,MATCH("P050212|I",'iCoA Register'!$P:$P,0)),"")</f>
        <v/>
      </c>
      <c r="J28" s="274">
        <f>IFERROR(INDEX('CoQ Register'!$D:$D,MATCH("P050212|I",'CoQ Register'!$S:$S,0)),"")</f>
        <v/>
      </c>
      <c r="K28" s="130" t="inlineStr">
        <is>
          <t>CJ062501/2</t>
        </is>
      </c>
      <c r="L28" s="129" t="inlineStr">
        <is>
          <t>P050212</t>
        </is>
      </c>
      <c r="M28" s="129" t="inlineStr">
        <is>
          <t>Cap Junkie</t>
        </is>
      </c>
      <c r="N28" s="129" t="inlineStr">
        <is>
          <t>23.09.2025 – 24.09.2025</t>
        </is>
      </c>
      <c r="O28" s="129" t="inlineStr">
        <is>
          <t>18.11.2025 – 24.11.2025 (the issuance plan's basis: 24.01.2026)</t>
        </is>
      </c>
      <c r="P28" s="129" t="inlineStr">
        <is>
          <t>24.11.2025</t>
        </is>
      </c>
      <c r="Q28" s="129" t="inlineStr">
        <is>
          <t>Ident A + Ident B + Foreign matter</t>
        </is>
      </c>
      <c r="R28" s="129" t="inlineStr">
        <is>
          <t>Conforms</t>
        </is>
      </c>
      <c r="S28" s="129" t="inlineStr">
        <is>
          <t>Conforms</t>
        </is>
      </c>
      <c r="T28" s="129" t="inlineStr">
        <is>
          <t>Conforms</t>
        </is>
      </c>
      <c r="U28" s="129" t="inlineStr">
        <is>
          <t>ППК25322, (23.10.2025) [CNP]</t>
        </is>
      </c>
      <c r="V28" s="129" t="inlineStr"/>
      <c r="W28" s="129" t="inlineStr"/>
      <c r="X28" s="129" t="inlineStr"/>
      <c r="Y28" s="140" t="inlineStr">
        <is>
          <t>registered — issued with the legacy series on 15.05.2026</t>
        </is>
      </c>
    </row>
    <row r="29">
      <c r="A29" s="129" t="n">
        <v>28</v>
      </c>
      <c r="B29" s="129" t="inlineStr">
        <is>
          <t>initial release</t>
        </is>
      </c>
      <c r="C29" s="130">
        <f>IFERROR(INDEX('iCoA Register'!$B:$B,MATCH("P050222|I",'iCoA Register'!$P:$P,0)),"— at issue —")</f>
        <v/>
      </c>
      <c r="D29" s="130">
        <f>IFERROR(INDEX('CoQ Register'!$B:$B,MATCH("P050222|I",'CoQ Register'!$S:$S,0)),"—")</f>
        <v/>
      </c>
      <c r="E29" s="129" t="inlineStr">
        <is>
          <t>iCoA-PP-2025-0018 / CoQ-PP-2025-0018</t>
        </is>
      </c>
      <c r="F29" s="129" t="inlineStr">
        <is>
          <t>legacy</t>
        </is>
      </c>
      <c r="G29" s="129" t="inlineStr">
        <is>
          <t>24.11.2025</t>
        </is>
      </c>
      <c r="H29" s="129" t="inlineStr">
        <is>
          <t>24.11.2025</t>
        </is>
      </c>
      <c r="I29" s="274">
        <f>IFERROR(INDEX('iCoA Register'!$D:$D,MATCH("P050222|I",'iCoA Register'!$P:$P,0)),"")</f>
        <v/>
      </c>
      <c r="J29" s="274">
        <f>IFERROR(INDEX('CoQ Register'!$D:$D,MATCH("P050222|I",'CoQ Register'!$S:$S,0)),"")</f>
        <v/>
      </c>
      <c r="K29" s="130" t="inlineStr">
        <is>
          <t>CJ062501/1</t>
        </is>
      </c>
      <c r="L29" s="129" t="inlineStr">
        <is>
          <t>P050222</t>
        </is>
      </c>
      <c r="M29" s="129" t="inlineStr">
        <is>
          <t>Cap Junkie</t>
        </is>
      </c>
      <c r="N29" s="129" t="inlineStr">
        <is>
          <t>23.09.2025</t>
        </is>
      </c>
      <c r="O29" s="129" t="inlineStr">
        <is>
          <t>24.11.2025 – 25.11.2025</t>
        </is>
      </c>
      <c r="P29" s="129" t="inlineStr">
        <is>
          <t>25.11.2025</t>
        </is>
      </c>
      <c r="Q29" s="129" t="inlineStr">
        <is>
          <t>Ident A + Ident B + Foreign matter</t>
        </is>
      </c>
      <c r="R29" s="129" t="inlineStr">
        <is>
          <t>Conforms</t>
        </is>
      </c>
      <c r="S29" s="129" t="inlineStr">
        <is>
          <t>Conforms</t>
        </is>
      </c>
      <c r="T29" s="129" t="inlineStr">
        <is>
          <t>Conforms</t>
        </is>
      </c>
      <c r="U29" s="129" t="inlineStr">
        <is>
          <t>ППК25321, (23.10.2025) [CNP]</t>
        </is>
      </c>
      <c r="V29" s="129" t="inlineStr"/>
      <c r="W29" s="129" t="inlineStr"/>
      <c r="X29" s="129" t="inlineStr"/>
      <c r="Y29" s="140" t="inlineStr">
        <is>
          <t>registered — issued with the legacy series on 15.05.2026</t>
        </is>
      </c>
    </row>
    <row r="30">
      <c r="A30" s="129" t="n">
        <v>29</v>
      </c>
      <c r="B30" s="129" t="inlineStr">
        <is>
          <t>initial release</t>
        </is>
      </c>
      <c r="C30" s="130">
        <f>IFERROR(INDEX('iCoA Register'!$B:$B,MATCH("P050252|I",'iCoA Register'!$P:$P,0)),"— at issue —")</f>
        <v/>
      </c>
      <c r="D30" s="130">
        <f>IFERROR(INDEX('CoQ Register'!$B:$B,MATCH("P050252|I",'CoQ Register'!$S:$S,0)),"—")</f>
        <v/>
      </c>
      <c r="E30" s="129" t="inlineStr">
        <is>
          <t>(assigned on issue)</t>
        </is>
      </c>
      <c r="F30" s="129" t="inlineStr">
        <is>
          <t>legacy</t>
        </is>
      </c>
      <c r="G30" s="129" t="inlineStr">
        <is>
          <t>02.12.2025</t>
        </is>
      </c>
      <c r="H30" s="129" t="inlineStr">
        <is>
          <t>27.11.2025</t>
        </is>
      </c>
      <c r="I30" s="274">
        <f>IFERROR(INDEX('iCoA Register'!$D:$D,MATCH("P050252|I",'iCoA Register'!$P:$P,0)),"")</f>
        <v/>
      </c>
      <c r="J30" s="274">
        <f>IFERROR(INDEX('CoQ Register'!$D:$D,MATCH("P050252|I",'CoQ Register'!$S:$S,0)),"")</f>
        <v/>
      </c>
      <c r="K30" s="130" t="inlineStr">
        <is>
          <t>CJ072501</t>
        </is>
      </c>
      <c r="L30" s="129" t="inlineStr">
        <is>
          <t>P050252</t>
        </is>
      </c>
      <c r="M30" s="129" t="inlineStr">
        <is>
          <t>Cap Junky</t>
        </is>
      </c>
      <c r="N30" s="129" t="inlineStr">
        <is>
          <t>27.10.2025</t>
        </is>
      </c>
      <c r="O30" s="129" t="inlineStr">
        <is>
          <t>27.11.2025 – 28.11.2025 (the issuance plan's basis: 02.12.2025)</t>
        </is>
      </c>
      <c r="P30" s="129" t="inlineStr">
        <is>
          <t>28.11.2025</t>
        </is>
      </c>
      <c r="Q30" s="129" t="inlineStr">
        <is>
          <t>Ident A + Ident B + Foreign matter</t>
        </is>
      </c>
      <c r="R30" s="129" t="inlineStr">
        <is>
          <t>Conforms</t>
        </is>
      </c>
      <c r="S30" s="129" t="inlineStr">
        <is>
          <t>Conforms</t>
        </is>
      </c>
      <c r="T30" s="129" t="inlineStr">
        <is>
          <t>Conforms</t>
        </is>
      </c>
      <c r="U30" s="129" t="inlineStr">
        <is>
          <t>ППК25367, (28.11.2025) [CNP]</t>
        </is>
      </c>
      <c r="V30" s="129" t="inlineStr"/>
      <c r="W30" s="129" t="inlineStr"/>
      <c r="X30" s="129" t="inlineStr"/>
      <c r="Y30" s="140" t="inlineStr">
        <is>
          <t>registered — issued with the legacy series on 15.05.2026</t>
        </is>
      </c>
    </row>
    <row r="31">
      <c r="A31" s="129" t="n">
        <v>30</v>
      </c>
      <c r="B31" s="129" t="inlineStr">
        <is>
          <t>initial release</t>
        </is>
      </c>
      <c r="C31" s="130">
        <f>IFERROR(INDEX('iCoA Register'!$B:$B,MATCH("P050262|I",'iCoA Register'!$P:$P,0)),"— at issue —")</f>
        <v/>
      </c>
      <c r="D31" s="130">
        <f>IFERROR(INDEX('CoQ Register'!$B:$B,MATCH("P050262|I",'CoQ Register'!$S:$S,0)),"—")</f>
        <v/>
      </c>
      <c r="E31" s="129" t="inlineStr">
        <is>
          <t>(assigned on issue)</t>
        </is>
      </c>
      <c r="F31" s="129" t="inlineStr">
        <is>
          <t>legacy</t>
        </is>
      </c>
      <c r="G31" s="129" t="inlineStr">
        <is>
          <t>02.12.2025</t>
        </is>
      </c>
      <c r="H31" s="129" t="inlineStr">
        <is>
          <t>01.12.2025</t>
        </is>
      </c>
      <c r="I31" s="274">
        <f>IFERROR(INDEX('iCoA Register'!$D:$D,MATCH("P050262|I",'iCoA Register'!$P:$P,0)),"")</f>
        <v/>
      </c>
      <c r="J31" s="274">
        <f>IFERROR(INDEX('CoQ Register'!$D:$D,MATCH("P050262|I",'CoQ Register'!$S:$S,0)),"")</f>
        <v/>
      </c>
      <c r="K31" s="130" t="inlineStr">
        <is>
          <t>WC072501</t>
        </is>
      </c>
      <c r="L31" s="129" t="inlineStr">
        <is>
          <t>P050262</t>
        </is>
      </c>
      <c r="M31" s="129" t="inlineStr">
        <is>
          <t>Wedding Crusher</t>
        </is>
      </c>
      <c r="N31" s="129" t="inlineStr">
        <is>
          <t>27.10.2025 – 28.10.2025</t>
        </is>
      </c>
      <c r="O31" s="129" t="inlineStr">
        <is>
          <t>01.12.2025 (the issuance plan's basis: 02.12.2025)</t>
        </is>
      </c>
      <c r="P31" s="129" t="inlineStr">
        <is>
          <t>01.12.2025</t>
        </is>
      </c>
      <c r="Q31" s="129" t="inlineStr">
        <is>
          <t>Ident A + Ident B + Foreign matter</t>
        </is>
      </c>
      <c r="R31" s="129" t="inlineStr">
        <is>
          <t>Conforms</t>
        </is>
      </c>
      <c r="S31" s="129" t="inlineStr">
        <is>
          <t>Conforms</t>
        </is>
      </c>
      <c r="T31" s="129" t="inlineStr">
        <is>
          <t>Conforms</t>
        </is>
      </c>
      <c r="U31" s="129" t="inlineStr">
        <is>
          <t>ППК25369, (28.11.2025) [CNP]</t>
        </is>
      </c>
      <c r="V31" s="129" t="inlineStr"/>
      <c r="W31" s="129" t="inlineStr"/>
      <c r="X31" s="129" t="inlineStr"/>
      <c r="Y31" s="140" t="inlineStr">
        <is>
          <t>registered — issued with the legacy series on 15.05.2026</t>
        </is>
      </c>
    </row>
    <row r="32">
      <c r="A32" s="129" t="n">
        <v>31</v>
      </c>
      <c r="B32" s="129" t="inlineStr">
        <is>
          <t>initial release</t>
        </is>
      </c>
      <c r="C32" s="130">
        <f>IFERROR(INDEX('iCoA Register'!$B:$B,MATCH("P050272|I",'iCoA Register'!$P:$P,0)),"— at issue —")</f>
        <v/>
      </c>
      <c r="D32" s="130">
        <f>IFERROR(INDEX('CoQ Register'!$B:$B,MATCH("P050272|I",'CoQ Register'!$S:$S,0)),"—")</f>
        <v/>
      </c>
      <c r="E32" s="129" t="inlineStr">
        <is>
          <t>(assigned on issue)</t>
        </is>
      </c>
      <c r="F32" s="129" t="inlineStr">
        <is>
          <t>legacy</t>
        </is>
      </c>
      <c r="G32" s="129" t="inlineStr">
        <is>
          <t>21.01.2026</t>
        </is>
      </c>
      <c r="H32" s="129" t="inlineStr">
        <is>
          <t>02.12.2025</t>
        </is>
      </c>
      <c r="I32" s="274">
        <f>IFERROR(INDEX('iCoA Register'!$D:$D,MATCH("P050272|I",'iCoA Register'!$P:$P,0)),"")</f>
        <v/>
      </c>
      <c r="J32" s="274">
        <f>IFERROR(INDEX('CoQ Register'!$D:$D,MATCH("P050272|I",'CoQ Register'!$S:$S,0)),"")</f>
        <v/>
      </c>
      <c r="K32" s="130" t="inlineStr">
        <is>
          <t>PM072501</t>
        </is>
      </c>
      <c r="L32" s="129" t="inlineStr">
        <is>
          <t>P050272</t>
        </is>
      </c>
      <c r="M32" s="129" t="inlineStr">
        <is>
          <t>Permanent Marker</t>
        </is>
      </c>
      <c r="N32" s="129" t="inlineStr">
        <is>
          <t>27.10.2025</t>
        </is>
      </c>
      <c r="O32" s="129" t="inlineStr">
        <is>
          <t>02.12.2025 – 03.12.2025 (the issuance plan's basis: 21.01.2026)</t>
        </is>
      </c>
      <c r="P32" s="129" t="inlineStr">
        <is>
          <t>03.12.2025</t>
        </is>
      </c>
      <c r="Q32" s="129" t="inlineStr">
        <is>
          <t>Ident A + Ident B + Foreign matter</t>
        </is>
      </c>
      <c r="R32" s="129" t="inlineStr">
        <is>
          <t>Conforms</t>
        </is>
      </c>
      <c r="S32" s="129" t="inlineStr">
        <is>
          <t>Conforms</t>
        </is>
      </c>
      <c r="T32" s="129" t="inlineStr">
        <is>
          <t>Conforms</t>
        </is>
      </c>
      <c r="U32" s="129" t="inlineStr">
        <is>
          <t>ППК25368, (28.11.2025) [CNP]</t>
        </is>
      </c>
      <c r="V32" s="129" t="inlineStr"/>
      <c r="W32" s="129" t="inlineStr"/>
      <c r="X32" s="129" t="inlineStr"/>
      <c r="Y32" s="140" t="inlineStr">
        <is>
          <t>registered — issued with the legacy series on 15.05.2026</t>
        </is>
      </c>
    </row>
    <row r="33">
      <c r="A33" s="129" t="n">
        <v>32</v>
      </c>
      <c r="B33" s="129" t="inlineStr">
        <is>
          <t>initial release</t>
        </is>
      </c>
      <c r="C33" s="130">
        <f>IFERROR(INDEX('iCoA Register'!$B:$B,MATCH("P050282|I",'iCoA Register'!$P:$P,0)),"— at issue —")</f>
        <v/>
      </c>
      <c r="D33" s="130">
        <f>IFERROR(INDEX('CoQ Register'!$B:$B,MATCH("P050282|I",'CoQ Register'!$S:$S,0)),"—")</f>
        <v/>
      </c>
      <c r="E33" s="129" t="inlineStr">
        <is>
          <t>iCoA-PP-2025-0019 / CoQ-PP-2025-0019</t>
        </is>
      </c>
      <c r="F33" s="129" t="inlineStr">
        <is>
          <t>legacy</t>
        </is>
      </c>
      <c r="G33" s="129" t="inlineStr">
        <is>
          <t>03.12.2025</t>
        </is>
      </c>
      <c r="H33" s="129" t="inlineStr">
        <is>
          <t>03.12.2025</t>
        </is>
      </c>
      <c r="I33" s="274">
        <f>IFERROR(INDEX('iCoA Register'!$D:$D,MATCH("P050282|I",'iCoA Register'!$P:$P,0)),"")</f>
        <v/>
      </c>
      <c r="J33" s="274">
        <f>IFERROR(INDEX('CoQ Register'!$D:$D,MATCH("P050282|I",'CoQ Register'!$S:$S,0)),"")</f>
        <v/>
      </c>
      <c r="K33" s="130" t="inlineStr">
        <is>
          <t>CLE072501</t>
        </is>
      </c>
      <c r="L33" s="129" t="inlineStr">
        <is>
          <t>P050282</t>
        </is>
      </c>
      <c r="M33" s="129" t="inlineStr">
        <is>
          <t>Clemosa a bud</t>
        </is>
      </c>
      <c r="N33" s="129" t="inlineStr">
        <is>
          <t>28.10.2025</t>
        </is>
      </c>
      <c r="O33" s="129" t="inlineStr">
        <is>
          <t>03.12.2025 – 04.12.2025</t>
        </is>
      </c>
      <c r="P33" s="129" t="inlineStr">
        <is>
          <t>04.12.2025</t>
        </is>
      </c>
      <c r="Q33" s="129" t="inlineStr">
        <is>
          <t>Ident A + Ident B + Foreign matter</t>
        </is>
      </c>
      <c r="R33" s="129" t="inlineStr">
        <is>
          <t>Conforms</t>
        </is>
      </c>
      <c r="S33" s="129" t="inlineStr">
        <is>
          <t>Conforms</t>
        </is>
      </c>
      <c r="T33" s="129" t="inlineStr">
        <is>
          <t>Conforms</t>
        </is>
      </c>
      <c r="U33" s="129" t="inlineStr">
        <is>
          <t>ППК25370, (28.11.2025) [CNP]</t>
        </is>
      </c>
      <c r="V33" s="129" t="inlineStr"/>
      <c r="W33" s="129" t="inlineStr"/>
      <c r="X33" s="129" t="inlineStr"/>
      <c r="Y33" s="140" t="inlineStr">
        <is>
          <t>registered — issued with the legacy series on 15.05.2026</t>
        </is>
      </c>
    </row>
    <row r="34">
      <c r="A34" s="129" t="n">
        <v>33</v>
      </c>
      <c r="B34" s="129" t="inlineStr">
        <is>
          <t>initial release</t>
        </is>
      </c>
      <c r="C34" s="130">
        <f>IFERROR(INDEX('iCoA Register'!$B:$B,MATCH("P050292|I",'iCoA Register'!$P:$P,0)),"— at issue —")</f>
        <v/>
      </c>
      <c r="D34" s="130">
        <f>IFERROR(INDEX('CoQ Register'!$B:$B,MATCH("P050292|I",'CoQ Register'!$S:$S,0)),"—")</f>
        <v/>
      </c>
      <c r="E34" s="129" t="inlineStr">
        <is>
          <t>(assigned on issue)</t>
        </is>
      </c>
      <c r="F34" s="129" t="inlineStr">
        <is>
          <t>legacy</t>
        </is>
      </c>
      <c r="G34" s="129" t="inlineStr">
        <is>
          <t>21.01.2026</t>
        </is>
      </c>
      <c r="H34" s="129" t="inlineStr">
        <is>
          <t>15.12.2025</t>
        </is>
      </c>
      <c r="I34" s="274">
        <f>IFERROR(INDEX('iCoA Register'!$D:$D,MATCH("P050292|I",'iCoA Register'!$P:$P,0)),"")</f>
        <v/>
      </c>
      <c r="J34" s="274">
        <f>IFERROR(INDEX('CoQ Register'!$D:$D,MATCH("P050292|I",'CoQ Register'!$S:$S,0)),"")</f>
        <v/>
      </c>
      <c r="K34" s="130" t="inlineStr">
        <is>
          <t>GP072501/1</t>
        </is>
      </c>
      <c r="L34" s="129" t="inlineStr">
        <is>
          <t>P050292</t>
        </is>
      </c>
      <c r="M34" s="129" t="inlineStr">
        <is>
          <t>Grape Pie</t>
        </is>
      </c>
      <c r="N34" s="129" t="inlineStr">
        <is>
          <t>11.11.2025 – 13.11.2025</t>
        </is>
      </c>
      <c r="O34" s="129" t="inlineStr">
        <is>
          <t>15.12.2025 – 21.12.2025 (the issuance plan's basis: 21.01.2026)</t>
        </is>
      </c>
      <c r="P34" s="129" t="inlineStr">
        <is>
          <t>21.12.2025</t>
        </is>
      </c>
      <c r="Q34" s="129" t="inlineStr">
        <is>
          <t>Ident A + Ident B + Foreign matter</t>
        </is>
      </c>
      <c r="R34" s="129" t="inlineStr">
        <is>
          <t>Conforms</t>
        </is>
      </c>
      <c r="S34" s="129" t="inlineStr">
        <is>
          <t>Conforms</t>
        </is>
      </c>
      <c r="T34" s="129" t="inlineStr">
        <is>
          <t>Conforms</t>
        </is>
      </c>
      <c r="U34" s="129" t="inlineStr">
        <is>
          <t>ППК25378, (12.12.2025) [CNP]</t>
        </is>
      </c>
      <c r="V34" s="129" t="inlineStr"/>
      <c r="W34" s="129" t="inlineStr"/>
      <c r="X34" s="129" t="inlineStr"/>
      <c r="Y34" s="140" t="inlineStr">
        <is>
          <t>registered — issued with the legacy series on 15.05.2026</t>
        </is>
      </c>
    </row>
    <row r="35">
      <c r="A35" s="129" t="n">
        <v>34</v>
      </c>
      <c r="B35" s="129" t="inlineStr">
        <is>
          <t>initial release</t>
        </is>
      </c>
      <c r="C35" s="130">
        <f>IFERROR(INDEX('iCoA Register'!$B:$B,MATCH("P050302|I",'iCoA Register'!$P:$P,0)),"— at issue —")</f>
        <v/>
      </c>
      <c r="D35" s="130">
        <f>IFERROR(INDEX('CoQ Register'!$B:$B,MATCH("P050302|I",'CoQ Register'!$S:$S,0)),"—")</f>
        <v/>
      </c>
      <c r="E35" s="129" t="inlineStr">
        <is>
          <t>iCoA-PP-2025-0020 / CoQ-PP-2025-0020</t>
        </is>
      </c>
      <c r="F35" s="129" t="inlineStr">
        <is>
          <t>legacy</t>
        </is>
      </c>
      <c r="G35" s="129" t="inlineStr">
        <is>
          <t>22.12.2025</t>
        </is>
      </c>
      <c r="H35" s="129" t="inlineStr">
        <is>
          <t>22.12.2025</t>
        </is>
      </c>
      <c r="I35" s="274">
        <f>IFERROR(INDEX('iCoA Register'!$D:$D,MATCH("P050302|I",'iCoA Register'!$P:$P,0)),"")</f>
        <v/>
      </c>
      <c r="J35" s="274">
        <f>IFERROR(INDEX('CoQ Register'!$D:$D,MATCH("P050302|I",'CoQ Register'!$S:$S,0)),"")</f>
        <v/>
      </c>
      <c r="K35" s="130" t="inlineStr">
        <is>
          <t>GP072501/2</t>
        </is>
      </c>
      <c r="L35" s="129" t="inlineStr">
        <is>
          <t>P050302</t>
        </is>
      </c>
      <c r="M35" s="129" t="inlineStr">
        <is>
          <t>Grape Pie</t>
        </is>
      </c>
      <c r="N35" s="129" t="inlineStr">
        <is>
          <t>13.11.2025</t>
        </is>
      </c>
      <c r="O35" s="129" t="inlineStr">
        <is>
          <t>22.12.2025</t>
        </is>
      </c>
      <c r="P35" s="129" t="inlineStr">
        <is>
          <t>22.12.2025</t>
        </is>
      </c>
      <c r="Q35" s="129" t="inlineStr">
        <is>
          <t>Ident A + Ident B + Foreign matter</t>
        </is>
      </c>
      <c r="R35" s="129" t="inlineStr">
        <is>
          <t>Conforms</t>
        </is>
      </c>
      <c r="S35" s="129" t="inlineStr">
        <is>
          <t>Conforms</t>
        </is>
      </c>
      <c r="T35" s="129" t="inlineStr">
        <is>
          <t>Conforms</t>
        </is>
      </c>
      <c r="U35" s="129" t="inlineStr">
        <is>
          <t>ППК25379, (12.12.2025) [CNP]</t>
        </is>
      </c>
      <c r="V35" s="129" t="inlineStr"/>
      <c r="W35" s="129" t="inlineStr"/>
      <c r="X35" s="129" t="inlineStr"/>
      <c r="Y35" s="140" t="inlineStr">
        <is>
          <t>registered — issued with the legacy series on 15.05.2026</t>
        </is>
      </c>
    </row>
    <row r="36">
      <c r="A36" s="129" t="n">
        <v>35</v>
      </c>
      <c r="B36" s="129" t="inlineStr">
        <is>
          <t>initial release</t>
        </is>
      </c>
      <c r="C36" s="130">
        <f>IFERROR(INDEX('iCoA Register'!$B:$B,MATCH("P050312|I",'iCoA Register'!$P:$P,0)),"— at issue —")</f>
        <v/>
      </c>
      <c r="D36" s="130">
        <f>IFERROR(INDEX('CoQ Register'!$B:$B,MATCH("P050312|I",'CoQ Register'!$S:$S,0)),"—")</f>
        <v/>
      </c>
      <c r="E36" s="129" t="inlineStr">
        <is>
          <t>iCoA-PP-2025-0021 / CoQ-PP-2025-0021</t>
        </is>
      </c>
      <c r="F36" s="129" t="inlineStr">
        <is>
          <t>legacy</t>
        </is>
      </c>
      <c r="G36" s="129" t="inlineStr">
        <is>
          <t>23.12.2025</t>
        </is>
      </c>
      <c r="H36" s="129" t="inlineStr">
        <is>
          <t>23.12.2025</t>
        </is>
      </c>
      <c r="I36" s="274">
        <f>IFERROR(INDEX('iCoA Register'!$D:$D,MATCH("P050312|I",'iCoA Register'!$P:$P,0)),"")</f>
        <v/>
      </c>
      <c r="J36" s="274">
        <f>IFERROR(INDEX('CoQ Register'!$D:$D,MATCH("P050312|I",'CoQ Register'!$S:$S,0)),"")</f>
        <v/>
      </c>
      <c r="K36" s="130" t="inlineStr">
        <is>
          <t>GP082501/1</t>
        </is>
      </c>
      <c r="L36" s="129" t="inlineStr">
        <is>
          <t>P050312</t>
        </is>
      </c>
      <c r="M36" s="129" t="inlineStr">
        <is>
          <t>Grape Pie</t>
        </is>
      </c>
      <c r="N36" s="129" t="inlineStr">
        <is>
          <t>19.11.2025 – 20.11.2025</t>
        </is>
      </c>
      <c r="O36" s="129" t="inlineStr">
        <is>
          <t>23.12.2025 – 26.12.2025</t>
        </is>
      </c>
      <c r="P36" s="129" t="inlineStr">
        <is>
          <t>26.12.2025</t>
        </is>
      </c>
      <c r="Q36" s="129" t="inlineStr">
        <is>
          <t>Ident A + Ident B + Foreign matter</t>
        </is>
      </c>
      <c r="R36" s="129" t="inlineStr">
        <is>
          <t>Conforms</t>
        </is>
      </c>
      <c r="S36" s="129" t="inlineStr">
        <is>
          <t>Conforms</t>
        </is>
      </c>
      <c r="T36" s="129" t="inlineStr">
        <is>
          <t>Conforms</t>
        </is>
      </c>
      <c r="U36" s="129" t="inlineStr">
        <is>
          <t>ППК25380, (12.12.2025) [CNP]</t>
        </is>
      </c>
      <c r="V36" s="129" t="inlineStr"/>
      <c r="W36" s="129" t="inlineStr"/>
      <c r="X36" s="129" t="inlineStr"/>
      <c r="Y36" s="140" t="inlineStr">
        <is>
          <t>registered — issued with the legacy series on 15.05.2026</t>
        </is>
      </c>
    </row>
    <row r="37">
      <c r="A37" s="129" t="n">
        <v>36</v>
      </c>
      <c r="B37" s="129" t="inlineStr">
        <is>
          <t>initial release</t>
        </is>
      </c>
      <c r="C37" s="130">
        <f>IFERROR(INDEX('iCoA Register'!$B:$B,MATCH("P050322|I",'iCoA Register'!$P:$P,0)),"— at issue —")</f>
        <v/>
      </c>
      <c r="D37" s="130">
        <f>IFERROR(INDEX('CoQ Register'!$B:$B,MATCH("P050322|I",'CoQ Register'!$S:$S,0)),"—")</f>
        <v/>
      </c>
      <c r="E37" s="129" t="inlineStr">
        <is>
          <t>iCoA-PP-2025-0022 / CoQ-PP-2025-0022</t>
        </is>
      </c>
      <c r="F37" s="129" t="inlineStr">
        <is>
          <t>legacy</t>
        </is>
      </c>
      <c r="G37" s="129" t="inlineStr">
        <is>
          <t>26.12.2025</t>
        </is>
      </c>
      <c r="H37" s="129" t="inlineStr">
        <is>
          <t>26.12.2025</t>
        </is>
      </c>
      <c r="I37" s="274">
        <f>IFERROR(INDEX('iCoA Register'!$D:$D,MATCH("P050322|I",'iCoA Register'!$P:$P,0)),"")</f>
        <v/>
      </c>
      <c r="J37" s="274">
        <f>IFERROR(INDEX('CoQ Register'!$D:$D,MATCH("P050322|I",'CoQ Register'!$S:$S,0)),"")</f>
        <v/>
      </c>
      <c r="K37" s="130" t="inlineStr">
        <is>
          <t>GP082501/2</t>
        </is>
      </c>
      <c r="L37" s="129" t="inlineStr">
        <is>
          <t>P050322</t>
        </is>
      </c>
      <c r="M37" s="129" t="inlineStr">
        <is>
          <t>Grape Pie</t>
        </is>
      </c>
      <c r="N37" s="129" t="inlineStr">
        <is>
          <t>20.11.2025</t>
        </is>
      </c>
      <c r="O37" s="129" t="inlineStr">
        <is>
          <t>26.12.2025</t>
        </is>
      </c>
      <c r="P37" s="129" t="inlineStr">
        <is>
          <t>26.12.2025</t>
        </is>
      </c>
      <c r="Q37" s="129" t="inlineStr">
        <is>
          <t>Ident A + Ident B + Foreign matter</t>
        </is>
      </c>
      <c r="R37" s="129" t="inlineStr">
        <is>
          <t>Conforms</t>
        </is>
      </c>
      <c r="S37" s="129" t="inlineStr">
        <is>
          <t>Conforms</t>
        </is>
      </c>
      <c r="T37" s="129" t="inlineStr">
        <is>
          <t>Conforms</t>
        </is>
      </c>
      <c r="U37" s="129" t="inlineStr">
        <is>
          <t>ППК25381, (12.12.2025) [CNP]</t>
        </is>
      </c>
      <c r="V37" s="129" t="inlineStr"/>
      <c r="W37" s="129" t="inlineStr"/>
      <c r="X37" s="129" t="inlineStr"/>
      <c r="Y37" s="140" t="inlineStr">
        <is>
          <t>registered — issued with the legacy series on 15.05.2026</t>
        </is>
      </c>
    </row>
    <row r="38">
      <c r="A38" s="129" t="n">
        <v>37</v>
      </c>
      <c r="B38" s="129" t="inlineStr">
        <is>
          <t>initial release</t>
        </is>
      </c>
      <c r="C38" s="130">
        <f>IFERROR(INDEX('iCoA Register'!$B:$B,MATCH("P060012|I",'iCoA Register'!$P:$P,0)),"— at issue —")</f>
        <v/>
      </c>
      <c r="D38" s="130">
        <f>IFERROR(INDEX('CoQ Register'!$B:$B,MATCH("P060012|I",'CoQ Register'!$S:$S,0)),"—")</f>
        <v/>
      </c>
      <c r="E38" s="129" t="inlineStr">
        <is>
          <t>iCoA-PP-2026-0001 / CoQ-PP-2026-0001</t>
        </is>
      </c>
      <c r="F38" s="129" t="inlineStr">
        <is>
          <t>legacy</t>
        </is>
      </c>
      <c r="G38" s="129" t="inlineStr">
        <is>
          <t>13.01.2026</t>
        </is>
      </c>
      <c r="H38" s="129" t="inlineStr">
        <is>
          <t>13.01.2026</t>
        </is>
      </c>
      <c r="I38" s="274">
        <f>IFERROR(INDEX('iCoA Register'!$D:$D,MATCH("P060012|I",'iCoA Register'!$P:$P,0)),"")</f>
        <v/>
      </c>
      <c r="J38" s="274">
        <f>IFERROR(INDEX('CoQ Register'!$D:$D,MATCH("P060012|I",'CoQ Register'!$S:$S,0)),"")</f>
        <v/>
      </c>
      <c r="K38" s="130" t="inlineStr">
        <is>
          <t>WC082501</t>
        </is>
      </c>
      <c r="L38" s="129" t="inlineStr">
        <is>
          <t>P060012</t>
        </is>
      </c>
      <c r="M38" s="129" t="inlineStr">
        <is>
          <t>Wedding Crasher</t>
        </is>
      </c>
      <c r="N38" s="129" t="inlineStr">
        <is>
          <t>09.12.2025</t>
        </is>
      </c>
      <c r="O38" s="129" t="inlineStr">
        <is>
          <t>13.01.2026 – 14.01.2026</t>
        </is>
      </c>
      <c r="P38" s="129" t="inlineStr">
        <is>
          <t>14.01.2026</t>
        </is>
      </c>
      <c r="Q38" s="129" t="inlineStr">
        <is>
          <t>Ident A + Ident B + Foreign matter</t>
        </is>
      </c>
      <c r="R38" s="129" t="inlineStr">
        <is>
          <t>Conforms</t>
        </is>
      </c>
      <c r="S38" s="129" t="inlineStr">
        <is>
          <t>Conforms</t>
        </is>
      </c>
      <c r="T38" s="129" t="inlineStr">
        <is>
          <t>Conforms</t>
        </is>
      </c>
      <c r="U38" s="129" t="inlineStr">
        <is>
          <t>ППК26001, (21.01.2026) [CNP]</t>
        </is>
      </c>
      <c r="V38" s="129" t="inlineStr"/>
      <c r="W38" s="129" t="inlineStr"/>
      <c r="X38" s="129" t="inlineStr"/>
      <c r="Y38" s="140" t="inlineStr">
        <is>
          <t>registered — issued with the legacy series on 15.05.2026</t>
        </is>
      </c>
    </row>
    <row r="39">
      <c r="A39" s="129" t="n">
        <v>38</v>
      </c>
      <c r="B39" s="129" t="inlineStr">
        <is>
          <t>initial release</t>
        </is>
      </c>
      <c r="C39" s="130">
        <f>IFERROR(INDEX('iCoA Register'!$B:$B,MATCH("P060022|I",'iCoA Register'!$P:$P,0)),"— at issue —")</f>
        <v/>
      </c>
      <c r="D39" s="130">
        <f>IFERROR(INDEX('CoQ Register'!$B:$B,MATCH("P060022|I",'CoQ Register'!$S:$S,0)),"—")</f>
        <v/>
      </c>
      <c r="E39" s="129" t="inlineStr">
        <is>
          <t>iCoA-PP-2026-0002 / CoQ-PP-2026-0002</t>
        </is>
      </c>
      <c r="F39" s="129" t="inlineStr">
        <is>
          <t>legacy</t>
        </is>
      </c>
      <c r="G39" s="129" t="inlineStr">
        <is>
          <t>16.01.2026</t>
        </is>
      </c>
      <c r="H39" s="129" t="inlineStr">
        <is>
          <t>16.01.2026</t>
        </is>
      </c>
      <c r="I39" s="274">
        <f>IFERROR(INDEX('iCoA Register'!$D:$D,MATCH("P060022|I",'iCoA Register'!$P:$P,0)),"")</f>
        <v/>
      </c>
      <c r="J39" s="274">
        <f>IFERROR(INDEX('CoQ Register'!$D:$D,MATCH("P060022|I",'CoQ Register'!$S:$S,0)),"")</f>
        <v/>
      </c>
      <c r="K39" s="130" t="inlineStr">
        <is>
          <t>CJ082501/1</t>
        </is>
      </c>
      <c r="L39" s="129" t="inlineStr">
        <is>
          <t>P060022</t>
        </is>
      </c>
      <c r="M39" s="129" t="inlineStr">
        <is>
          <t>Cap Junky</t>
        </is>
      </c>
      <c r="N39" s="129" t="inlineStr">
        <is>
          <t>09.12.2025 – 10.12.2025</t>
        </is>
      </c>
      <c r="O39" s="129" t="inlineStr">
        <is>
          <t>16.01.2026</t>
        </is>
      </c>
      <c r="P39" s="129" t="inlineStr">
        <is>
          <t>16.01.2026</t>
        </is>
      </c>
      <c r="Q39" s="129" t="inlineStr">
        <is>
          <t>Ident A + Ident B + Foreign matter</t>
        </is>
      </c>
      <c r="R39" s="129" t="inlineStr">
        <is>
          <t>Conforms</t>
        </is>
      </c>
      <c r="S39" s="129" t="inlineStr">
        <is>
          <t>Conforms</t>
        </is>
      </c>
      <c r="T39" s="129" t="inlineStr">
        <is>
          <t>Conforms</t>
        </is>
      </c>
      <c r="U39" s="129" t="inlineStr">
        <is>
          <t>ППК26002, (21.01.2026) [CNP]</t>
        </is>
      </c>
      <c r="V39" s="129" t="inlineStr"/>
      <c r="W39" s="129" t="inlineStr"/>
      <c r="X39" s="129" t="inlineStr"/>
      <c r="Y39" s="140" t="inlineStr">
        <is>
          <t>registered — issued with the legacy series on 15.05.2026</t>
        </is>
      </c>
    </row>
    <row r="40">
      <c r="A40" s="129" t="n">
        <v>39</v>
      </c>
      <c r="B40" s="129" t="inlineStr">
        <is>
          <t>initial release</t>
        </is>
      </c>
      <c r="C40" s="130">
        <f>IFERROR(INDEX('iCoA Register'!$B:$B,MATCH("P060032|I",'iCoA Register'!$P:$P,0)),"— at issue —")</f>
        <v/>
      </c>
      <c r="D40" s="130">
        <f>IFERROR(INDEX('CoQ Register'!$B:$B,MATCH("P060032|I",'CoQ Register'!$S:$S,0)),"—")</f>
        <v/>
      </c>
      <c r="E40" s="129" t="inlineStr">
        <is>
          <t>iCoA-PP-2026-0003 / CoQ-PP-2026-0003</t>
        </is>
      </c>
      <c r="F40" s="129" t="inlineStr">
        <is>
          <t>legacy</t>
        </is>
      </c>
      <c r="G40" s="129" t="inlineStr">
        <is>
          <t>29.01.2026</t>
        </is>
      </c>
      <c r="H40" s="129" t="inlineStr">
        <is>
          <t>29.01.2026</t>
        </is>
      </c>
      <c r="I40" s="274">
        <f>IFERROR(INDEX('iCoA Register'!$D:$D,MATCH("P060032|I",'iCoA Register'!$P:$P,0)),"")</f>
        <v/>
      </c>
      <c r="J40" s="274">
        <f>IFERROR(INDEX('CoQ Register'!$D:$D,MATCH("P060032|I",'CoQ Register'!$S:$S,0)),"")</f>
        <v/>
      </c>
      <c r="K40" s="130" t="inlineStr">
        <is>
          <t>CJ082501/2</t>
        </is>
      </c>
      <c r="L40" s="129" t="inlineStr">
        <is>
          <t>P060032</t>
        </is>
      </c>
      <c r="M40" s="129" t="inlineStr">
        <is>
          <t>Cap Junky</t>
        </is>
      </c>
      <c r="N40" s="129" t="inlineStr">
        <is>
          <t>10.12.2025</t>
        </is>
      </c>
      <c r="O40" s="129" t="inlineStr">
        <is>
          <t>29.01.2026</t>
        </is>
      </c>
      <c r="P40" s="129" t="inlineStr">
        <is>
          <t>29.01.2026</t>
        </is>
      </c>
      <c r="Q40" s="129" t="inlineStr">
        <is>
          <t>Ident A + Ident B + Foreign matter</t>
        </is>
      </c>
      <c r="R40" s="129" t="inlineStr">
        <is>
          <t>Conforms</t>
        </is>
      </c>
      <c r="S40" s="129" t="inlineStr">
        <is>
          <t>Conforms</t>
        </is>
      </c>
      <c r="T40" s="129" t="inlineStr">
        <is>
          <t>Conforms</t>
        </is>
      </c>
      <c r="U40" s="129" t="inlineStr">
        <is>
          <t>ППК26003, (21.01.2026) [CNP]</t>
        </is>
      </c>
      <c r="V40" s="129" t="inlineStr"/>
      <c r="W40" s="129" t="inlineStr"/>
      <c r="X40" s="129" t="inlineStr"/>
      <c r="Y40" s="140" t="inlineStr">
        <is>
          <t>registered — issued with the legacy series on 15.05.2026</t>
        </is>
      </c>
    </row>
    <row r="41">
      <c r="A41" s="129" t="n">
        <v>40</v>
      </c>
      <c r="B41" s="129" t="inlineStr">
        <is>
          <t>initial release</t>
        </is>
      </c>
      <c r="C41" s="130">
        <f>IFERROR(INDEX('iCoA Register'!$B:$B,MATCH("P060042|I",'iCoA Register'!$P:$P,0)),"— at issue —")</f>
        <v/>
      </c>
      <c r="D41" s="130">
        <f>IFERROR(INDEX('CoQ Register'!$B:$B,MATCH("P060042|I",'CoQ Register'!$S:$S,0)),"—")</f>
        <v/>
      </c>
      <c r="E41" s="129" t="inlineStr">
        <is>
          <t>iCoA-PP-2026-0004 / CoQ-PP-2026-0004</t>
        </is>
      </c>
      <c r="F41" s="129" t="inlineStr">
        <is>
          <t>legacy</t>
        </is>
      </c>
      <c r="G41" s="129" t="inlineStr">
        <is>
          <t>29.01.2026</t>
        </is>
      </c>
      <c r="H41" s="129" t="inlineStr">
        <is>
          <t>29.01.2026</t>
        </is>
      </c>
      <c r="I41" s="274">
        <f>IFERROR(INDEX('iCoA Register'!$D:$D,MATCH("P060042|I",'iCoA Register'!$P:$P,0)),"")</f>
        <v/>
      </c>
      <c r="J41" s="274">
        <f>IFERROR(INDEX('CoQ Register'!$D:$D,MATCH("P060042|I",'CoQ Register'!$S:$S,0)),"")</f>
        <v/>
      </c>
      <c r="K41" s="130" t="inlineStr">
        <is>
          <t>OPM092501</t>
        </is>
      </c>
      <c r="L41" s="129" t="inlineStr">
        <is>
          <t>P060042</t>
        </is>
      </c>
      <c r="M41" s="129" t="inlineStr">
        <is>
          <t>Orange Punch Mimosa</t>
        </is>
      </c>
      <c r="N41" s="129" t="inlineStr">
        <is>
          <t>12.12.2025</t>
        </is>
      </c>
      <c r="O41" s="129" t="inlineStr">
        <is>
          <t>29.01.2026</t>
        </is>
      </c>
      <c r="P41" s="129" t="inlineStr">
        <is>
          <t>29.01.2026</t>
        </is>
      </c>
      <c r="Q41" s="129" t="inlineStr">
        <is>
          <t>Ident A + Ident B + Foreign matter</t>
        </is>
      </c>
      <c r="R41" s="129" t="inlineStr">
        <is>
          <t>Conforms</t>
        </is>
      </c>
      <c r="S41" s="129" t="inlineStr">
        <is>
          <t>Conforms</t>
        </is>
      </c>
      <c r="T41" s="129" t="inlineStr">
        <is>
          <t>Conforms</t>
        </is>
      </c>
      <c r="U41" s="129" t="inlineStr">
        <is>
          <t>ППК26008, (21.01.2026) [CNP]</t>
        </is>
      </c>
      <c r="V41" s="129" t="inlineStr"/>
      <c r="W41" s="129" t="inlineStr"/>
      <c r="X41" s="129" t="inlineStr"/>
      <c r="Y41" s="140" t="inlineStr">
        <is>
          <t>registered — issued with the legacy series on 15.05.2026</t>
        </is>
      </c>
    </row>
    <row r="42">
      <c r="A42" s="129" t="n">
        <v>41</v>
      </c>
      <c r="B42" s="129" t="inlineStr">
        <is>
          <t>initial release</t>
        </is>
      </c>
      <c r="C42" s="130">
        <f>IFERROR(INDEX('iCoA Register'!$B:$B,MATCH("P060052|I",'iCoA Register'!$P:$P,0)),"— at issue —")</f>
        <v/>
      </c>
      <c r="D42" s="130">
        <f>IFERROR(INDEX('CoQ Register'!$B:$B,MATCH("P060052|I",'CoQ Register'!$S:$S,0)),"—")</f>
        <v/>
      </c>
      <c r="E42" s="129" t="inlineStr">
        <is>
          <t>(assigned on issue)</t>
        </is>
      </c>
      <c r="F42" s="129" t="inlineStr">
        <is>
          <t>legacy</t>
        </is>
      </c>
      <c r="G42" s="129" t="inlineStr">
        <is>
          <t>20.02.2026</t>
        </is>
      </c>
      <c r="H42" s="129" t="inlineStr">
        <is>
          <t>30.01.2026</t>
        </is>
      </c>
      <c r="I42" s="274">
        <f>IFERROR(INDEX('iCoA Register'!$D:$D,MATCH("P060052|I",'iCoA Register'!$P:$P,0)),"")</f>
        <v/>
      </c>
      <c r="J42" s="274">
        <f>IFERROR(INDEX('CoQ Register'!$D:$D,MATCH("P060052|I",'CoQ Register'!$S:$S,0)),"")</f>
        <v/>
      </c>
      <c r="K42" s="130" t="inlineStr">
        <is>
          <t>AB092501</t>
        </is>
      </c>
      <c r="L42" s="129" t="inlineStr">
        <is>
          <t>P060052</t>
        </is>
      </c>
      <c r="M42" s="129" t="inlineStr">
        <is>
          <t>Apple and Banana</t>
        </is>
      </c>
      <c r="N42" s="129" t="inlineStr">
        <is>
          <t>11.12.2025</t>
        </is>
      </c>
      <c r="O42" s="129" t="inlineStr">
        <is>
          <t>30.01.2026 (the issuance plan's basis: 20.02.2026)</t>
        </is>
      </c>
      <c r="P42" s="129" t="inlineStr">
        <is>
          <t>30.01.2026</t>
        </is>
      </c>
      <c r="Q42" s="129" t="inlineStr">
        <is>
          <t>Ident A + Ident B + Foreign matter</t>
        </is>
      </c>
      <c r="R42" s="129" t="inlineStr">
        <is>
          <t>Conforms</t>
        </is>
      </c>
      <c r="S42" s="129" t="inlineStr">
        <is>
          <t>Conforms</t>
        </is>
      </c>
      <c r="T42" s="129" t="inlineStr">
        <is>
          <t>Conforms</t>
        </is>
      </c>
      <c r="U42" s="129" t="inlineStr">
        <is>
          <t>ППК26005, (21.01.2026) [CNP]</t>
        </is>
      </c>
      <c r="V42" s="129" t="inlineStr"/>
      <c r="W42" s="129" t="inlineStr"/>
      <c r="X42" s="129" t="inlineStr"/>
      <c r="Y42" s="140" t="inlineStr">
        <is>
          <t>registered — issued with the legacy series on 15.05.2026</t>
        </is>
      </c>
    </row>
    <row r="43">
      <c r="A43" s="129" t="n">
        <v>42</v>
      </c>
      <c r="B43" s="129" t="inlineStr">
        <is>
          <t>initial release</t>
        </is>
      </c>
      <c r="C43" s="130">
        <f>IFERROR(INDEX('iCoA Register'!$B:$B,MATCH("P060062|I",'iCoA Register'!$P:$P,0)),"— at issue —")</f>
        <v/>
      </c>
      <c r="D43" s="130">
        <f>IFERROR(INDEX('CoQ Register'!$B:$B,MATCH("P060062|I",'CoQ Register'!$S:$S,0)),"—")</f>
        <v/>
      </c>
      <c r="E43" s="129" t="inlineStr">
        <is>
          <t>iCoA-PP-2026-0005 / CoQ-PP-2026-0005</t>
        </is>
      </c>
      <c r="F43" s="129" t="inlineStr">
        <is>
          <t>legacy</t>
        </is>
      </c>
      <c r="G43" s="129" t="inlineStr">
        <is>
          <t>30.01.2026</t>
        </is>
      </c>
      <c r="H43" s="129" t="inlineStr">
        <is>
          <t>30.01.2026</t>
        </is>
      </c>
      <c r="I43" s="274">
        <f>IFERROR(INDEX('iCoA Register'!$D:$D,MATCH("P060062|I",'iCoA Register'!$P:$P,0)),"")</f>
        <v/>
      </c>
      <c r="J43" s="274">
        <f>IFERROR(INDEX('CoQ Register'!$D:$D,MATCH("P060062|I",'CoQ Register'!$S:$S,0)),"")</f>
        <v/>
      </c>
      <c r="K43" s="130" t="inlineStr">
        <is>
          <t>PM092501</t>
        </is>
      </c>
      <c r="L43" s="129" t="inlineStr">
        <is>
          <t>P060062</t>
        </is>
      </c>
      <c r="M43" s="129" t="inlineStr">
        <is>
          <t>Permanent Market</t>
        </is>
      </c>
      <c r="N43" s="129" t="inlineStr">
        <is>
          <t>11.12.2025</t>
        </is>
      </c>
      <c r="O43" s="129" t="inlineStr">
        <is>
          <t>30.01.2026</t>
        </is>
      </c>
      <c r="P43" s="129" t="inlineStr">
        <is>
          <t>30.01.2026</t>
        </is>
      </c>
      <c r="Q43" s="129" t="inlineStr">
        <is>
          <t>Ident A + Ident B + Foreign matter</t>
        </is>
      </c>
      <c r="R43" s="129" t="inlineStr">
        <is>
          <t>Conforms</t>
        </is>
      </c>
      <c r="S43" s="129" t="inlineStr">
        <is>
          <t>Conforms</t>
        </is>
      </c>
      <c r="T43" s="129" t="inlineStr">
        <is>
          <t>Conforms</t>
        </is>
      </c>
      <c r="U43" s="129" t="inlineStr">
        <is>
          <t>ППК26004, (21.01.2026) [CNP]</t>
        </is>
      </c>
      <c r="V43" s="129" t="inlineStr"/>
      <c r="W43" s="129" t="inlineStr"/>
      <c r="X43" s="129" t="inlineStr"/>
      <c r="Y43" s="140" t="inlineStr">
        <is>
          <t>registered — issued with the legacy series on 15.05.2026</t>
        </is>
      </c>
    </row>
    <row r="44">
      <c r="A44" s="129" t="n">
        <v>43</v>
      </c>
      <c r="B44" s="129" t="inlineStr">
        <is>
          <t>initial release</t>
        </is>
      </c>
      <c r="C44" s="130">
        <f>IFERROR(INDEX('iCoA Register'!$B:$B,MATCH("P060072|I",'iCoA Register'!$P:$P,0)),"— at issue —")</f>
        <v/>
      </c>
      <c r="D44" s="130">
        <f>IFERROR(INDEX('CoQ Register'!$B:$B,MATCH("P060072|I",'CoQ Register'!$S:$S,0)),"—")</f>
        <v/>
      </c>
      <c r="E44" s="129" t="inlineStr">
        <is>
          <t>iCoA-PP-2026-0006 / CoQ-PP-2026-0006</t>
        </is>
      </c>
      <c r="F44" s="129" t="inlineStr">
        <is>
          <t>legacy</t>
        </is>
      </c>
      <c r="G44" s="129" t="inlineStr">
        <is>
          <t>02.02.2026</t>
        </is>
      </c>
      <c r="H44" s="129" t="inlineStr">
        <is>
          <t>02.02.2026</t>
        </is>
      </c>
      <c r="I44" s="274">
        <f>IFERROR(INDEX('iCoA Register'!$D:$D,MATCH("P060072|I",'iCoA Register'!$P:$P,0)),"")</f>
        <v/>
      </c>
      <c r="J44" s="274">
        <f>IFERROR(INDEX('CoQ Register'!$D:$D,MATCH("P060072|I",'CoQ Register'!$S:$S,0)),"")</f>
        <v/>
      </c>
      <c r="K44" s="130" t="inlineStr">
        <is>
          <t>CJ092501</t>
        </is>
      </c>
      <c r="L44" s="129" t="inlineStr">
        <is>
          <t>P060072</t>
        </is>
      </c>
      <c r="M44" s="129" t="inlineStr">
        <is>
          <t>Cap Junky</t>
        </is>
      </c>
      <c r="N44" s="129" t="inlineStr">
        <is>
          <t>12.12.2025</t>
        </is>
      </c>
      <c r="O44" s="129" t="inlineStr">
        <is>
          <t>02.02.2026</t>
        </is>
      </c>
      <c r="P44" s="129" t="inlineStr">
        <is>
          <t>02.02.2026</t>
        </is>
      </c>
      <c r="Q44" s="129" t="inlineStr">
        <is>
          <t>Ident A + Ident B + Foreign matter</t>
        </is>
      </c>
      <c r="R44" s="129" t="inlineStr">
        <is>
          <t>Conforms</t>
        </is>
      </c>
      <c r="S44" s="129" t="inlineStr">
        <is>
          <t>Conforms</t>
        </is>
      </c>
      <c r="T44" s="129" t="inlineStr">
        <is>
          <t>Conforms</t>
        </is>
      </c>
      <c r="U44" s="129" t="inlineStr">
        <is>
          <t>ППК26007, (21.01.2026) [CNP]</t>
        </is>
      </c>
      <c r="V44" s="129" t="inlineStr"/>
      <c r="W44" s="129" t="inlineStr"/>
      <c r="X44" s="129" t="inlineStr"/>
      <c r="Y44" s="140" t="inlineStr">
        <is>
          <t>registered — issued with the legacy series on 15.05.2026</t>
        </is>
      </c>
    </row>
    <row r="45">
      <c r="A45" s="129" t="n">
        <v>44</v>
      </c>
      <c r="B45" s="129" t="inlineStr">
        <is>
          <t>initial release</t>
        </is>
      </c>
      <c r="C45" s="130">
        <f>IFERROR(INDEX('iCoA Register'!$B:$B,MATCH("P060082|I",'iCoA Register'!$P:$P,0)),"— at issue —")</f>
        <v/>
      </c>
      <c r="D45" s="130">
        <f>IFERROR(INDEX('CoQ Register'!$B:$B,MATCH("P060082|I",'CoQ Register'!$S:$S,0)),"—")</f>
        <v/>
      </c>
      <c r="E45" s="129" t="inlineStr">
        <is>
          <t>iCoA-PP-2026-0007 / CoQ-PP-2026-0007</t>
        </is>
      </c>
      <c r="F45" s="129" t="inlineStr">
        <is>
          <t>legacy</t>
        </is>
      </c>
      <c r="G45" s="129" t="inlineStr">
        <is>
          <t>02.02.2026</t>
        </is>
      </c>
      <c r="H45" s="129" t="inlineStr">
        <is>
          <t>02.02.2026</t>
        </is>
      </c>
      <c r="I45" s="274">
        <f>IFERROR(INDEX('iCoA Register'!$D:$D,MATCH("P060082|I",'iCoA Register'!$P:$P,0)),"")</f>
        <v/>
      </c>
      <c r="J45" s="274">
        <f>IFERROR(INDEX('CoQ Register'!$D:$D,MATCH("P060082|I",'CoQ Register'!$S:$S,0)),"")</f>
        <v/>
      </c>
      <c r="K45" s="130" t="inlineStr">
        <is>
          <t>SJ0925021</t>
        </is>
      </c>
      <c r="L45" s="129" t="inlineStr">
        <is>
          <t>P060082</t>
        </is>
      </c>
      <c r="M45" s="129" t="inlineStr"/>
      <c r="N45" s="129" t="inlineStr">
        <is>
          <t>11.12.2025 – 12.12.2025</t>
        </is>
      </c>
      <c r="O45" s="129" t="inlineStr">
        <is>
          <t>02.02.2026</t>
        </is>
      </c>
      <c r="P45" s="129" t="inlineStr">
        <is>
          <t>02.02.2026</t>
        </is>
      </c>
      <c r="Q45" s="129" t="inlineStr">
        <is>
          <t>Ident A + Ident B + Foreign matter</t>
        </is>
      </c>
      <c r="R45" s="129" t="inlineStr">
        <is>
          <t>Conforms</t>
        </is>
      </c>
      <c r="S45" s="129" t="inlineStr">
        <is>
          <t>Conforms</t>
        </is>
      </c>
      <c r="T45" s="129" t="inlineStr">
        <is>
          <t>Conforms</t>
        </is>
      </c>
      <c r="U45" s="129" t="inlineStr">
        <is>
          <t>ППК26006, (21.01.2026) [CNP]</t>
        </is>
      </c>
      <c r="V45" s="129" t="inlineStr"/>
      <c r="W45" s="129" t="inlineStr"/>
      <c r="X45" s="129" t="inlineStr"/>
      <c r="Y45" s="140" t="inlineStr">
        <is>
          <t>registered — issued with the legacy series on 15.05.2026</t>
        </is>
      </c>
    </row>
    <row r="46">
      <c r="A46" s="129" t="n">
        <v>45</v>
      </c>
      <c r="B46" s="129" t="inlineStr">
        <is>
          <t>initial release</t>
        </is>
      </c>
      <c r="C46" s="130">
        <f>IFERROR(INDEX('iCoA Register'!$B:$B,MATCH("P060092|I",'iCoA Register'!$P:$P,0)),"— at issue —")</f>
        <v/>
      </c>
      <c r="D46" s="130">
        <f>IFERROR(INDEX('CoQ Register'!$B:$B,MATCH("P060092|I",'CoQ Register'!$S:$S,0)),"—")</f>
        <v/>
      </c>
      <c r="E46" s="129" t="inlineStr">
        <is>
          <t>iCoA-PP-2026-0008 / CoQ-PP-2026-0008</t>
        </is>
      </c>
      <c r="F46" s="129" t="inlineStr">
        <is>
          <t>legacy</t>
        </is>
      </c>
      <c r="G46" s="129" t="inlineStr">
        <is>
          <t>03.02.2026</t>
        </is>
      </c>
      <c r="H46" s="129" t="inlineStr">
        <is>
          <t>03.02.2026</t>
        </is>
      </c>
      <c r="I46" s="274">
        <f>IFERROR(INDEX('iCoA Register'!$D:$D,MATCH("P060092|I",'iCoA Register'!$P:$P,0)),"")</f>
        <v/>
      </c>
      <c r="J46" s="274">
        <f>IFERROR(INDEX('CoQ Register'!$D:$D,MATCH("P060092|I",'CoQ Register'!$S:$S,0)),"")</f>
        <v/>
      </c>
      <c r="K46" s="130" t="inlineStr">
        <is>
          <t>GP092501</t>
        </is>
      </c>
      <c r="L46" s="129" t="inlineStr">
        <is>
          <t>P060092</t>
        </is>
      </c>
      <c r="M46" s="129" t="inlineStr">
        <is>
          <t>Grape Pie</t>
        </is>
      </c>
      <c r="N46" s="129" t="inlineStr">
        <is>
          <t>16.12.2025 – 17.12.2025</t>
        </is>
      </c>
      <c r="O46" s="129" t="inlineStr">
        <is>
          <t>03.02.2026 – 09.02.2026</t>
        </is>
      </c>
      <c r="P46" s="129" t="inlineStr">
        <is>
          <t>09.02.2026</t>
        </is>
      </c>
      <c r="Q46" s="129" t="inlineStr">
        <is>
          <t>Ident A + Ident B + Foreign matter</t>
        </is>
      </c>
      <c r="R46" s="129" t="inlineStr">
        <is>
          <t>Conforms</t>
        </is>
      </c>
      <c r="S46" s="129" t="inlineStr">
        <is>
          <t>Conforms</t>
        </is>
      </c>
      <c r="T46" s="129" t="inlineStr">
        <is>
          <t>Conforms</t>
        </is>
      </c>
      <c r="U46" s="129" t="inlineStr">
        <is>
          <t>ППК26009, (21.01.2026) [CNP]</t>
        </is>
      </c>
      <c r="V46" s="129" t="inlineStr"/>
      <c r="W46" s="129" t="inlineStr"/>
      <c r="X46" s="129" t="inlineStr"/>
      <c r="Y46" s="140" t="inlineStr">
        <is>
          <t>registered — issued with the legacy series on 15.05.2026</t>
        </is>
      </c>
    </row>
    <row r="47">
      <c r="A47" s="129" t="n">
        <v>46</v>
      </c>
      <c r="B47" s="129" t="inlineStr">
        <is>
          <t>initial release</t>
        </is>
      </c>
      <c r="C47" s="130">
        <f>IFERROR(INDEX('iCoA Register'!$B:$B,MATCH("P060102|I",'iCoA Register'!$P:$P,0)),"— at issue —")</f>
        <v/>
      </c>
      <c r="D47" s="130">
        <f>IFERROR(INDEX('CoQ Register'!$B:$B,MATCH("P060102|I",'CoQ Register'!$S:$S,0)),"—")</f>
        <v/>
      </c>
      <c r="E47" s="129" t="inlineStr">
        <is>
          <t>—</t>
        </is>
      </c>
      <c r="F47" s="129" t="inlineStr">
        <is>
          <t>legacy</t>
        </is>
      </c>
      <c r="G47" s="129" t="inlineStr">
        <is>
          <t>16.02.2026</t>
        </is>
      </c>
      <c r="H47" s="129" t="inlineStr">
        <is>
          <t>16.02.2026</t>
        </is>
      </c>
      <c r="I47" s="129" t="inlineStr">
        <is>
          <t>03.06.2026</t>
        </is>
      </c>
      <c r="J47" s="274">
        <f>IFERROR(INDEX('CoQ Register'!$D:$D,MATCH("P060102|I",'CoQ Register'!$S:$S,0)),"")</f>
        <v/>
      </c>
      <c r="K47" s="130" t="inlineStr">
        <is>
          <t>WED102501</t>
        </is>
      </c>
      <c r="L47" s="129" t="inlineStr">
        <is>
          <t>P060102</t>
        </is>
      </c>
      <c r="M47" s="129" t="inlineStr">
        <is>
          <t>Wedding Cake</t>
        </is>
      </c>
      <c r="N47" s="129" t="inlineStr">
        <is>
          <t>08.01.2026</t>
        </is>
      </c>
      <c r="O47" s="129" t="inlineStr">
        <is>
          <t>16.02.2026</t>
        </is>
      </c>
      <c r="P47" s="129" t="inlineStr">
        <is>
          <t>16.02.2026</t>
        </is>
      </c>
      <c r="Q47" s="129" t="inlineStr">
        <is>
          <t>Ident A + Ident B + Foreign matter</t>
        </is>
      </c>
      <c r="R47" s="129" t="inlineStr">
        <is>
          <t>Conforms</t>
        </is>
      </c>
      <c r="S47" s="129" t="inlineStr">
        <is>
          <t>Conforms</t>
        </is>
      </c>
      <c r="T47" s="129" t="inlineStr">
        <is>
          <t>Conforms</t>
        </is>
      </c>
      <c r="U47" s="141" t="inlineStr">
        <is>
          <t>— no cannabinoid certificate from the initial testing —</t>
        </is>
      </c>
      <c r="V47" s="129" t="inlineStr"/>
      <c r="W47" s="129" t="inlineStr"/>
      <c r="X47" s="129" t="inlineStr"/>
      <c r="Y47" s="141" t="inlineStr">
        <is>
          <t>not yet issuable — not in icoa_register.py — the register numbers the series and does not carry this round</t>
        </is>
      </c>
    </row>
    <row r="48">
      <c r="A48" s="129" t="n">
        <v>47</v>
      </c>
      <c r="B48" s="129" t="inlineStr">
        <is>
          <t>initial release</t>
        </is>
      </c>
      <c r="C48" s="130">
        <f>IFERROR(INDEX('iCoA Register'!$B:$B,MATCH("P060142|I",'iCoA Register'!$P:$P,0)),"— at issue —")</f>
        <v/>
      </c>
      <c r="D48" s="130">
        <f>IFERROR(INDEX('CoQ Register'!$B:$B,MATCH("P060142|I",'CoQ Register'!$S:$S,0)),"—")</f>
        <v/>
      </c>
      <c r="E48" s="129" t="inlineStr">
        <is>
          <t>—</t>
        </is>
      </c>
      <c r="F48" s="129" t="inlineStr">
        <is>
          <t>legacy</t>
        </is>
      </c>
      <c r="G48" s="129" t="inlineStr">
        <is>
          <t>23.02.2026</t>
        </is>
      </c>
      <c r="H48" s="129" t="inlineStr">
        <is>
          <t>23.02.2026</t>
        </is>
      </c>
      <c r="I48" s="129" t="inlineStr">
        <is>
          <t>03.06.2026</t>
        </is>
      </c>
      <c r="J48" s="274">
        <f>IFERROR(INDEX('CoQ Register'!$D:$D,MATCH("P060142|I",'CoQ Register'!$S:$S,0)),"")</f>
        <v/>
      </c>
      <c r="K48" s="130" t="inlineStr">
        <is>
          <t>GRC102501</t>
        </is>
      </c>
      <c r="L48" s="129" t="inlineStr">
        <is>
          <t>P060142</t>
        </is>
      </c>
      <c r="M48" s="129" t="inlineStr">
        <is>
          <t>Graps &amp; Creme</t>
        </is>
      </c>
      <c r="N48" s="129" t="inlineStr">
        <is>
          <t>09.01.2026</t>
        </is>
      </c>
      <c r="O48" s="129" t="inlineStr">
        <is>
          <t>23.02.2026</t>
        </is>
      </c>
      <c r="P48" s="129" t="inlineStr">
        <is>
          <t>23.02.2026</t>
        </is>
      </c>
      <c r="Q48" s="129" t="inlineStr">
        <is>
          <t>Ident A + Ident B + Foreign matter</t>
        </is>
      </c>
      <c r="R48" s="129" t="inlineStr">
        <is>
          <t>Conforms</t>
        </is>
      </c>
      <c r="S48" s="129" t="inlineStr">
        <is>
          <t>Conforms</t>
        </is>
      </c>
      <c r="T48" s="129" t="inlineStr">
        <is>
          <t>Conforms</t>
        </is>
      </c>
      <c r="U48" s="129" t="inlineStr">
        <is>
          <t>051-6-K-26, (04.03.2026) [FHM-K]</t>
        </is>
      </c>
      <c r="V48" s="129" t="inlineStr"/>
      <c r="W48" s="129" t="inlineStr"/>
      <c r="X48" s="129" t="inlineStr"/>
      <c r="Y48" s="141" t="inlineStr">
        <is>
          <t>not yet issuable — not in icoa_register.py — the register numbers the series and does not carry this round</t>
        </is>
      </c>
    </row>
    <row r="49">
      <c r="A49" s="129" t="n">
        <v>48</v>
      </c>
      <c r="B49" s="129" t="inlineStr">
        <is>
          <t>initial release</t>
        </is>
      </c>
      <c r="C49" s="130">
        <f>IFERROR(INDEX('iCoA Register'!$B:$B,MATCH("P060152|I",'iCoA Register'!$P:$P,0)),"— at issue —")</f>
        <v/>
      </c>
      <c r="D49" s="130">
        <f>IFERROR(INDEX('CoQ Register'!$B:$B,MATCH("P060152|I",'CoQ Register'!$S:$S,0)),"—")</f>
        <v/>
      </c>
      <c r="E49" s="129" t="inlineStr">
        <is>
          <t>iCoA-PP-2026-0012 / CoQ-PP-2026-0012</t>
        </is>
      </c>
      <c r="F49" s="129" t="inlineStr">
        <is>
          <t>legacy</t>
        </is>
      </c>
      <c r="G49" s="129" t="inlineStr">
        <is>
          <t>05.03.2026</t>
        </is>
      </c>
      <c r="H49" s="129" t="inlineStr">
        <is>
          <t>05.03.2026</t>
        </is>
      </c>
      <c r="I49" s="274">
        <f>IFERROR(INDEX('iCoA Register'!$D:$D,MATCH("P060152|I",'iCoA Register'!$P:$P,0)),"")</f>
        <v/>
      </c>
      <c r="J49" s="274">
        <f>IFERROR(INDEX('CoQ Register'!$D:$D,MATCH("P060152|I",'CoQ Register'!$S:$S,0)),"")</f>
        <v/>
      </c>
      <c r="K49" s="130" t="inlineStr">
        <is>
          <t>J31102501</t>
        </is>
      </c>
      <c r="L49" s="129" t="inlineStr">
        <is>
          <t>P060152</t>
        </is>
      </c>
      <c r="M49" s="129" t="inlineStr">
        <is>
          <t>Jokerz 31</t>
        </is>
      </c>
      <c r="N49" s="129" t="inlineStr">
        <is>
          <t>21.01.2026</t>
        </is>
      </c>
      <c r="O49" s="129" t="inlineStr">
        <is>
          <t>05.03.2026</t>
        </is>
      </c>
      <c r="P49" s="129" t="inlineStr">
        <is>
          <t>05.03.2026</t>
        </is>
      </c>
      <c r="Q49" s="129" t="inlineStr">
        <is>
          <t>Ident A + Ident B + Foreign matter</t>
        </is>
      </c>
      <c r="R49" s="129" t="inlineStr">
        <is>
          <t>Conforms</t>
        </is>
      </c>
      <c r="S49" s="129" t="inlineStr">
        <is>
          <t>Conforms</t>
        </is>
      </c>
      <c r="T49" s="129" t="inlineStr">
        <is>
          <t>Conforms</t>
        </is>
      </c>
      <c r="U49" s="129" t="inlineStr">
        <is>
          <t>051-1-K-26, (04.03.2026) [FHM-K]</t>
        </is>
      </c>
      <c r="V49" s="129" t="inlineStr"/>
      <c r="W49" s="129" t="inlineStr"/>
      <c r="X49" s="129" t="inlineStr"/>
      <c r="Y49" s="140" t="inlineStr">
        <is>
          <t>registered — issued with the legacy series on 15.05.2026</t>
        </is>
      </c>
    </row>
    <row r="50">
      <c r="A50" s="129" t="n">
        <v>49</v>
      </c>
      <c r="B50" s="129" t="inlineStr">
        <is>
          <t>initial release</t>
        </is>
      </c>
      <c r="C50" s="130">
        <f>IFERROR(INDEX('iCoA Register'!$B:$B,MATCH("P060162|I",'iCoA Register'!$P:$P,0)),"— at issue —")</f>
        <v/>
      </c>
      <c r="D50" s="130">
        <f>IFERROR(INDEX('CoQ Register'!$B:$B,MATCH("P060162|I",'CoQ Register'!$S:$S,0)),"—")</f>
        <v/>
      </c>
      <c r="E50" s="129" t="inlineStr">
        <is>
          <t>(assigned on issue)</t>
        </is>
      </c>
      <c r="F50" s="129" t="inlineStr">
        <is>
          <t>legacy</t>
        </is>
      </c>
      <c r="G50" s="129" t="inlineStr">
        <is>
          <t>04.03.2026</t>
        </is>
      </c>
      <c r="H50" s="129" t="inlineStr">
        <is>
          <t>09.03.2026</t>
        </is>
      </c>
      <c r="I50" s="274">
        <f>IFERROR(INDEX('iCoA Register'!$D:$D,MATCH("P060162|I",'iCoA Register'!$P:$P,0)),"")</f>
        <v/>
      </c>
      <c r="J50" s="274">
        <f>IFERROR(INDEX('CoQ Register'!$D:$D,MATCH("P060162|I",'CoQ Register'!$S:$S,0)),"")</f>
        <v/>
      </c>
      <c r="K50" s="130" t="inlineStr">
        <is>
          <t>SJ102501</t>
        </is>
      </c>
      <c r="L50" s="129" t="inlineStr">
        <is>
          <t>P060162</t>
        </is>
      </c>
      <c r="M50" s="129" t="inlineStr">
        <is>
          <t>Sleepy Joe</t>
        </is>
      </c>
      <c r="N50" s="129" t="inlineStr">
        <is>
          <t>20.01.2026</t>
        </is>
      </c>
      <c r="O50" s="129" t="inlineStr">
        <is>
          <t>09.03.2026 (the issuance plan's basis: 04.03.2026)</t>
        </is>
      </c>
      <c r="P50" s="129" t="inlineStr">
        <is>
          <t>09.03.2026</t>
        </is>
      </c>
      <c r="Q50" s="129" t="inlineStr">
        <is>
          <t>Ident A + Ident B + Foreign matter</t>
        </is>
      </c>
      <c r="R50" s="129" t="inlineStr">
        <is>
          <t>Conforms</t>
        </is>
      </c>
      <c r="S50" s="129" t="inlineStr">
        <is>
          <t>Conforms</t>
        </is>
      </c>
      <c r="T50" s="129" t="inlineStr">
        <is>
          <t>Conforms</t>
        </is>
      </c>
      <c r="U50" s="129" t="inlineStr">
        <is>
          <t>051-3-K-26, (04.03.2026) [FHM-K]</t>
        </is>
      </c>
      <c r="V50" s="129" t="inlineStr"/>
      <c r="W50" s="129" t="inlineStr"/>
      <c r="X50" s="129" t="inlineStr"/>
      <c r="Y50" s="140" t="inlineStr">
        <is>
          <t>registered — issued with the legacy series on 15.05.2026</t>
        </is>
      </c>
    </row>
    <row r="51">
      <c r="A51" s="129" t="n">
        <v>50</v>
      </c>
      <c r="B51" s="129" t="inlineStr">
        <is>
          <t>initial release</t>
        </is>
      </c>
      <c r="C51" s="130">
        <f>IFERROR(INDEX('iCoA Register'!$B:$B,MATCH("P060172|I",'iCoA Register'!$P:$P,0)),"— at issue —")</f>
        <v/>
      </c>
      <c r="D51" s="130">
        <f>IFERROR(INDEX('CoQ Register'!$B:$B,MATCH("P060172|I",'CoQ Register'!$S:$S,0)),"—")</f>
        <v/>
      </c>
      <c r="E51" s="129" t="inlineStr">
        <is>
          <t>iCoA-PP-2026-0013 / CoQ-PP-2026-0013</t>
        </is>
      </c>
      <c r="F51" s="129" t="inlineStr">
        <is>
          <t>legacy</t>
        </is>
      </c>
      <c r="G51" s="129" t="inlineStr">
        <is>
          <t>12.03.2026</t>
        </is>
      </c>
      <c r="H51" s="129" t="inlineStr">
        <is>
          <t>12.03.2026</t>
        </is>
      </c>
      <c r="I51" s="274">
        <f>IFERROR(INDEX('iCoA Register'!$D:$D,MATCH("P060172|I",'iCoA Register'!$P:$P,0)),"")</f>
        <v/>
      </c>
      <c r="J51" s="274">
        <f>IFERROR(INDEX('CoQ Register'!$D:$D,MATCH("P060172|I",'CoQ Register'!$S:$S,0)),"")</f>
        <v/>
      </c>
      <c r="K51" s="130" t="inlineStr">
        <is>
          <t>KC102501</t>
        </is>
      </c>
      <c r="L51" s="129" t="inlineStr">
        <is>
          <t>P060172</t>
        </is>
      </c>
      <c r="M51" s="129" t="inlineStr">
        <is>
          <t>Kush Crasher</t>
        </is>
      </c>
      <c r="N51" s="129" t="inlineStr">
        <is>
          <t>20.01.2026 – 21.01.2026</t>
        </is>
      </c>
      <c r="O51" s="129" t="inlineStr">
        <is>
          <t>12.03.2026</t>
        </is>
      </c>
      <c r="P51" s="129" t="inlineStr">
        <is>
          <t>12.03.2026</t>
        </is>
      </c>
      <c r="Q51" s="129" t="inlineStr">
        <is>
          <t>Ident A + Ident B + Foreign matter</t>
        </is>
      </c>
      <c r="R51" s="129" t="inlineStr">
        <is>
          <t>Conforms</t>
        </is>
      </c>
      <c r="S51" s="129" t="inlineStr">
        <is>
          <t>Conforms</t>
        </is>
      </c>
      <c r="T51" s="129" t="inlineStr">
        <is>
          <t>Conforms</t>
        </is>
      </c>
      <c r="U51" s="129" t="inlineStr">
        <is>
          <t>051-4-K-26, (04.03.2026) [FHM-K]</t>
        </is>
      </c>
      <c r="V51" s="129" t="inlineStr"/>
      <c r="W51" s="129" t="inlineStr"/>
      <c r="X51" s="129" t="inlineStr"/>
      <c r="Y51" s="140" t="inlineStr">
        <is>
          <t>registered — issued with the legacy series on 15.05.2026</t>
        </is>
      </c>
    </row>
    <row r="52">
      <c r="A52" s="129" t="n">
        <v>51</v>
      </c>
      <c r="B52" s="129" t="inlineStr">
        <is>
          <t>initial release</t>
        </is>
      </c>
      <c r="C52" s="130">
        <f>IFERROR(INDEX('iCoA Register'!$B:$B,MATCH("P060182|I",'iCoA Register'!$P:$P,0)),"— at issue —")</f>
        <v/>
      </c>
      <c r="D52" s="130">
        <f>IFERROR(INDEX('CoQ Register'!$B:$B,MATCH("P060182|I",'CoQ Register'!$S:$S,0)),"—")</f>
        <v/>
      </c>
      <c r="E52" s="129" t="inlineStr">
        <is>
          <t>iCoA-PP-2026-0014 / CoQ-PP-2026-0014</t>
        </is>
      </c>
      <c r="F52" s="129" t="inlineStr">
        <is>
          <t>legacy</t>
        </is>
      </c>
      <c r="G52" s="129" t="inlineStr">
        <is>
          <t>14.03.2026</t>
        </is>
      </c>
      <c r="H52" s="129" t="inlineStr">
        <is>
          <t>14.03.2026</t>
        </is>
      </c>
      <c r="I52" s="274">
        <f>IFERROR(INDEX('iCoA Register'!$D:$D,MATCH("P060182|I",'iCoA Register'!$P:$P,0)),"")</f>
        <v/>
      </c>
      <c r="J52" s="274">
        <f>IFERROR(INDEX('CoQ Register'!$D:$D,MATCH("P060182|I",'CoQ Register'!$S:$S,0)),"")</f>
        <v/>
      </c>
      <c r="K52" s="130" t="inlineStr">
        <is>
          <t>GRC102501</t>
        </is>
      </c>
      <c r="L52" s="129" t="inlineStr">
        <is>
          <t>P060182</t>
        </is>
      </c>
      <c r="M52" s="129" t="inlineStr">
        <is>
          <t>Graps &amp; Creme</t>
        </is>
      </c>
      <c r="N52" s="129" t="inlineStr">
        <is>
          <t>20.01.2026</t>
        </is>
      </c>
      <c r="O52" s="129" t="inlineStr">
        <is>
          <t>14.03.2026</t>
        </is>
      </c>
      <c r="P52" s="129" t="inlineStr">
        <is>
          <t>14.03.2026</t>
        </is>
      </c>
      <c r="Q52" s="129" t="inlineStr">
        <is>
          <t>Ident A + Ident B + Foreign matter</t>
        </is>
      </c>
      <c r="R52" s="129" t="inlineStr">
        <is>
          <t>Conforms</t>
        </is>
      </c>
      <c r="S52" s="129" t="inlineStr">
        <is>
          <t>Conforms</t>
        </is>
      </c>
      <c r="T52" s="129" t="inlineStr">
        <is>
          <t>Conforms</t>
        </is>
      </c>
      <c r="U52" s="129" t="inlineStr">
        <is>
          <t>051-6-K-26, (04.03.2026) [FHM-K]</t>
        </is>
      </c>
      <c r="V52" s="129" t="inlineStr"/>
      <c r="W52" s="129" t="inlineStr"/>
      <c r="X52" s="129" t="inlineStr"/>
      <c r="Y52" s="140" t="inlineStr">
        <is>
          <t>registered — issued with the legacy series on 15.05.2026</t>
        </is>
      </c>
    </row>
    <row r="53">
      <c r="A53" s="129" t="n">
        <v>52</v>
      </c>
      <c r="B53" s="129" t="inlineStr">
        <is>
          <t>initial release</t>
        </is>
      </c>
      <c r="C53" s="130">
        <f>IFERROR(INDEX('iCoA Register'!$B:$B,MATCH("P060192|I",'iCoA Register'!$P:$P,0)),"— at issue —")</f>
        <v/>
      </c>
      <c r="D53" s="130">
        <f>IFERROR(INDEX('CoQ Register'!$B:$B,MATCH("P060192|I",'CoQ Register'!$S:$S,0)),"—")</f>
        <v/>
      </c>
      <c r="E53" s="129" t="inlineStr">
        <is>
          <t>(assigned on issue)</t>
        </is>
      </c>
      <c r="F53" s="129" t="inlineStr">
        <is>
          <t>legacy</t>
        </is>
      </c>
      <c r="G53" s="129" t="inlineStr">
        <is>
          <t>04.03.2026</t>
        </is>
      </c>
      <c r="H53" s="129" t="inlineStr">
        <is>
          <t>31.03.2026</t>
        </is>
      </c>
      <c r="I53" s="274">
        <f>IFERROR(INDEX('iCoA Register'!$D:$D,MATCH("P060192|I",'iCoA Register'!$P:$P,0)),"")</f>
        <v/>
      </c>
      <c r="J53" s="274">
        <f>IFERROR(INDEX('CoQ Register'!$D:$D,MATCH("P060192|I",'CoQ Register'!$S:$S,0)),"")</f>
        <v/>
      </c>
      <c r="K53" s="130" t="inlineStr">
        <is>
          <t>SJ112501</t>
        </is>
      </c>
      <c r="L53" s="129" t="inlineStr">
        <is>
          <t>P060192</t>
        </is>
      </c>
      <c r="M53" s="129" t="inlineStr">
        <is>
          <t>Sleepy Joy</t>
        </is>
      </c>
      <c r="N53" s="129" t="inlineStr">
        <is>
          <t>26.01.2026 – 27.01.2026</t>
        </is>
      </c>
      <c r="O53" s="129" t="inlineStr">
        <is>
          <t>31.03.2026 (the issuance plan's basis: 04.03.2026)</t>
        </is>
      </c>
      <c r="P53" s="129" t="inlineStr">
        <is>
          <t>31.03.2026</t>
        </is>
      </c>
      <c r="Q53" s="129" t="inlineStr">
        <is>
          <t>Ident A + Ident B + Foreign matter</t>
        </is>
      </c>
      <c r="R53" s="129" t="inlineStr">
        <is>
          <t>Conforms</t>
        </is>
      </c>
      <c r="S53" s="129" t="inlineStr">
        <is>
          <t>Conforms</t>
        </is>
      </c>
      <c r="T53" s="129" t="inlineStr">
        <is>
          <t>Conforms</t>
        </is>
      </c>
      <c r="U53" s="129" t="inlineStr">
        <is>
          <t>051-2-K-26, (04.03.2026) [FHM-K]</t>
        </is>
      </c>
      <c r="V53" s="129" t="inlineStr"/>
      <c r="W53" s="129" t="inlineStr"/>
      <c r="X53" s="129" t="inlineStr"/>
      <c r="Y53" s="140" t="inlineStr">
        <is>
          <t>registered — issued with the legacy series on 15.05.2026</t>
        </is>
      </c>
    </row>
    <row r="54">
      <c r="A54" s="129" t="n">
        <v>53</v>
      </c>
      <c r="B54" s="129" t="inlineStr">
        <is>
          <t>initial release</t>
        </is>
      </c>
      <c r="C54" s="130">
        <f>IFERROR(INDEX('iCoA Register'!$B:$B,MATCH("P060202|I",'iCoA Register'!$P:$P,0)),"— at issue —")</f>
        <v/>
      </c>
      <c r="D54" s="130">
        <f>IFERROR(INDEX('CoQ Register'!$B:$B,MATCH("P060202|I",'CoQ Register'!$S:$S,0)),"—")</f>
        <v/>
      </c>
      <c r="E54" s="129" t="inlineStr">
        <is>
          <t>(assigned on issue)</t>
        </is>
      </c>
      <c r="F54" s="129" t="inlineStr">
        <is>
          <t>legacy</t>
        </is>
      </c>
      <c r="G54" s="129" t="inlineStr">
        <is>
          <t>09.04.2026</t>
        </is>
      </c>
      <c r="H54" s="129" t="inlineStr">
        <is>
          <t>17.04.2026</t>
        </is>
      </c>
      <c r="I54" s="274">
        <f>IFERROR(INDEX('iCoA Register'!$D:$D,MATCH("P060202|I",'iCoA Register'!$P:$P,0)),"")</f>
        <v/>
      </c>
      <c r="J54" s="274">
        <f>IFERROR(INDEX('CoQ Register'!$D:$D,MATCH("P060202|I",'CoQ Register'!$S:$S,0)),"")</f>
        <v/>
      </c>
      <c r="K54" s="130" t="inlineStr">
        <is>
          <t>J31112501</t>
        </is>
      </c>
      <c r="L54" s="129" t="inlineStr">
        <is>
          <t>P060202</t>
        </is>
      </c>
      <c r="M54" s="129" t="inlineStr">
        <is>
          <t>Jokerz 31</t>
        </is>
      </c>
      <c r="N54" s="129" t="inlineStr">
        <is>
          <t>26.01.2026</t>
        </is>
      </c>
      <c r="O54" s="129" t="inlineStr">
        <is>
          <t>17.04.2026 (the issuance plan's basis: 09.04.2026)</t>
        </is>
      </c>
      <c r="P54" s="129" t="inlineStr">
        <is>
          <t>17.04.2026</t>
        </is>
      </c>
      <c r="Q54" s="129" t="inlineStr">
        <is>
          <t>Ident A + Ident B + Foreign matter</t>
        </is>
      </c>
      <c r="R54" s="129" t="inlineStr">
        <is>
          <t>Conforms</t>
        </is>
      </c>
      <c r="S54" s="129" t="inlineStr">
        <is>
          <t>Conforms</t>
        </is>
      </c>
      <c r="T54" s="129" t="inlineStr">
        <is>
          <t>Conforms</t>
        </is>
      </c>
      <c r="U54" s="129" t="inlineStr">
        <is>
          <t>051-5-K-26, (04.03.2026) [FHM-K]</t>
        </is>
      </c>
      <c r="V54" s="129" t="inlineStr"/>
      <c r="W54" s="129" t="inlineStr"/>
      <c r="X54" s="129" t="inlineStr"/>
      <c r="Y54" s="140" t="inlineStr">
        <is>
          <t>registered — issued with the legacy series on 15.05.2026</t>
        </is>
      </c>
    </row>
    <row r="55">
      <c r="A55" s="129" t="n">
        <v>54</v>
      </c>
      <c r="B55" s="129" t="inlineStr">
        <is>
          <t>initial release</t>
        </is>
      </c>
      <c r="C55" s="130">
        <f>IFERROR(INDEX('iCoA Register'!$B:$B,MATCH("P060212|I",'iCoA Register'!$P:$P,0)),"— at issue —")</f>
        <v/>
      </c>
      <c r="D55" s="130">
        <f>IFERROR(INDEX('CoQ Register'!$B:$B,MATCH("P060212|I",'CoQ Register'!$S:$S,0)),"—")</f>
        <v/>
      </c>
      <c r="E55" s="129" t="inlineStr">
        <is>
          <t>iCoA-PP-2026-0015 / CoQ-PP-2026-0015</t>
        </is>
      </c>
      <c r="F55" s="129" t="inlineStr">
        <is>
          <t>legacy</t>
        </is>
      </c>
      <c r="G55" s="129" t="inlineStr">
        <is>
          <t>21.04.2026</t>
        </is>
      </c>
      <c r="H55" s="129" t="inlineStr">
        <is>
          <t>21.04.2026</t>
        </is>
      </c>
      <c r="I55" s="274">
        <f>IFERROR(INDEX('iCoA Register'!$D:$D,MATCH("P060212|I",'iCoA Register'!$P:$P,0)),"")</f>
        <v/>
      </c>
      <c r="J55" s="274">
        <f>IFERROR(INDEX('CoQ Register'!$D:$D,MATCH("P060212|I",'CoQ Register'!$S:$S,0)),"")</f>
        <v/>
      </c>
      <c r="K55" s="130" t="inlineStr">
        <is>
          <t>JD112501</t>
        </is>
      </c>
      <c r="L55" s="129" t="inlineStr">
        <is>
          <t>P060212</t>
        </is>
      </c>
      <c r="M55" s="129" t="inlineStr">
        <is>
          <t>Jelly Donutz</t>
        </is>
      </c>
      <c r="N55" s="129" t="inlineStr">
        <is>
          <t>25.03.2026</t>
        </is>
      </c>
      <c r="O55" s="129" t="inlineStr">
        <is>
          <t>21.04.2026</t>
        </is>
      </c>
      <c r="P55" s="129" t="inlineStr">
        <is>
          <t>21.04.2026</t>
        </is>
      </c>
      <c r="Q55" s="129" t="inlineStr">
        <is>
          <t>Ident A + Ident B + Foreign matter</t>
        </is>
      </c>
      <c r="R55" s="129" t="inlineStr">
        <is>
          <t>Conforms</t>
        </is>
      </c>
      <c r="S55" s="129" t="inlineStr">
        <is>
          <t>Conforms</t>
        </is>
      </c>
      <c r="T55" s="129" t="inlineStr">
        <is>
          <t>Conforms</t>
        </is>
      </c>
      <c r="U55" s="129" t="inlineStr">
        <is>
          <t>ППК26063, (11.05.2026) [CNP]</t>
        </is>
      </c>
      <c r="V55" s="129" t="inlineStr"/>
      <c r="W55" s="129" t="inlineStr"/>
      <c r="X55" s="129" t="inlineStr"/>
      <c r="Y55" s="140" t="inlineStr">
        <is>
          <t>registered — issued with the legacy series on 15.05.2026</t>
        </is>
      </c>
    </row>
    <row r="56">
      <c r="A56" s="129" t="n">
        <v>55</v>
      </c>
      <c r="B56" s="129" t="inlineStr">
        <is>
          <t>initial release</t>
        </is>
      </c>
      <c r="C56" s="130">
        <f>IFERROR(INDEX('iCoA Register'!$B:$B,MATCH("JD112501|I",'iCoA Register'!$P:$P,0)),"— at issue —")</f>
        <v/>
      </c>
      <c r="D56" s="130">
        <f>IFERROR(INDEX('CoQ Register'!$B:$B,MATCH("JD112501|I",'CoQ Register'!$S:$S,0)),"—")</f>
        <v/>
      </c>
      <c r="E56" s="129" t="inlineStr">
        <is>
          <t>iCoA-PP-2026-0015 / CoQ-PP-2026-0015</t>
        </is>
      </c>
      <c r="F56" s="129" t="inlineStr">
        <is>
          <t>—</t>
        </is>
      </c>
      <c r="G56" s="129" t="inlineStr">
        <is>
          <t>21.04.2026</t>
        </is>
      </c>
      <c r="H56" s="129" t="inlineStr">
        <is>
          <t>packaging date — to record</t>
        </is>
      </c>
      <c r="I56" s="129" t="inlineStr">
        <is>
          <t>— packaging date to record —</t>
        </is>
      </c>
      <c r="J56" s="274">
        <f>IFERROR(INDEX('CoQ Register'!$D:$D,MATCH("JD112501|I",'CoQ Register'!$S:$S,0)),"")</f>
        <v/>
      </c>
      <c r="K56" s="130" t="inlineStr">
        <is>
          <t>JD112501＊</t>
        </is>
      </c>
      <c r="L56" s="129" t="inlineStr">
        <is>
          <t>N/A — no P batch assigned</t>
        </is>
      </c>
      <c r="M56" s="129" t="inlineStr">
        <is>
          <t>Jelly Donutz</t>
        </is>
      </c>
      <c r="N56" s="141" t="inlineStr">
        <is>
          <t>— not on the list —</t>
        </is>
      </c>
      <c r="O56" s="141" t="inlineStr">
        <is>
          <t>— not on the list —</t>
        </is>
      </c>
      <c r="P56" s="141" t="inlineStr">
        <is>
          <t>— packaging date to record —</t>
        </is>
      </c>
      <c r="Q56" s="129" t="inlineStr">
        <is>
          <t>Ident A + Ident B + Foreign matter</t>
        </is>
      </c>
      <c r="R56" s="129" t="inlineStr">
        <is>
          <t>Conforms</t>
        </is>
      </c>
      <c r="S56" s="129" t="inlineStr">
        <is>
          <t>Conforms</t>
        </is>
      </c>
      <c r="T56" s="129" t="inlineStr">
        <is>
          <t>Conforms</t>
        </is>
      </c>
      <c r="U56" s="129" t="inlineStr">
        <is>
          <t>ППК26065, (11.05.2026) [CNP]</t>
        </is>
      </c>
      <c r="V56" s="129" t="inlineStr"/>
      <c r="W56" s="129" t="inlineStr"/>
      <c r="X56" s="129" t="inlineStr"/>
      <c r="Y56" s="141" t="inlineStr">
        <is>
          <t>not yet issuable — no packaging date on the list</t>
        </is>
      </c>
    </row>
    <row r="57">
      <c r="A57" s="129" t="n">
        <v>56</v>
      </c>
      <c r="B57" s="129" t="inlineStr">
        <is>
          <t>initial release</t>
        </is>
      </c>
      <c r="C57" s="130">
        <f>IFERROR(INDEX('iCoA Register'!$B:$B,MATCH("P060222|I",'iCoA Register'!$P:$P,0)),"— at issue —")</f>
        <v/>
      </c>
      <c r="D57" s="130">
        <f>IFERROR(INDEX('CoQ Register'!$B:$B,MATCH("P060222|I",'CoQ Register'!$S:$S,0)),"—")</f>
        <v/>
      </c>
      <c r="E57" s="129" t="inlineStr">
        <is>
          <t>(assigned on issue)</t>
        </is>
      </c>
      <c r="F57" s="129" t="inlineStr">
        <is>
          <t>legacy</t>
        </is>
      </c>
      <c r="G57" s="129" t="inlineStr">
        <is>
          <t>05.03.2026</t>
        </is>
      </c>
      <c r="H57" s="129" t="inlineStr">
        <is>
          <t>24.04.2026</t>
        </is>
      </c>
      <c r="I57" s="274">
        <f>IFERROR(INDEX('iCoA Register'!$D:$D,MATCH("P060222|I",'iCoA Register'!$P:$P,0)),"")</f>
        <v/>
      </c>
      <c r="J57" s="274">
        <f>IFERROR(INDEX('CoQ Register'!$D:$D,MATCH("P060222|I",'CoQ Register'!$S:$S,0)),"")</f>
        <v/>
      </c>
      <c r="K57" s="130" t="inlineStr">
        <is>
          <t>OPM112501</t>
        </is>
      </c>
      <c r="L57" s="129" t="inlineStr">
        <is>
          <t>P060222</t>
        </is>
      </c>
      <c r="M57" s="129" t="inlineStr">
        <is>
          <t>Orange Punch Mimosa</t>
        </is>
      </c>
      <c r="N57" s="129" t="inlineStr">
        <is>
          <t>05.02.2026</t>
        </is>
      </c>
      <c r="O57" s="129" t="inlineStr">
        <is>
          <t>24.04.2026 (the issuance plan's basis: 05.03.2026)</t>
        </is>
      </c>
      <c r="P57" s="129" t="inlineStr">
        <is>
          <t>24.04.2026</t>
        </is>
      </c>
      <c r="Q57" s="129" t="inlineStr">
        <is>
          <t>Ident A + Ident B + Foreign matter</t>
        </is>
      </c>
      <c r="R57" s="129" t="inlineStr">
        <is>
          <t>Conforms</t>
        </is>
      </c>
      <c r="S57" s="129" t="inlineStr">
        <is>
          <t>Conforms</t>
        </is>
      </c>
      <c r="T57" s="129" t="inlineStr">
        <is>
          <t>Conforms</t>
        </is>
      </c>
      <c r="U57" s="129" t="inlineStr">
        <is>
          <t>ППК26031, (05.03.2026) [CNP]</t>
        </is>
      </c>
      <c r="V57" s="129" t="inlineStr"/>
      <c r="W57" s="129" t="inlineStr"/>
      <c r="X57" s="129" t="inlineStr"/>
      <c r="Y57" s="140" t="inlineStr">
        <is>
          <t>registered — issued with the legacy series on 15.05.2026</t>
        </is>
      </c>
    </row>
    <row r="58">
      <c r="A58" s="129" t="n">
        <v>57</v>
      </c>
      <c r="B58" s="129" t="inlineStr">
        <is>
          <t>initial release</t>
        </is>
      </c>
      <c r="C58" s="130">
        <f>IFERROR(INDEX('iCoA Register'!$B:$B,MATCH("P060232|I",'iCoA Register'!$P:$P,0)),"— at issue —")</f>
        <v/>
      </c>
      <c r="D58" s="130">
        <f>IFERROR(INDEX('CoQ Register'!$B:$B,MATCH("P060232|I",'CoQ Register'!$S:$S,0)),"—")</f>
        <v/>
      </c>
      <c r="E58" s="129" t="inlineStr">
        <is>
          <t>iCoA-PP-2026-0016 / CoQ-PP-2026-0016</t>
        </is>
      </c>
      <c r="F58" s="129" t="inlineStr">
        <is>
          <t>legacy</t>
        </is>
      </c>
      <c r="G58" s="129" t="inlineStr">
        <is>
          <t>27.04.2026</t>
        </is>
      </c>
      <c r="H58" s="129" t="inlineStr">
        <is>
          <t>27.04.2026</t>
        </is>
      </c>
      <c r="I58" s="274">
        <f>IFERROR(INDEX('iCoA Register'!$D:$D,MATCH("P060232|I",'iCoA Register'!$P:$P,0)),"")</f>
        <v/>
      </c>
      <c r="J58" s="274">
        <f>IFERROR(INDEX('CoQ Register'!$D:$D,MATCH("P060232|I",'CoQ Register'!$S:$S,0)),"")</f>
        <v/>
      </c>
      <c r="K58" s="130" t="inlineStr">
        <is>
          <t>PM112501</t>
        </is>
      </c>
      <c r="L58" s="129" t="inlineStr">
        <is>
          <t>P060232</t>
        </is>
      </c>
      <c r="M58" s="129" t="inlineStr">
        <is>
          <t>Permanent Market</t>
        </is>
      </c>
      <c r="N58" s="129" t="inlineStr">
        <is>
          <t>05.02.2026</t>
        </is>
      </c>
      <c r="O58" s="129" t="inlineStr">
        <is>
          <t>27.04.2026</t>
        </is>
      </c>
      <c r="P58" s="129" t="inlineStr">
        <is>
          <t>27.04.2026</t>
        </is>
      </c>
      <c r="Q58" s="129" t="inlineStr">
        <is>
          <t>Ident A + Ident B + Foreign matter</t>
        </is>
      </c>
      <c r="R58" s="129" t="inlineStr">
        <is>
          <t>Conforms</t>
        </is>
      </c>
      <c r="S58" s="129" t="inlineStr">
        <is>
          <t>Conforms</t>
        </is>
      </c>
      <c r="T58" s="129" t="inlineStr">
        <is>
          <t>Conforms</t>
        </is>
      </c>
      <c r="U58" s="129" t="inlineStr">
        <is>
          <t>ППК26030, (05.03.2026) [CNP]</t>
        </is>
      </c>
      <c r="V58" s="129" t="inlineStr"/>
      <c r="W58" s="129" t="inlineStr"/>
      <c r="X58" s="129" t="inlineStr"/>
      <c r="Y58" s="140" t="inlineStr">
        <is>
          <t>registered — issued with the legacy series on 15.05.2026</t>
        </is>
      </c>
    </row>
    <row r="59">
      <c r="A59" s="129" t="n">
        <v>58</v>
      </c>
      <c r="B59" s="129" t="inlineStr">
        <is>
          <t>initial release</t>
        </is>
      </c>
      <c r="C59" s="130">
        <f>IFERROR(INDEX('iCoA Register'!$B:$B,MATCH("P060242|I",'iCoA Register'!$P:$P,0)),"— at issue —")</f>
        <v/>
      </c>
      <c r="D59" s="130">
        <f>IFERROR(INDEX('CoQ Register'!$B:$B,MATCH("P060242|I",'CoQ Register'!$S:$S,0)),"—")</f>
        <v/>
      </c>
      <c r="E59" s="129" t="inlineStr">
        <is>
          <t>iCoA-PP-2026-0017 / CoQ-PP-2026-0017</t>
        </is>
      </c>
      <c r="F59" s="129" t="inlineStr">
        <is>
          <t>legacy</t>
        </is>
      </c>
      <c r="G59" s="129" t="inlineStr">
        <is>
          <t>28.04.2026</t>
        </is>
      </c>
      <c r="H59" s="129" t="inlineStr">
        <is>
          <t>28.04.2026</t>
        </is>
      </c>
      <c r="I59" s="274">
        <f>IFERROR(INDEX('iCoA Register'!$D:$D,MATCH("P060242|I",'iCoA Register'!$P:$P,0)),"")</f>
        <v/>
      </c>
      <c r="J59" s="274">
        <f>IFERROR(INDEX('CoQ Register'!$D:$D,MATCH("P060242|I",'CoQ Register'!$S:$S,0)),"")</f>
        <v/>
      </c>
      <c r="K59" s="130" t="inlineStr">
        <is>
          <t>OPM122501</t>
        </is>
      </c>
      <c r="L59" s="129" t="inlineStr">
        <is>
          <t>P060242</t>
        </is>
      </c>
      <c r="M59" s="129" t="inlineStr">
        <is>
          <t>Orange Punch Mimosa</t>
        </is>
      </c>
      <c r="N59" s="129" t="inlineStr">
        <is>
          <t>11.03.2026</t>
        </is>
      </c>
      <c r="O59" s="129" t="inlineStr">
        <is>
          <t>28.04.2026</t>
        </is>
      </c>
      <c r="P59" s="129" t="inlineStr">
        <is>
          <t>28.04.2026</t>
        </is>
      </c>
      <c r="Q59" s="129" t="inlineStr">
        <is>
          <t>Ident A + Ident B + Foreign matter</t>
        </is>
      </c>
      <c r="R59" s="129" t="inlineStr">
        <is>
          <t>Conforms</t>
        </is>
      </c>
      <c r="S59" s="129" t="inlineStr">
        <is>
          <t>Conforms</t>
        </is>
      </c>
      <c r="T59" s="129" t="inlineStr">
        <is>
          <t>Conforms</t>
        </is>
      </c>
      <c r="U59" s="129" t="inlineStr">
        <is>
          <t>100-4-K-26, (09.04.2026) [FHM-K]</t>
        </is>
      </c>
      <c r="V59" s="129" t="inlineStr"/>
      <c r="W59" s="129" t="inlineStr"/>
      <c r="X59" s="129" t="inlineStr"/>
      <c r="Y59" s="140" t="inlineStr">
        <is>
          <t>registered — issued with the legacy series on 15.05.2026</t>
        </is>
      </c>
    </row>
    <row r="60">
      <c r="A60" s="129" t="n">
        <v>59</v>
      </c>
      <c r="B60" s="129" t="inlineStr">
        <is>
          <t>initial release</t>
        </is>
      </c>
      <c r="C60" s="130">
        <f>IFERROR(INDEX('iCoA Register'!$B:$B,MATCH("P060252|I",'iCoA Register'!$P:$P,0)),"— at issue —")</f>
        <v/>
      </c>
      <c r="D60" s="130">
        <f>IFERROR(INDEX('CoQ Register'!$B:$B,MATCH("P060252|I",'CoQ Register'!$S:$S,0)),"—")</f>
        <v/>
      </c>
      <c r="E60" s="129" t="inlineStr">
        <is>
          <t>(assigned on issue)</t>
        </is>
      </c>
      <c r="F60" s="129" t="inlineStr">
        <is>
          <t>legacy</t>
        </is>
      </c>
      <c r="G60" s="129" t="inlineStr">
        <is>
          <t>11.05.2026</t>
        </is>
      </c>
      <c r="H60" s="129" t="inlineStr">
        <is>
          <t>05.05.2026</t>
        </is>
      </c>
      <c r="I60" s="274">
        <f>IFERROR(INDEX('iCoA Register'!$D:$D,MATCH("P060252|I",'iCoA Register'!$P:$P,0)),"")</f>
        <v/>
      </c>
      <c r="J60" s="274">
        <f>IFERROR(INDEX('CoQ Register'!$D:$D,MATCH("P060252|I",'CoQ Register'!$S:$S,0)),"")</f>
        <v/>
      </c>
      <c r="K60" s="130" t="inlineStr">
        <is>
          <t>GG112501</t>
        </is>
      </c>
      <c r="L60" s="129" t="inlineStr">
        <is>
          <t>P060252</t>
        </is>
      </c>
      <c r="M60" s="129" t="inlineStr">
        <is>
          <t>Gorilla Glue</t>
        </is>
      </c>
      <c r="N60" s="129" t="inlineStr">
        <is>
          <t>25.03.2026</t>
        </is>
      </c>
      <c r="O60" s="129" t="inlineStr">
        <is>
          <t>05.05.2026 (the issuance plan's basis: 11.05.2026)</t>
        </is>
      </c>
      <c r="P60" s="129" t="inlineStr">
        <is>
          <t>05.05.2026</t>
        </is>
      </c>
      <c r="Q60" s="129" t="inlineStr">
        <is>
          <t>Ident A + Ident B + Foreign matter</t>
        </is>
      </c>
      <c r="R60" s="129" t="inlineStr">
        <is>
          <t>Conforms</t>
        </is>
      </c>
      <c r="S60" s="129" t="inlineStr">
        <is>
          <t>Conforms</t>
        </is>
      </c>
      <c r="T60" s="129" t="inlineStr">
        <is>
          <t>Conforms</t>
        </is>
      </c>
      <c r="U60" s="129" t="inlineStr">
        <is>
          <t>ППК26061, (11.05.2026) [CNP]</t>
        </is>
      </c>
      <c r="V60" s="129" t="inlineStr"/>
      <c r="W60" s="129" t="inlineStr"/>
      <c r="X60" s="129" t="inlineStr"/>
      <c r="Y60" s="140" t="inlineStr">
        <is>
          <t>registered — issued with the legacy series on 15.05.2026</t>
        </is>
      </c>
    </row>
    <row r="61">
      <c r="A61" s="129" t="n">
        <v>60</v>
      </c>
      <c r="B61" s="129" t="inlineStr">
        <is>
          <t>initial release</t>
        </is>
      </c>
      <c r="C61" s="130">
        <f>IFERROR(INDEX('iCoA Register'!$B:$B,MATCH("P060262|I",'iCoA Register'!$P:$P,0)),"— at issue —")</f>
        <v/>
      </c>
      <c r="D61" s="130">
        <f>IFERROR(INDEX('CoQ Register'!$B:$B,MATCH("P060262|I",'CoQ Register'!$S:$S,0)),"—")</f>
        <v/>
      </c>
      <c r="E61" s="129" t="inlineStr">
        <is>
          <t>(assigned on issue)</t>
        </is>
      </c>
      <c r="F61" s="129" t="inlineStr">
        <is>
          <t>post-SOP</t>
        </is>
      </c>
      <c r="G61" s="129" t="inlineStr">
        <is>
          <t>23.04.2026</t>
        </is>
      </c>
      <c r="H61" s="129" t="inlineStr">
        <is>
          <t>14.05.2026</t>
        </is>
      </c>
      <c r="I61" s="274">
        <f>IFERROR(INDEX('iCoA Register'!$D:$D,MATCH("P060262|I",'iCoA Register'!$P:$P,0)),"")</f>
        <v/>
      </c>
      <c r="J61" s="274">
        <f>IFERROR(INDEX('CoQ Register'!$D:$D,MATCH("P060262|I",'CoQ Register'!$S:$S,0)),"")</f>
        <v/>
      </c>
      <c r="K61" s="130" t="inlineStr">
        <is>
          <t>J31122501</t>
        </is>
      </c>
      <c r="L61" s="129" t="inlineStr">
        <is>
          <t>P060262</t>
        </is>
      </c>
      <c r="M61" s="129" t="inlineStr">
        <is>
          <t>Jokerz 31</t>
        </is>
      </c>
      <c r="N61" s="129" t="inlineStr">
        <is>
          <t>04.03.2026</t>
        </is>
      </c>
      <c r="O61" s="129" t="inlineStr">
        <is>
          <t>14.05.2026 (the issuance plan's basis: 23.04.2026)</t>
        </is>
      </c>
      <c r="P61" s="129" t="inlineStr">
        <is>
          <t>14.05.2026</t>
        </is>
      </c>
      <c r="Q61" s="129" t="inlineStr">
        <is>
          <t>Ident A + Ident B + Foreign matter</t>
        </is>
      </c>
      <c r="R61" s="129" t="inlineStr">
        <is>
          <t>Conforms</t>
        </is>
      </c>
      <c r="S61" s="129" t="inlineStr">
        <is>
          <t>Conforms</t>
        </is>
      </c>
      <c r="T61" s="129" t="inlineStr">
        <is>
          <t>Conforms</t>
        </is>
      </c>
      <c r="U61" s="129" t="inlineStr">
        <is>
          <t>100-2-K-26, (09.04.2026) [FHM-K]</t>
        </is>
      </c>
      <c r="V61" s="129" t="inlineStr"/>
      <c r="W61" s="129" t="inlineStr"/>
      <c r="X61" s="129" t="inlineStr"/>
      <c r="Y61" s="140" t="inlineStr">
        <is>
          <t>registered — first working day 5 days after packaging</t>
        </is>
      </c>
    </row>
    <row r="62">
      <c r="A62" s="129" t="n">
        <v>61</v>
      </c>
      <c r="B62" s="129" t="inlineStr">
        <is>
          <t>initial release</t>
        </is>
      </c>
      <c r="C62" s="130">
        <f>IFERROR(INDEX('iCoA Register'!$B:$B,MATCH("P060272|I",'iCoA Register'!$P:$P,0)),"— at issue —")</f>
        <v/>
      </c>
      <c r="D62" s="130">
        <f>IFERROR(INDEX('CoQ Register'!$B:$B,MATCH("P060272|I",'CoQ Register'!$S:$S,0)),"—")</f>
        <v/>
      </c>
      <c r="E62" s="129" t="inlineStr">
        <is>
          <t>(assigned on issue)</t>
        </is>
      </c>
      <c r="F62" s="129" t="inlineStr">
        <is>
          <t>post-SOP</t>
        </is>
      </c>
      <c r="G62" s="129" t="inlineStr">
        <is>
          <t>11.05.2026</t>
        </is>
      </c>
      <c r="H62" s="129" t="inlineStr">
        <is>
          <t>18.05.2026</t>
        </is>
      </c>
      <c r="I62" s="274">
        <f>IFERROR(INDEX('iCoA Register'!$D:$D,MATCH("P060272|I",'iCoA Register'!$P:$P,0)),"")</f>
        <v/>
      </c>
      <c r="J62" s="274">
        <f>IFERROR(INDEX('CoQ Register'!$D:$D,MATCH("P060272|I",'CoQ Register'!$S:$S,0)),"")</f>
        <v/>
      </c>
      <c r="K62" s="130" t="inlineStr">
        <is>
          <t>CC112501</t>
        </is>
      </c>
      <c r="L62" s="129" t="inlineStr">
        <is>
          <t>P060272</t>
        </is>
      </c>
      <c r="M62" s="129" t="inlineStr">
        <is>
          <t>Cash Cow</t>
        </is>
      </c>
      <c r="N62" s="129" t="inlineStr">
        <is>
          <t>25.03.2026</t>
        </is>
      </c>
      <c r="O62" s="129" t="inlineStr">
        <is>
          <t>18.05.2026 (the issuance plan's basis: 11.05.2026)</t>
        </is>
      </c>
      <c r="P62" s="129" t="inlineStr">
        <is>
          <t>18.05.2026</t>
        </is>
      </c>
      <c r="Q62" s="129" t="inlineStr">
        <is>
          <t>Ident A + Ident B + Foreign matter</t>
        </is>
      </c>
      <c r="R62" s="129" t="inlineStr">
        <is>
          <t>Conforms</t>
        </is>
      </c>
      <c r="S62" s="129" t="inlineStr">
        <is>
          <t>Conforms</t>
        </is>
      </c>
      <c r="T62" s="129" t="inlineStr">
        <is>
          <t>Conforms</t>
        </is>
      </c>
      <c r="U62" s="129" t="inlineStr">
        <is>
          <t>ППК26068, (11.05.2026) [CNP]</t>
        </is>
      </c>
      <c r="V62" s="129" t="inlineStr"/>
      <c r="W62" s="129" t="inlineStr"/>
      <c r="X62" s="129" t="inlineStr"/>
      <c r="Y62" s="140" t="inlineStr">
        <is>
          <t>registered — first working day 5 days after packaging</t>
        </is>
      </c>
    </row>
    <row r="63">
      <c r="A63" s="129" t="n">
        <v>62</v>
      </c>
      <c r="B63" s="129" t="inlineStr">
        <is>
          <t>initial release</t>
        </is>
      </c>
      <c r="C63" s="130">
        <f>IFERROR(INDEX('iCoA Register'!$B:$B,MATCH("P060282|I",'iCoA Register'!$P:$P,0)),"— at issue —")</f>
        <v/>
      </c>
      <c r="D63" s="130">
        <f>IFERROR(INDEX('CoQ Register'!$B:$B,MATCH("P060282|I",'CoQ Register'!$S:$S,0)),"—")</f>
        <v/>
      </c>
      <c r="E63" s="129" t="inlineStr">
        <is>
          <t>iCoA-PP-2026-0018 / CoQ-PP-2026-0018</t>
        </is>
      </c>
      <c r="F63" s="129" t="inlineStr">
        <is>
          <t>post-SOP</t>
        </is>
      </c>
      <c r="G63" s="129" t="inlineStr">
        <is>
          <t>18.05.2026</t>
        </is>
      </c>
      <c r="H63" s="129" t="inlineStr">
        <is>
          <t>18.05.2026</t>
        </is>
      </c>
      <c r="I63" s="274">
        <f>IFERROR(INDEX('iCoA Register'!$D:$D,MATCH("P060282|I",'iCoA Register'!$P:$P,0)),"")</f>
        <v/>
      </c>
      <c r="J63" s="274">
        <f>IFERROR(INDEX('CoQ Register'!$D:$D,MATCH("P060282|I",'CoQ Register'!$S:$S,0)),"")</f>
        <v/>
      </c>
      <c r="K63" s="130" t="inlineStr">
        <is>
          <t>SCR112501</t>
        </is>
      </c>
      <c r="L63" s="129" t="inlineStr">
        <is>
          <t>P060282</t>
        </is>
      </c>
      <c r="M63" s="129" t="inlineStr">
        <is>
          <t>Scrambler</t>
        </is>
      </c>
      <c r="N63" s="129" t="inlineStr">
        <is>
          <t>25.03.2026</t>
        </is>
      </c>
      <c r="O63" s="129" t="inlineStr">
        <is>
          <t>18.05.2026</t>
        </is>
      </c>
      <c r="P63" s="129" t="inlineStr">
        <is>
          <t>18.05.2026</t>
        </is>
      </c>
      <c r="Q63" s="129" t="inlineStr">
        <is>
          <t>Ident A + Ident B + Foreign matter</t>
        </is>
      </c>
      <c r="R63" s="129" t="inlineStr">
        <is>
          <t>Conforms</t>
        </is>
      </c>
      <c r="S63" s="129" t="inlineStr">
        <is>
          <t>Conforms</t>
        </is>
      </c>
      <c r="T63" s="129" t="inlineStr">
        <is>
          <t>Conforms</t>
        </is>
      </c>
      <c r="U63" s="129" t="inlineStr">
        <is>
          <t>ППК26069, (11.05.2026) [CNP]</t>
        </is>
      </c>
      <c r="V63" s="129" t="inlineStr"/>
      <c r="W63" s="129" t="inlineStr"/>
      <c r="X63" s="129" t="inlineStr"/>
      <c r="Y63" s="140" t="inlineStr">
        <is>
          <t>registered — first working day 5 days after packaging</t>
        </is>
      </c>
    </row>
    <row r="64">
      <c r="A64" s="129" t="n">
        <v>63</v>
      </c>
      <c r="B64" s="129" t="inlineStr">
        <is>
          <t>initial release</t>
        </is>
      </c>
      <c r="C64" s="130">
        <f>IFERROR(INDEX('iCoA Register'!$B:$B,MATCH("P060292|I",'iCoA Register'!$P:$P,0)),"— at issue —")</f>
        <v/>
      </c>
      <c r="D64" s="130">
        <f>IFERROR(INDEX('CoQ Register'!$B:$B,MATCH("P060292|I",'CoQ Register'!$S:$S,0)),"—")</f>
        <v/>
      </c>
      <c r="E64" s="129" t="inlineStr">
        <is>
          <t>(assigned on issue)</t>
        </is>
      </c>
      <c r="F64" s="129" t="inlineStr">
        <is>
          <t>post-SOP</t>
        </is>
      </c>
      <c r="G64" s="129" t="inlineStr">
        <is>
          <t>11.05.2026</t>
        </is>
      </c>
      <c r="H64" s="129" t="inlineStr">
        <is>
          <t>19.05.2026</t>
        </is>
      </c>
      <c r="I64" s="274">
        <f>IFERROR(INDEX('iCoA Register'!$D:$D,MATCH("P060292|I",'iCoA Register'!$P:$P,0)),"")</f>
        <v/>
      </c>
      <c r="J64" s="274">
        <f>IFERROR(INDEX('CoQ Register'!$D:$D,MATCH("P060292|I",'CoQ Register'!$S:$S,0)),"")</f>
        <v/>
      </c>
      <c r="K64" s="130" t="inlineStr">
        <is>
          <t>FB112501</t>
        </is>
      </c>
      <c r="L64" s="129" t="inlineStr">
        <is>
          <t>P060292</t>
        </is>
      </c>
      <c r="M64" s="129" t="inlineStr">
        <is>
          <t>Fat Bastard</t>
        </is>
      </c>
      <c r="N64" s="129" t="inlineStr">
        <is>
          <t>25.03.2026</t>
        </is>
      </c>
      <c r="O64" s="129" t="inlineStr">
        <is>
          <t>19.05.2026 (the issuance plan's basis: 11.05.2026)</t>
        </is>
      </c>
      <c r="P64" s="129" t="inlineStr">
        <is>
          <t>19.05.2026</t>
        </is>
      </c>
      <c r="Q64" s="129" t="inlineStr">
        <is>
          <t>Ident A + Ident B + Foreign matter</t>
        </is>
      </c>
      <c r="R64" s="129" t="inlineStr">
        <is>
          <t>Conforms</t>
        </is>
      </c>
      <c r="S64" s="129" t="inlineStr">
        <is>
          <t>Conforms</t>
        </is>
      </c>
      <c r="T64" s="129" t="inlineStr">
        <is>
          <t>Conforms</t>
        </is>
      </c>
      <c r="U64" s="129" t="inlineStr">
        <is>
          <t>ППК26066, (11.05.2026) [CNP]</t>
        </is>
      </c>
      <c r="V64" s="129" t="inlineStr"/>
      <c r="W64" s="129" t="inlineStr"/>
      <c r="X64" s="129" t="inlineStr"/>
      <c r="Y64" s="140" t="inlineStr">
        <is>
          <t>registered — first working day 5 days after packaging</t>
        </is>
      </c>
    </row>
    <row r="65">
      <c r="A65" s="129" t="n">
        <v>64</v>
      </c>
      <c r="B65" s="129" t="inlineStr">
        <is>
          <t>initial release</t>
        </is>
      </c>
      <c r="C65" s="130">
        <f>IFERROR(INDEX('iCoA Register'!$B:$B,MATCH("P060302|I",'iCoA Register'!$P:$P,0)),"— at issue —")</f>
        <v/>
      </c>
      <c r="D65" s="130">
        <f>IFERROR(INDEX('CoQ Register'!$B:$B,MATCH("P060302|I",'CoQ Register'!$S:$S,0)),"—")</f>
        <v/>
      </c>
      <c r="E65" s="129" t="inlineStr">
        <is>
          <t>(assigned on issue)</t>
        </is>
      </c>
      <c r="F65" s="129" t="inlineStr">
        <is>
          <t>post-SOP</t>
        </is>
      </c>
      <c r="G65" s="129" t="inlineStr">
        <is>
          <t>11.05.2026</t>
        </is>
      </c>
      <c r="H65" s="129" t="inlineStr">
        <is>
          <t>20.05.2026</t>
        </is>
      </c>
      <c r="I65" s="129" t="inlineStr">
        <is>
          <t>25.05.2026</t>
        </is>
      </c>
      <c r="J65" s="274">
        <f>IFERROR(INDEX('CoQ Register'!$D:$D,MATCH("P060302|I",'CoQ Register'!$S:$S,0)),"")</f>
        <v/>
      </c>
      <c r="K65" s="130" t="inlineStr">
        <is>
          <t>GG012601＊</t>
        </is>
      </c>
      <c r="L65" s="129" t="inlineStr">
        <is>
          <t>P060302</t>
        </is>
      </c>
      <c r="M65" s="129" t="inlineStr">
        <is>
          <t>Gorilla Glue</t>
        </is>
      </c>
      <c r="N65" s="129" t="inlineStr">
        <is>
          <t>27.03.2026</t>
        </is>
      </c>
      <c r="O65" s="129" t="inlineStr">
        <is>
          <t>20.05.2026 (the issuance plan's basis: 11.05.2026)</t>
        </is>
      </c>
      <c r="P65" s="129" t="inlineStr">
        <is>
          <t>20.05.2026</t>
        </is>
      </c>
      <c r="Q65" s="129" t="inlineStr">
        <is>
          <t>Ident A + Ident B + Foreign matter</t>
        </is>
      </c>
      <c r="R65" s="129" t="inlineStr">
        <is>
          <t>Conforms</t>
        </is>
      </c>
      <c r="S65" s="129" t="inlineStr">
        <is>
          <t>Conforms</t>
        </is>
      </c>
      <c r="T65" s="129" t="inlineStr">
        <is>
          <t>Conforms</t>
        </is>
      </c>
      <c r="U65" s="129" t="inlineStr">
        <is>
          <t>ППК26062, (11.05.2026) [CNP]</t>
        </is>
      </c>
      <c r="V65" s="129" t="inlineStr"/>
      <c r="W65" s="129" t="inlineStr"/>
      <c r="X65" s="129" t="inlineStr"/>
      <c r="Y65" s="141" t="inlineStr">
        <is>
          <t>not yet issuable — not in icoa_register.py — the register numbers the series and does not carry this round</t>
        </is>
      </c>
    </row>
    <row r="66">
      <c r="A66" s="129" t="n">
        <v>65</v>
      </c>
      <c r="B66" s="129" t="inlineStr">
        <is>
          <t>initial release</t>
        </is>
      </c>
      <c r="C66" s="130">
        <f>IFERROR(INDEX('iCoA Register'!$B:$B,MATCH("P060312|I",'iCoA Register'!$P:$P,0)),"— at issue —")</f>
        <v/>
      </c>
      <c r="D66" s="130">
        <f>IFERROR(INDEX('CoQ Register'!$B:$B,MATCH("P060312|I",'CoQ Register'!$S:$S,0)),"—")</f>
        <v/>
      </c>
      <c r="E66" s="129" t="inlineStr">
        <is>
          <t>(assigned on issue)</t>
        </is>
      </c>
      <c r="F66" s="129" t="inlineStr">
        <is>
          <t>post-SOP</t>
        </is>
      </c>
      <c r="G66" s="129" t="inlineStr">
        <is>
          <t>11.05.2026</t>
        </is>
      </c>
      <c r="H66" s="129" t="inlineStr">
        <is>
          <t>21.05.2026</t>
        </is>
      </c>
      <c r="I66" s="129" t="inlineStr">
        <is>
          <t>26.05.2026</t>
        </is>
      </c>
      <c r="J66" s="274">
        <f>IFERROR(INDEX('CoQ Register'!$D:$D,MATCH("P060312|I",'CoQ Register'!$S:$S,0)),"")</f>
        <v/>
      </c>
      <c r="K66" s="130" t="inlineStr">
        <is>
          <t>JD012601＊</t>
        </is>
      </c>
      <c r="L66" s="129" t="inlineStr">
        <is>
          <t>P060312</t>
        </is>
      </c>
      <c r="M66" s="129" t="inlineStr">
        <is>
          <t>Jelly Donutz</t>
        </is>
      </c>
      <c r="N66" s="129" t="inlineStr">
        <is>
          <t>27.03.2026</t>
        </is>
      </c>
      <c r="O66" s="129" t="inlineStr">
        <is>
          <t>21.05.2026 (the issuance plan's basis: 11.05.2026)</t>
        </is>
      </c>
      <c r="P66" s="129" t="inlineStr">
        <is>
          <t>21.05.2026</t>
        </is>
      </c>
      <c r="Q66" s="129" t="inlineStr">
        <is>
          <t>Ident A + Ident B + Foreign matter</t>
        </is>
      </c>
      <c r="R66" s="129" t="inlineStr">
        <is>
          <t>Conforms</t>
        </is>
      </c>
      <c r="S66" s="129" t="inlineStr">
        <is>
          <t>Conforms</t>
        </is>
      </c>
      <c r="T66" s="129" t="inlineStr">
        <is>
          <t>Conforms</t>
        </is>
      </c>
      <c r="U66" s="129" t="inlineStr">
        <is>
          <t>ППК26064, (11.05.2026) [CNP]</t>
        </is>
      </c>
      <c r="V66" s="129" t="inlineStr"/>
      <c r="W66" s="129" t="inlineStr"/>
      <c r="X66" s="129" t="inlineStr"/>
      <c r="Y66" s="141" t="inlineStr">
        <is>
          <t>not yet issuable — not in icoa_register.py — the register numbers the series and does not carry this round</t>
        </is>
      </c>
    </row>
    <row r="67">
      <c r="A67" s="129" t="n">
        <v>66</v>
      </c>
      <c r="B67" s="129" t="inlineStr">
        <is>
          <t>initial release</t>
        </is>
      </c>
      <c r="C67" s="130">
        <f>IFERROR(INDEX('iCoA Register'!$B:$B,MATCH("P060332|I",'iCoA Register'!$P:$P,0)),"— at issue —")</f>
        <v/>
      </c>
      <c r="D67" s="130">
        <f>IFERROR(INDEX('CoQ Register'!$B:$B,MATCH("P060332|I",'CoQ Register'!$S:$S,0)),"—")</f>
        <v/>
      </c>
      <c r="E67" s="129" t="inlineStr">
        <is>
          <t>—</t>
        </is>
      </c>
      <c r="F67" s="129" t="inlineStr">
        <is>
          <t>post-SOP</t>
        </is>
      </c>
      <c r="G67" s="129" t="inlineStr">
        <is>
          <t>22.05.2026</t>
        </is>
      </c>
      <c r="H67" s="129" t="inlineStr">
        <is>
          <t>22.05.2026</t>
        </is>
      </c>
      <c r="I67" s="274">
        <f>IFERROR(INDEX('iCoA Register'!$D:$D,MATCH("P060332|I",'iCoA Register'!$P:$P,0)),"")</f>
        <v/>
      </c>
      <c r="J67" s="274">
        <f>IFERROR(INDEX('CoQ Register'!$D:$D,MATCH("P060332|I",'CoQ Register'!$S:$S,0)),"")</f>
        <v/>
      </c>
      <c r="K67" s="130" t="inlineStr">
        <is>
          <t>CC012601/1</t>
        </is>
      </c>
      <c r="L67" s="129" t="inlineStr">
        <is>
          <t>P060332</t>
        </is>
      </c>
      <c r="M67" s="129" t="inlineStr"/>
      <c r="N67" s="129" t="inlineStr">
        <is>
          <t>16.04.2026</t>
        </is>
      </c>
      <c r="O67" s="129" t="inlineStr">
        <is>
          <t>22.05.2026</t>
        </is>
      </c>
      <c r="P67" s="129" t="inlineStr">
        <is>
          <t>22.05.2026</t>
        </is>
      </c>
      <c r="Q67" s="129" t="inlineStr">
        <is>
          <t>Ident A + Ident B + Foreign matter</t>
        </is>
      </c>
      <c r="R67" s="129" t="inlineStr">
        <is>
          <t>Conforms</t>
        </is>
      </c>
      <c r="S67" s="129" t="inlineStr">
        <is>
          <t>Conforms</t>
        </is>
      </c>
      <c r="T67" s="129" t="inlineStr">
        <is>
          <t>Conforms</t>
        </is>
      </c>
      <c r="U67" s="141" t="inlineStr">
        <is>
          <t>— no cannabinoid certificate from the initial testing —</t>
        </is>
      </c>
      <c r="V67" s="129" t="inlineStr"/>
      <c r="W67" s="129" t="inlineStr"/>
      <c r="X67" s="129" t="inlineStr"/>
      <c r="Y67" s="140" t="inlineStr">
        <is>
          <t>registered — first working day 5 days after packaging</t>
        </is>
      </c>
    </row>
    <row r="68">
      <c r="A68" s="129" t="n">
        <v>67</v>
      </c>
      <c r="B68" s="129" t="inlineStr">
        <is>
          <t>initial release</t>
        </is>
      </c>
      <c r="C68" s="130">
        <f>IFERROR(INDEX('iCoA Register'!$B:$B,MATCH("P060322|I",'iCoA Register'!$P:$P,0)),"— at issue —")</f>
        <v/>
      </c>
      <c r="D68" s="130">
        <f>IFERROR(INDEX('CoQ Register'!$B:$B,MATCH("P060322|I",'CoQ Register'!$S:$S,0)),"—")</f>
        <v/>
      </c>
      <c r="E68" s="129" t="inlineStr">
        <is>
          <t>iCoA-PP-2026-0019 / CoQ-PP-2026-0019</t>
        </is>
      </c>
      <c r="F68" s="129" t="inlineStr">
        <is>
          <t>post-SOP</t>
        </is>
      </c>
      <c r="G68" s="129" t="inlineStr">
        <is>
          <t>22.05.2026</t>
        </is>
      </c>
      <c r="H68" s="129" t="inlineStr">
        <is>
          <t>22.05.2026</t>
        </is>
      </c>
      <c r="I68" s="274">
        <f>IFERROR(INDEX('iCoA Register'!$D:$D,MATCH("P060322|I",'iCoA Register'!$P:$P,0)),"")</f>
        <v/>
      </c>
      <c r="J68" s="274">
        <f>IFERROR(INDEX('CoQ Register'!$D:$D,MATCH("P060322|I",'CoQ Register'!$S:$S,0)),"")</f>
        <v/>
      </c>
      <c r="K68" s="130" t="inlineStr">
        <is>
          <t>FB012601_1</t>
        </is>
      </c>
      <c r="L68" s="129" t="inlineStr">
        <is>
          <t>P060322</t>
        </is>
      </c>
      <c r="M68" s="129" t="inlineStr">
        <is>
          <t>Fat Bastard</t>
        </is>
      </c>
      <c r="N68" s="129" t="inlineStr">
        <is>
          <t>27.03.2026</t>
        </is>
      </c>
      <c r="O68" s="129" t="inlineStr">
        <is>
          <t>22.05.2026</t>
        </is>
      </c>
      <c r="P68" s="129" t="inlineStr">
        <is>
          <t>22.05.2026</t>
        </is>
      </c>
      <c r="Q68" s="129" t="inlineStr">
        <is>
          <t>Ident A + Ident B + Foreign matter</t>
        </is>
      </c>
      <c r="R68" s="129" t="inlineStr">
        <is>
          <t>Conforms</t>
        </is>
      </c>
      <c r="S68" s="129" t="inlineStr">
        <is>
          <t>Conforms</t>
        </is>
      </c>
      <c r="T68" s="129" t="inlineStr">
        <is>
          <t>Conforms</t>
        </is>
      </c>
      <c r="U68" s="129" t="inlineStr">
        <is>
          <t>ППК26067, (11.05.2026) [CNP]</t>
        </is>
      </c>
      <c r="V68" s="129" t="inlineStr"/>
      <c r="W68" s="129" t="inlineStr"/>
      <c r="X68" s="129" t="inlineStr"/>
      <c r="Y68" s="140" t="inlineStr">
        <is>
          <t>registered — first working day 5 days after packaging</t>
        </is>
      </c>
    </row>
    <row r="69">
      <c r="A69" s="129" t="n">
        <v>68</v>
      </c>
      <c r="B69" s="129" t="inlineStr">
        <is>
          <t>initial release</t>
        </is>
      </c>
      <c r="C69" s="130">
        <f>IFERROR(INDEX('iCoA Register'!$B:$B,MATCH("P060352|I",'iCoA Register'!$P:$P,0)),"— at issue —")</f>
        <v/>
      </c>
      <c r="D69" s="130">
        <f>IFERROR(INDEX('CoQ Register'!$B:$B,MATCH("P060352|I",'CoQ Register'!$S:$S,0)),"—")</f>
        <v/>
      </c>
      <c r="E69" s="129" t="inlineStr">
        <is>
          <t>iCoA-PP-2026-0021 / CoQ-PP-2026-0021</t>
        </is>
      </c>
      <c r="F69" s="129" t="inlineStr">
        <is>
          <t>post-SOP</t>
        </is>
      </c>
      <c r="G69" s="129" t="inlineStr">
        <is>
          <t>23.05.2026</t>
        </is>
      </c>
      <c r="H69" s="129" t="inlineStr">
        <is>
          <t>23.05.2026</t>
        </is>
      </c>
      <c r="I69" s="274">
        <f>IFERROR(INDEX('iCoA Register'!$D:$D,MATCH("P060352|I",'iCoA Register'!$P:$P,0)),"")</f>
        <v/>
      </c>
      <c r="J69" s="274">
        <f>IFERROR(INDEX('CoQ Register'!$D:$D,MATCH("P060352|I",'CoQ Register'!$S:$S,0)),"")</f>
        <v/>
      </c>
      <c r="K69" s="130" t="inlineStr">
        <is>
          <t>FB012602*</t>
        </is>
      </c>
      <c r="L69" s="129" t="inlineStr">
        <is>
          <t>P060352</t>
        </is>
      </c>
      <c r="M69" s="129" t="inlineStr">
        <is>
          <t>Fat Bastard</t>
        </is>
      </c>
      <c r="N69" s="129" t="inlineStr">
        <is>
          <t>16.04.2026</t>
        </is>
      </c>
      <c r="O69" s="129" t="inlineStr">
        <is>
          <t>23.05.2026</t>
        </is>
      </c>
      <c r="P69" s="129" t="inlineStr">
        <is>
          <t>23.05.2026</t>
        </is>
      </c>
      <c r="Q69" s="129" t="inlineStr">
        <is>
          <t>Ident A + Ident B + Foreign matter</t>
        </is>
      </c>
      <c r="R69" s="129" t="inlineStr">
        <is>
          <t>Conforms</t>
        </is>
      </c>
      <c r="S69" s="129" t="inlineStr">
        <is>
          <t>Conforms</t>
        </is>
      </c>
      <c r="T69" s="129" t="inlineStr">
        <is>
          <t>Conforms</t>
        </is>
      </c>
      <c r="U69" s="141" t="inlineStr">
        <is>
          <t>— no cannabinoid certificate from the initial testing —</t>
        </is>
      </c>
      <c r="V69" s="129" t="inlineStr"/>
      <c r="W69" s="129" t="inlineStr"/>
      <c r="X69" s="129" t="inlineStr"/>
      <c r="Y69" s="140" t="inlineStr">
        <is>
          <t>registered — first working day 5 days after packaging</t>
        </is>
      </c>
    </row>
    <row r="70">
      <c r="A70" s="129" t="n">
        <v>69</v>
      </c>
      <c r="B70" s="129" t="inlineStr">
        <is>
          <t>initial release</t>
        </is>
      </c>
      <c r="C70" s="130" t="inlineStr">
        <is>
          <t>not needed</t>
        </is>
      </c>
      <c r="D70" s="130">
        <f>IFERROR(INDEX('CoQ Register'!$B:$B,MATCH("P060392|I",'CoQ Register'!$S:$S,0)),"—")</f>
        <v/>
      </c>
      <c r="E70" s="129" t="inlineStr">
        <is>
          <t>(assigned on issue)</t>
        </is>
      </c>
      <c r="F70" s="129" t="inlineStr">
        <is>
          <t>post-SOP</t>
        </is>
      </c>
      <c r="G70" s="129" t="inlineStr">
        <is>
          <t>30.06.2026</t>
        </is>
      </c>
      <c r="H70" s="129" t="inlineStr">
        <is>
          <t>23.05.2026</t>
        </is>
      </c>
      <c r="I70" s="129" t="inlineStr">
        <is>
          <t>28.05.2026</t>
        </is>
      </c>
      <c r="J70" s="274">
        <f>IFERROR(INDEX('CoQ Register'!$D:$D,MATCH("P060392|I",'CoQ Register'!$S:$S,0)),"")</f>
        <v/>
      </c>
      <c r="K70" s="130" t="inlineStr">
        <is>
          <t>FB012603V</t>
        </is>
      </c>
      <c r="L70" s="129" t="inlineStr">
        <is>
          <t>P060392</t>
        </is>
      </c>
      <c r="M70" s="129" t="inlineStr">
        <is>
          <t>Fat Bastard</t>
        </is>
      </c>
      <c r="N70" s="129" t="inlineStr">
        <is>
          <t>29.04.2026</t>
        </is>
      </c>
      <c r="O70" s="129" t="inlineStr">
        <is>
          <t>23.05.2026 (the issuance plan's basis: 30.06.2026)</t>
        </is>
      </c>
      <c r="P70" s="129" t="inlineStr">
        <is>
          <t>23.05.2026</t>
        </is>
      </c>
      <c r="Q70" s="129" t="inlineStr">
        <is>
          <t>— all three on the CNP certificate —</t>
        </is>
      </c>
      <c r="R70" s="284" t="inlineStr">
        <is>
          <t>CNP ППК26110</t>
        </is>
      </c>
      <c r="S70" s="284" t="inlineStr">
        <is>
          <t>CNP ППК26110</t>
        </is>
      </c>
      <c r="T70" s="284" t="inlineStr">
        <is>
          <t>CNP ППК26110</t>
        </is>
      </c>
      <c r="U70" s="129" t="inlineStr">
        <is>
          <t>ППК26110, (30.06.2026) [CNP]</t>
        </is>
      </c>
      <c r="V70" s="129" t="inlineStr"/>
      <c r="W70" s="129" t="inlineStr"/>
      <c r="X70" s="129" t="inlineStr"/>
      <c r="Y70" s="129" t="inlineStr">
        <is>
          <t>not needed — CNP covers A, B and foreign matter</t>
        </is>
      </c>
    </row>
    <row r="71">
      <c r="A71" s="129" t="n">
        <v>70</v>
      </c>
      <c r="B71" s="129" t="inlineStr">
        <is>
          <t>initial release</t>
        </is>
      </c>
      <c r="C71" s="130" t="inlineStr">
        <is>
          <t>not needed</t>
        </is>
      </c>
      <c r="D71" s="130">
        <f>IFERROR(INDEX('CoQ Register'!$B:$B,MATCH("P060362|I",'CoQ Register'!$S:$S,0)),"—")</f>
        <v/>
      </c>
      <c r="E71" s="129" t="inlineStr">
        <is>
          <t>iCoA-PP-2026-0020 / CoQ-PP-2026-0020</t>
        </is>
      </c>
      <c r="F71" s="129" t="inlineStr">
        <is>
          <t>post-SOP</t>
        </is>
      </c>
      <c r="G71" s="129" t="inlineStr">
        <is>
          <t>23.05.2026</t>
        </is>
      </c>
      <c r="H71" s="129" t="inlineStr">
        <is>
          <t>23.05.2026</t>
        </is>
      </c>
      <c r="I71" s="129" t="inlineStr">
        <is>
          <t>28.05.2026</t>
        </is>
      </c>
      <c r="J71" s="274">
        <f>IFERROR(INDEX('CoQ Register'!$D:$D,MATCH("P060362|I",'CoQ Register'!$S:$S,0)),"")</f>
        <v/>
      </c>
      <c r="K71" s="130" t="inlineStr">
        <is>
          <t>JD012603</t>
        </is>
      </c>
      <c r="L71" s="129" t="inlineStr">
        <is>
          <t>P060362</t>
        </is>
      </c>
      <c r="M71" s="129" t="inlineStr"/>
      <c r="N71" s="129" t="inlineStr">
        <is>
          <t>22.04.2026</t>
        </is>
      </c>
      <c r="O71" s="129" t="inlineStr">
        <is>
          <t>23.05.2026</t>
        </is>
      </c>
      <c r="P71" s="129" t="inlineStr">
        <is>
          <t>23.05.2026</t>
        </is>
      </c>
      <c r="Q71" s="129" t="inlineStr">
        <is>
          <t>— all three on the CNP certificate —</t>
        </is>
      </c>
      <c r="R71" s="284" t="inlineStr">
        <is>
          <t>CNP ППК26111</t>
        </is>
      </c>
      <c r="S71" s="284" t="inlineStr">
        <is>
          <t>CNP ППК26111</t>
        </is>
      </c>
      <c r="T71" s="284" t="inlineStr">
        <is>
          <t>CNP ППК26111</t>
        </is>
      </c>
      <c r="U71" s="129" t="inlineStr">
        <is>
          <t>ППК26111, (30.06.2026) [CNP]</t>
        </is>
      </c>
      <c r="V71" s="129" t="inlineStr"/>
      <c r="W71" s="129" t="inlineStr"/>
      <c r="X71" s="129" t="inlineStr"/>
      <c r="Y71" s="129" t="inlineStr">
        <is>
          <t>not needed — CNP covers A, B and foreign matter</t>
        </is>
      </c>
    </row>
    <row r="72">
      <c r="A72" s="129" t="n">
        <v>71</v>
      </c>
      <c r="B72" s="129" t="inlineStr">
        <is>
          <t>initial release</t>
        </is>
      </c>
      <c r="C72" s="130" t="inlineStr">
        <is>
          <t>not needed</t>
        </is>
      </c>
      <c r="D72" s="130">
        <f>IFERROR(INDEX('CoQ Register'!$B:$B,MATCH("P060422|I",'CoQ Register'!$S:$S,0)),"—")</f>
        <v/>
      </c>
      <c r="E72" s="129" t="inlineStr">
        <is>
          <t>iCoA-PP-2026-0022 / CoQ-PP-2026-0022</t>
        </is>
      </c>
      <c r="F72" s="129" t="inlineStr">
        <is>
          <t>post-SOP</t>
        </is>
      </c>
      <c r="G72" s="129" t="inlineStr">
        <is>
          <t>23.05.2026</t>
        </is>
      </c>
      <c r="H72" s="129" t="inlineStr">
        <is>
          <t>23.05.2026</t>
        </is>
      </c>
      <c r="I72" s="129" t="inlineStr">
        <is>
          <t>28.05.2026</t>
        </is>
      </c>
      <c r="J72" s="274">
        <f>IFERROR(INDEX('CoQ Register'!$D:$D,MATCH("P060422|I",'CoQ Register'!$S:$S,0)),"")</f>
        <v/>
      </c>
      <c r="K72" s="130" t="inlineStr">
        <is>
          <t>JD012603</t>
        </is>
      </c>
      <c r="L72" s="129" t="inlineStr">
        <is>
          <t>P060422</t>
        </is>
      </c>
      <c r="M72" s="129" t="inlineStr"/>
      <c r="N72" s="129" t="inlineStr">
        <is>
          <t>29.04.2026</t>
        </is>
      </c>
      <c r="O72" s="129" t="inlineStr">
        <is>
          <t>23.05.2026</t>
        </is>
      </c>
      <c r="P72" s="129" t="inlineStr">
        <is>
          <t>23.05.2026</t>
        </is>
      </c>
      <c r="Q72" s="129" t="inlineStr">
        <is>
          <t>— all three on the CNP certificate —</t>
        </is>
      </c>
      <c r="R72" s="284" t="inlineStr">
        <is>
          <t>CNP ППК26111</t>
        </is>
      </c>
      <c r="S72" s="284" t="inlineStr">
        <is>
          <t>CNP ППК26111</t>
        </is>
      </c>
      <c r="T72" s="284" t="inlineStr">
        <is>
          <t>CNP ППК26111</t>
        </is>
      </c>
      <c r="U72" s="129" t="inlineStr">
        <is>
          <t>ППК26111, (30.06.2026) [CNP]</t>
        </is>
      </c>
      <c r="V72" s="129" t="inlineStr"/>
      <c r="W72" s="129" t="inlineStr"/>
      <c r="X72" s="129" t="inlineStr"/>
      <c r="Y72" s="129" t="inlineStr">
        <is>
          <t>not needed — CNP covers A, B and foreign matter</t>
        </is>
      </c>
    </row>
    <row r="73">
      <c r="A73" s="129" t="n">
        <v>72</v>
      </c>
      <c r="B73" s="129" t="inlineStr">
        <is>
          <t>initial release</t>
        </is>
      </c>
      <c r="C73" s="130" t="inlineStr">
        <is>
          <t>not needed</t>
        </is>
      </c>
      <c r="D73" s="130">
        <f>IFERROR(INDEX('CoQ Register'!$B:$B,MATCH("P060402|I",'CoQ Register'!$S:$S,0)),"—")</f>
        <v/>
      </c>
      <c r="E73" s="129" t="inlineStr">
        <is>
          <t>iCoA-PP-2026-0023 / CoQ-PP-2026-0023</t>
        </is>
      </c>
      <c r="F73" s="129" t="inlineStr">
        <is>
          <t>post-SOP</t>
        </is>
      </c>
      <c r="G73" s="129" t="inlineStr">
        <is>
          <t>24.05.2026</t>
        </is>
      </c>
      <c r="H73" s="129" t="inlineStr">
        <is>
          <t>24.05.2026</t>
        </is>
      </c>
      <c r="I73" s="129" t="inlineStr">
        <is>
          <t>29.05.2026</t>
        </is>
      </c>
      <c r="J73" s="274">
        <f>IFERROR(INDEX('CoQ Register'!$D:$D,MATCH("P060402|I",'CoQ Register'!$S:$S,0)),"")</f>
        <v/>
      </c>
      <c r="K73" s="130" t="inlineStr">
        <is>
          <t>GG012603</t>
        </is>
      </c>
      <c r="L73" s="129" t="inlineStr">
        <is>
          <t>P060402</t>
        </is>
      </c>
      <c r="M73" s="129" t="inlineStr">
        <is>
          <t>GorillaGlue</t>
        </is>
      </c>
      <c r="N73" s="129" t="inlineStr">
        <is>
          <t>04.05.2026</t>
        </is>
      </c>
      <c r="O73" s="129" t="inlineStr">
        <is>
          <t>24.05.2026</t>
        </is>
      </c>
      <c r="P73" s="129" t="inlineStr">
        <is>
          <t>24.05.2026</t>
        </is>
      </c>
      <c r="Q73" s="129" t="inlineStr">
        <is>
          <t>— all three on the CNP certificate —</t>
        </is>
      </c>
      <c r="R73" s="284" t="inlineStr">
        <is>
          <t>CNP ППК26114</t>
        </is>
      </c>
      <c r="S73" s="284" t="inlineStr">
        <is>
          <t>CNP ППК26114</t>
        </is>
      </c>
      <c r="T73" s="284" t="inlineStr">
        <is>
          <t>CNP ППК26114</t>
        </is>
      </c>
      <c r="U73" s="129" t="inlineStr">
        <is>
          <t>ППК26114, (30.06.2026) [CNP]</t>
        </is>
      </c>
      <c r="V73" s="129" t="inlineStr"/>
      <c r="W73" s="129" t="inlineStr"/>
      <c r="X73" s="129" t="inlineStr"/>
      <c r="Y73" s="129" t="inlineStr">
        <is>
          <t>not needed — CNP covers A, B and foreign matter</t>
        </is>
      </c>
    </row>
    <row r="74">
      <c r="A74" s="129" t="n">
        <v>73</v>
      </c>
      <c r="B74" s="129" t="inlineStr">
        <is>
          <t>initial release</t>
        </is>
      </c>
      <c r="C74" s="130" t="inlineStr">
        <is>
          <t>not needed</t>
        </is>
      </c>
      <c r="D74" s="130">
        <f>IFERROR(INDEX('CoQ Register'!$B:$B,MATCH("P060412|I",'CoQ Register'!$S:$S,0)),"—")</f>
        <v/>
      </c>
      <c r="E74" s="129" t="inlineStr">
        <is>
          <t>iCoA-PP-2026-0025 / CoQ-PP-2026-0025</t>
        </is>
      </c>
      <c r="F74" s="129" t="inlineStr">
        <is>
          <t>post-SOP</t>
        </is>
      </c>
      <c r="G74" s="129" t="inlineStr">
        <is>
          <t>24.05.2026</t>
        </is>
      </c>
      <c r="H74" s="129" t="inlineStr">
        <is>
          <t>24.05.2026</t>
        </is>
      </c>
      <c r="I74" s="129" t="inlineStr">
        <is>
          <t>29.05.2026</t>
        </is>
      </c>
      <c r="J74" s="274">
        <f>IFERROR(INDEX('CoQ Register'!$D:$D,MATCH("P060412|I",'CoQ Register'!$S:$S,0)),"")</f>
        <v/>
      </c>
      <c r="K74" s="130" t="inlineStr">
        <is>
          <t>JD012603</t>
        </is>
      </c>
      <c r="L74" s="129" t="inlineStr">
        <is>
          <t>P060412</t>
        </is>
      </c>
      <c r="M74" s="129" t="inlineStr"/>
      <c r="N74" s="129" t="inlineStr">
        <is>
          <t>04.05.2026</t>
        </is>
      </c>
      <c r="O74" s="129" t="inlineStr">
        <is>
          <t>24.05.2026</t>
        </is>
      </c>
      <c r="P74" s="129" t="inlineStr">
        <is>
          <t>24.05.2026</t>
        </is>
      </c>
      <c r="Q74" s="129" t="inlineStr">
        <is>
          <t>— all three on the CNP certificate —</t>
        </is>
      </c>
      <c r="R74" s="284" t="inlineStr">
        <is>
          <t>CNP ППК26111</t>
        </is>
      </c>
      <c r="S74" s="284" t="inlineStr">
        <is>
          <t>CNP ППК26111</t>
        </is>
      </c>
      <c r="T74" s="284" t="inlineStr">
        <is>
          <t>CNP ППК26111</t>
        </is>
      </c>
      <c r="U74" s="129" t="inlineStr">
        <is>
          <t>ППК26111, (30.06.2026) [CNP]</t>
        </is>
      </c>
      <c r="V74" s="129" t="inlineStr"/>
      <c r="W74" s="129" t="inlineStr"/>
      <c r="X74" s="129" t="inlineStr"/>
      <c r="Y74" s="129" t="inlineStr">
        <is>
          <t>not needed — CNP covers A, B and foreign matter</t>
        </is>
      </c>
    </row>
    <row r="75">
      <c r="A75" s="129" t="n">
        <v>74</v>
      </c>
      <c r="B75" s="129" t="inlineStr">
        <is>
          <t>initial release</t>
        </is>
      </c>
      <c r="C75" s="130">
        <f>IFERROR(INDEX('iCoA Register'!$B:$B,MATCH("P060342|I",'iCoA Register'!$P:$P,0)),"— at issue —")</f>
        <v/>
      </c>
      <c r="D75" s="130">
        <f>IFERROR(INDEX('CoQ Register'!$B:$B,MATCH("P060342|I",'CoQ Register'!$S:$S,0)),"—")</f>
        <v/>
      </c>
      <c r="E75" s="129" t="inlineStr">
        <is>
          <t>—</t>
        </is>
      </c>
      <c r="F75" s="129" t="inlineStr">
        <is>
          <t>post-SOP</t>
        </is>
      </c>
      <c r="G75" s="129" t="inlineStr">
        <is>
          <t>25.05.2026</t>
        </is>
      </c>
      <c r="H75" s="129" t="inlineStr">
        <is>
          <t>25.05.2026</t>
        </is>
      </c>
      <c r="I75" s="129" t="inlineStr">
        <is>
          <t>01.06.2026</t>
        </is>
      </c>
      <c r="J75" s="274">
        <f>IFERROR(INDEX('CoQ Register'!$D:$D,MATCH("P060342|I",'CoQ Register'!$S:$S,0)),"")</f>
        <v/>
      </c>
      <c r="K75" s="130" t="inlineStr">
        <is>
          <t>SCR012601*</t>
        </is>
      </c>
      <c r="L75" s="129" t="inlineStr">
        <is>
          <t>P060342</t>
        </is>
      </c>
      <c r="M75" s="129" t="inlineStr">
        <is>
          <t>Scrambler</t>
        </is>
      </c>
      <c r="N75" s="129" t="inlineStr">
        <is>
          <t>16.04.2026</t>
        </is>
      </c>
      <c r="O75" s="129" t="inlineStr">
        <is>
          <t>25.05.2026</t>
        </is>
      </c>
      <c r="P75" s="129" t="inlineStr">
        <is>
          <t>25.05.2026</t>
        </is>
      </c>
      <c r="Q75" s="129" t="inlineStr">
        <is>
          <t>Ident A + Ident B + Foreign matter</t>
        </is>
      </c>
      <c r="R75" s="129" t="inlineStr">
        <is>
          <t>Conforms</t>
        </is>
      </c>
      <c r="S75" s="129" t="inlineStr">
        <is>
          <t>Conforms</t>
        </is>
      </c>
      <c r="T75" s="129" t="inlineStr">
        <is>
          <t>Conforms</t>
        </is>
      </c>
      <c r="U75" s="141" t="inlineStr">
        <is>
          <t>— no cannabinoid certificate from the initial testing —</t>
        </is>
      </c>
      <c r="V75" s="129" t="inlineStr"/>
      <c r="W75" s="129" t="inlineStr"/>
      <c r="X75" s="129" t="inlineStr"/>
      <c r="Y75" s="141" t="inlineStr">
        <is>
          <t>not yet issuable — not in icoa_register.py — the register numbers the series and does not carry this round</t>
        </is>
      </c>
    </row>
    <row r="76">
      <c r="A76" s="129" t="n">
        <v>75</v>
      </c>
      <c r="B76" s="129" t="inlineStr">
        <is>
          <t>initial release</t>
        </is>
      </c>
      <c r="C76" s="130">
        <f>IFERROR(INDEX('iCoA Register'!$B:$B,MATCH("P060382|I",'iCoA Register'!$P:$P,0)),"— at issue —")</f>
        <v/>
      </c>
      <c r="D76" s="130">
        <f>IFERROR(INDEX('CoQ Register'!$B:$B,MATCH("P060382|I",'CoQ Register'!$S:$S,0)),"—")</f>
        <v/>
      </c>
      <c r="E76" s="129" t="inlineStr">
        <is>
          <t>iCoA-PP-2026-0026 / CoQ-PP-2026-0026</t>
        </is>
      </c>
      <c r="F76" s="129" t="inlineStr">
        <is>
          <t>post-SOP</t>
        </is>
      </c>
      <c r="G76" s="129" t="inlineStr">
        <is>
          <t>25.05.2026</t>
        </is>
      </c>
      <c r="H76" s="129" t="inlineStr">
        <is>
          <t>25.05.2026</t>
        </is>
      </c>
      <c r="I76" s="274">
        <f>IFERROR(INDEX('iCoA Register'!$D:$D,MATCH("P060382|I",'iCoA Register'!$P:$P,0)),"")</f>
        <v/>
      </c>
      <c r="J76" s="274">
        <f>IFERROR(INDEX('CoQ Register'!$D:$D,MATCH("P060382|I",'CoQ Register'!$S:$S,0)),"")</f>
        <v/>
      </c>
      <c r="K76" s="130" t="inlineStr">
        <is>
          <t>SCR012603</t>
        </is>
      </c>
      <c r="L76" s="129" t="inlineStr">
        <is>
          <t>P060382</t>
        </is>
      </c>
      <c r="M76" s="129" t="inlineStr">
        <is>
          <t>Scrambler</t>
        </is>
      </c>
      <c r="N76" s="129" t="inlineStr">
        <is>
          <t>22.04.2026</t>
        </is>
      </c>
      <c r="O76" s="129" t="inlineStr">
        <is>
          <t>25.05.2026</t>
        </is>
      </c>
      <c r="P76" s="129" t="inlineStr">
        <is>
          <t>25.05.2026</t>
        </is>
      </c>
      <c r="Q76" s="129" t="inlineStr">
        <is>
          <t>Ident A + Ident B + Foreign matter</t>
        </is>
      </c>
      <c r="R76" s="129" t="inlineStr">
        <is>
          <t>Conforms</t>
        </is>
      </c>
      <c r="S76" s="129" t="inlineStr">
        <is>
          <t>Conforms</t>
        </is>
      </c>
      <c r="T76" s="129" t="inlineStr">
        <is>
          <t>Conforms</t>
        </is>
      </c>
      <c r="U76" s="141" t="inlineStr">
        <is>
          <t>— no cannabinoid certificate from the initial testing —</t>
        </is>
      </c>
      <c r="V76" s="129" t="inlineStr"/>
      <c r="W76" s="129" t="inlineStr"/>
      <c r="X76" s="129" t="inlineStr"/>
      <c r="Y76" s="140" t="inlineStr">
        <is>
          <t>registered — first working day 5 days after packaging</t>
        </is>
      </c>
    </row>
    <row r="77">
      <c r="A77" s="129" t="n">
        <v>76</v>
      </c>
      <c r="B77" s="129" t="inlineStr">
        <is>
          <t>initial release</t>
        </is>
      </c>
      <c r="C77" s="130" t="inlineStr">
        <is>
          <t>not needed</t>
        </is>
      </c>
      <c r="D77" s="130">
        <f>IFERROR(INDEX('CoQ Register'!$B:$B,MATCH("P060432|I",'CoQ Register'!$S:$S,0)),"—")</f>
        <v/>
      </c>
      <c r="E77" s="129" t="inlineStr">
        <is>
          <t>(assigned on issue)</t>
        </is>
      </c>
      <c r="F77" s="129" t="inlineStr">
        <is>
          <t>post-SOP</t>
        </is>
      </c>
      <c r="G77" s="129" t="inlineStr">
        <is>
          <t>30.06.2026</t>
        </is>
      </c>
      <c r="H77" s="129" t="inlineStr">
        <is>
          <t>15.06.2026</t>
        </is>
      </c>
      <c r="I77" s="129" t="inlineStr">
        <is>
          <t>22.06.2026</t>
        </is>
      </c>
      <c r="J77" s="274">
        <f>IFERROR(INDEX('CoQ Register'!$D:$D,MATCH("P060432|I",'CoQ Register'!$S:$S,0)),"")</f>
        <v/>
      </c>
      <c r="K77" s="130" t="inlineStr">
        <is>
          <t>FB012603</t>
        </is>
      </c>
      <c r="L77" s="129" t="inlineStr">
        <is>
          <t>P060432</t>
        </is>
      </c>
      <c r="M77" s="129" t="inlineStr">
        <is>
          <t>Fat Bastard</t>
        </is>
      </c>
      <c r="N77" s="129" t="inlineStr">
        <is>
          <t>04.05.2026</t>
        </is>
      </c>
      <c r="O77" s="129" t="inlineStr">
        <is>
          <t>15.06.2026 (the issuance plan's basis: 30.06.2026)</t>
        </is>
      </c>
      <c r="P77" s="129" t="inlineStr">
        <is>
          <t>15.06.2026</t>
        </is>
      </c>
      <c r="Q77" s="129" t="inlineStr">
        <is>
          <t>— all three on the CNP certificate —</t>
        </is>
      </c>
      <c r="R77" s="284" t="inlineStr">
        <is>
          <t>CNP ППК26112</t>
        </is>
      </c>
      <c r="S77" s="284" t="inlineStr">
        <is>
          <t>CNP ППК26112</t>
        </is>
      </c>
      <c r="T77" s="284" t="inlineStr">
        <is>
          <t>CNP ППК26112</t>
        </is>
      </c>
      <c r="U77" s="129" t="inlineStr">
        <is>
          <t>ППК26112, (30.06.2026) [CNP]</t>
        </is>
      </c>
      <c r="V77" s="129" t="inlineStr"/>
      <c r="W77" s="129" t="inlineStr"/>
      <c r="X77" s="129" t="inlineStr"/>
      <c r="Y77" s="129" t="inlineStr">
        <is>
          <t>not needed — CNP covers A, B and foreign matter</t>
        </is>
      </c>
    </row>
    <row r="78">
      <c r="A78" s="129" t="n">
        <v>77</v>
      </c>
      <c r="B78" s="129" t="inlineStr">
        <is>
          <t>initial release</t>
        </is>
      </c>
      <c r="C78" s="130" t="inlineStr">
        <is>
          <t>not needed</t>
        </is>
      </c>
      <c r="D78" s="130">
        <f>IFERROR(INDEX('CoQ Register'!$B:$B,MATCH("P060442|I",'CoQ Register'!$S:$S,0)),"—")</f>
        <v/>
      </c>
      <c r="E78" s="129" t="inlineStr">
        <is>
          <t>(assigned on issue)</t>
        </is>
      </c>
      <c r="F78" s="129" t="inlineStr">
        <is>
          <t>post-SOP</t>
        </is>
      </c>
      <c r="G78" s="129" t="inlineStr">
        <is>
          <t>06.07.2026</t>
        </is>
      </c>
      <c r="H78" s="129" t="inlineStr">
        <is>
          <t>18.06.2026</t>
        </is>
      </c>
      <c r="I78" s="129" t="inlineStr">
        <is>
          <t>23.06.2026</t>
        </is>
      </c>
      <c r="J78" s="274">
        <f>IFERROR(INDEX('CoQ Register'!$D:$D,MATCH("P060442|I",'CoQ Register'!$S:$S,0)),"")</f>
        <v/>
      </c>
      <c r="K78" s="130" t="inlineStr">
        <is>
          <t>SCR022601</t>
        </is>
      </c>
      <c r="L78" s="129" t="inlineStr">
        <is>
          <t>P060442</t>
        </is>
      </c>
      <c r="M78" s="129" t="inlineStr">
        <is>
          <t>Scrambler</t>
        </is>
      </c>
      <c r="N78" s="129" t="inlineStr">
        <is>
          <t>13.05.2026</t>
        </is>
      </c>
      <c r="O78" s="129" t="inlineStr">
        <is>
          <t>18.06.2026 (the issuance plan's basis: 06.07.2026)</t>
        </is>
      </c>
      <c r="P78" s="129" t="inlineStr">
        <is>
          <t>18.06.2026</t>
        </is>
      </c>
      <c r="Q78" s="129" t="inlineStr">
        <is>
          <t>— all three on the CNP certificate —</t>
        </is>
      </c>
      <c r="R78" s="284" t="inlineStr">
        <is>
          <t>CNP ППК26116</t>
        </is>
      </c>
      <c r="S78" s="284" t="inlineStr">
        <is>
          <t>CNP ППК26116</t>
        </is>
      </c>
      <c r="T78" s="284" t="inlineStr">
        <is>
          <t>CNP ППК26116</t>
        </is>
      </c>
      <c r="U78" s="129" t="inlineStr">
        <is>
          <t>ППК26116, (06.07.2026) [CNP]</t>
        </is>
      </c>
      <c r="V78" s="129" t="inlineStr"/>
      <c r="W78" s="129" t="inlineStr"/>
      <c r="X78" s="129" t="inlineStr"/>
      <c r="Y78" s="129" t="inlineStr">
        <is>
          <t>not needed — CNP covers A, B and foreign matter</t>
        </is>
      </c>
    </row>
    <row r="79">
      <c r="A79" s="129" t="n">
        <v>78</v>
      </c>
      <c r="B79" s="129" t="inlineStr">
        <is>
          <t>initial release</t>
        </is>
      </c>
      <c r="C79" s="130" t="inlineStr">
        <is>
          <t>not needed</t>
        </is>
      </c>
      <c r="D79" s="130">
        <f>IFERROR(INDEX('CoQ Register'!$B:$B,MATCH("P060452|I",'CoQ Register'!$S:$S,0)),"—")</f>
        <v/>
      </c>
      <c r="E79" s="129" t="inlineStr">
        <is>
          <t>(assigned on issue)</t>
        </is>
      </c>
      <c r="F79" s="129" t="inlineStr">
        <is>
          <t>post-SOP</t>
        </is>
      </c>
      <c r="G79" s="129" t="inlineStr">
        <is>
          <t>21.07.2026</t>
        </is>
      </c>
      <c r="H79" s="129" t="inlineStr">
        <is>
          <t>29.06.2026</t>
        </is>
      </c>
      <c r="I79" s="129" t="inlineStr">
        <is>
          <t>06.07.2026</t>
        </is>
      </c>
      <c r="J79" s="274">
        <f>IFERROR(INDEX('CoQ Register'!$D:$D,MATCH("P060452|I",'CoQ Register'!$S:$S,0)),"")</f>
        <v/>
      </c>
      <c r="K79" s="130" t="inlineStr">
        <is>
          <t>FB032601</t>
        </is>
      </c>
      <c r="L79" s="129" t="inlineStr">
        <is>
          <t>P060452</t>
        </is>
      </c>
      <c r="M79" s="129" t="inlineStr">
        <is>
          <t>FatBastard</t>
        </is>
      </c>
      <c r="N79" s="129" t="inlineStr">
        <is>
          <t>02.06.2026</t>
        </is>
      </c>
      <c r="O79" s="129" t="inlineStr">
        <is>
          <t>29.06.2026 (the issuance plan's basis: 21.07.2026)</t>
        </is>
      </c>
      <c r="P79" s="129" t="inlineStr">
        <is>
          <t>29.06.2026</t>
        </is>
      </c>
      <c r="Q79" s="129" t="inlineStr">
        <is>
          <t>— all three on the CNP certificate —</t>
        </is>
      </c>
      <c r="R79" s="284" t="inlineStr">
        <is>
          <t>CNP ППК26127</t>
        </is>
      </c>
      <c r="S79" s="284" t="inlineStr">
        <is>
          <t>CNP ППК26127</t>
        </is>
      </c>
      <c r="T79" s="284" t="inlineStr">
        <is>
          <t>CNP ППК26127</t>
        </is>
      </c>
      <c r="U79" s="129" t="inlineStr">
        <is>
          <t>ППК26127, (21.07.2026) [CNP]</t>
        </is>
      </c>
      <c r="V79" s="129" t="inlineStr"/>
      <c r="W79" s="129" t="inlineStr"/>
      <c r="X79" s="129" t="inlineStr"/>
      <c r="Y79" s="129" t="inlineStr">
        <is>
          <t>not needed — CNP covers A, B and foreign matter</t>
        </is>
      </c>
    </row>
    <row r="80">
      <c r="A80" s="129" t="n">
        <v>79</v>
      </c>
      <c r="B80" s="129" t="inlineStr">
        <is>
          <t>initial release</t>
        </is>
      </c>
      <c r="C80" s="130" t="inlineStr">
        <is>
          <t>not needed</t>
        </is>
      </c>
      <c r="D80" s="130">
        <f>IFERROR(INDEX('CoQ Register'!$B:$B,MATCH("P060462|I",'CoQ Register'!$S:$S,0)),"—")</f>
        <v/>
      </c>
      <c r="E80" s="129" t="inlineStr">
        <is>
          <t>(assigned on issue)</t>
        </is>
      </c>
      <c r="F80" s="129" t="inlineStr">
        <is>
          <t>post-SOP</t>
        </is>
      </c>
      <c r="G80" s="129" t="inlineStr">
        <is>
          <t>21.07.2026</t>
        </is>
      </c>
      <c r="H80" s="129" t="inlineStr">
        <is>
          <t>16.07.2026</t>
        </is>
      </c>
      <c r="I80" s="129" t="inlineStr">
        <is>
          <t>21.07.2026</t>
        </is>
      </c>
      <c r="J80" s="274">
        <f>IFERROR(INDEX('CoQ Register'!$D:$D,MATCH("P060462|I",'CoQ Register'!$S:$S,0)),"")</f>
        <v/>
      </c>
      <c r="K80" s="130" t="inlineStr">
        <is>
          <t>GG032601</t>
        </is>
      </c>
      <c r="L80" s="129" t="inlineStr">
        <is>
          <t>P060462</t>
        </is>
      </c>
      <c r="M80" s="129" t="inlineStr">
        <is>
          <t>GorillaGlue</t>
        </is>
      </c>
      <c r="N80" s="129" t="inlineStr">
        <is>
          <t>16.06.2026</t>
        </is>
      </c>
      <c r="O80" s="129" t="inlineStr">
        <is>
          <t>16.07.2026 (the issuance plan's basis: 21.07.2026)</t>
        </is>
      </c>
      <c r="P80" s="129" t="inlineStr">
        <is>
          <t>16.07.2026</t>
        </is>
      </c>
      <c r="Q80" s="129" t="inlineStr">
        <is>
          <t>— all three on the CNP certificate —</t>
        </is>
      </c>
      <c r="R80" s="284" t="inlineStr">
        <is>
          <t>CNP ППК26128</t>
        </is>
      </c>
      <c r="S80" s="284" t="inlineStr">
        <is>
          <t>CNP ППК26128</t>
        </is>
      </c>
      <c r="T80" s="284" t="inlineStr">
        <is>
          <t>CNP ППК26128</t>
        </is>
      </c>
      <c r="U80" s="129" t="inlineStr">
        <is>
          <t>ППК26128, (21.07.2026) [CNP]</t>
        </is>
      </c>
      <c r="V80" s="129" t="inlineStr"/>
      <c r="W80" s="129" t="inlineStr"/>
      <c r="X80" s="129" t="inlineStr"/>
      <c r="Y80" s="129" t="inlineStr">
        <is>
          <t>not needed — CNP covers A, B and foreign matter</t>
        </is>
      </c>
    </row>
    <row r="81">
      <c r="A81" s="129" t="n">
        <v>80</v>
      </c>
      <c r="B81" s="129" t="inlineStr">
        <is>
          <t>initial release</t>
        </is>
      </c>
      <c r="C81" s="130" t="inlineStr">
        <is>
          <t>not needed</t>
        </is>
      </c>
      <c r="D81" s="130">
        <f>IFERROR(INDEX('CoQ Register'!$B:$B,MATCH("P060482|I",'CoQ Register'!$S:$S,0)),"—")</f>
        <v/>
      </c>
      <c r="E81" s="129" t="inlineStr">
        <is>
          <t>(assigned on issue)</t>
        </is>
      </c>
      <c r="F81" s="129" t="inlineStr">
        <is>
          <t>post-SOP</t>
        </is>
      </c>
      <c r="G81" s="129" t="inlineStr">
        <is>
          <t>30.06.2026</t>
        </is>
      </c>
      <c r="H81" s="129" t="inlineStr">
        <is>
          <t>05.08.2026</t>
        </is>
      </c>
      <c r="I81" s="129" t="inlineStr">
        <is>
          <t>10.08.2026</t>
        </is>
      </c>
      <c r="J81" s="274">
        <f>IFERROR(INDEX('CoQ Register'!$D:$D,MATCH("P060482|I",'CoQ Register'!$S:$S,0)),"")</f>
        <v/>
      </c>
      <c r="K81" s="130" t="inlineStr">
        <is>
          <t>JD022601</t>
        </is>
      </c>
      <c r="L81" s="129" t="inlineStr">
        <is>
          <t>P060482</t>
        </is>
      </c>
      <c r="M81" s="129" t="inlineStr">
        <is>
          <t>JellyDonutz</t>
        </is>
      </c>
      <c r="N81" s="129" t="inlineStr">
        <is>
          <t>18.05.2026</t>
        </is>
      </c>
      <c r="O81" s="129" t="inlineStr">
        <is>
          <t>05.08.2026 (the issuance plan's basis: 30.06.2026)</t>
        </is>
      </c>
      <c r="P81" s="129" t="inlineStr">
        <is>
          <t>05.08.2026</t>
        </is>
      </c>
      <c r="Q81" s="129" t="inlineStr">
        <is>
          <t>— all three on the CNP certificate —</t>
        </is>
      </c>
      <c r="R81" s="284" t="inlineStr">
        <is>
          <t>CNP ППК26115</t>
        </is>
      </c>
      <c r="S81" s="284" t="inlineStr">
        <is>
          <t>CNP ППК26115</t>
        </is>
      </c>
      <c r="T81" s="284" t="inlineStr">
        <is>
          <t>CNP ППК26115</t>
        </is>
      </c>
      <c r="U81" s="129" t="inlineStr">
        <is>
          <t>ППК26115, (30.06.2026) [CNP]</t>
        </is>
      </c>
      <c r="V81" s="129" t="inlineStr"/>
      <c r="W81" s="129" t="inlineStr"/>
      <c r="X81" s="129" t="inlineStr"/>
      <c r="Y81" s="129" t="inlineStr">
        <is>
          <t>not needed — CNP covers A, B and foreign matter</t>
        </is>
      </c>
    </row>
    <row r="82">
      <c r="A82" s="129" t="n">
        <v>81</v>
      </c>
      <c r="B82" s="129" t="inlineStr">
        <is>
          <t>initial release</t>
        </is>
      </c>
      <c r="C82" s="130" t="inlineStr">
        <is>
          <t>not needed</t>
        </is>
      </c>
      <c r="D82" s="130">
        <f>IFERROR(INDEX('CoQ Register'!$B:$B,MATCH("P160012|I",'CoQ Register'!$S:$S,0)),"—")</f>
        <v/>
      </c>
      <c r="E82" s="129" t="inlineStr">
        <is>
          <t>—</t>
        </is>
      </c>
      <c r="F82" s="129" t="inlineStr">
        <is>
          <t>—</t>
        </is>
      </c>
      <c r="G82" s="129" t="inlineStr"/>
      <c r="H82" s="129" t="inlineStr">
        <is>
          <t>packaging date — to record</t>
        </is>
      </c>
      <c r="I82" s="129" t="inlineStr">
        <is>
          <t>— packaging date to record —</t>
        </is>
      </c>
      <c r="J82" s="274">
        <f>IFERROR(INDEX('CoQ Register'!$D:$D,MATCH("P160012|I",'CoQ Register'!$S:$S,0)),"")</f>
        <v/>
      </c>
      <c r="K82" s="130" t="inlineStr">
        <is>
          <t>— not recorded — (P160012)</t>
        </is>
      </c>
      <c r="L82" s="129" t="inlineStr">
        <is>
          <t>P160012</t>
        </is>
      </c>
      <c r="M82" s="129" t="inlineStr"/>
      <c r="N82" s="141" t="inlineStr">
        <is>
          <t>— not on the list —</t>
        </is>
      </c>
      <c r="O82" s="141" t="inlineStr">
        <is>
          <t>— not on the list —</t>
        </is>
      </c>
      <c r="P82" s="141" t="inlineStr">
        <is>
          <t>— packaging date to record —</t>
        </is>
      </c>
      <c r="Q82" s="129" t="inlineStr">
        <is>
          <t>— all three on the CNP certificate —</t>
        </is>
      </c>
      <c r="R82" s="284" t="inlineStr">
        <is>
          <t>CNP ППК26117</t>
        </is>
      </c>
      <c r="S82" s="284" t="inlineStr">
        <is>
          <t>CNP ППК26117</t>
        </is>
      </c>
      <c r="T82" s="284" t="inlineStr">
        <is>
          <t>CNP ППК26117</t>
        </is>
      </c>
      <c r="U82" s="129" t="inlineStr">
        <is>
          <t>ППК26117, (06.07.2026) [CNP]</t>
        </is>
      </c>
      <c r="V82" s="129" t="inlineStr"/>
      <c r="W82" s="129" t="inlineStr"/>
      <c r="X82" s="129" t="inlineStr"/>
      <c r="Y82" s="129" t="inlineStr">
        <is>
          <t>not needed — CNP covers A, B and foreign matter</t>
        </is>
      </c>
    </row>
    <row r="83">
      <c r="A83" s="129" t="n">
        <v>82</v>
      </c>
      <c r="B83" s="129" t="inlineStr">
        <is>
          <t>initial release</t>
        </is>
      </c>
      <c r="C83" s="130" t="inlineStr">
        <is>
          <t>not needed</t>
        </is>
      </c>
      <c r="D83" s="130">
        <f>IFERROR(INDEX('CoQ Register'!$B:$B,MATCH("P160022|I",'CoQ Register'!$S:$S,0)),"—")</f>
        <v/>
      </c>
      <c r="E83" s="129" t="inlineStr">
        <is>
          <t>—</t>
        </is>
      </c>
      <c r="F83" s="129" t="inlineStr">
        <is>
          <t>—</t>
        </is>
      </c>
      <c r="G83" s="129" t="inlineStr"/>
      <c r="H83" s="129" t="inlineStr">
        <is>
          <t>packaging date — to record</t>
        </is>
      </c>
      <c r="I83" s="129" t="inlineStr">
        <is>
          <t>— packaging date to record —</t>
        </is>
      </c>
      <c r="J83" s="274">
        <f>IFERROR(INDEX('CoQ Register'!$D:$D,MATCH("P160022|I",'CoQ Register'!$S:$S,0)),"")</f>
        <v/>
      </c>
      <c r="K83" s="130" t="inlineStr">
        <is>
          <t>— not recorded — (P160022)</t>
        </is>
      </c>
      <c r="L83" s="129" t="inlineStr">
        <is>
          <t>P160022</t>
        </is>
      </c>
      <c r="M83" s="129" t="inlineStr"/>
      <c r="N83" s="141" t="inlineStr">
        <is>
          <t>— not on the list —</t>
        </is>
      </c>
      <c r="O83" s="141" t="inlineStr">
        <is>
          <t>— not on the list —</t>
        </is>
      </c>
      <c r="P83" s="141" t="inlineStr">
        <is>
          <t>— packaging date to record —</t>
        </is>
      </c>
      <c r="Q83" s="129" t="inlineStr">
        <is>
          <t>— all three on the CNP certificate —</t>
        </is>
      </c>
      <c r="R83" s="284" t="inlineStr">
        <is>
          <t>CNP ППК26118</t>
        </is>
      </c>
      <c r="S83" s="284" t="inlineStr">
        <is>
          <t>CNP ППК26118</t>
        </is>
      </c>
      <c r="T83" s="284" t="inlineStr">
        <is>
          <t>CNP ППК26118</t>
        </is>
      </c>
      <c r="U83" s="129" t="inlineStr">
        <is>
          <t>ППК26118, (06.07.2026) [CNP]</t>
        </is>
      </c>
      <c r="V83" s="129" t="inlineStr"/>
      <c r="W83" s="129" t="inlineStr"/>
      <c r="X83" s="129" t="inlineStr"/>
      <c r="Y83" s="129" t="inlineStr">
        <is>
          <t>not needed — CNP covers A, B and foreign matter</t>
        </is>
      </c>
    </row>
    <row r="84">
      <c r="A84" s="129" t="n">
        <v>83</v>
      </c>
      <c r="B84" s="129" t="inlineStr">
        <is>
          <t>initial release</t>
        </is>
      </c>
      <c r="C84" s="130" t="inlineStr">
        <is>
          <t>not needed</t>
        </is>
      </c>
      <c r="D84" s="130">
        <f>IFERROR(INDEX('CoQ Register'!$B:$B,MATCH("P160032|I",'CoQ Register'!$S:$S,0)),"—")</f>
        <v/>
      </c>
      <c r="E84" s="129" t="inlineStr">
        <is>
          <t>—</t>
        </is>
      </c>
      <c r="F84" s="129" t="inlineStr">
        <is>
          <t>—</t>
        </is>
      </c>
      <c r="G84" s="129" t="inlineStr"/>
      <c r="H84" s="129" t="inlineStr">
        <is>
          <t>packaging date — to record</t>
        </is>
      </c>
      <c r="I84" s="129" t="inlineStr">
        <is>
          <t>— packaging date to record —</t>
        </is>
      </c>
      <c r="J84" s="274">
        <f>IFERROR(INDEX('CoQ Register'!$D:$D,MATCH("P160032|I",'CoQ Register'!$S:$S,0)),"")</f>
        <v/>
      </c>
      <c r="K84" s="130" t="inlineStr">
        <is>
          <t>— not recorded — (P160032)</t>
        </is>
      </c>
      <c r="L84" s="129" t="inlineStr">
        <is>
          <t>P160032</t>
        </is>
      </c>
      <c r="M84" s="129" t="inlineStr"/>
      <c r="N84" s="141" t="inlineStr">
        <is>
          <t>— not on the list —</t>
        </is>
      </c>
      <c r="O84" s="141" t="inlineStr">
        <is>
          <t>— not on the list —</t>
        </is>
      </c>
      <c r="P84" s="141" t="inlineStr">
        <is>
          <t>— packaging date to record —</t>
        </is>
      </c>
      <c r="Q84" s="129" t="inlineStr">
        <is>
          <t>— all three on the CNP certificate —</t>
        </is>
      </c>
      <c r="R84" s="284" t="inlineStr">
        <is>
          <t>CNP ППК26119</t>
        </is>
      </c>
      <c r="S84" s="284" t="inlineStr">
        <is>
          <t>CNP ППК26119</t>
        </is>
      </c>
      <c r="T84" s="284" t="inlineStr">
        <is>
          <t>CNP ППК26119</t>
        </is>
      </c>
      <c r="U84" s="129" t="inlineStr">
        <is>
          <t>ППК26119, (06.07.2026) [CNP]</t>
        </is>
      </c>
      <c r="V84" s="129" t="inlineStr"/>
      <c r="W84" s="129" t="inlineStr"/>
      <c r="X84" s="129" t="inlineStr"/>
      <c r="Y84" s="129" t="inlineStr">
        <is>
          <t>not needed — CNP covers A, B and foreign matter</t>
        </is>
      </c>
    </row>
    <row r="85">
      <c r="A85" s="129" t="n">
        <v>84</v>
      </c>
      <c r="B85" s="129" t="inlineStr">
        <is>
          <t>retest — sampled — Tranche 2/3 (potency and mycotoxins pending)</t>
        </is>
      </c>
      <c r="C85" s="130">
        <f>IFERROR(INDEX('iCoA Register'!$B:$B,MATCH("CJ1024|R",'iCoA Register'!$P:$P,0)),"— at issue —")</f>
        <v/>
      </c>
      <c r="D85" s="130">
        <f>IFERROR(INDEX('CoQ Register'!$B:$B,MATCH("CJ1024|R",'CoQ Register'!$S:$S,0)),"—")</f>
        <v/>
      </c>
      <c r="E85" s="129" t="inlineStr">
        <is>
          <t>CoQ reissue (assigned on issue)</t>
        </is>
      </c>
      <c r="F85" s="129" t="inlineStr">
        <is>
          <t>legacy</t>
        </is>
      </c>
      <c r="G85" s="129" t="inlineStr">
        <is>
          <t>27.02.2026</t>
        </is>
      </c>
      <c r="H85" s="129" t="inlineStr">
        <is>
          <t>at retest sampling</t>
        </is>
      </c>
      <c r="I85" s="129" t="inlineStr">
        <is>
          <t>at the retest sampling · sampled — Tranche 2/3 (potency and mycotoxins pending)</t>
        </is>
      </c>
      <c r="J85" s="274">
        <f>IFERROR(INDEX('CoQ Register'!$D:$D,MATCH("CJ1024|R",'CoQ Register'!$S:$S,0)),"")</f>
        <v/>
      </c>
      <c r="K85" s="130" t="inlineStr">
        <is>
          <t>CJ1024</t>
        </is>
      </c>
      <c r="L85" s="129" t="inlineStr">
        <is>
          <t>N/A — no P batch assigned</t>
        </is>
      </c>
      <c r="M85" s="129" t="inlineStr">
        <is>
          <t>Cap Junky</t>
        </is>
      </c>
      <c r="N85" s="129" t="inlineStr">
        <is>
          <t>20.01.2025</t>
        </is>
      </c>
      <c r="O85" s="129" t="inlineStr">
        <is>
          <t>03.03.2025 (the issuance plan's basis: 27.02.2025)</t>
        </is>
      </c>
      <c r="P85" s="129" t="inlineStr">
        <is>
          <t>03.03.2025</t>
        </is>
      </c>
      <c r="Q85" s="129" t="inlineStr">
        <is>
          <t>Ident A + Ident B + Foreign matter</t>
        </is>
      </c>
      <c r="R85" s="129" t="inlineStr">
        <is>
          <t>to test</t>
        </is>
      </c>
      <c r="S85" s="129" t="inlineStr">
        <is>
          <t>to test</t>
        </is>
      </c>
      <c r="T85" s="129" t="inlineStr">
        <is>
          <t>to test</t>
        </is>
      </c>
      <c r="U85" s="141" t="inlineStr">
        <is>
          <t>— retest assay not yet on file —</t>
        </is>
      </c>
      <c r="V85" s="141" t="inlineStr">
        <is>
          <t>— pending —</t>
        </is>
      </c>
      <c r="W85" s="141" t="inlineStr">
        <is>
          <t>— pending —</t>
        </is>
      </c>
      <c r="X85" s="129" t="inlineStr">
        <is>
          <t>#8, #9, #11, #12 from the initial testing</t>
        </is>
      </c>
      <c r="Y85" s="129" t="inlineStr">
        <is>
          <t>sampled — microbiology on file, retest assay pending</t>
        </is>
      </c>
    </row>
    <row r="86">
      <c r="A86" s="129" t="n">
        <v>85</v>
      </c>
      <c r="B86" s="129" t="inlineStr">
        <is>
          <t>retest — Tranche 1 (sampled July 2026)</t>
        </is>
      </c>
      <c r="C86" s="130">
        <f>IFERROR(INDEX('iCoA Register'!$B:$B,MATCH("BSS1024|R",'iCoA Register'!$P:$P,0)),"— at issue —")</f>
        <v/>
      </c>
      <c r="D86" s="130">
        <f>IFERROR(INDEX('CoQ Register'!$B:$B,MATCH("BSS1024|R",'CoQ Register'!$S:$S,0)),"—")</f>
        <v/>
      </c>
      <c r="E86" s="129" t="inlineStr">
        <is>
          <t>CoQ-PP-2026-0027</t>
        </is>
      </c>
      <c r="F86" s="129" t="inlineStr">
        <is>
          <t>legacy</t>
        </is>
      </c>
      <c r="G86" s="129" t="inlineStr">
        <is>
          <t>04.03.2026</t>
        </is>
      </c>
      <c r="H86" s="129" t="inlineStr">
        <is>
          <t>at retest sampling</t>
        </is>
      </c>
      <c r="I86" s="129" t="inlineStr">
        <is>
          <t>at the retest sampling · Tranche 1 (sampled July 2026)</t>
        </is>
      </c>
      <c r="J86" s="274">
        <f>IFERROR(INDEX('CoQ Register'!$D:$D,MATCH("BSS1024|R",'CoQ Register'!$S:$S,0)),"")</f>
        <v/>
      </c>
      <c r="K86" s="130" t="inlineStr">
        <is>
          <t>BSS1024</t>
        </is>
      </c>
      <c r="L86" s="129" t="inlineStr">
        <is>
          <t>N/A — no P batch assigned</t>
        </is>
      </c>
      <c r="M86" s="129" t="inlineStr">
        <is>
          <t>Blue Sunset Sherbet</t>
        </is>
      </c>
      <c r="N86" s="129" t="inlineStr">
        <is>
          <t>22.01.2025</t>
        </is>
      </c>
      <c r="O86" s="129" t="inlineStr">
        <is>
          <t>04.03.2025</t>
        </is>
      </c>
      <c r="P86" s="129" t="inlineStr">
        <is>
          <t>04.03.2025</t>
        </is>
      </c>
      <c r="Q86" s="129" t="inlineStr">
        <is>
          <t>Ident A + Ident B + Foreign matter</t>
        </is>
      </c>
      <c r="R86" s="129" t="inlineStr">
        <is>
          <t>to test</t>
        </is>
      </c>
      <c r="S86" s="129" t="inlineStr">
        <is>
          <t>to test</t>
        </is>
      </c>
      <c r="T86" s="129" t="inlineStr">
        <is>
          <t>to test</t>
        </is>
      </c>
      <c r="U86" s="129" t="inlineStr">
        <is>
          <t>197-2-K-26, (07.08.2026) [FHM-K]</t>
        </is>
      </c>
      <c r="V86" s="129" t="inlineStr">
        <is>
          <t>197-2-K-26, (07.08.2026) [FHM-K]</t>
        </is>
      </c>
      <c r="W86" s="129" t="inlineStr">
        <is>
          <t>197-2-M-26, (10.08.2026) [FHM-M]</t>
        </is>
      </c>
      <c r="X86" s="129" t="inlineStr">
        <is>
          <t>#8, #9, #11, #12 from the initial testing</t>
        </is>
      </c>
      <c r="Y86" s="140" t="inlineStr">
        <is>
          <t>due — retest assay, mycotoxins on file; in-house iCoA to test</t>
        </is>
      </c>
    </row>
    <row r="87">
      <c r="A87" s="129" t="n">
        <v>86</v>
      </c>
      <c r="B87" s="129" t="inlineStr">
        <is>
          <t>retest — Tranche 1 (sampled July 2026)</t>
        </is>
      </c>
      <c r="C87" s="130">
        <f>IFERROR(INDEX('iCoA Register'!$B:$B,MATCH("BG1024|R",'iCoA Register'!$P:$P,0)),"— at issue —")</f>
        <v/>
      </c>
      <c r="D87" s="130">
        <f>IFERROR(INDEX('CoQ Register'!$B:$B,MATCH("BG1024|R",'CoQ Register'!$S:$S,0)),"—")</f>
        <v/>
      </c>
      <c r="E87" s="129" t="inlineStr">
        <is>
          <t>CoQ-PP-2026-0028</t>
        </is>
      </c>
      <c r="F87" s="129" t="inlineStr">
        <is>
          <t>legacy</t>
        </is>
      </c>
      <c r="G87" s="129" t="inlineStr">
        <is>
          <t>07.03.2026</t>
        </is>
      </c>
      <c r="H87" s="129" t="inlineStr">
        <is>
          <t>at retest sampling</t>
        </is>
      </c>
      <c r="I87" s="129" t="inlineStr">
        <is>
          <t>at the retest sampling · Tranche 1 (sampled July 2026)</t>
        </is>
      </c>
      <c r="J87" s="274">
        <f>IFERROR(INDEX('CoQ Register'!$D:$D,MATCH("BG1024|R",'CoQ Register'!$S:$S,0)),"")</f>
        <v/>
      </c>
      <c r="K87" s="130" t="inlineStr">
        <is>
          <t>BG1024</t>
        </is>
      </c>
      <c r="L87" s="129" t="inlineStr">
        <is>
          <t>N/A — no P batch assigned</t>
        </is>
      </c>
      <c r="M87" s="129" t="inlineStr">
        <is>
          <t>Blue Gelato</t>
        </is>
      </c>
      <c r="N87" s="129" t="inlineStr">
        <is>
          <t>21.01.2025</t>
        </is>
      </c>
      <c r="O87" s="129" t="inlineStr">
        <is>
          <t>07.03.2025</t>
        </is>
      </c>
      <c r="P87" s="129" t="inlineStr">
        <is>
          <t>07.03.2025</t>
        </is>
      </c>
      <c r="Q87" s="129" t="inlineStr">
        <is>
          <t>Ident A + Ident B + Foreign matter</t>
        </is>
      </c>
      <c r="R87" s="129" t="inlineStr">
        <is>
          <t>to test</t>
        </is>
      </c>
      <c r="S87" s="129" t="inlineStr">
        <is>
          <t>to test</t>
        </is>
      </c>
      <c r="T87" s="129" t="inlineStr">
        <is>
          <t>to test</t>
        </is>
      </c>
      <c r="U87" s="129" t="inlineStr">
        <is>
          <t>197-1-K-26, (07.08.2026) [FHM-K]</t>
        </is>
      </c>
      <c r="V87" s="129" t="inlineStr">
        <is>
          <t>197-1-K-26, (07.08.2026) [FHM-K]</t>
        </is>
      </c>
      <c r="W87" s="129" t="inlineStr">
        <is>
          <t>197-1-M-26, (10.08.2026) [FHM-M]</t>
        </is>
      </c>
      <c r="X87" s="129" t="inlineStr">
        <is>
          <t>#8, #9, #11, #12 from the initial testing</t>
        </is>
      </c>
      <c r="Y87" s="140" t="inlineStr">
        <is>
          <t>due — retest assay, mycotoxins on file; in-house iCoA to test</t>
        </is>
      </c>
    </row>
    <row r="88">
      <c r="A88" s="129" t="n">
        <v>87</v>
      </c>
      <c r="B88" s="129" t="inlineStr">
        <is>
          <t>retest — not yet sampled</t>
        </is>
      </c>
      <c r="C88" s="130">
        <f>IFERROR(INDEX('iCoA Register'!$B:$B,MATCH("GG1024|R",'iCoA Register'!$P:$P,0)),"— at issue —")</f>
        <v/>
      </c>
      <c r="D88" s="130">
        <f>IFERROR(INDEX('CoQ Register'!$B:$B,MATCH("GG1024|R",'CoQ Register'!$S:$S,0)),"—")</f>
        <v/>
      </c>
      <c r="E88" s="129" t="inlineStr">
        <is>
          <t>CoQ-PP-2026-0029</t>
        </is>
      </c>
      <c r="F88" s="129" t="inlineStr">
        <is>
          <t>legacy</t>
        </is>
      </c>
      <c r="G88" s="129" t="inlineStr">
        <is>
          <t>11.03.2026</t>
        </is>
      </c>
      <c r="H88" s="129" t="inlineStr">
        <is>
          <t>at retest sampling</t>
        </is>
      </c>
      <c r="I88" s="129" t="inlineStr">
        <is>
          <t>at the retest sampling · not yet sampled</t>
        </is>
      </c>
      <c r="J88" s="274">
        <f>IFERROR(INDEX('CoQ Register'!$D:$D,MATCH("GG1024|R",'CoQ Register'!$S:$S,0)),"")</f>
        <v/>
      </c>
      <c r="K88" s="130" t="inlineStr">
        <is>
          <t>GG1024</t>
        </is>
      </c>
      <c r="L88" s="129" t="inlineStr">
        <is>
          <t>N/A — no P batch assigned</t>
        </is>
      </c>
      <c r="M88" s="129" t="inlineStr">
        <is>
          <t>Gorilla Glue</t>
        </is>
      </c>
      <c r="N88" s="129" t="inlineStr">
        <is>
          <t>20.01.2025</t>
        </is>
      </c>
      <c r="O88" s="129" t="inlineStr">
        <is>
          <t>11.03.2025</t>
        </is>
      </c>
      <c r="P88" s="129" t="inlineStr">
        <is>
          <t>11.03.2025</t>
        </is>
      </c>
      <c r="Q88" s="129" t="inlineStr">
        <is>
          <t>Ident A + Ident B + Foreign matter</t>
        </is>
      </c>
      <c r="R88" s="129" t="inlineStr">
        <is>
          <t>to test</t>
        </is>
      </c>
      <c r="S88" s="129" t="inlineStr">
        <is>
          <t>to test</t>
        </is>
      </c>
      <c r="T88" s="129" t="inlineStr">
        <is>
          <t>to test</t>
        </is>
      </c>
      <c r="U88" s="141" t="inlineStr">
        <is>
          <t>— retest assay not yet on file —</t>
        </is>
      </c>
      <c r="V88" s="141" t="inlineStr">
        <is>
          <t>— pending —</t>
        </is>
      </c>
      <c r="W88" s="141" t="inlineStr">
        <is>
          <t>— pending —</t>
        </is>
      </c>
      <c r="X88" s="129" t="inlineStr">
        <is>
          <t>#8, #9, #11, #12 from the initial testing</t>
        </is>
      </c>
      <c r="Y88" s="141" t="inlineStr">
        <is>
          <t>pending — not yet sampled</t>
        </is>
      </c>
    </row>
    <row r="89">
      <c r="A89" s="129" t="n">
        <v>88</v>
      </c>
      <c r="B89" s="129" t="inlineStr">
        <is>
          <t>retest — Tranche 1 (sampled July 2026)</t>
        </is>
      </c>
      <c r="C89" s="130">
        <f>IFERROR(INDEX('iCoA Register'!$B:$B,MATCH("HPA1024|R",'iCoA Register'!$P:$P,0)),"— at issue —")</f>
        <v/>
      </c>
      <c r="D89" s="130">
        <f>IFERROR(INDEX('CoQ Register'!$B:$B,MATCH("HPA1024|R",'CoQ Register'!$S:$S,0)),"—")</f>
        <v/>
      </c>
      <c r="E89" s="129" t="inlineStr">
        <is>
          <t>CoQ-PP-2026-0030</t>
        </is>
      </c>
      <c r="F89" s="129" t="inlineStr">
        <is>
          <t>legacy</t>
        </is>
      </c>
      <c r="G89" s="129" t="inlineStr">
        <is>
          <t>11.04.2026</t>
        </is>
      </c>
      <c r="H89" s="129" t="inlineStr">
        <is>
          <t>at retest sampling</t>
        </is>
      </c>
      <c r="I89" s="129" t="inlineStr">
        <is>
          <t>at the retest sampling · Tranche 1 (sampled July 2026)</t>
        </is>
      </c>
      <c r="J89" s="274">
        <f>IFERROR(INDEX('CoQ Register'!$D:$D,MATCH("HPA1024|R",'CoQ Register'!$S:$S,0)),"")</f>
        <v/>
      </c>
      <c r="K89" s="130" t="inlineStr">
        <is>
          <t>HPA1024</t>
        </is>
      </c>
      <c r="L89" s="129" t="inlineStr">
        <is>
          <t>N/A — no P batch assigned</t>
        </is>
      </c>
      <c r="M89" s="129" t="inlineStr">
        <is>
          <t>HighProAmnesia</t>
        </is>
      </c>
      <c r="N89" s="129" t="inlineStr">
        <is>
          <t>22.01.2025</t>
        </is>
      </c>
      <c r="O89" s="129" t="inlineStr">
        <is>
          <t>11.04.2025</t>
        </is>
      </c>
      <c r="P89" s="129" t="inlineStr">
        <is>
          <t>11.04.2025</t>
        </is>
      </c>
      <c r="Q89" s="129" t="inlineStr">
        <is>
          <t>Ident A + Ident B + Foreign matter</t>
        </is>
      </c>
      <c r="R89" s="129" t="inlineStr">
        <is>
          <t>to test</t>
        </is>
      </c>
      <c r="S89" s="129" t="inlineStr">
        <is>
          <t>to test</t>
        </is>
      </c>
      <c r="T89" s="129" t="inlineStr">
        <is>
          <t>to test</t>
        </is>
      </c>
      <c r="U89" s="129" t="inlineStr">
        <is>
          <t>197-13-K-26, (07.08.2026) [FHM-K]</t>
        </is>
      </c>
      <c r="V89" s="129" t="inlineStr">
        <is>
          <t>197-13-K-26, (07.08.2026) [FHM-K]</t>
        </is>
      </c>
      <c r="W89" s="129" t="inlineStr">
        <is>
          <t>197-13-M-26, (10.08.2026) [FHM-M]</t>
        </is>
      </c>
      <c r="X89" s="129" t="inlineStr">
        <is>
          <t>#8, #9, #11, #12 from the initial testing</t>
        </is>
      </c>
      <c r="Y89" s="140" t="inlineStr">
        <is>
          <t>due — retest assay, mycotoxins on file; in-house iCoA to test</t>
        </is>
      </c>
    </row>
    <row r="90">
      <c r="A90" s="129" t="n">
        <v>89</v>
      </c>
      <c r="B90" s="129" t="inlineStr">
        <is>
          <t>retest — sampled — Tranche 2/3 (potency and mycotoxins pending)</t>
        </is>
      </c>
      <c r="C90" s="130">
        <f>IFERROR(INDEX('iCoA Register'!$B:$B,MATCH("P050102|R",'iCoA Register'!$P:$P,0)),"— at issue —")</f>
        <v/>
      </c>
      <c r="D90" s="130">
        <f>IFERROR(INDEX('CoQ Register'!$B:$B,MATCH("P050102|R",'CoQ Register'!$S:$S,0)),"—")</f>
        <v/>
      </c>
      <c r="E90" s="129" t="inlineStr">
        <is>
          <t>CoQ reissue (assigned on issue)</t>
        </is>
      </c>
      <c r="F90" s="129" t="inlineStr">
        <is>
          <t>legacy</t>
        </is>
      </c>
      <c r="G90" s="129" t="inlineStr">
        <is>
          <t>17.04.2026</t>
        </is>
      </c>
      <c r="H90" s="129" t="inlineStr">
        <is>
          <t>at retest sampling</t>
        </is>
      </c>
      <c r="I90" s="129" t="inlineStr">
        <is>
          <t>at the retest sampling · sampled — Tranche 2/3 (potency and mycotoxins pending)</t>
        </is>
      </c>
      <c r="J90" s="274">
        <f>IFERROR(INDEX('CoQ Register'!$D:$D,MATCH("P050102|R",'CoQ Register'!$S:$S,0)),"")</f>
        <v/>
      </c>
      <c r="K90" s="130" t="inlineStr">
        <is>
          <t>GP0824_01</t>
        </is>
      </c>
      <c r="L90" s="129" t="inlineStr">
        <is>
          <t>P050102</t>
        </is>
      </c>
      <c r="M90" s="129" t="inlineStr">
        <is>
          <t>Grape Pie</t>
        </is>
      </c>
      <c r="N90" s="129" t="inlineStr">
        <is>
          <t>20.03.2025 – 21.03.2025</t>
        </is>
      </c>
      <c r="O90" s="129" t="inlineStr">
        <is>
          <t>05.08.2025 – 07.08.2025 (the issuance plan's basis: 17.04.2025)</t>
        </is>
      </c>
      <c r="P90" s="129" t="inlineStr">
        <is>
          <t>07.08.2025</t>
        </is>
      </c>
      <c r="Q90" s="129" t="inlineStr">
        <is>
          <t>Ident A + Ident B + Foreign matter</t>
        </is>
      </c>
      <c r="R90" s="129" t="inlineStr">
        <is>
          <t>to test</t>
        </is>
      </c>
      <c r="S90" s="129" t="inlineStr">
        <is>
          <t>to test</t>
        </is>
      </c>
      <c r="T90" s="129" t="inlineStr">
        <is>
          <t>to test</t>
        </is>
      </c>
      <c r="U90" s="141" t="inlineStr">
        <is>
          <t>— retest assay not yet on file —</t>
        </is>
      </c>
      <c r="V90" s="141" t="inlineStr">
        <is>
          <t>— pending —</t>
        </is>
      </c>
      <c r="W90" s="141" t="inlineStr">
        <is>
          <t>— pending —</t>
        </is>
      </c>
      <c r="X90" s="129" t="inlineStr">
        <is>
          <t>#8, #9, #11, #12 from the initial testing</t>
        </is>
      </c>
      <c r="Y90" s="129" t="inlineStr">
        <is>
          <t>sampled — microbiology on file, retest assay pending</t>
        </is>
      </c>
    </row>
    <row r="91">
      <c r="A91" s="129" t="n">
        <v>90</v>
      </c>
      <c r="B91" s="129" t="inlineStr">
        <is>
          <t>retest — Tranche 1 (sampled July 2026)</t>
        </is>
      </c>
      <c r="C91" s="130">
        <f>IFERROR(INDEX('iCoA Register'!$B:$B,MATCH("OPM1024|R",'iCoA Register'!$P:$P,0)),"— at issue —")</f>
        <v/>
      </c>
      <c r="D91" s="130">
        <f>IFERROR(INDEX('CoQ Register'!$B:$B,MATCH("OPM1024|R",'CoQ Register'!$S:$S,0)),"—")</f>
        <v/>
      </c>
      <c r="E91" s="129" t="inlineStr">
        <is>
          <t>CoQ-PP-2026-0031</t>
        </is>
      </c>
      <c r="F91" s="129" t="inlineStr">
        <is>
          <t>legacy</t>
        </is>
      </c>
      <c r="G91" s="129" t="inlineStr">
        <is>
          <t>24.04.2026</t>
        </is>
      </c>
      <c r="H91" s="129" t="inlineStr">
        <is>
          <t>at retest sampling</t>
        </is>
      </c>
      <c r="I91" s="129" t="inlineStr">
        <is>
          <t>at the retest sampling · Tranche 1 (sampled July 2026)</t>
        </is>
      </c>
      <c r="J91" s="274">
        <f>IFERROR(INDEX('CoQ Register'!$D:$D,MATCH("OPM1024|R",'CoQ Register'!$S:$S,0)),"")</f>
        <v/>
      </c>
      <c r="K91" s="130" t="inlineStr">
        <is>
          <t>OPM1024</t>
        </is>
      </c>
      <c r="L91" s="129" t="inlineStr">
        <is>
          <t>N/A — no P batch assigned</t>
        </is>
      </c>
      <c r="M91" s="129" t="inlineStr">
        <is>
          <t>OrangePunchMimosa</t>
        </is>
      </c>
      <c r="N91" s="129" t="inlineStr">
        <is>
          <t>21.01.2025</t>
        </is>
      </c>
      <c r="O91" s="129" t="inlineStr">
        <is>
          <t>24.04.2025 – 25.04.2025</t>
        </is>
      </c>
      <c r="P91" s="129" t="inlineStr">
        <is>
          <t>25.04.2025</t>
        </is>
      </c>
      <c r="Q91" s="129" t="inlineStr">
        <is>
          <t>Ident A + Ident B + Foreign matter</t>
        </is>
      </c>
      <c r="R91" s="129" t="inlineStr">
        <is>
          <t>to test</t>
        </is>
      </c>
      <c r="S91" s="129" t="inlineStr">
        <is>
          <t>to test</t>
        </is>
      </c>
      <c r="T91" s="129" t="inlineStr">
        <is>
          <t>to test</t>
        </is>
      </c>
      <c r="U91" s="129" t="inlineStr">
        <is>
          <t>197-17-K-26, (07.08.2026) [FHM-K]</t>
        </is>
      </c>
      <c r="V91" s="129" t="inlineStr">
        <is>
          <t>197-17-K-26, (07.08.2026) [FHM-K]</t>
        </is>
      </c>
      <c r="W91" s="129" t="inlineStr">
        <is>
          <t>197-17-M-26, (10.08.2026) [FHM-M]</t>
        </is>
      </c>
      <c r="X91" s="129" t="inlineStr">
        <is>
          <t>#8, #9, #11, #12 from the initial testing</t>
        </is>
      </c>
      <c r="Y91" s="140" t="inlineStr">
        <is>
          <t>due — retest assay, mycotoxins on file; in-house iCoA to test</t>
        </is>
      </c>
    </row>
    <row r="92">
      <c r="A92" s="129" t="n">
        <v>91</v>
      </c>
      <c r="B92" s="129" t="inlineStr">
        <is>
          <t>retest — sampled — Tranche 2/3 (potency and mycotoxins pending)</t>
        </is>
      </c>
      <c r="C92" s="130">
        <f>IFERROR(INDEX('iCoA Register'!$B:$B,MATCH("P050032|R",'iCoA Register'!$P:$P,0)),"— at issue —")</f>
        <v/>
      </c>
      <c r="D92" s="130">
        <f>IFERROR(INDEX('CoQ Register'!$B:$B,MATCH("P050032|R",'CoQ Register'!$S:$S,0)),"—")</f>
        <v/>
      </c>
      <c r="E92" s="129" t="inlineStr">
        <is>
          <t>CoQ reissue (assigned on issue)</t>
        </is>
      </c>
      <c r="F92" s="129" t="inlineStr">
        <is>
          <t>legacy</t>
        </is>
      </c>
      <c r="G92" s="129" t="inlineStr">
        <is>
          <t>07.05.2026</t>
        </is>
      </c>
      <c r="H92" s="129" t="inlineStr">
        <is>
          <t>at retest sampling</t>
        </is>
      </c>
      <c r="I92" s="129" t="inlineStr">
        <is>
          <t>at the retest sampling · sampled — Tranche 2/3 (potency and mycotoxins pending)</t>
        </is>
      </c>
      <c r="J92" s="274">
        <f>IFERROR(INDEX('CoQ Register'!$D:$D,MATCH("P050032|R",'CoQ Register'!$S:$S,0)),"")</f>
        <v/>
      </c>
      <c r="K92" s="130" t="inlineStr">
        <is>
          <t>MB0824_04</t>
        </is>
      </c>
      <c r="L92" s="129" t="inlineStr">
        <is>
          <t>P050032</t>
        </is>
      </c>
      <c r="M92" s="129" t="inlineStr">
        <is>
          <t>Motor Breath</t>
        </is>
      </c>
      <c r="N92" s="129" t="inlineStr">
        <is>
          <t>02.04.2025 – 03.04.2025</t>
        </is>
      </c>
      <c r="O92" s="129" t="inlineStr">
        <is>
          <t>16.06.2025 – 19.06.2025 (the issuance plan's basis: 07.05.2025)</t>
        </is>
      </c>
      <c r="P92" s="129" t="inlineStr">
        <is>
          <t>19.06.2025</t>
        </is>
      </c>
      <c r="Q92" s="129" t="inlineStr">
        <is>
          <t>Ident A + Ident B + Foreign matter</t>
        </is>
      </c>
      <c r="R92" s="129" t="inlineStr">
        <is>
          <t>to test</t>
        </is>
      </c>
      <c r="S92" s="129" t="inlineStr">
        <is>
          <t>to test</t>
        </is>
      </c>
      <c r="T92" s="129" t="inlineStr">
        <is>
          <t>to test</t>
        </is>
      </c>
      <c r="U92" s="141" t="inlineStr">
        <is>
          <t>— retest assay not yet on file —</t>
        </is>
      </c>
      <c r="V92" s="141" t="inlineStr">
        <is>
          <t>— pending —</t>
        </is>
      </c>
      <c r="W92" s="141" t="inlineStr">
        <is>
          <t>— pending —</t>
        </is>
      </c>
      <c r="X92" s="129" t="inlineStr">
        <is>
          <t>#8, #9, #11, #12 from the initial testing</t>
        </is>
      </c>
      <c r="Y92" s="129" t="inlineStr">
        <is>
          <t>sampled — microbiology on file, retest assay pending</t>
        </is>
      </c>
    </row>
    <row r="93">
      <c r="A93" s="129" t="n">
        <v>92</v>
      </c>
      <c r="B93" s="129" t="inlineStr">
        <is>
          <t>retest — sampled — Tranche 2/3 (potency and mycotoxins pending)</t>
        </is>
      </c>
      <c r="C93" s="130">
        <f>IFERROR(INDEX('iCoA Register'!$B:$B,MATCH("P050012|R",'iCoA Register'!$P:$P,0)),"— at issue —")</f>
        <v/>
      </c>
      <c r="D93" s="130">
        <f>IFERROR(INDEX('CoQ Register'!$B:$B,MATCH("P050012|R",'CoQ Register'!$S:$S,0)),"—")</f>
        <v/>
      </c>
      <c r="E93" s="129" t="inlineStr">
        <is>
          <t>CoQ reissue (assigned on issue)</t>
        </is>
      </c>
      <c r="F93" s="129" t="inlineStr">
        <is>
          <t>legacy</t>
        </is>
      </c>
      <c r="G93" s="129" t="inlineStr">
        <is>
          <t>30.05.2026</t>
        </is>
      </c>
      <c r="H93" s="129" t="inlineStr">
        <is>
          <t>at retest sampling</t>
        </is>
      </c>
      <c r="I93" s="129" t="inlineStr">
        <is>
          <t>at the retest sampling · sampled — Tranche 2/3 (potency and mycotoxins pending)</t>
        </is>
      </c>
      <c r="J93" s="274">
        <f>IFERROR(INDEX('CoQ Register'!$D:$D,MATCH("P050012|R",'CoQ Register'!$S:$S,0)),"")</f>
        <v/>
      </c>
      <c r="K93" s="130" t="inlineStr">
        <is>
          <t>GG1024_02</t>
        </is>
      </c>
      <c r="L93" s="129" t="inlineStr">
        <is>
          <t>P050012</t>
        </is>
      </c>
      <c r="M93" s="129" t="inlineStr">
        <is>
          <t>Gorilla Glue</t>
        </is>
      </c>
      <c r="N93" s="129" t="inlineStr">
        <is>
          <t>14.04.2025 – 15.04.2025</t>
        </is>
      </c>
      <c r="O93" s="129" t="inlineStr">
        <is>
          <t>11.06.2025 – 16.06.2025 (the issuance plan's basis: 30.05.2025)</t>
        </is>
      </c>
      <c r="P93" s="129" t="inlineStr">
        <is>
          <t>16.06.2025</t>
        </is>
      </c>
      <c r="Q93" s="129" t="inlineStr">
        <is>
          <t>Ident A + Ident B + Foreign matter</t>
        </is>
      </c>
      <c r="R93" s="129" t="inlineStr">
        <is>
          <t>to test</t>
        </is>
      </c>
      <c r="S93" s="129" t="inlineStr">
        <is>
          <t>to test</t>
        </is>
      </c>
      <c r="T93" s="129" t="inlineStr">
        <is>
          <t>to test</t>
        </is>
      </c>
      <c r="U93" s="141" t="inlineStr">
        <is>
          <t>— retest assay not yet on file —</t>
        </is>
      </c>
      <c r="V93" s="141" t="inlineStr">
        <is>
          <t>— pending —</t>
        </is>
      </c>
      <c r="W93" s="141" t="inlineStr">
        <is>
          <t>— pending —</t>
        </is>
      </c>
      <c r="X93" s="129" t="inlineStr">
        <is>
          <t>#8, #9, #11, #12 from the initial testing</t>
        </is>
      </c>
      <c r="Y93" s="129" t="inlineStr">
        <is>
          <t>sampled — microbiology on file, retest assay pending</t>
        </is>
      </c>
    </row>
    <row r="94">
      <c r="A94" s="129" t="n">
        <v>93</v>
      </c>
      <c r="B94" s="129" t="inlineStr">
        <is>
          <t>retest — Tranche 1 (sampled July 2026)</t>
        </is>
      </c>
      <c r="C94" s="130">
        <f>IFERROR(INDEX('iCoA Register'!$B:$B,MATCH("P050022|R",'iCoA Register'!$P:$P,0)),"— at issue —")</f>
        <v/>
      </c>
      <c r="D94" s="130">
        <f>IFERROR(INDEX('CoQ Register'!$B:$B,MATCH("P050022|R",'CoQ Register'!$S:$S,0)),"—")</f>
        <v/>
      </c>
      <c r="E94" s="129" t="inlineStr">
        <is>
          <t>CoQ-PP-2026-0032</t>
        </is>
      </c>
      <c r="F94" s="129" t="inlineStr">
        <is>
          <t>legacy</t>
        </is>
      </c>
      <c r="G94" s="129" t="inlineStr">
        <is>
          <t>03.06.2026</t>
        </is>
      </c>
      <c r="H94" s="129" t="inlineStr">
        <is>
          <t>at retest sampling</t>
        </is>
      </c>
      <c r="I94" s="129" t="inlineStr">
        <is>
          <t>at the retest sampling · Tranche 1 (sampled July 2026)</t>
        </is>
      </c>
      <c r="J94" s="274">
        <f>IFERROR(INDEX('CoQ Register'!$D:$D,MATCH("P050022|R",'CoQ Register'!$S:$S,0)),"")</f>
        <v/>
      </c>
      <c r="K94" s="130" t="inlineStr">
        <is>
          <t>GP0824_02</t>
        </is>
      </c>
      <c r="L94" s="129" t="inlineStr">
        <is>
          <t>P050022</t>
        </is>
      </c>
      <c r="M94" s="129" t="inlineStr">
        <is>
          <t>Grape Pie</t>
        </is>
      </c>
      <c r="N94" s="129" t="inlineStr">
        <is>
          <t>22.04.2025 – 23.04.2025</t>
        </is>
      </c>
      <c r="O94" s="129" t="inlineStr">
        <is>
          <t>03.06.2025 – 11.06.2025</t>
        </is>
      </c>
      <c r="P94" s="129" t="inlineStr">
        <is>
          <t>11.06.2025</t>
        </is>
      </c>
      <c r="Q94" s="129" t="inlineStr">
        <is>
          <t>Ident A + Ident B + Foreign matter</t>
        </is>
      </c>
      <c r="R94" s="129" t="inlineStr">
        <is>
          <t>to test</t>
        </is>
      </c>
      <c r="S94" s="129" t="inlineStr">
        <is>
          <t>to test</t>
        </is>
      </c>
      <c r="T94" s="129" t="inlineStr">
        <is>
          <t>to test</t>
        </is>
      </c>
      <c r="U94" s="129" t="inlineStr">
        <is>
          <t>197-11-K-26, (07.08.2026) [FHM-K]</t>
        </is>
      </c>
      <c r="V94" s="129" t="inlineStr">
        <is>
          <t>197-11-K-26, (07.08.2026) [FHM-K]</t>
        </is>
      </c>
      <c r="W94" s="129" t="inlineStr">
        <is>
          <t>197-11-M-26, (10.08.2026) [FHM-M]</t>
        </is>
      </c>
      <c r="X94" s="129" t="inlineStr">
        <is>
          <t>#8, #9, #11, #12 from the initial testing</t>
        </is>
      </c>
      <c r="Y94" s="140" t="inlineStr">
        <is>
          <t>due — retest assay, mycotoxins on file; in-house iCoA to test</t>
        </is>
      </c>
    </row>
    <row r="95">
      <c r="A95" s="129" t="n">
        <v>94</v>
      </c>
      <c r="B95" s="129" t="inlineStr">
        <is>
          <t>retest — not yet sampled</t>
        </is>
      </c>
      <c r="C95" s="130">
        <f>IFERROR(INDEX('iCoA Register'!$B:$B,MATCH("P050042|R",'iCoA Register'!$P:$P,0)),"— at issue —")</f>
        <v/>
      </c>
      <c r="D95" s="130">
        <f>IFERROR(INDEX('CoQ Register'!$B:$B,MATCH("P050042|R",'CoQ Register'!$S:$S,0)),"—")</f>
        <v/>
      </c>
      <c r="E95" s="129" t="inlineStr">
        <is>
          <t>CoQ-PP-2026-0033</t>
        </is>
      </c>
      <c r="F95" s="129" t="inlineStr">
        <is>
          <t>legacy</t>
        </is>
      </c>
      <c r="G95" s="129" t="inlineStr">
        <is>
          <t>20.06.2026</t>
        </is>
      </c>
      <c r="H95" s="129" t="inlineStr">
        <is>
          <t>at retest sampling</t>
        </is>
      </c>
      <c r="I95" s="129" t="inlineStr">
        <is>
          <t>at the retest sampling · not yet sampled</t>
        </is>
      </c>
      <c r="J95" s="274">
        <f>IFERROR(INDEX('CoQ Register'!$D:$D,MATCH("P050042|R",'CoQ Register'!$S:$S,0)),"")</f>
        <v/>
      </c>
      <c r="K95" s="130" t="inlineStr">
        <is>
          <t>OMP1024_01</t>
        </is>
      </c>
      <c r="L95" s="129" t="inlineStr">
        <is>
          <t>P050042</t>
        </is>
      </c>
      <c r="M95" s="129" t="inlineStr">
        <is>
          <t>Orange Punch Mimosa</t>
        </is>
      </c>
      <c r="N95" s="129" t="inlineStr">
        <is>
          <t>26.03.2025 – 27.03.2025</t>
        </is>
      </c>
      <c r="O95" s="129" t="inlineStr">
        <is>
          <t>20.06.2025</t>
        </is>
      </c>
      <c r="P95" s="129" t="inlineStr">
        <is>
          <t>20.06.2025</t>
        </is>
      </c>
      <c r="Q95" s="129" t="inlineStr">
        <is>
          <t>Ident A + Ident B + Foreign matter</t>
        </is>
      </c>
      <c r="R95" s="129" t="inlineStr">
        <is>
          <t>to test</t>
        </is>
      </c>
      <c r="S95" s="129" t="inlineStr">
        <is>
          <t>to test</t>
        </is>
      </c>
      <c r="T95" s="129" t="inlineStr">
        <is>
          <t>to test</t>
        </is>
      </c>
      <c r="U95" s="141" t="inlineStr">
        <is>
          <t>— retest assay not yet on file —</t>
        </is>
      </c>
      <c r="V95" s="141" t="inlineStr">
        <is>
          <t>— pending —</t>
        </is>
      </c>
      <c r="W95" s="141" t="inlineStr">
        <is>
          <t>— pending —</t>
        </is>
      </c>
      <c r="X95" s="129" t="inlineStr">
        <is>
          <t>#8, #9, #11, #12 from the initial testing</t>
        </is>
      </c>
      <c r="Y95" s="141" t="inlineStr">
        <is>
          <t>pending — not yet sampled</t>
        </is>
      </c>
    </row>
    <row r="96">
      <c r="A96" s="129" t="n">
        <v>95</v>
      </c>
      <c r="B96" s="129" t="inlineStr">
        <is>
          <t>retest — Tranche 1 (sampled July 2026)</t>
        </is>
      </c>
      <c r="C96" s="130">
        <f>IFERROR(INDEX('iCoA Register'!$B:$B,MATCH("P050052|R",'iCoA Register'!$P:$P,0)),"— at issue —")</f>
        <v/>
      </c>
      <c r="D96" s="130">
        <f>IFERROR(INDEX('CoQ Register'!$B:$B,MATCH("P050052|R",'CoQ Register'!$S:$S,0)),"—")</f>
        <v/>
      </c>
      <c r="E96" s="129" t="inlineStr">
        <is>
          <t>CoQ-PP-2026-0034</t>
        </is>
      </c>
      <c r="F96" s="129" t="inlineStr">
        <is>
          <t>legacy</t>
        </is>
      </c>
      <c r="G96" s="129" t="inlineStr">
        <is>
          <t>27.06.2026</t>
        </is>
      </c>
      <c r="H96" s="129" t="inlineStr">
        <is>
          <t>at retest sampling</t>
        </is>
      </c>
      <c r="I96" s="129" t="inlineStr">
        <is>
          <t>at the retest sampling · Tranche 1 (sampled July 2026)</t>
        </is>
      </c>
      <c r="J96" s="274">
        <f>IFERROR(INDEX('CoQ Register'!$D:$D,MATCH("P050052|R",'CoQ Register'!$S:$S,0)),"")</f>
        <v/>
      </c>
      <c r="K96" s="130" t="inlineStr">
        <is>
          <t>HPA1024_01</t>
        </is>
      </c>
      <c r="L96" s="129" t="inlineStr">
        <is>
          <t>P050052</t>
        </is>
      </c>
      <c r="M96" s="129" t="inlineStr">
        <is>
          <t>High Pro Amnesia</t>
        </is>
      </c>
      <c r="N96" s="129" t="inlineStr">
        <is>
          <t>27.05.2025 – 28.05.2025</t>
        </is>
      </c>
      <c r="O96" s="129" t="inlineStr">
        <is>
          <t>27.06.2025 – 04.07.2025</t>
        </is>
      </c>
      <c r="P96" s="129" t="inlineStr">
        <is>
          <t>04.07.2025</t>
        </is>
      </c>
      <c r="Q96" s="129" t="inlineStr">
        <is>
          <t>Ident A + Ident B + Foreign matter</t>
        </is>
      </c>
      <c r="R96" s="129" t="inlineStr">
        <is>
          <t>to test</t>
        </is>
      </c>
      <c r="S96" s="129" t="inlineStr">
        <is>
          <t>to test</t>
        </is>
      </c>
      <c r="T96" s="129" t="inlineStr">
        <is>
          <t>to test</t>
        </is>
      </c>
      <c r="U96" s="129" t="inlineStr">
        <is>
          <t>197-14-K-26, (07.08.2026) [FHM-K]</t>
        </is>
      </c>
      <c r="V96" s="129" t="inlineStr">
        <is>
          <t>197-14-K-26, (07.08.2026) [FHM-K]</t>
        </is>
      </c>
      <c r="W96" s="129" t="inlineStr">
        <is>
          <t>197-14-M-26, (10.08.2026) [FHM-M]</t>
        </is>
      </c>
      <c r="X96" s="129" t="inlineStr">
        <is>
          <t>#8, #9, #11, #12 from the initial testing</t>
        </is>
      </c>
      <c r="Y96" s="140" t="inlineStr">
        <is>
          <t>due — retest assay, mycotoxins on file; in-house iCoA to test</t>
        </is>
      </c>
    </row>
    <row r="97">
      <c r="A97" s="129" t="n">
        <v>96</v>
      </c>
      <c r="B97" s="129" t="inlineStr">
        <is>
          <t>retest — Tranche 1 (sampled July 2026)</t>
        </is>
      </c>
      <c r="C97" s="130">
        <f>IFERROR(INDEX('iCoA Register'!$B:$B,MATCH("P050062|R",'iCoA Register'!$P:$P,0)),"— at issue —")</f>
        <v/>
      </c>
      <c r="D97" s="130">
        <f>IFERROR(INDEX('CoQ Register'!$B:$B,MATCH("P050062|R",'CoQ Register'!$S:$S,0)),"—")</f>
        <v/>
      </c>
      <c r="E97" s="129" t="inlineStr">
        <is>
          <t>CoQ-PP-2026-0035</t>
        </is>
      </c>
      <c r="F97" s="129" t="inlineStr">
        <is>
          <t>legacy</t>
        </is>
      </c>
      <c r="G97" s="129" t="inlineStr">
        <is>
          <t>04.07.2026</t>
        </is>
      </c>
      <c r="H97" s="129" t="inlineStr">
        <is>
          <t>at retest sampling</t>
        </is>
      </c>
      <c r="I97" s="129" t="inlineStr">
        <is>
          <t>at the retest sampling · Tranche 1 (sampled July 2026)</t>
        </is>
      </c>
      <c r="J97" s="274">
        <f>IFERROR(INDEX('CoQ Register'!$D:$D,MATCH("P050062|R",'CoQ Register'!$S:$S,0)),"")</f>
        <v/>
      </c>
      <c r="K97" s="130" t="inlineStr">
        <is>
          <t>OPM1024_02</t>
        </is>
      </c>
      <c r="L97" s="129" t="inlineStr">
        <is>
          <t>P050062</t>
        </is>
      </c>
      <c r="M97" s="129" t="inlineStr">
        <is>
          <t>Orange Punch Mimosa</t>
        </is>
      </c>
      <c r="N97" s="129" t="inlineStr">
        <is>
          <t>29.05.2025 – 30.05.2025</t>
        </is>
      </c>
      <c r="O97" s="129" t="inlineStr">
        <is>
          <t>04.07.2025 – 10.07.2025</t>
        </is>
      </c>
      <c r="P97" s="129" t="inlineStr">
        <is>
          <t>10.07.2025</t>
        </is>
      </c>
      <c r="Q97" s="129" t="inlineStr">
        <is>
          <t>Ident A + Ident B + Foreign matter</t>
        </is>
      </c>
      <c r="R97" s="129" t="inlineStr">
        <is>
          <t>to test</t>
        </is>
      </c>
      <c r="S97" s="129" t="inlineStr">
        <is>
          <t>to test</t>
        </is>
      </c>
      <c r="T97" s="129" t="inlineStr">
        <is>
          <t>to test</t>
        </is>
      </c>
      <c r="U97" s="129" t="inlineStr">
        <is>
          <t>197-18-K-26, (07.08.2026) [FHM-K]</t>
        </is>
      </c>
      <c r="V97" s="129" t="inlineStr">
        <is>
          <t>197-18-K-26, (07.08.2026) [FHM-K]</t>
        </is>
      </c>
      <c r="W97" s="129" t="inlineStr">
        <is>
          <t>197-18-M-26, (10.08.2026) [FHM-M]</t>
        </is>
      </c>
      <c r="X97" s="129" t="inlineStr">
        <is>
          <t>#8, #9, #11, #12 from the initial testing</t>
        </is>
      </c>
      <c r="Y97" s="140" t="inlineStr">
        <is>
          <t>due — retest assay, mycotoxins on file; in-house iCoA to test</t>
        </is>
      </c>
    </row>
    <row r="98">
      <c r="A98" s="129" t="n">
        <v>97</v>
      </c>
      <c r="B98" s="129" t="inlineStr">
        <is>
          <t>retest — not yet sampled</t>
        </is>
      </c>
      <c r="C98" s="130">
        <f>IFERROR(INDEX('iCoA Register'!$B:$B,MATCH("P050072|R",'iCoA Register'!$P:$P,0)),"— at issue —")</f>
        <v/>
      </c>
      <c r="D98" s="130">
        <f>IFERROR(INDEX('CoQ Register'!$B:$B,MATCH("P050072|R",'CoQ Register'!$S:$S,0)),"—")</f>
        <v/>
      </c>
      <c r="E98" s="129" t="inlineStr">
        <is>
          <t>CoQ-PP-2026-0036</t>
        </is>
      </c>
      <c r="F98" s="129" t="inlineStr">
        <is>
          <t>legacy</t>
        </is>
      </c>
      <c r="G98" s="129" t="inlineStr">
        <is>
          <t>14.07.2026</t>
        </is>
      </c>
      <c r="H98" s="129" t="inlineStr">
        <is>
          <t>at retest sampling</t>
        </is>
      </c>
      <c r="I98" s="129" t="inlineStr">
        <is>
          <t>at the retest sampling · not yet sampled</t>
        </is>
      </c>
      <c r="J98" s="274">
        <f>IFERROR(INDEX('CoQ Register'!$D:$D,MATCH("P050072|R",'CoQ Register'!$S:$S,0)),"")</f>
        <v/>
      </c>
      <c r="K98" s="130" t="inlineStr">
        <is>
          <t>GP0824_03</t>
        </is>
      </c>
      <c r="L98" s="129" t="inlineStr">
        <is>
          <t>P050072</t>
        </is>
      </c>
      <c r="M98" s="129" t="inlineStr">
        <is>
          <t>Grape Pie</t>
        </is>
      </c>
      <c r="N98" s="129" t="inlineStr">
        <is>
          <t>09.06.2025 – 10.06.2025</t>
        </is>
      </c>
      <c r="O98" s="129" t="inlineStr">
        <is>
          <t>14.07.2025 – 17.07.2025</t>
        </is>
      </c>
      <c r="P98" s="129" t="inlineStr">
        <is>
          <t>17.07.2025</t>
        </is>
      </c>
      <c r="Q98" s="129" t="inlineStr">
        <is>
          <t>Ident A + Ident B + Foreign matter</t>
        </is>
      </c>
      <c r="R98" s="129" t="inlineStr">
        <is>
          <t>to test</t>
        </is>
      </c>
      <c r="S98" s="129" t="inlineStr">
        <is>
          <t>to test</t>
        </is>
      </c>
      <c r="T98" s="129" t="inlineStr">
        <is>
          <t>to test</t>
        </is>
      </c>
      <c r="U98" s="141" t="inlineStr">
        <is>
          <t>— retest assay not yet on file —</t>
        </is>
      </c>
      <c r="V98" s="141" t="inlineStr">
        <is>
          <t>— pending —</t>
        </is>
      </c>
      <c r="W98" s="141" t="inlineStr">
        <is>
          <t>— pending —</t>
        </is>
      </c>
      <c r="X98" s="129" t="inlineStr">
        <is>
          <t>#8, #9, #11, #12 from the initial testing</t>
        </is>
      </c>
      <c r="Y98" s="141" t="inlineStr">
        <is>
          <t>pending — not yet sampled</t>
        </is>
      </c>
    </row>
    <row r="99">
      <c r="A99" s="129" t="n">
        <v>98</v>
      </c>
      <c r="B99" s="129" t="inlineStr">
        <is>
          <t>retest — not yet sampled</t>
        </is>
      </c>
      <c r="C99" s="130">
        <f>IFERROR(INDEX('iCoA Register'!$B:$B,MATCH("P050082|R",'iCoA Register'!$P:$P,0)),"— at issue —")</f>
        <v/>
      </c>
      <c r="D99" s="130">
        <f>IFERROR(INDEX('CoQ Register'!$B:$B,MATCH("P050082|R",'CoQ Register'!$S:$S,0)),"—")</f>
        <v/>
      </c>
      <c r="E99" s="129" t="inlineStr">
        <is>
          <t>CoQ-PP-2026-0037</t>
        </is>
      </c>
      <c r="F99" s="129" t="inlineStr">
        <is>
          <t>legacy</t>
        </is>
      </c>
      <c r="G99" s="129" t="inlineStr">
        <is>
          <t>22.07.2026</t>
        </is>
      </c>
      <c r="H99" s="129" t="inlineStr">
        <is>
          <t>at retest sampling</t>
        </is>
      </c>
      <c r="I99" s="129" t="inlineStr">
        <is>
          <t>at the retest sampling · not yet sampled</t>
        </is>
      </c>
      <c r="J99" s="274">
        <f>IFERROR(INDEX('CoQ Register'!$D:$D,MATCH("P050082|R",'CoQ Register'!$S:$S,0)),"")</f>
        <v/>
      </c>
      <c r="K99" s="130" t="inlineStr">
        <is>
          <t>OPM1024_03</t>
        </is>
      </c>
      <c r="L99" s="129" t="inlineStr">
        <is>
          <t>P050082</t>
        </is>
      </c>
      <c r="M99" s="129" t="inlineStr">
        <is>
          <t>Orange Punch Mimosa</t>
        </is>
      </c>
      <c r="N99" s="129" t="inlineStr">
        <is>
          <t>01.07.2025 – 02.07.2025</t>
        </is>
      </c>
      <c r="O99" s="129" t="inlineStr">
        <is>
          <t>22.07.2025 – 30.07.2025</t>
        </is>
      </c>
      <c r="P99" s="129" t="inlineStr">
        <is>
          <t>30.07.2025</t>
        </is>
      </c>
      <c r="Q99" s="129" t="inlineStr">
        <is>
          <t>Ident A + Ident B + Foreign matter</t>
        </is>
      </c>
      <c r="R99" s="129" t="inlineStr">
        <is>
          <t>to test</t>
        </is>
      </c>
      <c r="S99" s="129" t="inlineStr">
        <is>
          <t>to test</t>
        </is>
      </c>
      <c r="T99" s="129" t="inlineStr">
        <is>
          <t>to test</t>
        </is>
      </c>
      <c r="U99" s="141" t="inlineStr">
        <is>
          <t>— retest assay not yet on file —</t>
        </is>
      </c>
      <c r="V99" s="141" t="inlineStr">
        <is>
          <t>— pending —</t>
        </is>
      </c>
      <c r="W99" s="141" t="inlineStr">
        <is>
          <t>— pending —</t>
        </is>
      </c>
      <c r="X99" s="129" t="inlineStr">
        <is>
          <t>#8, #9, #11, #12 from the initial testing</t>
        </is>
      </c>
      <c r="Y99" s="141" t="inlineStr">
        <is>
          <t>pending — not yet sampled</t>
        </is>
      </c>
    </row>
    <row r="100">
      <c r="A100" s="129" t="n">
        <v>99</v>
      </c>
      <c r="B100" s="129" t="inlineStr">
        <is>
          <t>retest — Tranche 1 (sampled July 2026)</t>
        </is>
      </c>
      <c r="C100" s="130">
        <f>IFERROR(INDEX('iCoA Register'!$B:$B,MATCH("P050092|R",'iCoA Register'!$P:$P,0)),"— at issue —")</f>
        <v/>
      </c>
      <c r="D100" s="130">
        <f>IFERROR(INDEX('CoQ Register'!$B:$B,MATCH("P050092|R",'CoQ Register'!$S:$S,0)),"—")</f>
        <v/>
      </c>
      <c r="E100" s="129" t="inlineStr">
        <is>
          <t>CoQ-PP-2026-0038</t>
        </is>
      </c>
      <c r="F100" s="129" t="inlineStr">
        <is>
          <t>legacy</t>
        </is>
      </c>
      <c r="G100" s="129" t="inlineStr">
        <is>
          <t>31.07.2026</t>
        </is>
      </c>
      <c r="H100" s="129" t="inlineStr">
        <is>
          <t>at retest sampling</t>
        </is>
      </c>
      <c r="I100" s="129" t="inlineStr">
        <is>
          <t>at the retest sampling · Tranche 1 (sampled July 2026)</t>
        </is>
      </c>
      <c r="J100" s="274">
        <f>IFERROR(INDEX('CoQ Register'!$D:$D,MATCH("P050092|R",'CoQ Register'!$S:$S,0)),"")</f>
        <v/>
      </c>
      <c r="K100" s="130" t="inlineStr">
        <is>
          <t>GG1024_01</t>
        </is>
      </c>
      <c r="L100" s="129" t="inlineStr">
        <is>
          <t>P050092</t>
        </is>
      </c>
      <c r="M100" s="129" t="inlineStr">
        <is>
          <t>Gorilla Glue</t>
        </is>
      </c>
      <c r="N100" s="129" t="inlineStr">
        <is>
          <t>17.03.2025 – 18.03.2025</t>
        </is>
      </c>
      <c r="O100" s="129" t="inlineStr">
        <is>
          <t>31.07.2025 – 05.08.2025</t>
        </is>
      </c>
      <c r="P100" s="129" t="inlineStr">
        <is>
          <t>05.08.2025</t>
        </is>
      </c>
      <c r="Q100" s="129" t="inlineStr">
        <is>
          <t>Ident A + Ident B + Foreign matter</t>
        </is>
      </c>
      <c r="R100" s="129" t="inlineStr">
        <is>
          <t>to test</t>
        </is>
      </c>
      <c r="S100" s="129" t="inlineStr">
        <is>
          <t>to test</t>
        </is>
      </c>
      <c r="T100" s="129" t="inlineStr">
        <is>
          <t>to test</t>
        </is>
      </c>
      <c r="U100" s="129" t="inlineStr">
        <is>
          <t>197-9-K-26, (07.08.2026) [FHM-K]</t>
        </is>
      </c>
      <c r="V100" s="129" t="inlineStr">
        <is>
          <t>197-9-K-26, (07.08.2026) [FHM-K]</t>
        </is>
      </c>
      <c r="W100" s="129" t="inlineStr">
        <is>
          <t>197-9-M-26, (10.08.2026) [FHM-M]</t>
        </is>
      </c>
      <c r="X100" s="129" t="inlineStr">
        <is>
          <t>#8, #9, #11, #12 from the initial testing</t>
        </is>
      </c>
      <c r="Y100" s="140" t="inlineStr">
        <is>
          <t>due — retest assay, mycotoxins on file; in-house iCoA to test</t>
        </is>
      </c>
    </row>
    <row r="101">
      <c r="A101" s="129" t="n">
        <v>100</v>
      </c>
      <c r="B101" s="129" t="inlineStr">
        <is>
          <t>retest — not yet sampled</t>
        </is>
      </c>
      <c r="C101" s="130">
        <f>IFERROR(INDEX('iCoA Register'!$B:$B,MATCH("P050112|R",'iCoA Register'!$P:$P,0)),"— at issue —")</f>
        <v/>
      </c>
      <c r="D101" s="130">
        <f>IFERROR(INDEX('CoQ Register'!$B:$B,MATCH("P050112|R",'CoQ Register'!$S:$S,0)),"—")</f>
        <v/>
      </c>
      <c r="E101" s="129" t="inlineStr">
        <is>
          <t>CoQ-PP-2026-0039</t>
        </is>
      </c>
      <c r="F101" s="129" t="inlineStr">
        <is>
          <t>legacy</t>
        </is>
      </c>
      <c r="G101" s="129" t="inlineStr">
        <is>
          <t>25.08.2026</t>
        </is>
      </c>
      <c r="H101" s="129" t="inlineStr">
        <is>
          <t>at retest sampling</t>
        </is>
      </c>
      <c r="I101" s="129" t="inlineStr">
        <is>
          <t>at the retest sampling · not yet sampled</t>
        </is>
      </c>
      <c r="J101" s="274">
        <f>IFERROR(INDEX('CoQ Register'!$D:$D,MATCH("P050112|R",'CoQ Register'!$S:$S,0)),"")</f>
        <v/>
      </c>
      <c r="K101" s="130" t="inlineStr">
        <is>
          <t>MB0824_05</t>
        </is>
      </c>
      <c r="L101" s="129" t="inlineStr">
        <is>
          <t>P050112</t>
        </is>
      </c>
      <c r="M101" s="129" t="inlineStr">
        <is>
          <t>Motor Breath</t>
        </is>
      </c>
      <c r="N101" s="129" t="inlineStr">
        <is>
          <t>08.07.2025 – 09.07.2025</t>
        </is>
      </c>
      <c r="O101" s="129" t="inlineStr">
        <is>
          <t>25.08.2025 – 31.08.2025</t>
        </is>
      </c>
      <c r="P101" s="129" t="inlineStr">
        <is>
          <t>31.08.2025</t>
        </is>
      </c>
      <c r="Q101" s="129" t="inlineStr">
        <is>
          <t>Ident A + Ident B + Foreign matter</t>
        </is>
      </c>
      <c r="R101" s="129" t="inlineStr">
        <is>
          <t>to test</t>
        </is>
      </c>
      <c r="S101" s="129" t="inlineStr">
        <is>
          <t>to test</t>
        </is>
      </c>
      <c r="T101" s="129" t="inlineStr">
        <is>
          <t>to test</t>
        </is>
      </c>
      <c r="U101" s="141" t="inlineStr">
        <is>
          <t>— retest assay not yet on file —</t>
        </is>
      </c>
      <c r="V101" s="141" t="inlineStr">
        <is>
          <t>— pending —</t>
        </is>
      </c>
      <c r="W101" s="141" t="inlineStr">
        <is>
          <t>— pending —</t>
        </is>
      </c>
      <c r="X101" s="129" t="inlineStr">
        <is>
          <t>#8, #9, #11, #12 from the initial testing</t>
        </is>
      </c>
      <c r="Y101" s="141" t="inlineStr">
        <is>
          <t>pending — not yet sampled</t>
        </is>
      </c>
    </row>
    <row r="102">
      <c r="A102" s="129" t="n">
        <v>101</v>
      </c>
      <c r="B102" s="129" t="inlineStr">
        <is>
          <t>retest — sampled — Tranche 2/3 (potency and mycotoxins pending)</t>
        </is>
      </c>
      <c r="C102" s="130">
        <f>IFERROR(INDEX('iCoA Register'!$B:$B,MATCH("P050132|R",'iCoA Register'!$P:$P,0)),"— at issue —")</f>
        <v/>
      </c>
      <c r="D102" s="130">
        <f>IFERROR(INDEX('CoQ Register'!$B:$B,MATCH("P050132|R",'CoQ Register'!$S:$S,0)),"—")</f>
        <v/>
      </c>
      <c r="E102" s="129" t="inlineStr">
        <is>
          <t>CoQ reissue (assigned on issue)</t>
        </is>
      </c>
      <c r="F102" s="129" t="inlineStr">
        <is>
          <t>legacy</t>
        </is>
      </c>
      <c r="G102" s="129" t="inlineStr">
        <is>
          <t>05.09.2026</t>
        </is>
      </c>
      <c r="H102" s="129" t="inlineStr">
        <is>
          <t>at retest sampling</t>
        </is>
      </c>
      <c r="I102" s="129" t="inlineStr">
        <is>
          <t>at the retest sampling · sampled — Tranche 2/3 (potency and mycotoxins pending)</t>
        </is>
      </c>
      <c r="J102" s="274">
        <f>IFERROR(INDEX('CoQ Register'!$D:$D,MATCH("P050132|R",'CoQ Register'!$S:$S,0)),"")</f>
        <v/>
      </c>
      <c r="K102" s="130" t="inlineStr">
        <is>
          <t>OPM052501</t>
        </is>
      </c>
      <c r="L102" s="129" t="inlineStr">
        <is>
          <t>P050132</t>
        </is>
      </c>
      <c r="M102" s="129" t="inlineStr">
        <is>
          <t>Orange Punch Mimosa</t>
        </is>
      </c>
      <c r="N102" s="129" t="inlineStr">
        <is>
          <t>11.08.2025 – 13.08.2025</t>
        </is>
      </c>
      <c r="O102" s="129" t="inlineStr">
        <is>
          <t>09.09.2025 – 15.09.2025 (the issuance plan's basis: 05.09.2025)</t>
        </is>
      </c>
      <c r="P102" s="129" t="inlineStr">
        <is>
          <t>15.09.2025</t>
        </is>
      </c>
      <c r="Q102" s="129" t="inlineStr">
        <is>
          <t>Ident A + Ident B + Foreign matter</t>
        </is>
      </c>
      <c r="R102" s="129" t="inlineStr">
        <is>
          <t>to test</t>
        </is>
      </c>
      <c r="S102" s="129" t="inlineStr">
        <is>
          <t>to test</t>
        </is>
      </c>
      <c r="T102" s="129" t="inlineStr">
        <is>
          <t>to test</t>
        </is>
      </c>
      <c r="U102" s="141" t="inlineStr">
        <is>
          <t>— retest assay not yet on file —</t>
        </is>
      </c>
      <c r="V102" s="141" t="inlineStr">
        <is>
          <t>— pending —</t>
        </is>
      </c>
      <c r="W102" s="141" t="inlineStr">
        <is>
          <t>— pending —</t>
        </is>
      </c>
      <c r="X102" s="129" t="inlineStr">
        <is>
          <t>#8, #9, #11, #12 from the initial testing</t>
        </is>
      </c>
      <c r="Y102" s="129" t="inlineStr">
        <is>
          <t>sampled — microbiology on file, retest assay pending</t>
        </is>
      </c>
    </row>
    <row r="103">
      <c r="A103" s="129" t="n">
        <v>102</v>
      </c>
      <c r="B103" s="129" t="inlineStr">
        <is>
          <t>retest — sampled — Tranche 2/3 (potency and mycotoxins pending)</t>
        </is>
      </c>
      <c r="C103" s="130">
        <f>IFERROR(INDEX('iCoA Register'!$B:$B,MATCH("P050172|R",'iCoA Register'!$P:$P,0)),"— at issue —")</f>
        <v/>
      </c>
      <c r="D103" s="130">
        <f>IFERROR(INDEX('CoQ Register'!$B:$B,MATCH("P050172|R",'CoQ Register'!$S:$S,0)),"—")</f>
        <v/>
      </c>
      <c r="E103" s="129" t="inlineStr">
        <is>
          <t>CoQ reissue (assigned on issue)</t>
        </is>
      </c>
      <c r="F103" s="129" t="inlineStr">
        <is>
          <t>legacy</t>
        </is>
      </c>
      <c r="G103" s="129" t="inlineStr">
        <is>
          <t>17.09.2026</t>
        </is>
      </c>
      <c r="H103" s="129" t="inlineStr">
        <is>
          <t>at retest sampling</t>
        </is>
      </c>
      <c r="I103" s="129" t="inlineStr">
        <is>
          <t>at the retest sampling · sampled — Tranche 2/3 (potency and mycotoxins pending)</t>
        </is>
      </c>
      <c r="J103" s="274">
        <f>IFERROR(INDEX('CoQ Register'!$D:$D,MATCH("P050172|R",'CoQ Register'!$S:$S,0)),"")</f>
        <v/>
      </c>
      <c r="K103" s="130" t="inlineStr">
        <is>
          <t>CJ052501/02</t>
        </is>
      </c>
      <c r="L103" s="129" t="inlineStr">
        <is>
          <t>P050172</t>
        </is>
      </c>
      <c r="M103" s="129" t="inlineStr">
        <is>
          <t>Cap Junky</t>
        </is>
      </c>
      <c r="N103" s="129" t="inlineStr">
        <is>
          <t>20.08.2025</t>
        </is>
      </c>
      <c r="O103" s="129" t="inlineStr">
        <is>
          <t>01.10.2025 – 02.10.2025 (the issuance plan's basis: 17.09.2025)</t>
        </is>
      </c>
      <c r="P103" s="129" t="inlineStr">
        <is>
          <t>02.10.2025</t>
        </is>
      </c>
      <c r="Q103" s="129" t="inlineStr">
        <is>
          <t>Ident A + Ident B + Foreign matter</t>
        </is>
      </c>
      <c r="R103" s="129" t="inlineStr">
        <is>
          <t>to test</t>
        </is>
      </c>
      <c r="S103" s="129" t="inlineStr">
        <is>
          <t>to test</t>
        </is>
      </c>
      <c r="T103" s="129" t="inlineStr">
        <is>
          <t>to test</t>
        </is>
      </c>
      <c r="U103" s="141" t="inlineStr">
        <is>
          <t>— retest assay not yet on file —</t>
        </is>
      </c>
      <c r="V103" s="141" t="inlineStr">
        <is>
          <t>— pending —</t>
        </is>
      </c>
      <c r="W103" s="141" t="inlineStr">
        <is>
          <t>— pending —</t>
        </is>
      </c>
      <c r="X103" s="129" t="inlineStr">
        <is>
          <t>#8, #9, #11, #12 from the initial testing</t>
        </is>
      </c>
      <c r="Y103" s="129" t="inlineStr">
        <is>
          <t>sampled — microbiology on file, retest assay pending</t>
        </is>
      </c>
    </row>
    <row r="104">
      <c r="A104" s="129" t="n">
        <v>103</v>
      </c>
      <c r="B104" s="129" t="inlineStr">
        <is>
          <t>retest — Tranche 1 (sampled July 2026)</t>
        </is>
      </c>
      <c r="C104" s="130">
        <f>IFERROR(INDEX('iCoA Register'!$B:$B,MATCH("P050152|R",'iCoA Register'!$P:$P,0)),"— at issue —")</f>
        <v/>
      </c>
      <c r="D104" s="130">
        <f>IFERROR(INDEX('CoQ Register'!$B:$B,MATCH("P050152|R",'CoQ Register'!$S:$S,0)),"—")</f>
        <v/>
      </c>
      <c r="E104" s="129" t="inlineStr">
        <is>
          <t>CoQ reissue (assigned on issue)</t>
        </is>
      </c>
      <c r="F104" s="129" t="inlineStr">
        <is>
          <t>legacy</t>
        </is>
      </c>
      <c r="G104" s="129" t="inlineStr">
        <is>
          <t>25.09.2026</t>
        </is>
      </c>
      <c r="H104" s="129" t="inlineStr">
        <is>
          <t>at retest sampling</t>
        </is>
      </c>
      <c r="I104" s="129" t="inlineStr">
        <is>
          <t>at the retest sampling · Tranche 1 (sampled July 2026)</t>
        </is>
      </c>
      <c r="J104" s="274">
        <f>IFERROR(INDEX('CoQ Register'!$D:$D,MATCH("P050152|R",'CoQ Register'!$S:$S,0)),"")</f>
        <v/>
      </c>
      <c r="K104" s="130" t="inlineStr">
        <is>
          <t>GP052501</t>
        </is>
      </c>
      <c r="L104" s="129" t="inlineStr">
        <is>
          <t>P050152</t>
        </is>
      </c>
      <c r="M104" s="129" t="inlineStr">
        <is>
          <t>Grape Pie</t>
        </is>
      </c>
      <c r="N104" s="141" t="inlineStr">
        <is>
          <t>— not given —</t>
        </is>
      </c>
      <c r="O104" s="129" t="inlineStr">
        <is>
          <t>25.09.2025</t>
        </is>
      </c>
      <c r="P104" s="129" t="inlineStr">
        <is>
          <t>25.09.2025</t>
        </is>
      </c>
      <c r="Q104" s="129" t="inlineStr">
        <is>
          <t>Ident A + Ident B + Foreign matter</t>
        </is>
      </c>
      <c r="R104" s="129" t="inlineStr">
        <is>
          <t>to test</t>
        </is>
      </c>
      <c r="S104" s="129" t="inlineStr">
        <is>
          <t>to test</t>
        </is>
      </c>
      <c r="T104" s="129" t="inlineStr">
        <is>
          <t>to test</t>
        </is>
      </c>
      <c r="U104" s="129" t="inlineStr">
        <is>
          <t>197-10-K-26, (07.08.2026) [FHM-K]</t>
        </is>
      </c>
      <c r="V104" s="129" t="inlineStr">
        <is>
          <t>197-10-K-26, (07.08.2026) [FHM-K]</t>
        </is>
      </c>
      <c r="W104" s="129" t="inlineStr">
        <is>
          <t>197-10-M-26, (10.08.2026) [FHM-M]</t>
        </is>
      </c>
      <c r="X104" s="129" t="inlineStr">
        <is>
          <t>#8, #9, #11, #12 from the initial testing</t>
        </is>
      </c>
      <c r="Y104" s="140" t="inlineStr">
        <is>
          <t>due — retest assay, mycotoxins on file; in-house iCoA to test</t>
        </is>
      </c>
    </row>
    <row r="105">
      <c r="A105" s="129" t="n">
        <v>104</v>
      </c>
      <c r="B105" s="129" t="inlineStr">
        <is>
          <t>retest — Tranche 1 (sampled July 2026)</t>
        </is>
      </c>
      <c r="C105" s="130">
        <f>IFERROR(INDEX('iCoA Register'!$B:$B,MATCH("P050162|R",'iCoA Register'!$P:$P,0)),"— at issue —")</f>
        <v/>
      </c>
      <c r="D105" s="130">
        <f>IFERROR(INDEX('CoQ Register'!$B:$B,MATCH("P050162|R",'CoQ Register'!$S:$S,0)),"—")</f>
        <v/>
      </c>
      <c r="E105" s="129" t="inlineStr">
        <is>
          <t>CoQ reissue (assigned on issue)</t>
        </is>
      </c>
      <c r="F105" s="129" t="inlineStr">
        <is>
          <t>legacy</t>
        </is>
      </c>
      <c r="G105" s="129" t="inlineStr">
        <is>
          <t>30.09.2026</t>
        </is>
      </c>
      <c r="H105" s="129" t="inlineStr">
        <is>
          <t>at retest sampling</t>
        </is>
      </c>
      <c r="I105" s="129" t="inlineStr">
        <is>
          <t>at the retest sampling · Tranche 1 (sampled July 2026)</t>
        </is>
      </c>
      <c r="J105" s="274">
        <f>IFERROR(INDEX('CoQ Register'!$D:$D,MATCH("P050162|R",'CoQ Register'!$S:$S,0)),"")</f>
        <v/>
      </c>
      <c r="K105" s="130" t="inlineStr">
        <is>
          <t>CJ052501/01</t>
        </is>
      </c>
      <c r="L105" s="129" t="inlineStr">
        <is>
          <t>P050162</t>
        </is>
      </c>
      <c r="M105" s="129" t="inlineStr">
        <is>
          <t>Cup Junky</t>
        </is>
      </c>
      <c r="N105" s="129" t="inlineStr">
        <is>
          <t>20.08.2025</t>
        </is>
      </c>
      <c r="O105" s="129" t="inlineStr">
        <is>
          <t>30.09.2025 – 01.10.2025</t>
        </is>
      </c>
      <c r="P105" s="129" t="inlineStr">
        <is>
          <t>01.10.2025</t>
        </is>
      </c>
      <c r="Q105" s="129" t="inlineStr">
        <is>
          <t>Ident A + Ident B + Foreign matter</t>
        </is>
      </c>
      <c r="R105" s="129" t="inlineStr">
        <is>
          <t>to test</t>
        </is>
      </c>
      <c r="S105" s="129" t="inlineStr">
        <is>
          <t>to test</t>
        </is>
      </c>
      <c r="T105" s="129" t="inlineStr">
        <is>
          <t>to test</t>
        </is>
      </c>
      <c r="U105" s="129" t="inlineStr">
        <is>
          <t>197-3-K-26, (07.08.2026) [FHM-K]</t>
        </is>
      </c>
      <c r="V105" s="129" t="inlineStr">
        <is>
          <t>197-3-K-26, (07.08.2026) [FHM-K]</t>
        </is>
      </c>
      <c r="W105" s="129" t="inlineStr">
        <is>
          <t>197-3-M-26, (10.08.2026) [FHM-M]</t>
        </is>
      </c>
      <c r="X105" s="129" t="inlineStr">
        <is>
          <t>#8, #9, #11, #12 from the initial testing</t>
        </is>
      </c>
      <c r="Y105" s="140" t="inlineStr">
        <is>
          <t>due — retest assay, mycotoxins on file; in-house iCoA to test</t>
        </is>
      </c>
    </row>
    <row r="106">
      <c r="A106" s="129" t="n">
        <v>105</v>
      </c>
      <c r="B106" s="129" t="inlineStr">
        <is>
          <t>retest — not yet sampled</t>
        </is>
      </c>
      <c r="C106" s="130">
        <f>IFERROR(INDEX('iCoA Register'!$B:$B,MATCH("P050182|R",'iCoA Register'!$P:$P,0)),"— at issue —")</f>
        <v/>
      </c>
      <c r="D106" s="130">
        <f>IFERROR(INDEX('CoQ Register'!$B:$B,MATCH("P050182|R",'CoQ Register'!$S:$S,0)),"—")</f>
        <v/>
      </c>
      <c r="E106" s="129" t="inlineStr">
        <is>
          <t>CoQ reissue (assigned on issue)</t>
        </is>
      </c>
      <c r="F106" s="129" t="inlineStr">
        <is>
          <t>legacy</t>
        </is>
      </c>
      <c r="G106" s="129" t="inlineStr">
        <is>
          <t>03.10.2026</t>
        </is>
      </c>
      <c r="H106" s="129" t="inlineStr">
        <is>
          <t>at retest sampling</t>
        </is>
      </c>
      <c r="I106" s="129" t="inlineStr">
        <is>
          <t>at the retest sampling · not yet sampled</t>
        </is>
      </c>
      <c r="J106" s="274">
        <f>IFERROR(INDEX('CoQ Register'!$D:$D,MATCH("P050182|R",'CoQ Register'!$S:$S,0)),"")</f>
        <v/>
      </c>
      <c r="K106" s="130" t="inlineStr">
        <is>
          <t>HPA052501</t>
        </is>
      </c>
      <c r="L106" s="129" t="inlineStr">
        <is>
          <t>P050182</t>
        </is>
      </c>
      <c r="M106" s="129" t="inlineStr">
        <is>
          <t>High Pro Amnesia</t>
        </is>
      </c>
      <c r="N106" s="129" t="inlineStr">
        <is>
          <t>21.08.2025 – 23.08.2025</t>
        </is>
      </c>
      <c r="O106" s="129" t="inlineStr">
        <is>
          <t>03.10.2025 – 09.10.2025</t>
        </is>
      </c>
      <c r="P106" s="129" t="inlineStr">
        <is>
          <t>09.10.2025</t>
        </is>
      </c>
      <c r="Q106" s="129" t="inlineStr">
        <is>
          <t>Ident A + Ident B + Foreign matter</t>
        </is>
      </c>
      <c r="R106" s="129" t="inlineStr">
        <is>
          <t>to test</t>
        </is>
      </c>
      <c r="S106" s="129" t="inlineStr">
        <is>
          <t>to test</t>
        </is>
      </c>
      <c r="T106" s="129" t="inlineStr">
        <is>
          <t>to test</t>
        </is>
      </c>
      <c r="U106" s="141" t="inlineStr">
        <is>
          <t>— retest assay not yet on file —</t>
        </is>
      </c>
      <c r="V106" s="141" t="inlineStr">
        <is>
          <t>— pending —</t>
        </is>
      </c>
      <c r="W106" s="141" t="inlineStr">
        <is>
          <t>— pending —</t>
        </is>
      </c>
      <c r="X106" s="129" t="inlineStr">
        <is>
          <t>#8, #9, #11, #12 from the initial testing</t>
        </is>
      </c>
      <c r="Y106" s="141" t="inlineStr">
        <is>
          <t>pending — not yet sampled</t>
        </is>
      </c>
    </row>
    <row r="107">
      <c r="A107" s="129" t="n">
        <v>106</v>
      </c>
      <c r="B107" s="129" t="inlineStr">
        <is>
          <t>retest — sampled — Tranche 2/3 (potency and mycotoxins pending)</t>
        </is>
      </c>
      <c r="C107" s="130">
        <f>IFERROR(INDEX('iCoA Register'!$B:$B,MATCH("P050192|R",'iCoA Register'!$P:$P,0)),"— at issue —")</f>
        <v/>
      </c>
      <c r="D107" s="130">
        <f>IFERROR(INDEX('CoQ Register'!$B:$B,MATCH("P050192|R",'CoQ Register'!$S:$S,0)),"—")</f>
        <v/>
      </c>
      <c r="E107" s="129" t="inlineStr">
        <is>
          <t>CoQ reissue (assigned on issue)</t>
        </is>
      </c>
      <c r="F107" s="129" t="inlineStr">
        <is>
          <t>legacy</t>
        </is>
      </c>
      <c r="G107" s="129" t="inlineStr">
        <is>
          <t>10.10.2026</t>
        </is>
      </c>
      <c r="H107" s="129" t="inlineStr">
        <is>
          <t>at retest sampling</t>
        </is>
      </c>
      <c r="I107" s="129" t="inlineStr">
        <is>
          <t>at the retest sampling · sampled — Tranche 2/3 (potency and mycotoxins pending)</t>
        </is>
      </c>
      <c r="J107" s="274">
        <f>IFERROR(INDEX('CoQ Register'!$D:$D,MATCH("P050192|R",'CoQ Register'!$S:$S,0)),"")</f>
        <v/>
      </c>
      <c r="K107" s="130" t="inlineStr">
        <is>
          <t>BSS052501</t>
        </is>
      </c>
      <c r="L107" s="129" t="inlineStr">
        <is>
          <t>P050192</t>
        </is>
      </c>
      <c r="M107" s="129" t="inlineStr">
        <is>
          <t>Sleepy Joe</t>
        </is>
      </c>
      <c r="N107" s="129" t="inlineStr">
        <is>
          <t>01.09.2025 – 03.09.2025</t>
        </is>
      </c>
      <c r="O107" s="129" t="inlineStr">
        <is>
          <t>10.10.2025 – 21.10.2025</t>
        </is>
      </c>
      <c r="P107" s="129" t="inlineStr">
        <is>
          <t>21.10.2025</t>
        </is>
      </c>
      <c r="Q107" s="129" t="inlineStr">
        <is>
          <t>Ident A + Ident B + Foreign matter</t>
        </is>
      </c>
      <c r="R107" s="129" t="inlineStr">
        <is>
          <t>to test</t>
        </is>
      </c>
      <c r="S107" s="129" t="inlineStr">
        <is>
          <t>to test</t>
        </is>
      </c>
      <c r="T107" s="129" t="inlineStr">
        <is>
          <t>to test</t>
        </is>
      </c>
      <c r="U107" s="141" t="inlineStr">
        <is>
          <t>— retest assay not yet on file —</t>
        </is>
      </c>
      <c r="V107" s="141" t="inlineStr">
        <is>
          <t>— pending —</t>
        </is>
      </c>
      <c r="W107" s="141" t="inlineStr">
        <is>
          <t>— pending —</t>
        </is>
      </c>
      <c r="X107" s="129" t="inlineStr">
        <is>
          <t>#8, #9, #11, #12 from the initial testing</t>
        </is>
      </c>
      <c r="Y107" s="129" t="inlineStr">
        <is>
          <t>sampled — microbiology on file, retest assay pending</t>
        </is>
      </c>
    </row>
    <row r="108">
      <c r="A108" s="129" t="n">
        <v>107</v>
      </c>
      <c r="B108" s="129" t="inlineStr">
        <is>
          <t>retest — not yet sampled</t>
        </is>
      </c>
      <c r="C108" s="130">
        <f>IFERROR(INDEX('iCoA Register'!$B:$B,MATCH("P050222|R",'iCoA Register'!$P:$P,0)),"— at issue —")</f>
        <v/>
      </c>
      <c r="D108" s="130">
        <f>IFERROR(INDEX('CoQ Register'!$B:$B,MATCH("P050222|R",'CoQ Register'!$S:$S,0)),"—")</f>
        <v/>
      </c>
      <c r="E108" s="129" t="inlineStr">
        <is>
          <t>CoQ reissue (assigned on issue)</t>
        </is>
      </c>
      <c r="F108" s="129" t="inlineStr">
        <is>
          <t>legacy</t>
        </is>
      </c>
      <c r="G108" s="129" t="inlineStr">
        <is>
          <t>24.11.2026</t>
        </is>
      </c>
      <c r="H108" s="129" t="inlineStr">
        <is>
          <t>at retest sampling</t>
        </is>
      </c>
      <c r="I108" s="129" t="inlineStr">
        <is>
          <t>at the retest sampling · not yet sampled</t>
        </is>
      </c>
      <c r="J108" s="274">
        <f>IFERROR(INDEX('CoQ Register'!$D:$D,MATCH("P050222|R",'CoQ Register'!$S:$S,0)),"")</f>
        <v/>
      </c>
      <c r="K108" s="130" t="inlineStr">
        <is>
          <t>CJ062501/1</t>
        </is>
      </c>
      <c r="L108" s="129" t="inlineStr">
        <is>
          <t>P050222</t>
        </is>
      </c>
      <c r="M108" s="129" t="inlineStr">
        <is>
          <t>Cap Junkie</t>
        </is>
      </c>
      <c r="N108" s="129" t="inlineStr">
        <is>
          <t>23.09.2025</t>
        </is>
      </c>
      <c r="O108" s="129" t="inlineStr">
        <is>
          <t>24.11.2025 – 25.11.2025</t>
        </is>
      </c>
      <c r="P108" s="129" t="inlineStr">
        <is>
          <t>25.11.2025</t>
        </is>
      </c>
      <c r="Q108" s="129" t="inlineStr">
        <is>
          <t>Ident A + Ident B + Foreign matter</t>
        </is>
      </c>
      <c r="R108" s="129" t="inlineStr">
        <is>
          <t>to test</t>
        </is>
      </c>
      <c r="S108" s="129" t="inlineStr">
        <is>
          <t>to test</t>
        </is>
      </c>
      <c r="T108" s="129" t="inlineStr">
        <is>
          <t>to test</t>
        </is>
      </c>
      <c r="U108" s="141" t="inlineStr">
        <is>
          <t>— retest assay not yet on file —</t>
        </is>
      </c>
      <c r="V108" s="141" t="inlineStr">
        <is>
          <t>— pending —</t>
        </is>
      </c>
      <c r="W108" s="141" t="inlineStr">
        <is>
          <t>— pending —</t>
        </is>
      </c>
      <c r="X108" s="129" t="inlineStr">
        <is>
          <t>#8, #9, #11, #12 from the initial testing</t>
        </is>
      </c>
      <c r="Y108" s="141" t="inlineStr">
        <is>
          <t>pending — not yet sampled</t>
        </is>
      </c>
    </row>
    <row r="109">
      <c r="A109" s="129" t="n">
        <v>108</v>
      </c>
      <c r="B109" s="129" t="inlineStr">
        <is>
          <t>retest — sampled — Tranche 2/3 (potency and mycotoxins pending)</t>
        </is>
      </c>
      <c r="C109" s="130">
        <f>IFERROR(INDEX('iCoA Register'!$B:$B,MATCH("P050252|R",'iCoA Register'!$P:$P,0)),"— at issue —")</f>
        <v/>
      </c>
      <c r="D109" s="130">
        <f>IFERROR(INDEX('CoQ Register'!$B:$B,MATCH("P050252|R",'CoQ Register'!$S:$S,0)),"—")</f>
        <v/>
      </c>
      <c r="E109" s="129" t="inlineStr">
        <is>
          <t>CoQ reissue (assigned on issue)</t>
        </is>
      </c>
      <c r="F109" s="129" t="inlineStr">
        <is>
          <t>legacy</t>
        </is>
      </c>
      <c r="G109" s="129" t="inlineStr">
        <is>
          <t>02.12.2026</t>
        </is>
      </c>
      <c r="H109" s="129" t="inlineStr">
        <is>
          <t>at retest sampling</t>
        </is>
      </c>
      <c r="I109" s="129" t="inlineStr">
        <is>
          <t>at the retest sampling · sampled — Tranche 2/3 (potency and mycotoxins pending)</t>
        </is>
      </c>
      <c r="J109" s="274">
        <f>IFERROR(INDEX('CoQ Register'!$D:$D,MATCH("P050252|R",'CoQ Register'!$S:$S,0)),"")</f>
        <v/>
      </c>
      <c r="K109" s="130" t="inlineStr">
        <is>
          <t>CJ072501</t>
        </is>
      </c>
      <c r="L109" s="129" t="inlineStr">
        <is>
          <t>P050252</t>
        </is>
      </c>
      <c r="M109" s="129" t="inlineStr">
        <is>
          <t>Cap Junky</t>
        </is>
      </c>
      <c r="N109" s="129" t="inlineStr">
        <is>
          <t>27.10.2025</t>
        </is>
      </c>
      <c r="O109" s="129" t="inlineStr">
        <is>
          <t>27.11.2025 – 28.11.2025 (the issuance plan's basis: 02.12.2025)</t>
        </is>
      </c>
      <c r="P109" s="129" t="inlineStr">
        <is>
          <t>28.11.2025</t>
        </is>
      </c>
      <c r="Q109" s="129" t="inlineStr">
        <is>
          <t>Ident A + Ident B + Foreign matter</t>
        </is>
      </c>
      <c r="R109" s="129" t="inlineStr">
        <is>
          <t>to test</t>
        </is>
      </c>
      <c r="S109" s="129" t="inlineStr">
        <is>
          <t>to test</t>
        </is>
      </c>
      <c r="T109" s="129" t="inlineStr">
        <is>
          <t>to test</t>
        </is>
      </c>
      <c r="U109" s="141" t="inlineStr">
        <is>
          <t>— retest assay not yet on file —</t>
        </is>
      </c>
      <c r="V109" s="141" t="inlineStr">
        <is>
          <t>— pending —</t>
        </is>
      </c>
      <c r="W109" s="141" t="inlineStr">
        <is>
          <t>— pending —</t>
        </is>
      </c>
      <c r="X109" s="129" t="inlineStr">
        <is>
          <t>#8, #9, #11, #12 from the initial testing</t>
        </is>
      </c>
      <c r="Y109" s="129" t="inlineStr">
        <is>
          <t>sampled — microbiology on file, retest assay pending</t>
        </is>
      </c>
    </row>
    <row r="110">
      <c r="A110" s="129" t="n">
        <v>109</v>
      </c>
      <c r="B110" s="129" t="inlineStr">
        <is>
          <t>retest — sampled — Tranche 2/3 (potency and mycotoxins pending)</t>
        </is>
      </c>
      <c r="C110" s="130">
        <f>IFERROR(INDEX('iCoA Register'!$B:$B,MATCH("P050262|R",'iCoA Register'!$P:$P,0)),"— at issue —")</f>
        <v/>
      </c>
      <c r="D110" s="130">
        <f>IFERROR(INDEX('CoQ Register'!$B:$B,MATCH("P050262|R",'CoQ Register'!$S:$S,0)),"—")</f>
        <v/>
      </c>
      <c r="E110" s="129" t="inlineStr">
        <is>
          <t>CoQ reissue (assigned on issue)</t>
        </is>
      </c>
      <c r="F110" s="129" t="inlineStr">
        <is>
          <t>legacy</t>
        </is>
      </c>
      <c r="G110" s="129" t="inlineStr">
        <is>
          <t>02.12.2026</t>
        </is>
      </c>
      <c r="H110" s="129" t="inlineStr">
        <is>
          <t>at retest sampling</t>
        </is>
      </c>
      <c r="I110" s="129" t="inlineStr">
        <is>
          <t>at the retest sampling · sampled — Tranche 2/3 (potency and mycotoxins pending)</t>
        </is>
      </c>
      <c r="J110" s="274">
        <f>IFERROR(INDEX('CoQ Register'!$D:$D,MATCH("P050262|R",'CoQ Register'!$S:$S,0)),"")</f>
        <v/>
      </c>
      <c r="K110" s="130" t="inlineStr">
        <is>
          <t>WC072501</t>
        </is>
      </c>
      <c r="L110" s="129" t="inlineStr">
        <is>
          <t>P050262</t>
        </is>
      </c>
      <c r="M110" s="129" t="inlineStr">
        <is>
          <t>Wedding Crusher</t>
        </is>
      </c>
      <c r="N110" s="129" t="inlineStr">
        <is>
          <t>27.10.2025 – 28.10.2025</t>
        </is>
      </c>
      <c r="O110" s="129" t="inlineStr">
        <is>
          <t>01.12.2025 (the issuance plan's basis: 02.12.2025)</t>
        </is>
      </c>
      <c r="P110" s="129" t="inlineStr">
        <is>
          <t>01.12.2025</t>
        </is>
      </c>
      <c r="Q110" s="129" t="inlineStr">
        <is>
          <t>Ident A + Ident B + Foreign matter</t>
        </is>
      </c>
      <c r="R110" s="129" t="inlineStr">
        <is>
          <t>to test</t>
        </is>
      </c>
      <c r="S110" s="129" t="inlineStr">
        <is>
          <t>to test</t>
        </is>
      </c>
      <c r="T110" s="129" t="inlineStr">
        <is>
          <t>to test</t>
        </is>
      </c>
      <c r="U110" s="141" t="inlineStr">
        <is>
          <t>— retest assay not yet on file —</t>
        </is>
      </c>
      <c r="V110" s="141" t="inlineStr">
        <is>
          <t>— pending —</t>
        </is>
      </c>
      <c r="W110" s="141" t="inlineStr">
        <is>
          <t>— pending —</t>
        </is>
      </c>
      <c r="X110" s="129" t="inlineStr">
        <is>
          <t>#8, #9, #11, #12 from the initial testing</t>
        </is>
      </c>
      <c r="Y110" s="129" t="inlineStr">
        <is>
          <t>sampled — microbiology on file, retest assay pending</t>
        </is>
      </c>
    </row>
    <row r="111">
      <c r="A111" s="129" t="n">
        <v>110</v>
      </c>
      <c r="B111" s="129" t="inlineStr">
        <is>
          <t>retest — not yet sampled</t>
        </is>
      </c>
      <c r="C111" s="130">
        <f>IFERROR(INDEX('iCoA Register'!$B:$B,MATCH("P050282|R",'iCoA Register'!$P:$P,0)),"— at issue —")</f>
        <v/>
      </c>
      <c r="D111" s="130">
        <f>IFERROR(INDEX('CoQ Register'!$B:$B,MATCH("P050282|R",'CoQ Register'!$S:$S,0)),"—")</f>
        <v/>
      </c>
      <c r="E111" s="129" t="inlineStr">
        <is>
          <t>CoQ reissue (assigned on issue)</t>
        </is>
      </c>
      <c r="F111" s="129" t="inlineStr">
        <is>
          <t>legacy</t>
        </is>
      </c>
      <c r="G111" s="129" t="inlineStr">
        <is>
          <t>03.12.2026</t>
        </is>
      </c>
      <c r="H111" s="129" t="inlineStr">
        <is>
          <t>at retest sampling</t>
        </is>
      </c>
      <c r="I111" s="129" t="inlineStr">
        <is>
          <t>at the retest sampling · not yet sampled</t>
        </is>
      </c>
      <c r="J111" s="274">
        <f>IFERROR(INDEX('CoQ Register'!$D:$D,MATCH("P050282|R",'CoQ Register'!$S:$S,0)),"")</f>
        <v/>
      </c>
      <c r="K111" s="130" t="inlineStr">
        <is>
          <t>CLE072501</t>
        </is>
      </c>
      <c r="L111" s="129" t="inlineStr">
        <is>
          <t>P050282</t>
        </is>
      </c>
      <c r="M111" s="129" t="inlineStr">
        <is>
          <t>Clemosa a bud</t>
        </is>
      </c>
      <c r="N111" s="129" t="inlineStr">
        <is>
          <t>28.10.2025</t>
        </is>
      </c>
      <c r="O111" s="129" t="inlineStr">
        <is>
          <t>03.12.2025 – 04.12.2025</t>
        </is>
      </c>
      <c r="P111" s="129" t="inlineStr">
        <is>
          <t>04.12.2025</t>
        </is>
      </c>
      <c r="Q111" s="129" t="inlineStr">
        <is>
          <t>Ident A + Ident B + Foreign matter</t>
        </is>
      </c>
      <c r="R111" s="129" t="inlineStr">
        <is>
          <t>to test</t>
        </is>
      </c>
      <c r="S111" s="129" t="inlineStr">
        <is>
          <t>to test</t>
        </is>
      </c>
      <c r="T111" s="129" t="inlineStr">
        <is>
          <t>to test</t>
        </is>
      </c>
      <c r="U111" s="141" t="inlineStr">
        <is>
          <t>— retest assay not yet on file —</t>
        </is>
      </c>
      <c r="V111" s="141" t="inlineStr">
        <is>
          <t>— pending —</t>
        </is>
      </c>
      <c r="W111" s="141" t="inlineStr">
        <is>
          <t>— pending —</t>
        </is>
      </c>
      <c r="X111" s="129" t="inlineStr">
        <is>
          <t>#8, #9, #11, #12 from the initial testing</t>
        </is>
      </c>
      <c r="Y111" s="141" t="inlineStr">
        <is>
          <t>pending — not yet sampled</t>
        </is>
      </c>
    </row>
    <row r="112">
      <c r="A112" s="129" t="n">
        <v>111</v>
      </c>
      <c r="B112" s="129" t="inlineStr">
        <is>
          <t>retest — not yet sampled</t>
        </is>
      </c>
      <c r="C112" s="130">
        <f>IFERROR(INDEX('iCoA Register'!$B:$B,MATCH("P050302|R",'iCoA Register'!$P:$P,0)),"— at issue —")</f>
        <v/>
      </c>
      <c r="D112" s="130">
        <f>IFERROR(INDEX('CoQ Register'!$B:$B,MATCH("P050302|R",'CoQ Register'!$S:$S,0)),"—")</f>
        <v/>
      </c>
      <c r="E112" s="129" t="inlineStr">
        <is>
          <t>CoQ reissue (assigned on issue)</t>
        </is>
      </c>
      <c r="F112" s="129" t="inlineStr">
        <is>
          <t>legacy</t>
        </is>
      </c>
      <c r="G112" s="129" t="inlineStr">
        <is>
          <t>22.12.2026</t>
        </is>
      </c>
      <c r="H112" s="129" t="inlineStr">
        <is>
          <t>at retest sampling</t>
        </is>
      </c>
      <c r="I112" s="129" t="inlineStr">
        <is>
          <t>at the retest sampling · not yet sampled</t>
        </is>
      </c>
      <c r="J112" s="274">
        <f>IFERROR(INDEX('CoQ Register'!$D:$D,MATCH("P050302|R",'CoQ Register'!$S:$S,0)),"")</f>
        <v/>
      </c>
      <c r="K112" s="130" t="inlineStr">
        <is>
          <t>GP072501/2</t>
        </is>
      </c>
      <c r="L112" s="129" t="inlineStr">
        <is>
          <t>P050302</t>
        </is>
      </c>
      <c r="M112" s="129" t="inlineStr">
        <is>
          <t>Grape Pie</t>
        </is>
      </c>
      <c r="N112" s="129" t="inlineStr">
        <is>
          <t>13.11.2025</t>
        </is>
      </c>
      <c r="O112" s="129" t="inlineStr">
        <is>
          <t>22.12.2025</t>
        </is>
      </c>
      <c r="P112" s="129" t="inlineStr">
        <is>
          <t>22.12.2025</t>
        </is>
      </c>
      <c r="Q112" s="129" t="inlineStr">
        <is>
          <t>Ident A + Ident B + Foreign matter</t>
        </is>
      </c>
      <c r="R112" s="129" t="inlineStr">
        <is>
          <t>to test</t>
        </is>
      </c>
      <c r="S112" s="129" t="inlineStr">
        <is>
          <t>to test</t>
        </is>
      </c>
      <c r="T112" s="129" t="inlineStr">
        <is>
          <t>to test</t>
        </is>
      </c>
      <c r="U112" s="141" t="inlineStr">
        <is>
          <t>— retest assay not yet on file —</t>
        </is>
      </c>
      <c r="V112" s="141" t="inlineStr">
        <is>
          <t>— pending —</t>
        </is>
      </c>
      <c r="W112" s="141" t="inlineStr">
        <is>
          <t>— pending —</t>
        </is>
      </c>
      <c r="X112" s="129" t="inlineStr">
        <is>
          <t>#8, #9, #11, #12 from the initial testing</t>
        </is>
      </c>
      <c r="Y112" s="141" t="inlineStr">
        <is>
          <t>pending — not yet sampled</t>
        </is>
      </c>
    </row>
    <row r="113">
      <c r="A113" s="129" t="n">
        <v>112</v>
      </c>
      <c r="B113" s="129" t="inlineStr">
        <is>
          <t>retest — not yet sampled</t>
        </is>
      </c>
      <c r="C113" s="130">
        <f>IFERROR(INDEX('iCoA Register'!$B:$B,MATCH("P050312|R",'iCoA Register'!$P:$P,0)),"— at issue —")</f>
        <v/>
      </c>
      <c r="D113" s="130">
        <f>IFERROR(INDEX('CoQ Register'!$B:$B,MATCH("P050312|R",'CoQ Register'!$S:$S,0)),"—")</f>
        <v/>
      </c>
      <c r="E113" s="129" t="inlineStr">
        <is>
          <t>CoQ reissue (assigned on issue)</t>
        </is>
      </c>
      <c r="F113" s="129" t="inlineStr">
        <is>
          <t>legacy</t>
        </is>
      </c>
      <c r="G113" s="129" t="inlineStr">
        <is>
          <t>23.12.2026</t>
        </is>
      </c>
      <c r="H113" s="129" t="inlineStr">
        <is>
          <t>at retest sampling</t>
        </is>
      </c>
      <c r="I113" s="129" t="inlineStr">
        <is>
          <t>at the retest sampling · not yet sampled</t>
        </is>
      </c>
      <c r="J113" s="274">
        <f>IFERROR(INDEX('CoQ Register'!$D:$D,MATCH("P050312|R",'CoQ Register'!$S:$S,0)),"")</f>
        <v/>
      </c>
      <c r="K113" s="130" t="inlineStr">
        <is>
          <t>GP082501/1</t>
        </is>
      </c>
      <c r="L113" s="129" t="inlineStr">
        <is>
          <t>P050312</t>
        </is>
      </c>
      <c r="M113" s="129" t="inlineStr">
        <is>
          <t>Grape Pie</t>
        </is>
      </c>
      <c r="N113" s="129" t="inlineStr">
        <is>
          <t>19.11.2025 – 20.11.2025</t>
        </is>
      </c>
      <c r="O113" s="129" t="inlineStr">
        <is>
          <t>23.12.2025 – 26.12.2025</t>
        </is>
      </c>
      <c r="P113" s="129" t="inlineStr">
        <is>
          <t>26.12.2025</t>
        </is>
      </c>
      <c r="Q113" s="129" t="inlineStr">
        <is>
          <t>Ident A + Ident B + Foreign matter</t>
        </is>
      </c>
      <c r="R113" s="129" t="inlineStr">
        <is>
          <t>to test</t>
        </is>
      </c>
      <c r="S113" s="129" t="inlineStr">
        <is>
          <t>to test</t>
        </is>
      </c>
      <c r="T113" s="129" t="inlineStr">
        <is>
          <t>to test</t>
        </is>
      </c>
      <c r="U113" s="141" t="inlineStr">
        <is>
          <t>— retest assay not yet on file —</t>
        </is>
      </c>
      <c r="V113" s="141" t="inlineStr">
        <is>
          <t>— pending —</t>
        </is>
      </c>
      <c r="W113" s="141" t="inlineStr">
        <is>
          <t>— pending —</t>
        </is>
      </c>
      <c r="X113" s="129" t="inlineStr">
        <is>
          <t>#8, #9, #11, #12 from the initial testing</t>
        </is>
      </c>
      <c r="Y113" s="141" t="inlineStr">
        <is>
          <t>pending — not yet sampled</t>
        </is>
      </c>
    </row>
    <row r="114">
      <c r="A114" s="129" t="n">
        <v>113</v>
      </c>
      <c r="B114" s="129" t="inlineStr">
        <is>
          <t>retest — Tranche 1 (sampled July 2026)</t>
        </is>
      </c>
      <c r="C114" s="130">
        <f>IFERROR(INDEX('iCoA Register'!$B:$B,MATCH("P050322|R",'iCoA Register'!$P:$P,0)),"— at issue —")</f>
        <v/>
      </c>
      <c r="D114" s="130">
        <f>IFERROR(INDEX('CoQ Register'!$B:$B,MATCH("P050322|R",'CoQ Register'!$S:$S,0)),"—")</f>
        <v/>
      </c>
      <c r="E114" s="129" t="inlineStr">
        <is>
          <t>CoQ reissue (assigned on issue)</t>
        </is>
      </c>
      <c r="F114" s="129" t="inlineStr">
        <is>
          <t>legacy</t>
        </is>
      </c>
      <c r="G114" s="129" t="inlineStr">
        <is>
          <t>26.12.2026</t>
        </is>
      </c>
      <c r="H114" s="129" t="inlineStr">
        <is>
          <t>at retest sampling</t>
        </is>
      </c>
      <c r="I114" s="129" t="inlineStr">
        <is>
          <t>at the retest sampling · Tranche 1 (sampled July 2026)</t>
        </is>
      </c>
      <c r="J114" s="274">
        <f>IFERROR(INDEX('CoQ Register'!$D:$D,MATCH("P050322|R",'CoQ Register'!$S:$S,0)),"")</f>
        <v/>
      </c>
      <c r="K114" s="130" t="inlineStr">
        <is>
          <t>GP082501/2</t>
        </is>
      </c>
      <c r="L114" s="129" t="inlineStr">
        <is>
          <t>P050322</t>
        </is>
      </c>
      <c r="M114" s="129" t="inlineStr">
        <is>
          <t>Grape Pie</t>
        </is>
      </c>
      <c r="N114" s="129" t="inlineStr">
        <is>
          <t>20.11.2025</t>
        </is>
      </c>
      <c r="O114" s="129" t="inlineStr">
        <is>
          <t>26.12.2025</t>
        </is>
      </c>
      <c r="P114" s="129" t="inlineStr">
        <is>
          <t>26.12.2025</t>
        </is>
      </c>
      <c r="Q114" s="129" t="inlineStr">
        <is>
          <t>Ident A + Ident B + Foreign matter</t>
        </is>
      </c>
      <c r="R114" s="129" t="inlineStr">
        <is>
          <t>to test</t>
        </is>
      </c>
      <c r="S114" s="129" t="inlineStr">
        <is>
          <t>to test</t>
        </is>
      </c>
      <c r="T114" s="129" t="inlineStr">
        <is>
          <t>to test</t>
        </is>
      </c>
      <c r="U114" s="129" t="inlineStr">
        <is>
          <t>197-12-K-26, (07.08.2026) [FHM-K]</t>
        </is>
      </c>
      <c r="V114" s="129" t="inlineStr">
        <is>
          <t>197-12-K-26, (07.08.2026) [FHM-K]</t>
        </is>
      </c>
      <c r="W114" s="129" t="inlineStr">
        <is>
          <t>197-12-M-26, (10.08.2026) [FHM-M]</t>
        </is>
      </c>
      <c r="X114" s="129" t="inlineStr">
        <is>
          <t>#8, #9, #11, #12 from the initial testing</t>
        </is>
      </c>
      <c r="Y114" s="140" t="inlineStr">
        <is>
          <t>due — retest assay, mycotoxins on file; in-house iCoA to test</t>
        </is>
      </c>
    </row>
    <row r="115">
      <c r="A115" s="129" t="n">
        <v>114</v>
      </c>
      <c r="B115" s="129" t="inlineStr">
        <is>
          <t>retest — not yet sampled</t>
        </is>
      </c>
      <c r="C115" s="130">
        <f>IFERROR(INDEX('iCoA Register'!$B:$B,MATCH("P060012|R",'iCoA Register'!$P:$P,0)),"— at issue —")</f>
        <v/>
      </c>
      <c r="D115" s="130">
        <f>IFERROR(INDEX('CoQ Register'!$B:$B,MATCH("P060012|R",'CoQ Register'!$S:$S,0)),"—")</f>
        <v/>
      </c>
      <c r="E115" s="129" t="inlineStr">
        <is>
          <t>CoQ reissue (assigned on issue)</t>
        </is>
      </c>
      <c r="F115" s="129" t="inlineStr">
        <is>
          <t>legacy</t>
        </is>
      </c>
      <c r="G115" s="129" t="inlineStr">
        <is>
          <t>13.01.2027</t>
        </is>
      </c>
      <c r="H115" s="129" t="inlineStr">
        <is>
          <t>at retest sampling</t>
        </is>
      </c>
      <c r="I115" s="129" t="inlineStr">
        <is>
          <t>at the retest sampling · not yet sampled</t>
        </is>
      </c>
      <c r="J115" s="274">
        <f>IFERROR(INDEX('CoQ Register'!$D:$D,MATCH("P060012|R",'CoQ Register'!$S:$S,0)),"")</f>
        <v/>
      </c>
      <c r="K115" s="130" t="inlineStr">
        <is>
          <t>WC082501</t>
        </is>
      </c>
      <c r="L115" s="129" t="inlineStr">
        <is>
          <t>P060012</t>
        </is>
      </c>
      <c r="M115" s="129" t="inlineStr">
        <is>
          <t>Wedding Crasher</t>
        </is>
      </c>
      <c r="N115" s="129" t="inlineStr">
        <is>
          <t>09.12.2025</t>
        </is>
      </c>
      <c r="O115" s="129" t="inlineStr">
        <is>
          <t>13.01.2026 – 14.01.2026</t>
        </is>
      </c>
      <c r="P115" s="129" t="inlineStr">
        <is>
          <t>14.01.2026</t>
        </is>
      </c>
      <c r="Q115" s="129" t="inlineStr">
        <is>
          <t>Ident A + Ident B + Foreign matter</t>
        </is>
      </c>
      <c r="R115" s="129" t="inlineStr">
        <is>
          <t>to test</t>
        </is>
      </c>
      <c r="S115" s="129" t="inlineStr">
        <is>
          <t>to test</t>
        </is>
      </c>
      <c r="T115" s="129" t="inlineStr">
        <is>
          <t>to test</t>
        </is>
      </c>
      <c r="U115" s="141" t="inlineStr">
        <is>
          <t>— retest assay not yet on file —</t>
        </is>
      </c>
      <c r="V115" s="141" t="inlineStr">
        <is>
          <t>— pending —</t>
        </is>
      </c>
      <c r="W115" s="141" t="inlineStr">
        <is>
          <t>— pending —</t>
        </is>
      </c>
      <c r="X115" s="129" t="inlineStr">
        <is>
          <t>#8, #9, #11, #12 from the initial testing</t>
        </is>
      </c>
      <c r="Y115" s="141" t="inlineStr">
        <is>
          <t>pending — not yet sampled</t>
        </is>
      </c>
    </row>
    <row r="116">
      <c r="A116" s="129" t="n">
        <v>115</v>
      </c>
      <c r="B116" s="129" t="inlineStr">
        <is>
          <t>retest — not yet sampled</t>
        </is>
      </c>
      <c r="C116" s="130">
        <f>IFERROR(INDEX('iCoA Register'!$B:$B,MATCH("P060022|R",'iCoA Register'!$P:$P,0)),"— at issue —")</f>
        <v/>
      </c>
      <c r="D116" s="130">
        <f>IFERROR(INDEX('CoQ Register'!$B:$B,MATCH("P060022|R",'CoQ Register'!$S:$S,0)),"—")</f>
        <v/>
      </c>
      <c r="E116" s="129" t="inlineStr">
        <is>
          <t>CoQ reissue (assigned on issue)</t>
        </is>
      </c>
      <c r="F116" s="129" t="inlineStr">
        <is>
          <t>legacy</t>
        </is>
      </c>
      <c r="G116" s="129" t="inlineStr">
        <is>
          <t>16.01.2027</t>
        </is>
      </c>
      <c r="H116" s="129" t="inlineStr">
        <is>
          <t>at retest sampling</t>
        </is>
      </c>
      <c r="I116" s="129" t="inlineStr">
        <is>
          <t>at the retest sampling · not yet sampled</t>
        </is>
      </c>
      <c r="J116" s="274">
        <f>IFERROR(INDEX('CoQ Register'!$D:$D,MATCH("P060022|R",'CoQ Register'!$S:$S,0)),"")</f>
        <v/>
      </c>
      <c r="K116" s="130" t="inlineStr">
        <is>
          <t>CJ082501/1</t>
        </is>
      </c>
      <c r="L116" s="129" t="inlineStr">
        <is>
          <t>P060022</t>
        </is>
      </c>
      <c r="M116" s="129" t="inlineStr">
        <is>
          <t>Cap Junky</t>
        </is>
      </c>
      <c r="N116" s="129" t="inlineStr">
        <is>
          <t>09.12.2025 – 10.12.2025</t>
        </is>
      </c>
      <c r="O116" s="129" t="inlineStr">
        <is>
          <t>16.01.2026</t>
        </is>
      </c>
      <c r="P116" s="129" t="inlineStr">
        <is>
          <t>16.01.2026</t>
        </is>
      </c>
      <c r="Q116" s="129" t="inlineStr">
        <is>
          <t>Ident A + Ident B + Foreign matter</t>
        </is>
      </c>
      <c r="R116" s="129" t="inlineStr">
        <is>
          <t>to test</t>
        </is>
      </c>
      <c r="S116" s="129" t="inlineStr">
        <is>
          <t>to test</t>
        </is>
      </c>
      <c r="T116" s="129" t="inlineStr">
        <is>
          <t>to test</t>
        </is>
      </c>
      <c r="U116" s="141" t="inlineStr">
        <is>
          <t>— retest assay not yet on file —</t>
        </is>
      </c>
      <c r="V116" s="141" t="inlineStr">
        <is>
          <t>— pending —</t>
        </is>
      </c>
      <c r="W116" s="141" t="inlineStr">
        <is>
          <t>— pending —</t>
        </is>
      </c>
      <c r="X116" s="129" t="inlineStr">
        <is>
          <t>#8, #9, #11, #12 from the initial testing</t>
        </is>
      </c>
      <c r="Y116" s="141" t="inlineStr">
        <is>
          <t>pending — not yet sampled</t>
        </is>
      </c>
    </row>
    <row r="117">
      <c r="A117" s="129" t="n">
        <v>116</v>
      </c>
      <c r="B117" s="129" t="inlineStr">
        <is>
          <t>retest — sampled — Tranche 2/3 (potency and mycotoxins pending)</t>
        </is>
      </c>
      <c r="C117" s="130">
        <f>IFERROR(INDEX('iCoA Register'!$B:$B,MATCH("P050292|R",'iCoA Register'!$P:$P,0)),"— at issue —")</f>
        <v/>
      </c>
      <c r="D117" s="130">
        <f>IFERROR(INDEX('CoQ Register'!$B:$B,MATCH("P050292|R",'CoQ Register'!$S:$S,0)),"—")</f>
        <v/>
      </c>
      <c r="E117" s="129" t="inlineStr">
        <is>
          <t>CoQ reissue (assigned on issue)</t>
        </is>
      </c>
      <c r="F117" s="129" t="inlineStr">
        <is>
          <t>legacy</t>
        </is>
      </c>
      <c r="G117" s="129" t="inlineStr">
        <is>
          <t>21.01.2027</t>
        </is>
      </c>
      <c r="H117" s="129" t="inlineStr">
        <is>
          <t>at retest sampling</t>
        </is>
      </c>
      <c r="I117" s="129" t="inlineStr">
        <is>
          <t>at the retest sampling · sampled — Tranche 2/3 (potency and mycotoxins pending)</t>
        </is>
      </c>
      <c r="J117" s="274">
        <f>IFERROR(INDEX('CoQ Register'!$D:$D,MATCH("P050292|R",'CoQ Register'!$S:$S,0)),"")</f>
        <v/>
      </c>
      <c r="K117" s="130" t="inlineStr">
        <is>
          <t>GP072501/1</t>
        </is>
      </c>
      <c r="L117" s="129" t="inlineStr">
        <is>
          <t>P050292</t>
        </is>
      </c>
      <c r="M117" s="129" t="inlineStr">
        <is>
          <t>Grape Pie</t>
        </is>
      </c>
      <c r="N117" s="129" t="inlineStr">
        <is>
          <t>11.11.2025 – 13.11.2025</t>
        </is>
      </c>
      <c r="O117" s="129" t="inlineStr">
        <is>
          <t>15.12.2025 – 21.12.2025 (the issuance plan's basis: 21.01.2026)</t>
        </is>
      </c>
      <c r="P117" s="129" t="inlineStr">
        <is>
          <t>21.12.2025</t>
        </is>
      </c>
      <c r="Q117" s="129" t="inlineStr">
        <is>
          <t>Ident A + Ident B + Foreign matter</t>
        </is>
      </c>
      <c r="R117" s="129" t="inlineStr">
        <is>
          <t>to test</t>
        </is>
      </c>
      <c r="S117" s="129" t="inlineStr">
        <is>
          <t>to test</t>
        </is>
      </c>
      <c r="T117" s="129" t="inlineStr">
        <is>
          <t>to test</t>
        </is>
      </c>
      <c r="U117" s="141" t="inlineStr">
        <is>
          <t>— retest assay not yet on file —</t>
        </is>
      </c>
      <c r="V117" s="141" t="inlineStr">
        <is>
          <t>— pending —</t>
        </is>
      </c>
      <c r="W117" s="141" t="inlineStr">
        <is>
          <t>— pending —</t>
        </is>
      </c>
      <c r="X117" s="129" t="inlineStr">
        <is>
          <t>#8, #9, #11, #12 from the initial testing</t>
        </is>
      </c>
      <c r="Y117" s="129" t="inlineStr">
        <is>
          <t>sampled — microbiology on file, retest assay pending</t>
        </is>
      </c>
    </row>
    <row r="118">
      <c r="A118" s="129" t="n">
        <v>117</v>
      </c>
      <c r="B118" s="129" t="inlineStr">
        <is>
          <t>retest — sampled — Tranche 2/3 (potency and mycotoxins pending)</t>
        </is>
      </c>
      <c r="C118" s="130">
        <f>IFERROR(INDEX('iCoA Register'!$B:$B,MATCH("P050272|R",'iCoA Register'!$P:$P,0)),"— at issue —")</f>
        <v/>
      </c>
      <c r="D118" s="130">
        <f>IFERROR(INDEX('CoQ Register'!$B:$B,MATCH("P050272|R",'CoQ Register'!$S:$S,0)),"—")</f>
        <v/>
      </c>
      <c r="E118" s="129" t="inlineStr">
        <is>
          <t>CoQ reissue (assigned on issue)</t>
        </is>
      </c>
      <c r="F118" s="129" t="inlineStr">
        <is>
          <t>legacy</t>
        </is>
      </c>
      <c r="G118" s="129" t="inlineStr">
        <is>
          <t>21.01.2027</t>
        </is>
      </c>
      <c r="H118" s="129" t="inlineStr">
        <is>
          <t>at retest sampling</t>
        </is>
      </c>
      <c r="I118" s="129" t="inlineStr">
        <is>
          <t>at the retest sampling · sampled — Tranche 2/3 (potency and mycotoxins pending)</t>
        </is>
      </c>
      <c r="J118" s="274">
        <f>IFERROR(INDEX('CoQ Register'!$D:$D,MATCH("P050272|R",'CoQ Register'!$S:$S,0)),"")</f>
        <v/>
      </c>
      <c r="K118" s="130" t="inlineStr">
        <is>
          <t>PM072501</t>
        </is>
      </c>
      <c r="L118" s="129" t="inlineStr">
        <is>
          <t>P050272</t>
        </is>
      </c>
      <c r="M118" s="129" t="inlineStr">
        <is>
          <t>Permanent Marker</t>
        </is>
      </c>
      <c r="N118" s="129" t="inlineStr">
        <is>
          <t>27.10.2025</t>
        </is>
      </c>
      <c r="O118" s="129" t="inlineStr">
        <is>
          <t>02.12.2025 – 03.12.2025 (the issuance plan's basis: 21.01.2026)</t>
        </is>
      </c>
      <c r="P118" s="129" t="inlineStr">
        <is>
          <t>03.12.2025</t>
        </is>
      </c>
      <c r="Q118" s="129" t="inlineStr">
        <is>
          <t>Ident A + Ident B + Foreign matter</t>
        </is>
      </c>
      <c r="R118" s="129" t="inlineStr">
        <is>
          <t>to test</t>
        </is>
      </c>
      <c r="S118" s="129" t="inlineStr">
        <is>
          <t>to test</t>
        </is>
      </c>
      <c r="T118" s="129" t="inlineStr">
        <is>
          <t>to test</t>
        </is>
      </c>
      <c r="U118" s="141" t="inlineStr">
        <is>
          <t>— retest assay not yet on file —</t>
        </is>
      </c>
      <c r="V118" s="141" t="inlineStr">
        <is>
          <t>— pending —</t>
        </is>
      </c>
      <c r="W118" s="141" t="inlineStr">
        <is>
          <t>— pending —</t>
        </is>
      </c>
      <c r="X118" s="129" t="inlineStr">
        <is>
          <t>#8, #9, #11, #12 from the initial testing</t>
        </is>
      </c>
      <c r="Y118" s="129" t="inlineStr">
        <is>
          <t>sampled — microbiology on file, retest assay pending</t>
        </is>
      </c>
    </row>
    <row r="119">
      <c r="A119" s="129" t="n">
        <v>118</v>
      </c>
      <c r="B119" s="129" t="inlineStr">
        <is>
          <t>retest — Tranche 1 (sampled July 2026)</t>
        </is>
      </c>
      <c r="C119" s="130">
        <f>IFERROR(INDEX('iCoA Register'!$B:$B,MATCH("P050212|R",'iCoA Register'!$P:$P,0)),"— at issue —")</f>
        <v/>
      </c>
      <c r="D119" s="130">
        <f>IFERROR(INDEX('CoQ Register'!$B:$B,MATCH("P050212|R",'CoQ Register'!$S:$S,0)),"—")</f>
        <v/>
      </c>
      <c r="E119" s="129" t="inlineStr">
        <is>
          <t>CoQ reissue (assigned on issue)</t>
        </is>
      </c>
      <c r="F119" s="129" t="inlineStr">
        <is>
          <t>legacy</t>
        </is>
      </c>
      <c r="G119" s="129" t="inlineStr">
        <is>
          <t>24.01.2027</t>
        </is>
      </c>
      <c r="H119" s="129" t="inlineStr">
        <is>
          <t>at retest sampling</t>
        </is>
      </c>
      <c r="I119" s="129" t="inlineStr">
        <is>
          <t>at the retest sampling · Tranche 1 (sampled July 2026)</t>
        </is>
      </c>
      <c r="J119" s="274">
        <f>IFERROR(INDEX('CoQ Register'!$D:$D,MATCH("P050212|R",'CoQ Register'!$S:$S,0)),"")</f>
        <v/>
      </c>
      <c r="K119" s="130" t="inlineStr">
        <is>
          <t>CJ062501/2</t>
        </is>
      </c>
      <c r="L119" s="129" t="inlineStr">
        <is>
          <t>P050212</t>
        </is>
      </c>
      <c r="M119" s="129" t="inlineStr">
        <is>
          <t>Cap Junkie</t>
        </is>
      </c>
      <c r="N119" s="129" t="inlineStr">
        <is>
          <t>23.09.2025 – 24.09.2025</t>
        </is>
      </c>
      <c r="O119" s="129" t="inlineStr">
        <is>
          <t>18.11.2025 – 24.11.2025 (the issuance plan's basis: 24.01.2026)</t>
        </is>
      </c>
      <c r="P119" s="129" t="inlineStr">
        <is>
          <t>24.11.2025</t>
        </is>
      </c>
      <c r="Q119" s="129" t="inlineStr">
        <is>
          <t>Ident A + Ident B + Foreign matter</t>
        </is>
      </c>
      <c r="R119" s="129" t="inlineStr">
        <is>
          <t>to test</t>
        </is>
      </c>
      <c r="S119" s="129" t="inlineStr">
        <is>
          <t>to test</t>
        </is>
      </c>
      <c r="T119" s="129" t="inlineStr">
        <is>
          <t>to test</t>
        </is>
      </c>
      <c r="U119" s="129" t="inlineStr">
        <is>
          <t>197-4-K-26, (07.08.2026) [FHM-K]</t>
        </is>
      </c>
      <c r="V119" s="129" t="inlineStr">
        <is>
          <t>197-4-K-26, (07.08.2026) [FHM-K]</t>
        </is>
      </c>
      <c r="W119" s="129" t="inlineStr">
        <is>
          <t>197-4-M-26, (10.08.2026) [FHM-M]</t>
        </is>
      </c>
      <c r="X119" s="129" t="inlineStr">
        <is>
          <t>#8, #9, #11, #12 from the initial testing</t>
        </is>
      </c>
      <c r="Y119" s="140" t="inlineStr">
        <is>
          <t>due — retest assay, mycotoxins on file; in-house iCoA to test</t>
        </is>
      </c>
    </row>
    <row r="120">
      <c r="A120" s="129" t="n">
        <v>119</v>
      </c>
      <c r="B120" s="129" t="inlineStr">
        <is>
          <t>retest — Tranche 1 (sampled July 2026)</t>
        </is>
      </c>
      <c r="C120" s="130">
        <f>IFERROR(INDEX('iCoA Register'!$B:$B,MATCH("P060032|R",'iCoA Register'!$P:$P,0)),"— at issue —")</f>
        <v/>
      </c>
      <c r="D120" s="130">
        <f>IFERROR(INDEX('CoQ Register'!$B:$B,MATCH("P060032|R",'CoQ Register'!$S:$S,0)),"—")</f>
        <v/>
      </c>
      <c r="E120" s="129" t="inlineStr">
        <is>
          <t>CoQ reissue (assigned on issue)</t>
        </is>
      </c>
      <c r="F120" s="129" t="inlineStr">
        <is>
          <t>legacy</t>
        </is>
      </c>
      <c r="G120" s="129" t="inlineStr">
        <is>
          <t>29.01.2027</t>
        </is>
      </c>
      <c r="H120" s="129" t="inlineStr">
        <is>
          <t>at retest sampling</t>
        </is>
      </c>
      <c r="I120" s="129" t="inlineStr">
        <is>
          <t>at the retest sampling · Tranche 1 (sampled July 2026)</t>
        </is>
      </c>
      <c r="J120" s="274">
        <f>IFERROR(INDEX('CoQ Register'!$D:$D,MATCH("P060032|R",'CoQ Register'!$S:$S,0)),"")</f>
        <v/>
      </c>
      <c r="K120" s="130" t="inlineStr">
        <is>
          <t>CJ082501/2</t>
        </is>
      </c>
      <c r="L120" s="129" t="inlineStr">
        <is>
          <t>P060032</t>
        </is>
      </c>
      <c r="M120" s="129" t="inlineStr">
        <is>
          <t>Cap Junky</t>
        </is>
      </c>
      <c r="N120" s="129" t="inlineStr">
        <is>
          <t>10.12.2025</t>
        </is>
      </c>
      <c r="O120" s="129" t="inlineStr">
        <is>
          <t>29.01.2026</t>
        </is>
      </c>
      <c r="P120" s="129" t="inlineStr">
        <is>
          <t>29.01.2026</t>
        </is>
      </c>
      <c r="Q120" s="129" t="inlineStr">
        <is>
          <t>Ident A + Ident B + Foreign matter</t>
        </is>
      </c>
      <c r="R120" s="129" t="inlineStr">
        <is>
          <t>to test</t>
        </is>
      </c>
      <c r="S120" s="129" t="inlineStr">
        <is>
          <t>to test</t>
        </is>
      </c>
      <c r="T120" s="129" t="inlineStr">
        <is>
          <t>to test</t>
        </is>
      </c>
      <c r="U120" s="129" t="inlineStr">
        <is>
          <t>197-5-K-26, (07.08.2026) [FHM-K]</t>
        </is>
      </c>
      <c r="V120" s="129" t="inlineStr">
        <is>
          <t>197-5-K-26, (07.08.2026) [FHM-K]</t>
        </is>
      </c>
      <c r="W120" s="129" t="inlineStr">
        <is>
          <t>197-5-M-26, (10.08.2026) [FHM-M]</t>
        </is>
      </c>
      <c r="X120" s="129" t="inlineStr">
        <is>
          <t>#8, #9, #11, #12 from the initial testing</t>
        </is>
      </c>
      <c r="Y120" s="140" t="inlineStr">
        <is>
          <t>due — retest assay, mycotoxins on file; in-house iCoA to test</t>
        </is>
      </c>
    </row>
    <row r="121">
      <c r="A121" s="129" t="n">
        <v>120</v>
      </c>
      <c r="B121" s="129" t="inlineStr">
        <is>
          <t>retest — not yet sampled</t>
        </is>
      </c>
      <c r="C121" s="130">
        <f>IFERROR(INDEX('iCoA Register'!$B:$B,MATCH("P060042|R",'iCoA Register'!$P:$P,0)),"— at issue —")</f>
        <v/>
      </c>
      <c r="D121" s="130">
        <f>IFERROR(INDEX('CoQ Register'!$B:$B,MATCH("P060042|R",'CoQ Register'!$S:$S,0)),"—")</f>
        <v/>
      </c>
      <c r="E121" s="129" t="inlineStr">
        <is>
          <t>CoQ reissue (assigned on issue)</t>
        </is>
      </c>
      <c r="F121" s="129" t="inlineStr">
        <is>
          <t>legacy</t>
        </is>
      </c>
      <c r="G121" s="129" t="inlineStr">
        <is>
          <t>29.01.2027</t>
        </is>
      </c>
      <c r="H121" s="129" t="inlineStr">
        <is>
          <t>at retest sampling</t>
        </is>
      </c>
      <c r="I121" s="129" t="inlineStr">
        <is>
          <t>at the retest sampling · not yet sampled</t>
        </is>
      </c>
      <c r="J121" s="274">
        <f>IFERROR(INDEX('CoQ Register'!$D:$D,MATCH("P060042|R",'CoQ Register'!$S:$S,0)),"")</f>
        <v/>
      </c>
      <c r="K121" s="130" t="inlineStr">
        <is>
          <t>OPM092501</t>
        </is>
      </c>
      <c r="L121" s="129" t="inlineStr">
        <is>
          <t>P060042</t>
        </is>
      </c>
      <c r="M121" s="129" t="inlineStr">
        <is>
          <t>Orange Punch Mimosa</t>
        </is>
      </c>
      <c r="N121" s="129" t="inlineStr">
        <is>
          <t>12.12.2025</t>
        </is>
      </c>
      <c r="O121" s="129" t="inlineStr">
        <is>
          <t>29.01.2026</t>
        </is>
      </c>
      <c r="P121" s="129" t="inlineStr">
        <is>
          <t>29.01.2026</t>
        </is>
      </c>
      <c r="Q121" s="129" t="inlineStr">
        <is>
          <t>Ident A + Ident B + Foreign matter</t>
        </is>
      </c>
      <c r="R121" s="129" t="inlineStr">
        <is>
          <t>to test</t>
        </is>
      </c>
      <c r="S121" s="129" t="inlineStr">
        <is>
          <t>to test</t>
        </is>
      </c>
      <c r="T121" s="129" t="inlineStr">
        <is>
          <t>to test</t>
        </is>
      </c>
      <c r="U121" s="141" t="inlineStr">
        <is>
          <t>— retest assay not yet on file —</t>
        </is>
      </c>
      <c r="V121" s="141" t="inlineStr">
        <is>
          <t>— pending —</t>
        </is>
      </c>
      <c r="W121" s="141" t="inlineStr">
        <is>
          <t>— pending —</t>
        </is>
      </c>
      <c r="X121" s="129" t="inlineStr">
        <is>
          <t>#8, #9, #11, #12 from the initial testing</t>
        </is>
      </c>
      <c r="Y121" s="141" t="inlineStr">
        <is>
          <t>pending — not yet sampled</t>
        </is>
      </c>
    </row>
    <row r="122">
      <c r="A122" s="129" t="n">
        <v>121</v>
      </c>
      <c r="B122" s="129" t="inlineStr">
        <is>
          <t>retest — Tranche 1 (sampled July 2026)</t>
        </is>
      </c>
      <c r="C122" s="130">
        <f>IFERROR(INDEX('iCoA Register'!$B:$B,MATCH("P060062|R",'iCoA Register'!$P:$P,0)),"— at issue —")</f>
        <v/>
      </c>
      <c r="D122" s="130">
        <f>IFERROR(INDEX('CoQ Register'!$B:$B,MATCH("P060062|R",'CoQ Register'!$S:$S,0)),"—")</f>
        <v/>
      </c>
      <c r="E122" s="129" t="inlineStr">
        <is>
          <t>CoQ reissue (assigned on issue)</t>
        </is>
      </c>
      <c r="F122" s="129" t="inlineStr">
        <is>
          <t>legacy</t>
        </is>
      </c>
      <c r="G122" s="129" t="inlineStr">
        <is>
          <t>30.01.2027</t>
        </is>
      </c>
      <c r="H122" s="129" t="inlineStr">
        <is>
          <t>at retest sampling</t>
        </is>
      </c>
      <c r="I122" s="129" t="inlineStr">
        <is>
          <t>at the retest sampling · Tranche 1 (sampled July 2026)</t>
        </is>
      </c>
      <c r="J122" s="274">
        <f>IFERROR(INDEX('CoQ Register'!$D:$D,MATCH("P060062|R",'CoQ Register'!$S:$S,0)),"")</f>
        <v/>
      </c>
      <c r="K122" s="130" t="inlineStr">
        <is>
          <t>PM092501</t>
        </is>
      </c>
      <c r="L122" s="129" t="inlineStr">
        <is>
          <t>P060062</t>
        </is>
      </c>
      <c r="M122" s="129" t="inlineStr">
        <is>
          <t>Permanent Market</t>
        </is>
      </c>
      <c r="N122" s="129" t="inlineStr">
        <is>
          <t>11.12.2025</t>
        </is>
      </c>
      <c r="O122" s="129" t="inlineStr">
        <is>
          <t>30.01.2026</t>
        </is>
      </c>
      <c r="P122" s="129" t="inlineStr">
        <is>
          <t>30.01.2026</t>
        </is>
      </c>
      <c r="Q122" s="129" t="inlineStr">
        <is>
          <t>Ident A + Ident B + Foreign matter</t>
        </is>
      </c>
      <c r="R122" s="129" t="inlineStr">
        <is>
          <t>to test</t>
        </is>
      </c>
      <c r="S122" s="129" t="inlineStr">
        <is>
          <t>to test</t>
        </is>
      </c>
      <c r="T122" s="129" t="inlineStr">
        <is>
          <t>to test</t>
        </is>
      </c>
      <c r="U122" s="129" t="inlineStr">
        <is>
          <t>197-20-K-26, (07.08.2026) [FHM-K]</t>
        </is>
      </c>
      <c r="V122" s="129" t="inlineStr">
        <is>
          <t>197-20-K-26, (07.08.2026) [FHM-K]</t>
        </is>
      </c>
      <c r="W122" s="129" t="inlineStr">
        <is>
          <t>197-20-M-26, (10.08.2026) [FHM-M]</t>
        </is>
      </c>
      <c r="X122" s="129" t="inlineStr">
        <is>
          <t>#8, #9, #11, #12 from the initial testing</t>
        </is>
      </c>
      <c r="Y122" s="140" t="inlineStr">
        <is>
          <t>due — retest assay, mycotoxins on file; in-house iCoA to test</t>
        </is>
      </c>
    </row>
    <row r="123">
      <c r="A123" s="129" t="n">
        <v>122</v>
      </c>
      <c r="B123" s="129" t="inlineStr">
        <is>
          <t>retest — not yet sampled</t>
        </is>
      </c>
      <c r="C123" s="130">
        <f>IFERROR(INDEX('iCoA Register'!$B:$B,MATCH("P060072|R",'iCoA Register'!$P:$P,0)),"— at issue —")</f>
        <v/>
      </c>
      <c r="D123" s="130">
        <f>IFERROR(INDEX('CoQ Register'!$B:$B,MATCH("P060072|R",'CoQ Register'!$S:$S,0)),"—")</f>
        <v/>
      </c>
      <c r="E123" s="129" t="inlineStr">
        <is>
          <t>CoQ reissue (assigned on issue)</t>
        </is>
      </c>
      <c r="F123" s="129" t="inlineStr">
        <is>
          <t>legacy</t>
        </is>
      </c>
      <c r="G123" s="129" t="inlineStr">
        <is>
          <t>02.02.2027</t>
        </is>
      </c>
      <c r="H123" s="129" t="inlineStr">
        <is>
          <t>at retest sampling</t>
        </is>
      </c>
      <c r="I123" s="129" t="inlineStr">
        <is>
          <t>at the retest sampling · not yet sampled</t>
        </is>
      </c>
      <c r="J123" s="274">
        <f>IFERROR(INDEX('CoQ Register'!$D:$D,MATCH("P060072|R",'CoQ Register'!$S:$S,0)),"")</f>
        <v/>
      </c>
      <c r="K123" s="130" t="inlineStr">
        <is>
          <t>CJ092501</t>
        </is>
      </c>
      <c r="L123" s="129" t="inlineStr">
        <is>
          <t>P060072</t>
        </is>
      </c>
      <c r="M123" s="129" t="inlineStr">
        <is>
          <t>Cap Junky</t>
        </is>
      </c>
      <c r="N123" s="129" t="inlineStr">
        <is>
          <t>12.12.2025</t>
        </is>
      </c>
      <c r="O123" s="129" t="inlineStr">
        <is>
          <t>02.02.2026</t>
        </is>
      </c>
      <c r="P123" s="129" t="inlineStr">
        <is>
          <t>02.02.2026</t>
        </is>
      </c>
      <c r="Q123" s="129" t="inlineStr">
        <is>
          <t>Ident A + Ident B + Foreign matter</t>
        </is>
      </c>
      <c r="R123" s="129" t="inlineStr">
        <is>
          <t>to test</t>
        </is>
      </c>
      <c r="S123" s="129" t="inlineStr">
        <is>
          <t>to test</t>
        </is>
      </c>
      <c r="T123" s="129" t="inlineStr">
        <is>
          <t>to test</t>
        </is>
      </c>
      <c r="U123" s="141" t="inlineStr">
        <is>
          <t>— retest assay not yet on file —</t>
        </is>
      </c>
      <c r="V123" s="141" t="inlineStr">
        <is>
          <t>— pending —</t>
        </is>
      </c>
      <c r="W123" s="141" t="inlineStr">
        <is>
          <t>— pending —</t>
        </is>
      </c>
      <c r="X123" s="129" t="inlineStr">
        <is>
          <t>#8, #9, #11, #12 from the initial testing</t>
        </is>
      </c>
      <c r="Y123" s="141" t="inlineStr">
        <is>
          <t>pending — not yet sampled</t>
        </is>
      </c>
    </row>
    <row r="124">
      <c r="A124" s="129" t="n">
        <v>123</v>
      </c>
      <c r="B124" s="129" t="inlineStr">
        <is>
          <t>retest — not yet sampled</t>
        </is>
      </c>
      <c r="C124" s="130">
        <f>IFERROR(INDEX('iCoA Register'!$B:$B,MATCH("P060082|R",'iCoA Register'!$P:$P,0)),"— at issue —")</f>
        <v/>
      </c>
      <c r="D124" s="130">
        <f>IFERROR(INDEX('CoQ Register'!$B:$B,MATCH("P060082|R",'CoQ Register'!$S:$S,0)),"—")</f>
        <v/>
      </c>
      <c r="E124" s="129" t="inlineStr">
        <is>
          <t>CoQ reissue (assigned on issue)</t>
        </is>
      </c>
      <c r="F124" s="129" t="inlineStr">
        <is>
          <t>legacy</t>
        </is>
      </c>
      <c r="G124" s="129" t="inlineStr">
        <is>
          <t>02.02.2027</t>
        </is>
      </c>
      <c r="H124" s="129" t="inlineStr">
        <is>
          <t>at retest sampling</t>
        </is>
      </c>
      <c r="I124" s="129" t="inlineStr">
        <is>
          <t>at the retest sampling · not yet sampled</t>
        </is>
      </c>
      <c r="J124" s="274">
        <f>IFERROR(INDEX('CoQ Register'!$D:$D,MATCH("P060082|R",'CoQ Register'!$S:$S,0)),"")</f>
        <v/>
      </c>
      <c r="K124" s="130" t="inlineStr">
        <is>
          <t>SJ0925021</t>
        </is>
      </c>
      <c r="L124" s="129" t="inlineStr">
        <is>
          <t>P060082</t>
        </is>
      </c>
      <c r="M124" s="129" t="inlineStr"/>
      <c r="N124" s="129" t="inlineStr">
        <is>
          <t>11.12.2025 – 12.12.2025</t>
        </is>
      </c>
      <c r="O124" s="129" t="inlineStr">
        <is>
          <t>02.02.2026</t>
        </is>
      </c>
      <c r="P124" s="129" t="inlineStr">
        <is>
          <t>02.02.2026</t>
        </is>
      </c>
      <c r="Q124" s="129" t="inlineStr">
        <is>
          <t>Ident A + Ident B + Foreign matter</t>
        </is>
      </c>
      <c r="R124" s="129" t="inlineStr">
        <is>
          <t>to test</t>
        </is>
      </c>
      <c r="S124" s="129" t="inlineStr">
        <is>
          <t>to test</t>
        </is>
      </c>
      <c r="T124" s="129" t="inlineStr">
        <is>
          <t>to test</t>
        </is>
      </c>
      <c r="U124" s="141" t="inlineStr">
        <is>
          <t>— retest assay not yet on file —</t>
        </is>
      </c>
      <c r="V124" s="141" t="inlineStr">
        <is>
          <t>— pending —</t>
        </is>
      </c>
      <c r="W124" s="141" t="inlineStr">
        <is>
          <t>— pending —</t>
        </is>
      </c>
      <c r="X124" s="129" t="inlineStr">
        <is>
          <t>#8, #9, #11, #12 from the initial testing</t>
        </is>
      </c>
      <c r="Y124" s="141" t="inlineStr">
        <is>
          <t>pending — not yet sampled</t>
        </is>
      </c>
    </row>
    <row r="125">
      <c r="A125" s="129" t="n">
        <v>124</v>
      </c>
      <c r="B125" s="129" t="inlineStr">
        <is>
          <t>retest — not yet sampled</t>
        </is>
      </c>
      <c r="C125" s="130">
        <f>IFERROR(INDEX('iCoA Register'!$B:$B,MATCH("P060092|R",'iCoA Register'!$P:$P,0)),"— at issue —")</f>
        <v/>
      </c>
      <c r="D125" s="130">
        <f>IFERROR(INDEX('CoQ Register'!$B:$B,MATCH("P060092|R",'CoQ Register'!$S:$S,0)),"—")</f>
        <v/>
      </c>
      <c r="E125" s="129" t="inlineStr">
        <is>
          <t>CoQ reissue (assigned on issue)</t>
        </is>
      </c>
      <c r="F125" s="129" t="inlineStr">
        <is>
          <t>legacy</t>
        </is>
      </c>
      <c r="G125" s="129" t="inlineStr">
        <is>
          <t>03.02.2027</t>
        </is>
      </c>
      <c r="H125" s="129" t="inlineStr">
        <is>
          <t>at retest sampling</t>
        </is>
      </c>
      <c r="I125" s="129" t="inlineStr">
        <is>
          <t>at the retest sampling · not yet sampled</t>
        </is>
      </c>
      <c r="J125" s="274">
        <f>IFERROR(INDEX('CoQ Register'!$D:$D,MATCH("P060092|R",'CoQ Register'!$S:$S,0)),"")</f>
        <v/>
      </c>
      <c r="K125" s="130" t="inlineStr">
        <is>
          <t>GP092501</t>
        </is>
      </c>
      <c r="L125" s="129" t="inlineStr">
        <is>
          <t>P060092</t>
        </is>
      </c>
      <c r="M125" s="129" t="inlineStr">
        <is>
          <t>Grape Pie</t>
        </is>
      </c>
      <c r="N125" s="129" t="inlineStr">
        <is>
          <t>16.12.2025 – 17.12.2025</t>
        </is>
      </c>
      <c r="O125" s="129" t="inlineStr">
        <is>
          <t>03.02.2026 – 09.02.2026</t>
        </is>
      </c>
      <c r="P125" s="129" t="inlineStr">
        <is>
          <t>09.02.2026</t>
        </is>
      </c>
      <c r="Q125" s="129" t="inlineStr">
        <is>
          <t>Ident A + Ident B + Foreign matter</t>
        </is>
      </c>
      <c r="R125" s="129" t="inlineStr">
        <is>
          <t>to test</t>
        </is>
      </c>
      <c r="S125" s="129" t="inlineStr">
        <is>
          <t>to test</t>
        </is>
      </c>
      <c r="T125" s="129" t="inlineStr">
        <is>
          <t>to test</t>
        </is>
      </c>
      <c r="U125" s="141" t="inlineStr">
        <is>
          <t>— retest assay not yet on file —</t>
        </is>
      </c>
      <c r="V125" s="141" t="inlineStr">
        <is>
          <t>— pending —</t>
        </is>
      </c>
      <c r="W125" s="141" t="inlineStr">
        <is>
          <t>— pending —</t>
        </is>
      </c>
      <c r="X125" s="129" t="inlineStr">
        <is>
          <t>#8, #9, #11, #12 from the initial testing</t>
        </is>
      </c>
      <c r="Y125" s="141" t="inlineStr">
        <is>
          <t>pending — not yet sampled</t>
        </is>
      </c>
    </row>
    <row r="126">
      <c r="A126" s="129" t="n">
        <v>125</v>
      </c>
      <c r="B126" s="129" t="inlineStr">
        <is>
          <t>retest — sampled — Tranche 2/3 (potency and mycotoxins pending)</t>
        </is>
      </c>
      <c r="C126" s="130">
        <f>IFERROR(INDEX('iCoA Register'!$B:$B,MATCH("P060052|R",'iCoA Register'!$P:$P,0)),"— at issue —")</f>
        <v/>
      </c>
      <c r="D126" s="130">
        <f>IFERROR(INDEX('CoQ Register'!$B:$B,MATCH("P060052|R",'CoQ Register'!$S:$S,0)),"—")</f>
        <v/>
      </c>
      <c r="E126" s="129" t="inlineStr">
        <is>
          <t>CoQ reissue (assigned on issue)</t>
        </is>
      </c>
      <c r="F126" s="129" t="inlineStr">
        <is>
          <t>legacy</t>
        </is>
      </c>
      <c r="G126" s="129" t="inlineStr">
        <is>
          <t>20.02.2027</t>
        </is>
      </c>
      <c r="H126" s="129" t="inlineStr">
        <is>
          <t>at retest sampling</t>
        </is>
      </c>
      <c r="I126" s="129" t="inlineStr">
        <is>
          <t>at the retest sampling · sampled — Tranche 2/3 (potency and mycotoxins pending)</t>
        </is>
      </c>
      <c r="J126" s="274">
        <f>IFERROR(INDEX('CoQ Register'!$D:$D,MATCH("P060052|R",'CoQ Register'!$S:$S,0)),"")</f>
        <v/>
      </c>
      <c r="K126" s="130" t="inlineStr">
        <is>
          <t>AB092501</t>
        </is>
      </c>
      <c r="L126" s="129" t="inlineStr">
        <is>
          <t>P060052</t>
        </is>
      </c>
      <c r="M126" s="129" t="inlineStr">
        <is>
          <t>Apple and Banana</t>
        </is>
      </c>
      <c r="N126" s="129" t="inlineStr">
        <is>
          <t>11.12.2025</t>
        </is>
      </c>
      <c r="O126" s="129" t="inlineStr">
        <is>
          <t>30.01.2026 (the issuance plan's basis: 20.02.2026)</t>
        </is>
      </c>
      <c r="P126" s="129" t="inlineStr">
        <is>
          <t>30.01.2026</t>
        </is>
      </c>
      <c r="Q126" s="129" t="inlineStr">
        <is>
          <t>Ident A + Ident B + Foreign matter</t>
        </is>
      </c>
      <c r="R126" s="129" t="inlineStr">
        <is>
          <t>to test</t>
        </is>
      </c>
      <c r="S126" s="129" t="inlineStr">
        <is>
          <t>to test</t>
        </is>
      </c>
      <c r="T126" s="129" t="inlineStr">
        <is>
          <t>to test</t>
        </is>
      </c>
      <c r="U126" s="141" t="inlineStr">
        <is>
          <t>— retest assay not yet on file —</t>
        </is>
      </c>
      <c r="V126" s="141" t="inlineStr">
        <is>
          <t>— pending —</t>
        </is>
      </c>
      <c r="W126" s="141" t="inlineStr">
        <is>
          <t>— pending —</t>
        </is>
      </c>
      <c r="X126" s="129" t="inlineStr">
        <is>
          <t>#8, #9, #11, #12 from the initial testing</t>
        </is>
      </c>
      <c r="Y126" s="129" t="inlineStr">
        <is>
          <t>sampled — microbiology on file, retest assay pending</t>
        </is>
      </c>
    </row>
    <row r="127">
      <c r="A127" s="129" t="n">
        <v>126</v>
      </c>
      <c r="B127" s="129" t="inlineStr">
        <is>
          <t>retest — sampled — Tranche 2/3 (potency and mycotoxins pending)</t>
        </is>
      </c>
      <c r="C127" s="130">
        <f>IFERROR(INDEX('iCoA Register'!$B:$B,MATCH("P060162|R",'iCoA Register'!$P:$P,0)),"— at issue —")</f>
        <v/>
      </c>
      <c r="D127" s="130">
        <f>IFERROR(INDEX('CoQ Register'!$B:$B,MATCH("P060162|R",'CoQ Register'!$S:$S,0)),"—")</f>
        <v/>
      </c>
      <c r="E127" s="129" t="inlineStr">
        <is>
          <t>CoQ reissue (assigned on issue)</t>
        </is>
      </c>
      <c r="F127" s="129" t="inlineStr">
        <is>
          <t>legacy</t>
        </is>
      </c>
      <c r="G127" s="129" t="inlineStr">
        <is>
          <t>04.03.2027</t>
        </is>
      </c>
      <c r="H127" s="129" t="inlineStr">
        <is>
          <t>at retest sampling</t>
        </is>
      </c>
      <c r="I127" s="129" t="inlineStr">
        <is>
          <t>at the retest sampling · sampled — Tranche 2/3 (potency and mycotoxins pending)</t>
        </is>
      </c>
      <c r="J127" s="274">
        <f>IFERROR(INDEX('CoQ Register'!$D:$D,MATCH("P060162|R",'CoQ Register'!$S:$S,0)),"")</f>
        <v/>
      </c>
      <c r="K127" s="130" t="inlineStr">
        <is>
          <t>SJ102501</t>
        </is>
      </c>
      <c r="L127" s="129" t="inlineStr">
        <is>
          <t>P060162</t>
        </is>
      </c>
      <c r="M127" s="129" t="inlineStr">
        <is>
          <t>Sleepy Joe</t>
        </is>
      </c>
      <c r="N127" s="129" t="inlineStr">
        <is>
          <t>20.01.2026</t>
        </is>
      </c>
      <c r="O127" s="129" t="inlineStr">
        <is>
          <t>09.03.2026 (the issuance plan's basis: 04.03.2026)</t>
        </is>
      </c>
      <c r="P127" s="129" t="inlineStr">
        <is>
          <t>09.03.2026</t>
        </is>
      </c>
      <c r="Q127" s="129" t="inlineStr">
        <is>
          <t>Ident A + Ident B + Foreign matter</t>
        </is>
      </c>
      <c r="R127" s="129" t="inlineStr">
        <is>
          <t>to test</t>
        </is>
      </c>
      <c r="S127" s="129" t="inlineStr">
        <is>
          <t>to test</t>
        </is>
      </c>
      <c r="T127" s="129" t="inlineStr">
        <is>
          <t>to test</t>
        </is>
      </c>
      <c r="U127" s="141" t="inlineStr">
        <is>
          <t>— retest assay not yet on file —</t>
        </is>
      </c>
      <c r="V127" s="141" t="inlineStr">
        <is>
          <t>— pending —</t>
        </is>
      </c>
      <c r="W127" s="141" t="inlineStr">
        <is>
          <t>— pending —</t>
        </is>
      </c>
      <c r="X127" s="129" t="inlineStr">
        <is>
          <t>#8, #9, #11, #12 from the initial testing</t>
        </is>
      </c>
      <c r="Y127" s="129" t="inlineStr">
        <is>
          <t>sampled — microbiology on file, retest assay pending</t>
        </is>
      </c>
    </row>
    <row r="128">
      <c r="A128" s="129" t="n">
        <v>127</v>
      </c>
      <c r="B128" s="129" t="inlineStr">
        <is>
          <t>retest — not yet sampled</t>
        </is>
      </c>
      <c r="C128" s="130">
        <f>IFERROR(INDEX('iCoA Register'!$B:$B,MATCH("P060192|R",'iCoA Register'!$P:$P,0)),"— at issue —")</f>
        <v/>
      </c>
      <c r="D128" s="130">
        <f>IFERROR(INDEX('CoQ Register'!$B:$B,MATCH("P060192|R",'CoQ Register'!$S:$S,0)),"—")</f>
        <v/>
      </c>
      <c r="E128" s="129" t="inlineStr">
        <is>
          <t>CoQ reissue (assigned on issue)</t>
        </is>
      </c>
      <c r="F128" s="129" t="inlineStr">
        <is>
          <t>legacy</t>
        </is>
      </c>
      <c r="G128" s="129" t="inlineStr">
        <is>
          <t>04.03.2027</t>
        </is>
      </c>
      <c r="H128" s="129" t="inlineStr">
        <is>
          <t>at retest sampling</t>
        </is>
      </c>
      <c r="I128" s="129" t="inlineStr">
        <is>
          <t>at the retest sampling · not yet sampled</t>
        </is>
      </c>
      <c r="J128" s="274">
        <f>IFERROR(INDEX('CoQ Register'!$D:$D,MATCH("P060192|R",'CoQ Register'!$S:$S,0)),"")</f>
        <v/>
      </c>
      <c r="K128" s="130" t="inlineStr">
        <is>
          <t>SJ112501</t>
        </is>
      </c>
      <c r="L128" s="129" t="inlineStr">
        <is>
          <t>P060192</t>
        </is>
      </c>
      <c r="M128" s="129" t="inlineStr">
        <is>
          <t>Sleepy Joy</t>
        </is>
      </c>
      <c r="N128" s="129" t="inlineStr">
        <is>
          <t>26.01.2026 – 27.01.2026</t>
        </is>
      </c>
      <c r="O128" s="129" t="inlineStr">
        <is>
          <t>31.03.2026 (the issuance plan's basis: 04.03.2026)</t>
        </is>
      </c>
      <c r="P128" s="129" t="inlineStr">
        <is>
          <t>31.03.2026</t>
        </is>
      </c>
      <c r="Q128" s="129" t="inlineStr">
        <is>
          <t>Ident A + Ident B + Foreign matter</t>
        </is>
      </c>
      <c r="R128" s="129" t="inlineStr">
        <is>
          <t>to test</t>
        </is>
      </c>
      <c r="S128" s="129" t="inlineStr">
        <is>
          <t>to test</t>
        </is>
      </c>
      <c r="T128" s="129" t="inlineStr">
        <is>
          <t>to test</t>
        </is>
      </c>
      <c r="U128" s="141" t="inlineStr">
        <is>
          <t>— retest assay not yet on file —</t>
        </is>
      </c>
      <c r="V128" s="141" t="inlineStr">
        <is>
          <t>— pending —</t>
        </is>
      </c>
      <c r="W128" s="141" t="inlineStr">
        <is>
          <t>— pending —</t>
        </is>
      </c>
      <c r="X128" s="129" t="inlineStr">
        <is>
          <t>#8, #9, #11, #12 from the initial testing</t>
        </is>
      </c>
      <c r="Y128" s="141" t="inlineStr">
        <is>
          <t>pending — not yet sampled</t>
        </is>
      </c>
    </row>
    <row r="129">
      <c r="A129" s="129" t="n">
        <v>128</v>
      </c>
      <c r="B129" s="129" t="inlineStr">
        <is>
          <t>retest — Tranche 1 (sampled July 2026)</t>
        </is>
      </c>
      <c r="C129" s="130">
        <f>IFERROR(INDEX('iCoA Register'!$B:$B,MATCH("P060152|R",'iCoA Register'!$P:$P,0)),"— at issue —")</f>
        <v/>
      </c>
      <c r="D129" s="130">
        <f>IFERROR(INDEX('CoQ Register'!$B:$B,MATCH("P060152|R",'CoQ Register'!$S:$S,0)),"—")</f>
        <v/>
      </c>
      <c r="E129" s="129" t="inlineStr">
        <is>
          <t>CoQ reissue (assigned on issue)</t>
        </is>
      </c>
      <c r="F129" s="129" t="inlineStr">
        <is>
          <t>legacy</t>
        </is>
      </c>
      <c r="G129" s="129" t="inlineStr">
        <is>
          <t>05.03.2027</t>
        </is>
      </c>
      <c r="H129" s="129" t="inlineStr">
        <is>
          <t>at retest sampling</t>
        </is>
      </c>
      <c r="I129" s="129" t="inlineStr">
        <is>
          <t>at the retest sampling · Tranche 1 (sampled July 2026)</t>
        </is>
      </c>
      <c r="J129" s="274">
        <f>IFERROR(INDEX('CoQ Register'!$D:$D,MATCH("P060152|R",'CoQ Register'!$S:$S,0)),"")</f>
        <v/>
      </c>
      <c r="K129" s="130" t="inlineStr">
        <is>
          <t>J31102501</t>
        </is>
      </c>
      <c r="L129" s="129" t="inlineStr">
        <is>
          <t>P060152</t>
        </is>
      </c>
      <c r="M129" s="129" t="inlineStr">
        <is>
          <t>Jokerz 31</t>
        </is>
      </c>
      <c r="N129" s="129" t="inlineStr">
        <is>
          <t>21.01.2026</t>
        </is>
      </c>
      <c r="O129" s="129" t="inlineStr">
        <is>
          <t>05.03.2026</t>
        </is>
      </c>
      <c r="P129" s="129" t="inlineStr">
        <is>
          <t>05.03.2026</t>
        </is>
      </c>
      <c r="Q129" s="129" t="inlineStr">
        <is>
          <t>Ident A + Ident B + Foreign matter</t>
        </is>
      </c>
      <c r="R129" s="129" t="inlineStr">
        <is>
          <t>to test</t>
        </is>
      </c>
      <c r="S129" s="129" t="inlineStr">
        <is>
          <t>to test</t>
        </is>
      </c>
      <c r="T129" s="129" t="inlineStr">
        <is>
          <t>to test</t>
        </is>
      </c>
      <c r="U129" s="129" t="inlineStr">
        <is>
          <t>197-16-K-26, (07.08.2026) [FHM-K]</t>
        </is>
      </c>
      <c r="V129" s="129" t="inlineStr">
        <is>
          <t>197-16-K-26, (07.08.2026) [FHM-K]</t>
        </is>
      </c>
      <c r="W129" s="129" t="inlineStr">
        <is>
          <t>197-16-M-26, (10.08.2026) [FHM-M]</t>
        </is>
      </c>
      <c r="X129" s="129" t="inlineStr">
        <is>
          <t>#8, #9, #11, #12 from the initial testing</t>
        </is>
      </c>
      <c r="Y129" s="140" t="inlineStr">
        <is>
          <t>due — retest assay, mycotoxins on file; in-house iCoA to test</t>
        </is>
      </c>
    </row>
    <row r="130">
      <c r="A130" s="129" t="n">
        <v>129</v>
      </c>
      <c r="B130" s="129" t="inlineStr">
        <is>
          <t>retest — sampled — Tranche 2/3 (potency and mycotoxins pending)</t>
        </is>
      </c>
      <c r="C130" s="130">
        <f>IFERROR(INDEX('iCoA Register'!$B:$B,MATCH("P060222|R",'iCoA Register'!$P:$P,0)),"— at issue —")</f>
        <v/>
      </c>
      <c r="D130" s="130">
        <f>IFERROR(INDEX('CoQ Register'!$B:$B,MATCH("P060222|R",'CoQ Register'!$S:$S,0)),"—")</f>
        <v/>
      </c>
      <c r="E130" s="129" t="inlineStr">
        <is>
          <t>CoQ reissue (assigned on issue)</t>
        </is>
      </c>
      <c r="F130" s="129" t="inlineStr">
        <is>
          <t>legacy</t>
        </is>
      </c>
      <c r="G130" s="129" t="inlineStr">
        <is>
          <t>05.03.2027</t>
        </is>
      </c>
      <c r="H130" s="129" t="inlineStr">
        <is>
          <t>at retest sampling</t>
        </is>
      </c>
      <c r="I130" s="129" t="inlineStr">
        <is>
          <t>at the retest sampling · sampled — Tranche 2/3 (potency and mycotoxins pending)</t>
        </is>
      </c>
      <c r="J130" s="274">
        <f>IFERROR(INDEX('CoQ Register'!$D:$D,MATCH("P060222|R",'CoQ Register'!$S:$S,0)),"")</f>
        <v/>
      </c>
      <c r="K130" s="130" t="inlineStr">
        <is>
          <t>OPM112501</t>
        </is>
      </c>
      <c r="L130" s="129" t="inlineStr">
        <is>
          <t>P060222</t>
        </is>
      </c>
      <c r="M130" s="129" t="inlineStr">
        <is>
          <t>Orange Punch Mimosa</t>
        </is>
      </c>
      <c r="N130" s="129" t="inlineStr">
        <is>
          <t>05.02.2026</t>
        </is>
      </c>
      <c r="O130" s="129" t="inlineStr">
        <is>
          <t>24.04.2026 (the issuance plan's basis: 05.03.2026)</t>
        </is>
      </c>
      <c r="P130" s="129" t="inlineStr">
        <is>
          <t>24.04.2026</t>
        </is>
      </c>
      <c r="Q130" s="129" t="inlineStr">
        <is>
          <t>Ident A + Ident B + Foreign matter</t>
        </is>
      </c>
      <c r="R130" s="129" t="inlineStr">
        <is>
          <t>to test</t>
        </is>
      </c>
      <c r="S130" s="129" t="inlineStr">
        <is>
          <t>to test</t>
        </is>
      </c>
      <c r="T130" s="129" t="inlineStr">
        <is>
          <t>to test</t>
        </is>
      </c>
      <c r="U130" s="141" t="inlineStr">
        <is>
          <t>— retest assay not yet on file —</t>
        </is>
      </c>
      <c r="V130" s="141" t="inlineStr">
        <is>
          <t>— pending —</t>
        </is>
      </c>
      <c r="W130" s="141" t="inlineStr">
        <is>
          <t>— pending —</t>
        </is>
      </c>
      <c r="X130" s="129" t="inlineStr">
        <is>
          <t>#8, #9, #11, #12 from the initial testing</t>
        </is>
      </c>
      <c r="Y130" s="129" t="inlineStr">
        <is>
          <t>sampled — microbiology on file, retest assay pending</t>
        </is>
      </c>
    </row>
    <row r="131">
      <c r="A131" s="129" t="n">
        <v>130</v>
      </c>
      <c r="B131" s="129" t="inlineStr">
        <is>
          <t>retest — not yet sampled</t>
        </is>
      </c>
      <c r="C131" s="130">
        <f>IFERROR(INDEX('iCoA Register'!$B:$B,MATCH("P060172|R",'iCoA Register'!$P:$P,0)),"— at issue —")</f>
        <v/>
      </c>
      <c r="D131" s="130">
        <f>IFERROR(INDEX('CoQ Register'!$B:$B,MATCH("P060172|R",'CoQ Register'!$S:$S,0)),"—")</f>
        <v/>
      </c>
      <c r="E131" s="129" t="inlineStr">
        <is>
          <t>CoQ reissue (assigned on issue)</t>
        </is>
      </c>
      <c r="F131" s="129" t="inlineStr">
        <is>
          <t>legacy</t>
        </is>
      </c>
      <c r="G131" s="129" t="inlineStr">
        <is>
          <t>12.03.2027</t>
        </is>
      </c>
      <c r="H131" s="129" t="inlineStr">
        <is>
          <t>at retest sampling</t>
        </is>
      </c>
      <c r="I131" s="129" t="inlineStr">
        <is>
          <t>at the retest sampling · not yet sampled</t>
        </is>
      </c>
      <c r="J131" s="274">
        <f>IFERROR(INDEX('CoQ Register'!$D:$D,MATCH("P060172|R",'CoQ Register'!$S:$S,0)),"")</f>
        <v/>
      </c>
      <c r="K131" s="130" t="inlineStr">
        <is>
          <t>KC102501</t>
        </is>
      </c>
      <c r="L131" s="129" t="inlineStr">
        <is>
          <t>P060172</t>
        </is>
      </c>
      <c r="M131" s="129" t="inlineStr">
        <is>
          <t>Kush Crasher</t>
        </is>
      </c>
      <c r="N131" s="129" t="inlineStr">
        <is>
          <t>20.01.2026 – 21.01.2026</t>
        </is>
      </c>
      <c r="O131" s="129" t="inlineStr">
        <is>
          <t>12.03.2026</t>
        </is>
      </c>
      <c r="P131" s="129" t="inlineStr">
        <is>
          <t>12.03.2026</t>
        </is>
      </c>
      <c r="Q131" s="129" t="inlineStr">
        <is>
          <t>Ident A + Ident B + Foreign matter</t>
        </is>
      </c>
      <c r="R131" s="129" t="inlineStr">
        <is>
          <t>to test</t>
        </is>
      </c>
      <c r="S131" s="129" t="inlineStr">
        <is>
          <t>to test</t>
        </is>
      </c>
      <c r="T131" s="129" t="inlineStr">
        <is>
          <t>to test</t>
        </is>
      </c>
      <c r="U131" s="141" t="inlineStr">
        <is>
          <t>— retest assay not yet on file —</t>
        </is>
      </c>
      <c r="V131" s="141" t="inlineStr">
        <is>
          <t>— pending —</t>
        </is>
      </c>
      <c r="W131" s="141" t="inlineStr">
        <is>
          <t>— pending —</t>
        </is>
      </c>
      <c r="X131" s="129" t="inlineStr">
        <is>
          <t>#8, #9, #11, #12 from the initial testing</t>
        </is>
      </c>
      <c r="Y131" s="141" t="inlineStr">
        <is>
          <t>pending — not yet sampled</t>
        </is>
      </c>
    </row>
    <row r="132">
      <c r="A132" s="129" t="n">
        <v>131</v>
      </c>
      <c r="B132" s="129" t="inlineStr">
        <is>
          <t>retest — sampled — Tranche 2/3 (potency and mycotoxins pending)</t>
        </is>
      </c>
      <c r="C132" s="130">
        <f>IFERROR(INDEX('iCoA Register'!$B:$B,MATCH("P060182|R",'iCoA Register'!$P:$P,0)),"— at issue —")</f>
        <v/>
      </c>
      <c r="D132" s="130">
        <f>IFERROR(INDEX('CoQ Register'!$B:$B,MATCH("P060182|R",'CoQ Register'!$S:$S,0)),"—")</f>
        <v/>
      </c>
      <c r="E132" s="129" t="inlineStr">
        <is>
          <t>CoQ reissue (assigned on issue)</t>
        </is>
      </c>
      <c r="F132" s="129" t="inlineStr">
        <is>
          <t>legacy</t>
        </is>
      </c>
      <c r="G132" s="129" t="inlineStr">
        <is>
          <t>14.03.2027</t>
        </is>
      </c>
      <c r="H132" s="129" t="inlineStr">
        <is>
          <t>at retest sampling</t>
        </is>
      </c>
      <c r="I132" s="129" t="inlineStr">
        <is>
          <t>at the retest sampling · sampled — Tranche 2/3 (potency and mycotoxins pending)</t>
        </is>
      </c>
      <c r="J132" s="274">
        <f>IFERROR(INDEX('CoQ Register'!$D:$D,MATCH("P060182|R",'CoQ Register'!$S:$S,0)),"")</f>
        <v/>
      </c>
      <c r="K132" s="130" t="inlineStr">
        <is>
          <t>GRC102501</t>
        </is>
      </c>
      <c r="L132" s="129" t="inlineStr">
        <is>
          <t>P060182</t>
        </is>
      </c>
      <c r="M132" s="129" t="inlineStr">
        <is>
          <t>Graps &amp; Creme</t>
        </is>
      </c>
      <c r="N132" s="129" t="inlineStr">
        <is>
          <t>20.01.2026</t>
        </is>
      </c>
      <c r="O132" s="129" t="inlineStr">
        <is>
          <t>14.03.2026</t>
        </is>
      </c>
      <c r="P132" s="129" t="inlineStr">
        <is>
          <t>14.03.2026</t>
        </is>
      </c>
      <c r="Q132" s="129" t="inlineStr">
        <is>
          <t>Ident A + Ident B + Foreign matter</t>
        </is>
      </c>
      <c r="R132" s="129" t="inlineStr">
        <is>
          <t>to test</t>
        </is>
      </c>
      <c r="S132" s="129" t="inlineStr">
        <is>
          <t>to test</t>
        </is>
      </c>
      <c r="T132" s="129" t="inlineStr">
        <is>
          <t>to test</t>
        </is>
      </c>
      <c r="U132" s="141" t="inlineStr">
        <is>
          <t>— retest assay not yet on file —</t>
        </is>
      </c>
      <c r="V132" s="141" t="inlineStr">
        <is>
          <t>— pending —</t>
        </is>
      </c>
      <c r="W132" s="141" t="inlineStr">
        <is>
          <t>— pending —</t>
        </is>
      </c>
      <c r="X132" s="129" t="inlineStr">
        <is>
          <t>#8, #9, #11, #12 from the initial testing</t>
        </is>
      </c>
      <c r="Y132" s="129" t="inlineStr">
        <is>
          <t>sampled — microbiology on file, retest assay pending</t>
        </is>
      </c>
    </row>
    <row r="133">
      <c r="A133" s="129" t="n">
        <v>132</v>
      </c>
      <c r="B133" s="129" t="inlineStr">
        <is>
          <t>retest — sampled — Tranche 2/3 (potency and mycotoxins pending)</t>
        </is>
      </c>
      <c r="C133" s="130">
        <f>IFERROR(INDEX('iCoA Register'!$B:$B,MATCH("P060202|R",'iCoA Register'!$P:$P,0)),"— at issue —")</f>
        <v/>
      </c>
      <c r="D133" s="130">
        <f>IFERROR(INDEX('CoQ Register'!$B:$B,MATCH("P060202|R",'CoQ Register'!$S:$S,0)),"—")</f>
        <v/>
      </c>
      <c r="E133" s="129" t="inlineStr">
        <is>
          <t>CoQ reissue (assigned on issue)</t>
        </is>
      </c>
      <c r="F133" s="129" t="inlineStr">
        <is>
          <t>legacy</t>
        </is>
      </c>
      <c r="G133" s="129" t="inlineStr">
        <is>
          <t>09.04.2027</t>
        </is>
      </c>
      <c r="H133" s="129" t="inlineStr">
        <is>
          <t>at retest sampling</t>
        </is>
      </c>
      <c r="I133" s="129" t="inlineStr">
        <is>
          <t>at the retest sampling · sampled — Tranche 2/3 (potency and mycotoxins pending)</t>
        </is>
      </c>
      <c r="J133" s="274">
        <f>IFERROR(INDEX('CoQ Register'!$D:$D,MATCH("P060202|R",'CoQ Register'!$S:$S,0)),"")</f>
        <v/>
      </c>
      <c r="K133" s="130" t="inlineStr">
        <is>
          <t>J31112501</t>
        </is>
      </c>
      <c r="L133" s="129" t="inlineStr">
        <is>
          <t>P060202</t>
        </is>
      </c>
      <c r="M133" s="129" t="inlineStr">
        <is>
          <t>Jokerz 31</t>
        </is>
      </c>
      <c r="N133" s="129" t="inlineStr">
        <is>
          <t>26.01.2026</t>
        </is>
      </c>
      <c r="O133" s="129" t="inlineStr">
        <is>
          <t>17.04.2026 (the issuance plan's basis: 09.04.2026)</t>
        </is>
      </c>
      <c r="P133" s="129" t="inlineStr">
        <is>
          <t>17.04.2026</t>
        </is>
      </c>
      <c r="Q133" s="129" t="inlineStr">
        <is>
          <t>Ident A + Ident B + Foreign matter</t>
        </is>
      </c>
      <c r="R133" s="129" t="inlineStr">
        <is>
          <t>to test</t>
        </is>
      </c>
      <c r="S133" s="129" t="inlineStr">
        <is>
          <t>to test</t>
        </is>
      </c>
      <c r="T133" s="129" t="inlineStr">
        <is>
          <t>to test</t>
        </is>
      </c>
      <c r="U133" s="141" t="inlineStr">
        <is>
          <t>— retest assay not yet on file —</t>
        </is>
      </c>
      <c r="V133" s="141" t="inlineStr">
        <is>
          <t>— pending —</t>
        </is>
      </c>
      <c r="W133" s="141" t="inlineStr">
        <is>
          <t>— pending —</t>
        </is>
      </c>
      <c r="X133" s="129" t="inlineStr">
        <is>
          <t>#8, #9, #11, #12 from the initial testing</t>
        </is>
      </c>
      <c r="Y133" s="129" t="inlineStr">
        <is>
          <t>sampled — microbiology on file, retest assay pending</t>
        </is>
      </c>
    </row>
    <row r="134">
      <c r="A134" s="129" t="n">
        <v>133</v>
      </c>
      <c r="B134" s="129" t="inlineStr">
        <is>
          <t>retest — Tranche 1 (sampled July 2026)</t>
        </is>
      </c>
      <c r="C134" s="130">
        <f>IFERROR(INDEX('iCoA Register'!$B:$B,MATCH("P060212|R",'iCoA Register'!$P:$P,0)),"— at issue —")</f>
        <v/>
      </c>
      <c r="D134" s="130">
        <f>IFERROR(INDEX('CoQ Register'!$B:$B,MATCH("P060212|R",'CoQ Register'!$S:$S,0)),"—")</f>
        <v/>
      </c>
      <c r="E134" s="129" t="inlineStr">
        <is>
          <t>CoQ reissue (assigned on issue)</t>
        </is>
      </c>
      <c r="F134" s="129" t="inlineStr">
        <is>
          <t>legacy</t>
        </is>
      </c>
      <c r="G134" s="129" t="inlineStr">
        <is>
          <t>21.04.2027</t>
        </is>
      </c>
      <c r="H134" s="129" t="inlineStr">
        <is>
          <t>at retest sampling</t>
        </is>
      </c>
      <c r="I134" s="129" t="inlineStr">
        <is>
          <t>at the retest sampling · Tranche 1 (sampled July 2026)</t>
        </is>
      </c>
      <c r="J134" s="274">
        <f>IFERROR(INDEX('CoQ Register'!$D:$D,MATCH("P060212|R",'CoQ Register'!$S:$S,0)),"")</f>
        <v/>
      </c>
      <c r="K134" s="130" t="inlineStr">
        <is>
          <t>JD112501</t>
        </is>
      </c>
      <c r="L134" s="129" t="inlineStr">
        <is>
          <t>P060212</t>
        </is>
      </c>
      <c r="M134" s="129" t="inlineStr">
        <is>
          <t>Jelly Donutz</t>
        </is>
      </c>
      <c r="N134" s="129" t="inlineStr">
        <is>
          <t>25.03.2026</t>
        </is>
      </c>
      <c r="O134" s="129" t="inlineStr">
        <is>
          <t>21.04.2026</t>
        </is>
      </c>
      <c r="P134" s="129" t="inlineStr">
        <is>
          <t>21.04.2026</t>
        </is>
      </c>
      <c r="Q134" s="129" t="inlineStr">
        <is>
          <t>Ident A + Ident B + Foreign matter</t>
        </is>
      </c>
      <c r="R134" s="129" t="inlineStr">
        <is>
          <t>to test</t>
        </is>
      </c>
      <c r="S134" s="129" t="inlineStr">
        <is>
          <t>to test</t>
        </is>
      </c>
      <c r="T134" s="129" t="inlineStr">
        <is>
          <t>to test</t>
        </is>
      </c>
      <c r="U134" s="129" t="inlineStr">
        <is>
          <t>197-15-K-26, (07.08.2026) [FHM-K]</t>
        </is>
      </c>
      <c r="V134" s="129" t="inlineStr">
        <is>
          <t>197-15-K-26, (07.08.2026) [FHM-K]</t>
        </is>
      </c>
      <c r="W134" s="129" t="inlineStr">
        <is>
          <t>197-15-M-26, (10.08.2026) [FHM-M]</t>
        </is>
      </c>
      <c r="X134" s="129" t="inlineStr">
        <is>
          <t>#8, #9, #11, #12 from the initial testing</t>
        </is>
      </c>
      <c r="Y134" s="140" t="inlineStr">
        <is>
          <t>due — retest assay, mycotoxins on file; in-house iCoA to test</t>
        </is>
      </c>
    </row>
    <row r="135">
      <c r="A135" s="129" t="n">
        <v>134</v>
      </c>
      <c r="B135" s="129" t="inlineStr">
        <is>
          <t>retest — not yet sampled</t>
        </is>
      </c>
      <c r="C135" s="130">
        <f>IFERROR(INDEX('iCoA Register'!$B:$B,MATCH("JD112501|R",'iCoA Register'!$P:$P,0)),"— at issue —")</f>
        <v/>
      </c>
      <c r="D135" s="130">
        <f>IFERROR(INDEX('CoQ Register'!$B:$B,MATCH("JD112501|R",'CoQ Register'!$S:$S,0)),"—")</f>
        <v/>
      </c>
      <c r="E135" s="129" t="inlineStr">
        <is>
          <t>CoQ reissue (assigned on issue)</t>
        </is>
      </c>
      <c r="F135" s="129" t="inlineStr">
        <is>
          <t>—</t>
        </is>
      </c>
      <c r="G135" s="129" t="inlineStr">
        <is>
          <t>21.04.2027</t>
        </is>
      </c>
      <c r="H135" s="129" t="inlineStr">
        <is>
          <t>at retest sampling</t>
        </is>
      </c>
      <c r="I135" s="129" t="inlineStr">
        <is>
          <t>at the retest sampling · not yet sampled</t>
        </is>
      </c>
      <c r="J135" s="274">
        <f>IFERROR(INDEX('CoQ Register'!$D:$D,MATCH("JD112501|R",'CoQ Register'!$S:$S,0)),"")</f>
        <v/>
      </c>
      <c r="K135" s="130" t="inlineStr">
        <is>
          <t>JD112501＊</t>
        </is>
      </c>
      <c r="L135" s="129" t="inlineStr">
        <is>
          <t>N/A — no P batch assigned</t>
        </is>
      </c>
      <c r="M135" s="129" t="inlineStr">
        <is>
          <t>Jelly Donutz</t>
        </is>
      </c>
      <c r="N135" s="141" t="inlineStr">
        <is>
          <t>— not on the list —</t>
        </is>
      </c>
      <c r="O135" s="141" t="inlineStr">
        <is>
          <t>— not on the list —</t>
        </is>
      </c>
      <c r="P135" s="141" t="inlineStr">
        <is>
          <t>— packaging date to record —</t>
        </is>
      </c>
      <c r="Q135" s="129" t="inlineStr">
        <is>
          <t>Ident A + Ident B + Foreign matter</t>
        </is>
      </c>
      <c r="R135" s="129" t="inlineStr">
        <is>
          <t>to test</t>
        </is>
      </c>
      <c r="S135" s="129" t="inlineStr">
        <is>
          <t>to test</t>
        </is>
      </c>
      <c r="T135" s="129" t="inlineStr">
        <is>
          <t>to test</t>
        </is>
      </c>
      <c r="U135" s="141" t="inlineStr">
        <is>
          <t>— retest assay not yet on file —</t>
        </is>
      </c>
      <c r="V135" s="141" t="inlineStr">
        <is>
          <t>— pending —</t>
        </is>
      </c>
      <c r="W135" s="141" t="inlineStr">
        <is>
          <t>— pending —</t>
        </is>
      </c>
      <c r="X135" s="129" t="inlineStr">
        <is>
          <t>#8, #9, #11, #12 from the initial testing</t>
        </is>
      </c>
      <c r="Y135" s="141" t="inlineStr">
        <is>
          <t>pending — not yet sampled</t>
        </is>
      </c>
    </row>
    <row r="136">
      <c r="A136" s="129" t="n">
        <v>135</v>
      </c>
      <c r="B136" s="129" t="inlineStr">
        <is>
          <t>retest — re-analysed</t>
        </is>
      </c>
      <c r="C136" s="130">
        <f>IFERROR(INDEX('iCoA Register'!$B:$B,MATCH("P060262|R",'iCoA Register'!$P:$P,0)),"— at issue —")</f>
        <v/>
      </c>
      <c r="D136" s="130">
        <f>IFERROR(INDEX('CoQ Register'!$B:$B,MATCH("P060262|R",'CoQ Register'!$S:$S,0)),"—")</f>
        <v/>
      </c>
      <c r="E136" s="129" t="inlineStr">
        <is>
          <t>CoQ reissue (assigned on issue)</t>
        </is>
      </c>
      <c r="F136" s="129" t="inlineStr">
        <is>
          <t>post-SOP</t>
        </is>
      </c>
      <c r="G136" s="129" t="inlineStr">
        <is>
          <t>23.04.2027</t>
        </is>
      </c>
      <c r="H136" s="129" t="inlineStr">
        <is>
          <t>at retest sampling</t>
        </is>
      </c>
      <c r="I136" s="129" t="inlineStr">
        <is>
          <t>at the retest sampling · re-analysed</t>
        </is>
      </c>
      <c r="J136" s="274">
        <f>IFERROR(INDEX('CoQ Register'!$D:$D,MATCH("P060262|R",'CoQ Register'!$S:$S,0)),"")</f>
        <v/>
      </c>
      <c r="K136" s="130" t="inlineStr">
        <is>
          <t>J31122501</t>
        </is>
      </c>
      <c r="L136" s="129" t="inlineStr">
        <is>
          <t>P060262</t>
        </is>
      </c>
      <c r="M136" s="129" t="inlineStr">
        <is>
          <t>Jokerz 31</t>
        </is>
      </c>
      <c r="N136" s="129" t="inlineStr">
        <is>
          <t>04.03.2026</t>
        </is>
      </c>
      <c r="O136" s="129" t="inlineStr">
        <is>
          <t>14.05.2026 (the issuance plan's basis: 23.04.2026)</t>
        </is>
      </c>
      <c r="P136" s="129" t="inlineStr">
        <is>
          <t>14.05.2026</t>
        </is>
      </c>
      <c r="Q136" s="129" t="inlineStr">
        <is>
          <t>Ident A + Ident B + Foreign matter</t>
        </is>
      </c>
      <c r="R136" s="129" t="inlineStr">
        <is>
          <t>to test</t>
        </is>
      </c>
      <c r="S136" s="129" t="inlineStr">
        <is>
          <t>to test</t>
        </is>
      </c>
      <c r="T136" s="129" t="inlineStr">
        <is>
          <t>to test</t>
        </is>
      </c>
      <c r="U136" s="129" t="inlineStr">
        <is>
          <t>100-3-K-26, (09.04.2026) [FHM-K]</t>
        </is>
      </c>
      <c r="V136" s="129" t="inlineStr">
        <is>
          <t>100-3-K-26, (09.04.2026) [FHM-K]</t>
        </is>
      </c>
      <c r="W136" s="129" t="inlineStr">
        <is>
          <t>1628-2026, (23.04.2026) [IJZ]</t>
        </is>
      </c>
      <c r="X136" s="129" t="inlineStr">
        <is>
          <t>#8, #9, #11, #12 from the initial testing</t>
        </is>
      </c>
      <c r="Y136" s="140" t="inlineStr">
        <is>
          <t>due — retest assay, mycotoxins and microbiology on file; in-house iCoA to test</t>
        </is>
      </c>
    </row>
    <row r="137">
      <c r="A137" s="129" t="n">
        <v>136</v>
      </c>
      <c r="B137" s="129" t="inlineStr">
        <is>
          <t>retest — not yet sampled</t>
        </is>
      </c>
      <c r="C137" s="130">
        <f>IFERROR(INDEX('iCoA Register'!$B:$B,MATCH("P060232|R",'iCoA Register'!$P:$P,0)),"— at issue —")</f>
        <v/>
      </c>
      <c r="D137" s="130">
        <f>IFERROR(INDEX('CoQ Register'!$B:$B,MATCH("P060232|R",'CoQ Register'!$S:$S,0)),"—")</f>
        <v/>
      </c>
      <c r="E137" s="129" t="inlineStr">
        <is>
          <t>CoQ reissue (assigned on issue)</t>
        </is>
      </c>
      <c r="F137" s="129" t="inlineStr">
        <is>
          <t>legacy</t>
        </is>
      </c>
      <c r="G137" s="129" t="inlineStr">
        <is>
          <t>27.04.2027</t>
        </is>
      </c>
      <c r="H137" s="129" t="inlineStr">
        <is>
          <t>at retest sampling</t>
        </is>
      </c>
      <c r="I137" s="129" t="inlineStr">
        <is>
          <t>at the retest sampling · not yet sampled</t>
        </is>
      </c>
      <c r="J137" s="274">
        <f>IFERROR(INDEX('CoQ Register'!$D:$D,MATCH("P060232|R",'CoQ Register'!$S:$S,0)),"")</f>
        <v/>
      </c>
      <c r="K137" s="130" t="inlineStr">
        <is>
          <t>PM112501</t>
        </is>
      </c>
      <c r="L137" s="129" t="inlineStr">
        <is>
          <t>P060232</t>
        </is>
      </c>
      <c r="M137" s="129" t="inlineStr">
        <is>
          <t>Permanent Market</t>
        </is>
      </c>
      <c r="N137" s="129" t="inlineStr">
        <is>
          <t>05.02.2026</t>
        </is>
      </c>
      <c r="O137" s="129" t="inlineStr">
        <is>
          <t>27.04.2026</t>
        </is>
      </c>
      <c r="P137" s="129" t="inlineStr">
        <is>
          <t>27.04.2026</t>
        </is>
      </c>
      <c r="Q137" s="129" t="inlineStr">
        <is>
          <t>Ident A + Ident B + Foreign matter</t>
        </is>
      </c>
      <c r="R137" s="129" t="inlineStr">
        <is>
          <t>to test</t>
        </is>
      </c>
      <c r="S137" s="129" t="inlineStr">
        <is>
          <t>to test</t>
        </is>
      </c>
      <c r="T137" s="129" t="inlineStr">
        <is>
          <t>to test</t>
        </is>
      </c>
      <c r="U137" s="141" t="inlineStr">
        <is>
          <t>— retest assay not yet on file —</t>
        </is>
      </c>
      <c r="V137" s="141" t="inlineStr">
        <is>
          <t>— pending —</t>
        </is>
      </c>
      <c r="W137" s="141" t="inlineStr">
        <is>
          <t>— pending —</t>
        </is>
      </c>
      <c r="X137" s="129" t="inlineStr">
        <is>
          <t>#8, #9, #11, #12 from the initial testing</t>
        </is>
      </c>
      <c r="Y137" s="141" t="inlineStr">
        <is>
          <t>pending — not yet sampled</t>
        </is>
      </c>
    </row>
    <row r="138">
      <c r="A138" s="129" t="n">
        <v>137</v>
      </c>
      <c r="B138" s="129" t="inlineStr">
        <is>
          <t>retest — Tranche 1 (sampled July 2026)</t>
        </is>
      </c>
      <c r="C138" s="130">
        <f>IFERROR(INDEX('iCoA Register'!$B:$B,MATCH("P060242|R",'iCoA Register'!$P:$P,0)),"— at issue —")</f>
        <v/>
      </c>
      <c r="D138" s="130">
        <f>IFERROR(INDEX('CoQ Register'!$B:$B,MATCH("P060242|R",'CoQ Register'!$S:$S,0)),"—")</f>
        <v/>
      </c>
      <c r="E138" s="129" t="inlineStr">
        <is>
          <t>CoQ reissue (assigned on issue)</t>
        </is>
      </c>
      <c r="F138" s="129" t="inlineStr">
        <is>
          <t>legacy</t>
        </is>
      </c>
      <c r="G138" s="129" t="inlineStr">
        <is>
          <t>28.04.2027</t>
        </is>
      </c>
      <c r="H138" s="129" t="inlineStr">
        <is>
          <t>at retest sampling</t>
        </is>
      </c>
      <c r="I138" s="129" t="inlineStr">
        <is>
          <t>at the retest sampling · Tranche 1 (sampled July 2026)</t>
        </is>
      </c>
      <c r="J138" s="274">
        <f>IFERROR(INDEX('CoQ Register'!$D:$D,MATCH("P060242|R",'CoQ Register'!$S:$S,0)),"")</f>
        <v/>
      </c>
      <c r="K138" s="130" t="inlineStr">
        <is>
          <t>OPM122501</t>
        </is>
      </c>
      <c r="L138" s="129" t="inlineStr">
        <is>
          <t>P060242</t>
        </is>
      </c>
      <c r="M138" s="129" t="inlineStr">
        <is>
          <t>Orange Punch Mimosa</t>
        </is>
      </c>
      <c r="N138" s="129" t="inlineStr">
        <is>
          <t>11.03.2026</t>
        </is>
      </c>
      <c r="O138" s="129" t="inlineStr">
        <is>
          <t>28.04.2026</t>
        </is>
      </c>
      <c r="P138" s="129" t="inlineStr">
        <is>
          <t>28.04.2026</t>
        </is>
      </c>
      <c r="Q138" s="129" t="inlineStr">
        <is>
          <t>Ident A + Ident B + Foreign matter</t>
        </is>
      </c>
      <c r="R138" s="129" t="inlineStr">
        <is>
          <t>to test</t>
        </is>
      </c>
      <c r="S138" s="129" t="inlineStr">
        <is>
          <t>to test</t>
        </is>
      </c>
      <c r="T138" s="129" t="inlineStr">
        <is>
          <t>to test</t>
        </is>
      </c>
      <c r="U138" s="129" t="inlineStr">
        <is>
          <t>197-19-K-26, (07.08.2026) [FHM-K]</t>
        </is>
      </c>
      <c r="V138" s="129" t="inlineStr">
        <is>
          <t>197-19-K-26, (07.08.2026) [FHM-K]</t>
        </is>
      </c>
      <c r="W138" s="129" t="inlineStr">
        <is>
          <t>197-19-M-26, (10.08.2026) [FHM-M]</t>
        </is>
      </c>
      <c r="X138" s="129" t="inlineStr">
        <is>
          <t>#8, #9, #11, #12 from the initial testing</t>
        </is>
      </c>
      <c r="Y138" s="140" t="inlineStr">
        <is>
          <t>due — retest assay, mycotoxins on file; in-house iCoA to test</t>
        </is>
      </c>
    </row>
    <row r="139">
      <c r="A139" s="129" t="n">
        <v>138</v>
      </c>
      <c r="B139" s="129" t="inlineStr">
        <is>
          <t>retest — sampled — Tranche 2/3 (potency and mycotoxins pending)</t>
        </is>
      </c>
      <c r="C139" s="130">
        <f>IFERROR(INDEX('iCoA Register'!$B:$B,MATCH("P060272|R",'iCoA Register'!$P:$P,0)),"— at issue —")</f>
        <v/>
      </c>
      <c r="D139" s="130">
        <f>IFERROR(INDEX('CoQ Register'!$B:$B,MATCH("P060272|R",'CoQ Register'!$S:$S,0)),"—")</f>
        <v/>
      </c>
      <c r="E139" s="129" t="inlineStr">
        <is>
          <t>CoQ reissue (assigned on issue)</t>
        </is>
      </c>
      <c r="F139" s="129" t="inlineStr">
        <is>
          <t>post-SOP</t>
        </is>
      </c>
      <c r="G139" s="129" t="inlineStr">
        <is>
          <t>11.05.2027</t>
        </is>
      </c>
      <c r="H139" s="129" t="inlineStr">
        <is>
          <t>at retest sampling</t>
        </is>
      </c>
      <c r="I139" s="129" t="inlineStr">
        <is>
          <t>at the retest sampling · sampled — Tranche 2/3 (potency and mycotoxins pending)</t>
        </is>
      </c>
      <c r="J139" s="274">
        <f>IFERROR(INDEX('CoQ Register'!$D:$D,MATCH("P060272|R",'CoQ Register'!$S:$S,0)),"")</f>
        <v/>
      </c>
      <c r="K139" s="130" t="inlineStr">
        <is>
          <t>CC112501</t>
        </is>
      </c>
      <c r="L139" s="129" t="inlineStr">
        <is>
          <t>P060272</t>
        </is>
      </c>
      <c r="M139" s="129" t="inlineStr">
        <is>
          <t>Cash Cow</t>
        </is>
      </c>
      <c r="N139" s="129" t="inlineStr">
        <is>
          <t>25.03.2026</t>
        </is>
      </c>
      <c r="O139" s="129" t="inlineStr">
        <is>
          <t>18.05.2026 (the issuance plan's basis: 11.05.2026)</t>
        </is>
      </c>
      <c r="P139" s="129" t="inlineStr">
        <is>
          <t>18.05.2026</t>
        </is>
      </c>
      <c r="Q139" s="129" t="inlineStr">
        <is>
          <t>Ident A + Ident B + Foreign matter</t>
        </is>
      </c>
      <c r="R139" s="129" t="inlineStr">
        <is>
          <t>to test</t>
        </is>
      </c>
      <c r="S139" s="129" t="inlineStr">
        <is>
          <t>to test</t>
        </is>
      </c>
      <c r="T139" s="129" t="inlineStr">
        <is>
          <t>to test</t>
        </is>
      </c>
      <c r="U139" s="141" t="inlineStr">
        <is>
          <t>— retest assay not yet on file —</t>
        </is>
      </c>
      <c r="V139" s="141" t="inlineStr">
        <is>
          <t>— pending —</t>
        </is>
      </c>
      <c r="W139" s="141" t="inlineStr">
        <is>
          <t>— pending —</t>
        </is>
      </c>
      <c r="X139" s="129" t="inlineStr">
        <is>
          <t>#8, #9, #11, #12 from the initial testing</t>
        </is>
      </c>
      <c r="Y139" s="129" t="inlineStr">
        <is>
          <t>sampled — microbiology on file, retest assay pending</t>
        </is>
      </c>
    </row>
    <row r="140">
      <c r="A140" s="129" t="n">
        <v>139</v>
      </c>
      <c r="B140" s="129" t="inlineStr">
        <is>
          <t>retest — sampled — Tranche 2/3 (potency and mycotoxins pending)</t>
        </is>
      </c>
      <c r="C140" s="130">
        <f>IFERROR(INDEX('iCoA Register'!$B:$B,MATCH("P060292|R",'iCoA Register'!$P:$P,0)),"— at issue —")</f>
        <v/>
      </c>
      <c r="D140" s="130">
        <f>IFERROR(INDEX('CoQ Register'!$B:$B,MATCH("P060292|R",'CoQ Register'!$S:$S,0)),"—")</f>
        <v/>
      </c>
      <c r="E140" s="129" t="inlineStr">
        <is>
          <t>CoQ reissue (assigned on issue)</t>
        </is>
      </c>
      <c r="F140" s="129" t="inlineStr">
        <is>
          <t>post-SOP</t>
        </is>
      </c>
      <c r="G140" s="129" t="inlineStr">
        <is>
          <t>11.05.2027</t>
        </is>
      </c>
      <c r="H140" s="129" t="inlineStr">
        <is>
          <t>at retest sampling</t>
        </is>
      </c>
      <c r="I140" s="129" t="inlineStr">
        <is>
          <t>at the retest sampling · sampled — Tranche 2/3 (potency and mycotoxins pending)</t>
        </is>
      </c>
      <c r="J140" s="274">
        <f>IFERROR(INDEX('CoQ Register'!$D:$D,MATCH("P060292|R",'CoQ Register'!$S:$S,0)),"")</f>
        <v/>
      </c>
      <c r="K140" s="130" t="inlineStr">
        <is>
          <t>FB112501</t>
        </is>
      </c>
      <c r="L140" s="129" t="inlineStr">
        <is>
          <t>P060292</t>
        </is>
      </c>
      <c r="M140" s="129" t="inlineStr">
        <is>
          <t>Fat Bastard</t>
        </is>
      </c>
      <c r="N140" s="129" t="inlineStr">
        <is>
          <t>25.03.2026</t>
        </is>
      </c>
      <c r="O140" s="129" t="inlineStr">
        <is>
          <t>19.05.2026 (the issuance plan's basis: 11.05.2026)</t>
        </is>
      </c>
      <c r="P140" s="129" t="inlineStr">
        <is>
          <t>19.05.2026</t>
        </is>
      </c>
      <c r="Q140" s="129" t="inlineStr">
        <is>
          <t>Ident A + Ident B + Foreign matter</t>
        </is>
      </c>
      <c r="R140" s="129" t="inlineStr">
        <is>
          <t>to test</t>
        </is>
      </c>
      <c r="S140" s="129" t="inlineStr">
        <is>
          <t>to test</t>
        </is>
      </c>
      <c r="T140" s="129" t="inlineStr">
        <is>
          <t>to test</t>
        </is>
      </c>
      <c r="U140" s="141" t="inlineStr">
        <is>
          <t>— retest assay not yet on file —</t>
        </is>
      </c>
      <c r="V140" s="141" t="inlineStr">
        <is>
          <t>— pending —</t>
        </is>
      </c>
      <c r="W140" s="141" t="inlineStr">
        <is>
          <t>— pending —</t>
        </is>
      </c>
      <c r="X140" s="129" t="inlineStr">
        <is>
          <t>#8, #9, #11, #12 from the initial testing</t>
        </is>
      </c>
      <c r="Y140" s="129" t="inlineStr">
        <is>
          <t>sampled — microbiology on file, retest assay pending</t>
        </is>
      </c>
    </row>
    <row r="141">
      <c r="A141" s="129" t="n">
        <v>140</v>
      </c>
      <c r="B141" s="129" t="inlineStr">
        <is>
          <t>retest — sampled — Tranche 2/3 (potency and mycotoxins pending)</t>
        </is>
      </c>
      <c r="C141" s="130">
        <f>IFERROR(INDEX('iCoA Register'!$B:$B,MATCH("P060302|R",'iCoA Register'!$P:$P,0)),"— at issue —")</f>
        <v/>
      </c>
      <c r="D141" s="130">
        <f>IFERROR(INDEX('CoQ Register'!$B:$B,MATCH("P060302|R",'CoQ Register'!$S:$S,0)),"—")</f>
        <v/>
      </c>
      <c r="E141" s="129" t="inlineStr">
        <is>
          <t>CoQ reissue (assigned on issue)</t>
        </is>
      </c>
      <c r="F141" s="129" t="inlineStr">
        <is>
          <t>post-SOP</t>
        </is>
      </c>
      <c r="G141" s="129" t="inlineStr">
        <is>
          <t>11.05.2027</t>
        </is>
      </c>
      <c r="H141" s="129" t="inlineStr">
        <is>
          <t>at retest sampling</t>
        </is>
      </c>
      <c r="I141" s="129" t="inlineStr">
        <is>
          <t>at the retest sampling · sampled — Tranche 2/3 (potency and mycotoxins pending)</t>
        </is>
      </c>
      <c r="J141" s="274">
        <f>IFERROR(INDEX('CoQ Register'!$D:$D,MATCH("P060302|R",'CoQ Register'!$S:$S,0)),"")</f>
        <v/>
      </c>
      <c r="K141" s="130" t="inlineStr">
        <is>
          <t>GG012601＊</t>
        </is>
      </c>
      <c r="L141" s="129" t="inlineStr">
        <is>
          <t>P060302</t>
        </is>
      </c>
      <c r="M141" s="129" t="inlineStr">
        <is>
          <t>Gorilla Glue</t>
        </is>
      </c>
      <c r="N141" s="129" t="inlineStr">
        <is>
          <t>27.03.2026</t>
        </is>
      </c>
      <c r="O141" s="129" t="inlineStr">
        <is>
          <t>20.05.2026 (the issuance plan's basis: 11.05.2026)</t>
        </is>
      </c>
      <c r="P141" s="129" t="inlineStr">
        <is>
          <t>20.05.2026</t>
        </is>
      </c>
      <c r="Q141" s="129" t="inlineStr">
        <is>
          <t>Ident A + Ident B + Foreign matter</t>
        </is>
      </c>
      <c r="R141" s="129" t="inlineStr">
        <is>
          <t>to test</t>
        </is>
      </c>
      <c r="S141" s="129" t="inlineStr">
        <is>
          <t>to test</t>
        </is>
      </c>
      <c r="T141" s="129" t="inlineStr">
        <is>
          <t>to test</t>
        </is>
      </c>
      <c r="U141" s="141" t="inlineStr">
        <is>
          <t>— retest assay not yet on file —</t>
        </is>
      </c>
      <c r="V141" s="141" t="inlineStr">
        <is>
          <t>— pending —</t>
        </is>
      </c>
      <c r="W141" s="141" t="inlineStr">
        <is>
          <t>— pending —</t>
        </is>
      </c>
      <c r="X141" s="129" t="inlineStr">
        <is>
          <t>#8, #9, #11, #12 from the initial testing</t>
        </is>
      </c>
      <c r="Y141" s="129" t="inlineStr">
        <is>
          <t>sampled — microbiology on file, retest assay pending</t>
        </is>
      </c>
    </row>
    <row r="142">
      <c r="A142" s="129" t="n">
        <v>141</v>
      </c>
      <c r="B142" s="129" t="inlineStr">
        <is>
          <t>retest — sampled — Tranche 2/3 (potency and mycotoxins pending)</t>
        </is>
      </c>
      <c r="C142" s="130">
        <f>IFERROR(INDEX('iCoA Register'!$B:$B,MATCH("P060252|R",'iCoA Register'!$P:$P,0)),"— at issue —")</f>
        <v/>
      </c>
      <c r="D142" s="130">
        <f>IFERROR(INDEX('CoQ Register'!$B:$B,MATCH("P060252|R",'CoQ Register'!$S:$S,0)),"—")</f>
        <v/>
      </c>
      <c r="E142" s="129" t="inlineStr">
        <is>
          <t>CoQ reissue (assigned on issue)</t>
        </is>
      </c>
      <c r="F142" s="129" t="inlineStr">
        <is>
          <t>legacy</t>
        </is>
      </c>
      <c r="G142" s="129" t="inlineStr">
        <is>
          <t>11.05.2027</t>
        </is>
      </c>
      <c r="H142" s="129" t="inlineStr">
        <is>
          <t>at retest sampling</t>
        </is>
      </c>
      <c r="I142" s="129" t="inlineStr">
        <is>
          <t>at the retest sampling · sampled — Tranche 2/3 (potency and mycotoxins pending)</t>
        </is>
      </c>
      <c r="J142" s="274">
        <f>IFERROR(INDEX('CoQ Register'!$D:$D,MATCH("P060252|R",'CoQ Register'!$S:$S,0)),"")</f>
        <v/>
      </c>
      <c r="K142" s="130" t="inlineStr">
        <is>
          <t>GG112501</t>
        </is>
      </c>
      <c r="L142" s="129" t="inlineStr">
        <is>
          <t>P060252</t>
        </is>
      </c>
      <c r="M142" s="129" t="inlineStr">
        <is>
          <t>Gorilla Glue</t>
        </is>
      </c>
      <c r="N142" s="129" t="inlineStr">
        <is>
          <t>25.03.2026</t>
        </is>
      </c>
      <c r="O142" s="129" t="inlineStr">
        <is>
          <t>05.05.2026 (the issuance plan's basis: 11.05.2026)</t>
        </is>
      </c>
      <c r="P142" s="129" t="inlineStr">
        <is>
          <t>05.05.2026</t>
        </is>
      </c>
      <c r="Q142" s="129" t="inlineStr">
        <is>
          <t>Ident A + Ident B + Foreign matter</t>
        </is>
      </c>
      <c r="R142" s="129" t="inlineStr">
        <is>
          <t>to test</t>
        </is>
      </c>
      <c r="S142" s="129" t="inlineStr">
        <is>
          <t>to test</t>
        </is>
      </c>
      <c r="T142" s="129" t="inlineStr">
        <is>
          <t>to test</t>
        </is>
      </c>
      <c r="U142" s="141" t="inlineStr">
        <is>
          <t>— retest assay not yet on file —</t>
        </is>
      </c>
      <c r="V142" s="141" t="inlineStr">
        <is>
          <t>— pending —</t>
        </is>
      </c>
      <c r="W142" s="141" t="inlineStr">
        <is>
          <t>— pending —</t>
        </is>
      </c>
      <c r="X142" s="129" t="inlineStr">
        <is>
          <t>#8, #9, #11, #12 from the initial testing</t>
        </is>
      </c>
      <c r="Y142" s="129" t="inlineStr">
        <is>
          <t>sampled — microbiology on file, retest assay pending</t>
        </is>
      </c>
    </row>
    <row r="143">
      <c r="A143" s="129" t="n">
        <v>142</v>
      </c>
      <c r="B143" s="129" t="inlineStr">
        <is>
          <t>retest — sampled — Tranche 2/3 (potency and mycotoxins pending)</t>
        </is>
      </c>
      <c r="C143" s="130">
        <f>IFERROR(INDEX('iCoA Register'!$B:$B,MATCH("P050202|R",'iCoA Register'!$P:$P,0)),"— at issue —")</f>
        <v/>
      </c>
      <c r="D143" s="130">
        <f>IFERROR(INDEX('CoQ Register'!$B:$B,MATCH("P050202|R",'CoQ Register'!$S:$S,0)),"—")</f>
        <v/>
      </c>
      <c r="E143" s="129" t="inlineStr">
        <is>
          <t>CoQ reissue (assigned on issue)</t>
        </is>
      </c>
      <c r="F143" s="129" t="inlineStr">
        <is>
          <t>legacy</t>
        </is>
      </c>
      <c r="G143" s="129" t="inlineStr">
        <is>
          <t>11.05.2027</t>
        </is>
      </c>
      <c r="H143" s="129" t="inlineStr">
        <is>
          <t>at retest sampling</t>
        </is>
      </c>
      <c r="I143" s="129" t="inlineStr">
        <is>
          <t>at the retest sampling · sampled — Tranche 2/3 (potency and mycotoxins pending)</t>
        </is>
      </c>
      <c r="J143" s="274">
        <f>IFERROR(INDEX('CoQ Register'!$D:$D,MATCH("P050202|R",'CoQ Register'!$S:$S,0)),"")</f>
        <v/>
      </c>
      <c r="K143" s="130" t="inlineStr">
        <is>
          <t>GP062501</t>
        </is>
      </c>
      <c r="L143" s="129" t="inlineStr">
        <is>
          <t>P050202</t>
        </is>
      </c>
      <c r="M143" s="129" t="inlineStr">
        <is>
          <t>Grape Pie</t>
        </is>
      </c>
      <c r="N143" s="129" t="inlineStr">
        <is>
          <t>15.09.2025 – 17.09.2025</t>
        </is>
      </c>
      <c r="O143" s="129" t="inlineStr">
        <is>
          <t>30.10.2025 – 07.11.2025 (the issuance plan's basis: 11.05.2026)</t>
        </is>
      </c>
      <c r="P143" s="129" t="inlineStr">
        <is>
          <t>07.11.2025</t>
        </is>
      </c>
      <c r="Q143" s="129" t="inlineStr">
        <is>
          <t>Ident A + Ident B + Foreign matter</t>
        </is>
      </c>
      <c r="R143" s="129" t="inlineStr">
        <is>
          <t>to test</t>
        </is>
      </c>
      <c r="S143" s="129" t="inlineStr">
        <is>
          <t>to test</t>
        </is>
      </c>
      <c r="T143" s="129" t="inlineStr">
        <is>
          <t>to test</t>
        </is>
      </c>
      <c r="U143" s="141" t="inlineStr">
        <is>
          <t>— retest assay not yet on file —</t>
        </is>
      </c>
      <c r="V143" s="141" t="inlineStr">
        <is>
          <t>— pending —</t>
        </is>
      </c>
      <c r="W143" s="141" t="inlineStr">
        <is>
          <t>— pending —</t>
        </is>
      </c>
      <c r="X143" s="129" t="inlineStr">
        <is>
          <t>#8, #9, #11, #12 from the initial testing</t>
        </is>
      </c>
      <c r="Y143" s="129" t="inlineStr">
        <is>
          <t>sampled — microbiology on file, retest assay pending</t>
        </is>
      </c>
    </row>
    <row r="144">
      <c r="A144" s="129" t="n">
        <v>143</v>
      </c>
      <c r="B144" s="129" t="inlineStr">
        <is>
          <t>retest — sampled — Tranche 2/3 (potency and mycotoxins pending)</t>
        </is>
      </c>
      <c r="C144" s="130">
        <f>IFERROR(INDEX('iCoA Register'!$B:$B,MATCH("P060312|R",'iCoA Register'!$P:$P,0)),"— at issue —")</f>
        <v/>
      </c>
      <c r="D144" s="130">
        <f>IFERROR(INDEX('CoQ Register'!$B:$B,MATCH("P060312|R",'CoQ Register'!$S:$S,0)),"—")</f>
        <v/>
      </c>
      <c r="E144" s="129" t="inlineStr">
        <is>
          <t>CoQ reissue (assigned on issue)</t>
        </is>
      </c>
      <c r="F144" s="129" t="inlineStr">
        <is>
          <t>post-SOP</t>
        </is>
      </c>
      <c r="G144" s="129" t="inlineStr">
        <is>
          <t>11.05.2027</t>
        </is>
      </c>
      <c r="H144" s="129" t="inlineStr">
        <is>
          <t>at retest sampling</t>
        </is>
      </c>
      <c r="I144" s="129" t="inlineStr">
        <is>
          <t>at the retest sampling · sampled — Tranche 2/3 (potency and mycotoxins pending)</t>
        </is>
      </c>
      <c r="J144" s="274">
        <f>IFERROR(INDEX('CoQ Register'!$D:$D,MATCH("P060312|R",'CoQ Register'!$S:$S,0)),"")</f>
        <v/>
      </c>
      <c r="K144" s="130" t="inlineStr">
        <is>
          <t>JD012601＊</t>
        </is>
      </c>
      <c r="L144" s="129" t="inlineStr">
        <is>
          <t>P060312</t>
        </is>
      </c>
      <c r="M144" s="129" t="inlineStr">
        <is>
          <t>Jelly Donutz</t>
        </is>
      </c>
      <c r="N144" s="129" t="inlineStr">
        <is>
          <t>27.03.2026</t>
        </is>
      </c>
      <c r="O144" s="129" t="inlineStr">
        <is>
          <t>21.05.2026 (the issuance plan's basis: 11.05.2026)</t>
        </is>
      </c>
      <c r="P144" s="129" t="inlineStr">
        <is>
          <t>21.05.2026</t>
        </is>
      </c>
      <c r="Q144" s="129" t="inlineStr">
        <is>
          <t>Ident A + Ident B + Foreign matter</t>
        </is>
      </c>
      <c r="R144" s="129" t="inlineStr">
        <is>
          <t>to test</t>
        </is>
      </c>
      <c r="S144" s="129" t="inlineStr">
        <is>
          <t>to test</t>
        </is>
      </c>
      <c r="T144" s="129" t="inlineStr">
        <is>
          <t>to test</t>
        </is>
      </c>
      <c r="U144" s="141" t="inlineStr">
        <is>
          <t>— retest assay not yet on file —</t>
        </is>
      </c>
      <c r="V144" s="141" t="inlineStr">
        <is>
          <t>— pending —</t>
        </is>
      </c>
      <c r="W144" s="141" t="inlineStr">
        <is>
          <t>— pending —</t>
        </is>
      </c>
      <c r="X144" s="129" t="inlineStr">
        <is>
          <t>#8, #9, #11, #12 from the initial testing</t>
        </is>
      </c>
      <c r="Y144" s="129" t="inlineStr">
        <is>
          <t>sampled — microbiology on file, retest assay pending</t>
        </is>
      </c>
    </row>
    <row r="145">
      <c r="A145" s="129" t="n">
        <v>144</v>
      </c>
      <c r="B145" s="129" t="inlineStr">
        <is>
          <t>retest — not yet sampled</t>
        </is>
      </c>
      <c r="C145" s="130">
        <f>IFERROR(INDEX('iCoA Register'!$B:$B,MATCH("P060282|R",'iCoA Register'!$P:$P,0)),"— at issue —")</f>
        <v/>
      </c>
      <c r="D145" s="130">
        <f>IFERROR(INDEX('CoQ Register'!$B:$B,MATCH("P060282|R",'CoQ Register'!$S:$S,0)),"—")</f>
        <v/>
      </c>
      <c r="E145" s="129" t="inlineStr">
        <is>
          <t>CoQ reissue (assigned on issue)</t>
        </is>
      </c>
      <c r="F145" s="129" t="inlineStr">
        <is>
          <t>post-SOP</t>
        </is>
      </c>
      <c r="G145" s="129" t="inlineStr">
        <is>
          <t>18.05.2027</t>
        </is>
      </c>
      <c r="H145" s="129" t="inlineStr">
        <is>
          <t>at retest sampling</t>
        </is>
      </c>
      <c r="I145" s="129" t="inlineStr">
        <is>
          <t>at the retest sampling · not yet sampled</t>
        </is>
      </c>
      <c r="J145" s="274">
        <f>IFERROR(INDEX('CoQ Register'!$D:$D,MATCH("P060282|R",'CoQ Register'!$S:$S,0)),"")</f>
        <v/>
      </c>
      <c r="K145" s="130" t="inlineStr">
        <is>
          <t>SCR112501</t>
        </is>
      </c>
      <c r="L145" s="129" t="inlineStr">
        <is>
          <t>P060282</t>
        </is>
      </c>
      <c r="M145" s="129" t="inlineStr">
        <is>
          <t>Scrambler</t>
        </is>
      </c>
      <c r="N145" s="129" t="inlineStr">
        <is>
          <t>25.03.2026</t>
        </is>
      </c>
      <c r="O145" s="129" t="inlineStr">
        <is>
          <t>18.05.2026</t>
        </is>
      </c>
      <c r="P145" s="129" t="inlineStr">
        <is>
          <t>18.05.2026</t>
        </is>
      </c>
      <c r="Q145" s="129" t="inlineStr">
        <is>
          <t>Ident A + Ident B + Foreign matter</t>
        </is>
      </c>
      <c r="R145" s="129" t="inlineStr">
        <is>
          <t>to test</t>
        </is>
      </c>
      <c r="S145" s="129" t="inlineStr">
        <is>
          <t>to test</t>
        </is>
      </c>
      <c r="T145" s="129" t="inlineStr">
        <is>
          <t>to test</t>
        </is>
      </c>
      <c r="U145" s="141" t="inlineStr">
        <is>
          <t>— retest assay not yet on file —</t>
        </is>
      </c>
      <c r="V145" s="141" t="inlineStr">
        <is>
          <t>— pending —</t>
        </is>
      </c>
      <c r="W145" s="141" t="inlineStr">
        <is>
          <t>— pending —</t>
        </is>
      </c>
      <c r="X145" s="129" t="inlineStr">
        <is>
          <t>#8, #9, #11, #12 from the initial testing</t>
        </is>
      </c>
      <c r="Y145" s="141" t="inlineStr">
        <is>
          <t>pending — not yet sampled</t>
        </is>
      </c>
    </row>
    <row r="146">
      <c r="A146" s="129" t="n">
        <v>145</v>
      </c>
      <c r="B146" s="129" t="inlineStr">
        <is>
          <t>retest — not yet sampled</t>
        </is>
      </c>
      <c r="C146" s="130">
        <f>IFERROR(INDEX('iCoA Register'!$B:$B,MATCH("P060322|R",'iCoA Register'!$P:$P,0)),"— at issue —")</f>
        <v/>
      </c>
      <c r="D146" s="130">
        <f>IFERROR(INDEX('CoQ Register'!$B:$B,MATCH("P060322|R",'CoQ Register'!$S:$S,0)),"—")</f>
        <v/>
      </c>
      <c r="E146" s="129" t="inlineStr">
        <is>
          <t>CoQ reissue (assigned on issue)</t>
        </is>
      </c>
      <c r="F146" s="129" t="inlineStr">
        <is>
          <t>post-SOP</t>
        </is>
      </c>
      <c r="G146" s="129" t="inlineStr">
        <is>
          <t>22.05.2027</t>
        </is>
      </c>
      <c r="H146" s="129" t="inlineStr">
        <is>
          <t>at retest sampling</t>
        </is>
      </c>
      <c r="I146" s="129" t="inlineStr">
        <is>
          <t>at the retest sampling · not yet sampled</t>
        </is>
      </c>
      <c r="J146" s="274">
        <f>IFERROR(INDEX('CoQ Register'!$D:$D,MATCH("P060322|R",'CoQ Register'!$S:$S,0)),"")</f>
        <v/>
      </c>
      <c r="K146" s="130" t="inlineStr">
        <is>
          <t>FB012601_1</t>
        </is>
      </c>
      <c r="L146" s="129" t="inlineStr">
        <is>
          <t>P060322</t>
        </is>
      </c>
      <c r="M146" s="129" t="inlineStr">
        <is>
          <t>Fat Bastard</t>
        </is>
      </c>
      <c r="N146" s="129" t="inlineStr">
        <is>
          <t>27.03.2026</t>
        </is>
      </c>
      <c r="O146" s="129" t="inlineStr">
        <is>
          <t>22.05.2026</t>
        </is>
      </c>
      <c r="P146" s="129" t="inlineStr">
        <is>
          <t>22.05.2026</t>
        </is>
      </c>
      <c r="Q146" s="129" t="inlineStr">
        <is>
          <t>Ident A + Ident B + Foreign matter</t>
        </is>
      </c>
      <c r="R146" s="129" t="inlineStr">
        <is>
          <t>to test</t>
        </is>
      </c>
      <c r="S146" s="129" t="inlineStr">
        <is>
          <t>to test</t>
        </is>
      </c>
      <c r="T146" s="129" t="inlineStr">
        <is>
          <t>to test</t>
        </is>
      </c>
      <c r="U146" s="141" t="inlineStr">
        <is>
          <t>— retest assay not yet on file —</t>
        </is>
      </c>
      <c r="V146" s="141" t="inlineStr">
        <is>
          <t>— pending —</t>
        </is>
      </c>
      <c r="W146" s="141" t="inlineStr">
        <is>
          <t>— pending —</t>
        </is>
      </c>
      <c r="X146" s="129" t="inlineStr">
        <is>
          <t>#8, #9, #11, #12 from the initial testing</t>
        </is>
      </c>
      <c r="Y146" s="141" t="inlineStr">
        <is>
          <t>pending — not yet sampled</t>
        </is>
      </c>
    </row>
    <row r="147">
      <c r="A147" s="129" t="n">
        <v>146</v>
      </c>
      <c r="B147" s="129" t="inlineStr">
        <is>
          <t>retest — re-analysed</t>
        </is>
      </c>
      <c r="C147" s="130">
        <f>IFERROR(INDEX('iCoA Register'!$B:$B,MATCH("P060352|R",'iCoA Register'!$P:$P,0)),"— at issue —")</f>
        <v/>
      </c>
      <c r="D147" s="130">
        <f>IFERROR(INDEX('CoQ Register'!$B:$B,MATCH("P060352|R",'CoQ Register'!$S:$S,0)),"—")</f>
        <v/>
      </c>
      <c r="E147" s="129" t="inlineStr">
        <is>
          <t>CoQ reissue (assigned on issue)</t>
        </is>
      </c>
      <c r="F147" s="129" t="inlineStr">
        <is>
          <t>post-SOP</t>
        </is>
      </c>
      <c r="G147" s="129" t="inlineStr">
        <is>
          <t>23.05.2027</t>
        </is>
      </c>
      <c r="H147" s="129" t="inlineStr">
        <is>
          <t>at retest sampling</t>
        </is>
      </c>
      <c r="I147" s="129" t="inlineStr">
        <is>
          <t>at the retest sampling · re-analysed</t>
        </is>
      </c>
      <c r="J147" s="274">
        <f>IFERROR(INDEX('CoQ Register'!$D:$D,MATCH("P060352|R",'CoQ Register'!$S:$S,0)),"")</f>
        <v/>
      </c>
      <c r="K147" s="130" t="inlineStr">
        <is>
          <t>FB012602*</t>
        </is>
      </c>
      <c r="L147" s="129" t="inlineStr">
        <is>
          <t>P060352</t>
        </is>
      </c>
      <c r="M147" s="129" t="inlineStr">
        <is>
          <t>Fat Bastard</t>
        </is>
      </c>
      <c r="N147" s="129" t="inlineStr">
        <is>
          <t>16.04.2026</t>
        </is>
      </c>
      <c r="O147" s="129" t="inlineStr">
        <is>
          <t>23.05.2026</t>
        </is>
      </c>
      <c r="P147" s="129" t="inlineStr">
        <is>
          <t>23.05.2026</t>
        </is>
      </c>
      <c r="Q147" s="129" t="inlineStr">
        <is>
          <t>Ident A + Ident B + Foreign matter</t>
        </is>
      </c>
      <c r="R147" s="129" t="inlineStr">
        <is>
          <t>to test</t>
        </is>
      </c>
      <c r="S147" s="129" t="inlineStr">
        <is>
          <t>to test</t>
        </is>
      </c>
      <c r="T147" s="129" t="inlineStr">
        <is>
          <t>to test</t>
        </is>
      </c>
      <c r="U147" s="129" t="inlineStr">
        <is>
          <t>197-7-K-26, (07.08.2026) [FHM-K]</t>
        </is>
      </c>
      <c r="V147" s="129" t="inlineStr">
        <is>
          <t>197-7-K-26, (07.08.2026) [FHM-K]</t>
        </is>
      </c>
      <c r="W147" s="129" t="inlineStr">
        <is>
          <t>197-7-M-26, (10.08.2026) [FHM-M]</t>
        </is>
      </c>
      <c r="X147" s="129" t="inlineStr">
        <is>
          <t>#8, #9, #11, #12 from the initial testing</t>
        </is>
      </c>
      <c r="Y147" s="140" t="inlineStr">
        <is>
          <t>due — retest assay, mycotoxins on file; in-house iCoA to test</t>
        </is>
      </c>
    </row>
    <row r="148">
      <c r="A148" s="129" t="n">
        <v>147</v>
      </c>
      <c r="B148" s="129" t="inlineStr">
        <is>
          <t>retest — re-analysed</t>
        </is>
      </c>
      <c r="C148" s="130">
        <f>IFERROR(INDEX('iCoA Register'!$B:$B,MATCH("P060362|R",'iCoA Register'!$P:$P,0)),"— at issue —")</f>
        <v/>
      </c>
      <c r="D148" s="130">
        <f>IFERROR(INDEX('CoQ Register'!$B:$B,MATCH("P060362|R",'CoQ Register'!$S:$S,0)),"—")</f>
        <v/>
      </c>
      <c r="E148" s="129" t="inlineStr">
        <is>
          <t>CoQ reissue (assigned on issue)</t>
        </is>
      </c>
      <c r="F148" s="129" t="inlineStr">
        <is>
          <t>post-SOP</t>
        </is>
      </c>
      <c r="G148" s="129" t="inlineStr">
        <is>
          <t>23.05.2027</t>
        </is>
      </c>
      <c r="H148" s="129" t="inlineStr">
        <is>
          <t>at retest sampling</t>
        </is>
      </c>
      <c r="I148" s="129" t="inlineStr">
        <is>
          <t>at the retest sampling · re-analysed</t>
        </is>
      </c>
      <c r="J148" s="274">
        <f>IFERROR(INDEX('CoQ Register'!$D:$D,MATCH("P060362|R",'CoQ Register'!$S:$S,0)),"")</f>
        <v/>
      </c>
      <c r="K148" s="130" t="inlineStr">
        <is>
          <t>JD012603</t>
        </is>
      </c>
      <c r="L148" s="129" t="inlineStr">
        <is>
          <t>P060362</t>
        </is>
      </c>
      <c r="M148" s="129" t="inlineStr"/>
      <c r="N148" s="129" t="inlineStr">
        <is>
          <t>22.04.2026</t>
        </is>
      </c>
      <c r="O148" s="129" t="inlineStr">
        <is>
          <t>23.05.2026</t>
        </is>
      </c>
      <c r="P148" s="129" t="inlineStr">
        <is>
          <t>23.05.2026</t>
        </is>
      </c>
      <c r="Q148" s="129" t="inlineStr">
        <is>
          <t>Ident A + Ident B + Foreign matter</t>
        </is>
      </c>
      <c r="R148" s="129" t="inlineStr">
        <is>
          <t>to test</t>
        </is>
      </c>
      <c r="S148" s="129" t="inlineStr">
        <is>
          <t>to test</t>
        </is>
      </c>
      <c r="T148" s="129" t="inlineStr">
        <is>
          <t>to test</t>
        </is>
      </c>
      <c r="U148" s="129" t="inlineStr">
        <is>
          <t>ППК26113, (30.06.2026) [CNP]</t>
        </is>
      </c>
      <c r="V148" s="129" t="inlineStr">
        <is>
          <t>ППК26113, (30.06.2026) [CNP]</t>
        </is>
      </c>
      <c r="W148" s="141" t="inlineStr">
        <is>
          <t>— pending —</t>
        </is>
      </c>
      <c r="X148" s="129" t="inlineStr">
        <is>
          <t>#8, #9, #11, #12 from the initial testing</t>
        </is>
      </c>
      <c r="Y148" s="140" t="inlineStr">
        <is>
          <t>due — retest assay on file, mycotoxins pending</t>
        </is>
      </c>
    </row>
    <row r="149">
      <c r="A149" s="129" t="n">
        <v>148</v>
      </c>
      <c r="B149" s="129" t="inlineStr">
        <is>
          <t>retest — re-analysed</t>
        </is>
      </c>
      <c r="C149" s="130">
        <f>IFERROR(INDEX('iCoA Register'!$B:$B,MATCH("P060422|R",'iCoA Register'!$P:$P,0)),"— at issue —")</f>
        <v/>
      </c>
      <c r="D149" s="130">
        <f>IFERROR(INDEX('CoQ Register'!$B:$B,MATCH("P060422|R",'CoQ Register'!$S:$S,0)),"—")</f>
        <v/>
      </c>
      <c r="E149" s="129" t="inlineStr">
        <is>
          <t>CoQ reissue (assigned on issue)</t>
        </is>
      </c>
      <c r="F149" s="129" t="inlineStr">
        <is>
          <t>post-SOP</t>
        </is>
      </c>
      <c r="G149" s="129" t="inlineStr">
        <is>
          <t>23.05.2027</t>
        </is>
      </c>
      <c r="H149" s="129" t="inlineStr">
        <is>
          <t>at retest sampling</t>
        </is>
      </c>
      <c r="I149" s="129" t="inlineStr">
        <is>
          <t>at the retest sampling · re-analysed</t>
        </is>
      </c>
      <c r="J149" s="274">
        <f>IFERROR(INDEX('CoQ Register'!$D:$D,MATCH("P060422|R",'CoQ Register'!$S:$S,0)),"")</f>
        <v/>
      </c>
      <c r="K149" s="130" t="inlineStr">
        <is>
          <t>JD012603</t>
        </is>
      </c>
      <c r="L149" s="129" t="inlineStr">
        <is>
          <t>P060422</t>
        </is>
      </c>
      <c r="M149" s="129" t="inlineStr"/>
      <c r="N149" s="129" t="inlineStr">
        <is>
          <t>29.04.2026</t>
        </is>
      </c>
      <c r="O149" s="129" t="inlineStr">
        <is>
          <t>23.05.2026</t>
        </is>
      </c>
      <c r="P149" s="129" t="inlineStr">
        <is>
          <t>23.05.2026</t>
        </is>
      </c>
      <c r="Q149" s="129" t="inlineStr">
        <is>
          <t>Ident A + Ident B + Foreign matter</t>
        </is>
      </c>
      <c r="R149" s="129" t="inlineStr">
        <is>
          <t>to test</t>
        </is>
      </c>
      <c r="S149" s="129" t="inlineStr">
        <is>
          <t>to test</t>
        </is>
      </c>
      <c r="T149" s="129" t="inlineStr">
        <is>
          <t>to test</t>
        </is>
      </c>
      <c r="U149" s="129" t="inlineStr">
        <is>
          <t>ППК26113, (30.06.2026) [CNP]</t>
        </is>
      </c>
      <c r="V149" s="129" t="inlineStr">
        <is>
          <t>ППК26113, (30.06.2026) [CNP]</t>
        </is>
      </c>
      <c r="W149" s="141" t="inlineStr">
        <is>
          <t>— pending —</t>
        </is>
      </c>
      <c r="X149" s="129" t="inlineStr">
        <is>
          <t>#8, #9, #11, #12 from the initial testing</t>
        </is>
      </c>
      <c r="Y149" s="140" t="inlineStr">
        <is>
          <t>due — retest assay on file, mycotoxins pending</t>
        </is>
      </c>
    </row>
    <row r="150">
      <c r="A150" s="129" t="n">
        <v>149</v>
      </c>
      <c r="B150" s="129" t="inlineStr">
        <is>
          <t>retest — re-analysed</t>
        </is>
      </c>
      <c r="C150" s="130">
        <f>IFERROR(INDEX('iCoA Register'!$B:$B,MATCH("P060402|R",'iCoA Register'!$P:$P,0)),"— at issue —")</f>
        <v/>
      </c>
      <c r="D150" s="130">
        <f>IFERROR(INDEX('CoQ Register'!$B:$B,MATCH("P060402|R",'CoQ Register'!$S:$S,0)),"—")</f>
        <v/>
      </c>
      <c r="E150" s="129" t="inlineStr">
        <is>
          <t>CoQ reissue (assigned on issue)</t>
        </is>
      </c>
      <c r="F150" s="129" t="inlineStr">
        <is>
          <t>post-SOP</t>
        </is>
      </c>
      <c r="G150" s="129" t="inlineStr">
        <is>
          <t>24.05.2027</t>
        </is>
      </c>
      <c r="H150" s="129" t="inlineStr">
        <is>
          <t>at retest sampling</t>
        </is>
      </c>
      <c r="I150" s="129" t="inlineStr">
        <is>
          <t>at the retest sampling · re-analysed</t>
        </is>
      </c>
      <c r="J150" s="274">
        <f>IFERROR(INDEX('CoQ Register'!$D:$D,MATCH("P060402|R",'CoQ Register'!$S:$S,0)),"")</f>
        <v/>
      </c>
      <c r="K150" s="130" t="inlineStr">
        <is>
          <t>GG012603</t>
        </is>
      </c>
      <c r="L150" s="129" t="inlineStr">
        <is>
          <t>P060402</t>
        </is>
      </c>
      <c r="M150" s="129" t="inlineStr">
        <is>
          <t>GorillaGlue</t>
        </is>
      </c>
      <c r="N150" s="129" t="inlineStr">
        <is>
          <t>04.05.2026</t>
        </is>
      </c>
      <c r="O150" s="129" t="inlineStr">
        <is>
          <t>24.05.2026</t>
        </is>
      </c>
      <c r="P150" s="129" t="inlineStr">
        <is>
          <t>24.05.2026</t>
        </is>
      </c>
      <c r="Q150" s="129" t="inlineStr">
        <is>
          <t>Ident A + Ident B + Foreign matter</t>
        </is>
      </c>
      <c r="R150" s="129" t="inlineStr">
        <is>
          <t>to test</t>
        </is>
      </c>
      <c r="S150" s="129" t="inlineStr">
        <is>
          <t>to test</t>
        </is>
      </c>
      <c r="T150" s="129" t="inlineStr">
        <is>
          <t>to test</t>
        </is>
      </c>
      <c r="U150" s="129" t="inlineStr">
        <is>
          <t>197-8-K-26, (07.08.2026) [FHM-K]</t>
        </is>
      </c>
      <c r="V150" s="129" t="inlineStr">
        <is>
          <t>197-8-K-26, (07.08.2026) [FHM-K]</t>
        </is>
      </c>
      <c r="W150" s="129" t="inlineStr">
        <is>
          <t>197-8-M-26, (10.08.2026) [FHM-M]</t>
        </is>
      </c>
      <c r="X150" s="129" t="inlineStr">
        <is>
          <t>#8, #9, #11, #12 from the initial testing</t>
        </is>
      </c>
      <c r="Y150" s="140" t="inlineStr">
        <is>
          <t>due — retest assay, mycotoxins on file; in-house iCoA to test</t>
        </is>
      </c>
    </row>
    <row r="151">
      <c r="A151" s="129" t="n">
        <v>150</v>
      </c>
      <c r="B151" s="129" t="inlineStr">
        <is>
          <t>retest — re-analysed</t>
        </is>
      </c>
      <c r="C151" s="130">
        <f>IFERROR(INDEX('iCoA Register'!$B:$B,MATCH("P060412|R",'iCoA Register'!$P:$P,0)),"— at issue —")</f>
        <v/>
      </c>
      <c r="D151" s="130">
        <f>IFERROR(INDEX('CoQ Register'!$B:$B,MATCH("P060412|R",'CoQ Register'!$S:$S,0)),"—")</f>
        <v/>
      </c>
      <c r="E151" s="129" t="inlineStr">
        <is>
          <t>CoQ reissue (assigned on issue)</t>
        </is>
      </c>
      <c r="F151" s="129" t="inlineStr">
        <is>
          <t>post-SOP</t>
        </is>
      </c>
      <c r="G151" s="129" t="inlineStr">
        <is>
          <t>24.05.2027</t>
        </is>
      </c>
      <c r="H151" s="129" t="inlineStr">
        <is>
          <t>at retest sampling</t>
        </is>
      </c>
      <c r="I151" s="129" t="inlineStr">
        <is>
          <t>at the retest sampling · re-analysed</t>
        </is>
      </c>
      <c r="J151" s="274">
        <f>IFERROR(INDEX('CoQ Register'!$D:$D,MATCH("P060412|R",'CoQ Register'!$S:$S,0)),"")</f>
        <v/>
      </c>
      <c r="K151" s="130" t="inlineStr">
        <is>
          <t>JD012603</t>
        </is>
      </c>
      <c r="L151" s="129" t="inlineStr">
        <is>
          <t>P060412</t>
        </is>
      </c>
      <c r="M151" s="129" t="inlineStr"/>
      <c r="N151" s="129" t="inlineStr">
        <is>
          <t>04.05.2026</t>
        </is>
      </c>
      <c r="O151" s="129" t="inlineStr">
        <is>
          <t>24.05.2026</t>
        </is>
      </c>
      <c r="P151" s="129" t="inlineStr">
        <is>
          <t>24.05.2026</t>
        </is>
      </c>
      <c r="Q151" s="129" t="inlineStr">
        <is>
          <t>Ident A + Ident B + Foreign matter</t>
        </is>
      </c>
      <c r="R151" s="129" t="inlineStr">
        <is>
          <t>to test</t>
        </is>
      </c>
      <c r="S151" s="129" t="inlineStr">
        <is>
          <t>to test</t>
        </is>
      </c>
      <c r="T151" s="129" t="inlineStr">
        <is>
          <t>to test</t>
        </is>
      </c>
      <c r="U151" s="129" t="inlineStr">
        <is>
          <t>ППК26113, (30.06.2026) [CNP]</t>
        </is>
      </c>
      <c r="V151" s="129" t="inlineStr">
        <is>
          <t>ППК26113, (30.06.2026) [CNP]</t>
        </is>
      </c>
      <c r="W151" s="141" t="inlineStr">
        <is>
          <t>— pending —</t>
        </is>
      </c>
      <c r="X151" s="129" t="inlineStr">
        <is>
          <t>#8, #9, #11, #12 from the initial testing</t>
        </is>
      </c>
      <c r="Y151" s="140" t="inlineStr">
        <is>
          <t>due — retest assay on file, mycotoxins pending</t>
        </is>
      </c>
    </row>
    <row r="152">
      <c r="A152" s="129" t="n">
        <v>151</v>
      </c>
      <c r="B152" s="129" t="inlineStr">
        <is>
          <t>retest — re-analysed</t>
        </is>
      </c>
      <c r="C152" s="130">
        <f>IFERROR(INDEX('iCoA Register'!$B:$B,MATCH("P060382|R",'iCoA Register'!$P:$P,0)),"— at issue —")</f>
        <v/>
      </c>
      <c r="D152" s="130">
        <f>IFERROR(INDEX('CoQ Register'!$B:$B,MATCH("P060382|R",'CoQ Register'!$S:$S,0)),"—")</f>
        <v/>
      </c>
      <c r="E152" s="129" t="inlineStr">
        <is>
          <t>CoQ reissue (assigned on issue)</t>
        </is>
      </c>
      <c r="F152" s="129" t="inlineStr">
        <is>
          <t>post-SOP</t>
        </is>
      </c>
      <c r="G152" s="129" t="inlineStr">
        <is>
          <t>25.05.2027</t>
        </is>
      </c>
      <c r="H152" s="129" t="inlineStr">
        <is>
          <t>at retest sampling</t>
        </is>
      </c>
      <c r="I152" s="129" t="inlineStr">
        <is>
          <t>at the retest sampling · re-analysed</t>
        </is>
      </c>
      <c r="J152" s="274">
        <f>IFERROR(INDEX('CoQ Register'!$D:$D,MATCH("P060382|R",'CoQ Register'!$S:$S,0)),"")</f>
        <v/>
      </c>
      <c r="K152" s="130" t="inlineStr">
        <is>
          <t>SCR012603</t>
        </is>
      </c>
      <c r="L152" s="129" t="inlineStr">
        <is>
          <t>P060382</t>
        </is>
      </c>
      <c r="M152" s="129" t="inlineStr">
        <is>
          <t>Scrambler</t>
        </is>
      </c>
      <c r="N152" s="129" t="inlineStr">
        <is>
          <t>22.04.2026</t>
        </is>
      </c>
      <c r="O152" s="129" t="inlineStr">
        <is>
          <t>25.05.2026</t>
        </is>
      </c>
      <c r="P152" s="129" t="inlineStr">
        <is>
          <t>25.05.2026</t>
        </is>
      </c>
      <c r="Q152" s="129" t="inlineStr">
        <is>
          <t>Ident A + Ident B + Foreign matter</t>
        </is>
      </c>
      <c r="R152" s="129" t="inlineStr">
        <is>
          <t>to test</t>
        </is>
      </c>
      <c r="S152" s="129" t="inlineStr">
        <is>
          <t>to test</t>
        </is>
      </c>
      <c r="T152" s="129" t="inlineStr">
        <is>
          <t>to test</t>
        </is>
      </c>
      <c r="U152" s="129" t="inlineStr">
        <is>
          <t>197-21-K-26, (07.08.2026) [FHM-K]</t>
        </is>
      </c>
      <c r="V152" s="129" t="inlineStr">
        <is>
          <t>197-21-K-26, (07.08.2026) [FHM-K]</t>
        </is>
      </c>
      <c r="W152" s="129" t="inlineStr">
        <is>
          <t>197-21-M-26, (10.08.2026) [FHM-M]</t>
        </is>
      </c>
      <c r="X152" s="129" t="inlineStr">
        <is>
          <t>#8, #9, #11, #12 from the initial testing</t>
        </is>
      </c>
      <c r="Y152" s="140" t="inlineStr">
        <is>
          <t>due — retest assay, mycotoxins on file; in-house iCoA to test</t>
        </is>
      </c>
    </row>
    <row r="153">
      <c r="A153" s="129" t="n">
        <v>152</v>
      </c>
      <c r="B153" s="129" t="inlineStr">
        <is>
          <t>retest — sampled — Tranche 2/3 (potency and mycotoxins pending)</t>
        </is>
      </c>
      <c r="C153" s="130">
        <f>IFERROR(INDEX('iCoA Register'!$B:$B,MATCH("P060432|R",'iCoA Register'!$P:$P,0)),"— at issue —")</f>
        <v/>
      </c>
      <c r="D153" s="130">
        <f>IFERROR(INDEX('CoQ Register'!$B:$B,MATCH("P060432|R",'CoQ Register'!$S:$S,0)),"—")</f>
        <v/>
      </c>
      <c r="E153" s="129" t="inlineStr">
        <is>
          <t>CoQ reissue (assigned on issue)</t>
        </is>
      </c>
      <c r="F153" s="129" t="inlineStr">
        <is>
          <t>post-SOP</t>
        </is>
      </c>
      <c r="G153" s="129" t="inlineStr">
        <is>
          <t>30.06.2027</t>
        </is>
      </c>
      <c r="H153" s="129" t="inlineStr">
        <is>
          <t>at retest sampling</t>
        </is>
      </c>
      <c r="I153" s="129" t="inlineStr">
        <is>
          <t>at the retest sampling · sampled — Tranche 2/3 (potency and mycotoxins pending)</t>
        </is>
      </c>
      <c r="J153" s="274">
        <f>IFERROR(INDEX('CoQ Register'!$D:$D,MATCH("P060432|R",'CoQ Register'!$S:$S,0)),"")</f>
        <v/>
      </c>
      <c r="K153" s="130" t="inlineStr">
        <is>
          <t>FB012603</t>
        </is>
      </c>
      <c r="L153" s="129" t="inlineStr">
        <is>
          <t>P060432</t>
        </is>
      </c>
      <c r="M153" s="129" t="inlineStr">
        <is>
          <t>Fat Bastard</t>
        </is>
      </c>
      <c r="N153" s="129" t="inlineStr">
        <is>
          <t>04.05.2026</t>
        </is>
      </c>
      <c r="O153" s="129" t="inlineStr">
        <is>
          <t>15.06.2026 (the issuance plan's basis: 30.06.2026)</t>
        </is>
      </c>
      <c r="P153" s="129" t="inlineStr">
        <is>
          <t>15.06.2026</t>
        </is>
      </c>
      <c r="Q153" s="129" t="inlineStr">
        <is>
          <t>Ident A + Ident B + Foreign matter</t>
        </is>
      </c>
      <c r="R153" s="129" t="inlineStr">
        <is>
          <t>to test</t>
        </is>
      </c>
      <c r="S153" s="129" t="inlineStr">
        <is>
          <t>to test</t>
        </is>
      </c>
      <c r="T153" s="129" t="inlineStr">
        <is>
          <t>to test</t>
        </is>
      </c>
      <c r="U153" s="141" t="inlineStr">
        <is>
          <t>— retest assay not yet on file —</t>
        </is>
      </c>
      <c r="V153" s="141" t="inlineStr">
        <is>
          <t>— pending —</t>
        </is>
      </c>
      <c r="W153" s="141" t="inlineStr">
        <is>
          <t>— pending —</t>
        </is>
      </c>
      <c r="X153" s="129" t="inlineStr">
        <is>
          <t>#8, #9, #11, #12 from the initial testing</t>
        </is>
      </c>
      <c r="Y153" s="129" t="inlineStr">
        <is>
          <t>sampled — microbiology on file, retest assay pending</t>
        </is>
      </c>
    </row>
    <row r="154">
      <c r="A154" s="129" t="n">
        <v>153</v>
      </c>
      <c r="B154" s="129" t="inlineStr">
        <is>
          <t>retest — sampled — Tranche 2/3 (potency and mycotoxins pending)</t>
        </is>
      </c>
      <c r="C154" s="130">
        <f>IFERROR(INDEX('iCoA Register'!$B:$B,MATCH("P060392|R",'iCoA Register'!$P:$P,0)),"— at issue —")</f>
        <v/>
      </c>
      <c r="D154" s="130">
        <f>IFERROR(INDEX('CoQ Register'!$B:$B,MATCH("P060392|R",'CoQ Register'!$S:$S,0)),"—")</f>
        <v/>
      </c>
      <c r="E154" s="129" t="inlineStr">
        <is>
          <t>CoQ reissue (assigned on issue)</t>
        </is>
      </c>
      <c r="F154" s="129" t="inlineStr">
        <is>
          <t>post-SOP</t>
        </is>
      </c>
      <c r="G154" s="129" t="inlineStr">
        <is>
          <t>30.06.2027</t>
        </is>
      </c>
      <c r="H154" s="129" t="inlineStr">
        <is>
          <t>at retest sampling</t>
        </is>
      </c>
      <c r="I154" s="129" t="inlineStr">
        <is>
          <t>at the retest sampling · sampled — Tranche 2/3 (potency and mycotoxins pending)</t>
        </is>
      </c>
      <c r="J154" s="274">
        <f>IFERROR(INDEX('CoQ Register'!$D:$D,MATCH("P060392|R",'CoQ Register'!$S:$S,0)),"")</f>
        <v/>
      </c>
      <c r="K154" s="130" t="inlineStr">
        <is>
          <t>FB012603V</t>
        </is>
      </c>
      <c r="L154" s="129" t="inlineStr">
        <is>
          <t>P060392</t>
        </is>
      </c>
      <c r="M154" s="129" t="inlineStr">
        <is>
          <t>Fat Bastard</t>
        </is>
      </c>
      <c r="N154" s="129" t="inlineStr">
        <is>
          <t>29.04.2026</t>
        </is>
      </c>
      <c r="O154" s="129" t="inlineStr">
        <is>
          <t>23.05.2026 (the issuance plan's basis: 30.06.2026)</t>
        </is>
      </c>
      <c r="P154" s="129" t="inlineStr">
        <is>
          <t>23.05.2026</t>
        </is>
      </c>
      <c r="Q154" s="129" t="inlineStr">
        <is>
          <t>Ident A + Ident B + Foreign matter</t>
        </is>
      </c>
      <c r="R154" s="129" t="inlineStr">
        <is>
          <t>to test</t>
        </is>
      </c>
      <c r="S154" s="129" t="inlineStr">
        <is>
          <t>to test</t>
        </is>
      </c>
      <c r="T154" s="129" t="inlineStr">
        <is>
          <t>to test</t>
        </is>
      </c>
      <c r="U154" s="141" t="inlineStr">
        <is>
          <t>— retest assay not yet on file —</t>
        </is>
      </c>
      <c r="V154" s="141" t="inlineStr">
        <is>
          <t>— pending —</t>
        </is>
      </c>
      <c r="W154" s="141" t="inlineStr">
        <is>
          <t>— pending —</t>
        </is>
      </c>
      <c r="X154" s="129" t="inlineStr">
        <is>
          <t>#8, #9, #11, #12 from the initial testing</t>
        </is>
      </c>
      <c r="Y154" s="129" t="inlineStr">
        <is>
          <t>sampled — microbiology on file, retest assay pending</t>
        </is>
      </c>
    </row>
    <row r="155">
      <c r="A155" s="129" t="n">
        <v>154</v>
      </c>
      <c r="B155" s="129" t="inlineStr">
        <is>
          <t>retest — not yet sampled</t>
        </is>
      </c>
      <c r="C155" s="130">
        <f>IFERROR(INDEX('iCoA Register'!$B:$B,MATCH("P060482|R",'iCoA Register'!$P:$P,0)),"— at issue —")</f>
        <v/>
      </c>
      <c r="D155" s="130">
        <f>IFERROR(INDEX('CoQ Register'!$B:$B,MATCH("P060482|R",'CoQ Register'!$S:$S,0)),"—")</f>
        <v/>
      </c>
      <c r="E155" s="129" t="inlineStr">
        <is>
          <t>CoQ reissue (assigned on issue)</t>
        </is>
      </c>
      <c r="F155" s="129" t="inlineStr">
        <is>
          <t>post-SOP</t>
        </is>
      </c>
      <c r="G155" s="129" t="inlineStr">
        <is>
          <t>30.06.2027</t>
        </is>
      </c>
      <c r="H155" s="129" t="inlineStr">
        <is>
          <t>at retest sampling</t>
        </is>
      </c>
      <c r="I155" s="129" t="inlineStr">
        <is>
          <t>at the retest sampling · not yet sampled</t>
        </is>
      </c>
      <c r="J155" s="274">
        <f>IFERROR(INDEX('CoQ Register'!$D:$D,MATCH("P060482|R",'CoQ Register'!$S:$S,0)),"")</f>
        <v/>
      </c>
      <c r="K155" s="130" t="inlineStr">
        <is>
          <t>JD022601</t>
        </is>
      </c>
      <c r="L155" s="129" t="inlineStr">
        <is>
          <t>P060482</t>
        </is>
      </c>
      <c r="M155" s="129" t="inlineStr">
        <is>
          <t>JellyDonutz</t>
        </is>
      </c>
      <c r="N155" s="129" t="inlineStr">
        <is>
          <t>18.05.2026</t>
        </is>
      </c>
      <c r="O155" s="129" t="inlineStr">
        <is>
          <t>05.08.2026 (the issuance plan's basis: 30.06.2026)</t>
        </is>
      </c>
      <c r="P155" s="129" t="inlineStr">
        <is>
          <t>05.08.2026</t>
        </is>
      </c>
      <c r="Q155" s="129" t="inlineStr">
        <is>
          <t>Ident A + Ident B + Foreign matter</t>
        </is>
      </c>
      <c r="R155" s="129" t="inlineStr">
        <is>
          <t>to test</t>
        </is>
      </c>
      <c r="S155" s="129" t="inlineStr">
        <is>
          <t>to test</t>
        </is>
      </c>
      <c r="T155" s="129" t="inlineStr">
        <is>
          <t>to test</t>
        </is>
      </c>
      <c r="U155" s="141" t="inlineStr">
        <is>
          <t>— retest assay not yet on file —</t>
        </is>
      </c>
      <c r="V155" s="141" t="inlineStr">
        <is>
          <t>— pending —</t>
        </is>
      </c>
      <c r="W155" s="141" t="inlineStr">
        <is>
          <t>— pending —</t>
        </is>
      </c>
      <c r="X155" s="129" t="inlineStr">
        <is>
          <t>#8, #9, #11, #12 from the initial testing</t>
        </is>
      </c>
      <c r="Y155" s="141" t="inlineStr">
        <is>
          <t>pending — not yet sampled</t>
        </is>
      </c>
    </row>
    <row r="156">
      <c r="A156" s="129" t="n">
        <v>155</v>
      </c>
      <c r="B156" s="129" t="inlineStr">
        <is>
          <t>retest — sampled — Tranche 2/3 (potency and mycotoxins pending)</t>
        </is>
      </c>
      <c r="C156" s="130">
        <f>IFERROR(INDEX('iCoA Register'!$B:$B,MATCH("P060442|R",'iCoA Register'!$P:$P,0)),"— at issue —")</f>
        <v/>
      </c>
      <c r="D156" s="130">
        <f>IFERROR(INDEX('CoQ Register'!$B:$B,MATCH("P060442|R",'CoQ Register'!$S:$S,0)),"—")</f>
        <v/>
      </c>
      <c r="E156" s="129" t="inlineStr">
        <is>
          <t>CoQ reissue (assigned on issue)</t>
        </is>
      </c>
      <c r="F156" s="129" t="inlineStr">
        <is>
          <t>post-SOP</t>
        </is>
      </c>
      <c r="G156" s="129" t="inlineStr">
        <is>
          <t>06.07.2027</t>
        </is>
      </c>
      <c r="H156" s="129" t="inlineStr">
        <is>
          <t>at retest sampling</t>
        </is>
      </c>
      <c r="I156" s="129" t="inlineStr">
        <is>
          <t>at the retest sampling · sampled — Tranche 2/3 (potency and mycotoxins pending)</t>
        </is>
      </c>
      <c r="J156" s="274">
        <f>IFERROR(INDEX('CoQ Register'!$D:$D,MATCH("P060442|R",'CoQ Register'!$S:$S,0)),"")</f>
        <v/>
      </c>
      <c r="K156" s="130" t="inlineStr">
        <is>
          <t>SCR022601</t>
        </is>
      </c>
      <c r="L156" s="129" t="inlineStr">
        <is>
          <t>P060442</t>
        </is>
      </c>
      <c r="M156" s="129" t="inlineStr">
        <is>
          <t>Scrambler</t>
        </is>
      </c>
      <c r="N156" s="129" t="inlineStr">
        <is>
          <t>13.05.2026</t>
        </is>
      </c>
      <c r="O156" s="129" t="inlineStr">
        <is>
          <t>18.06.2026 (the issuance plan's basis: 06.07.2026)</t>
        </is>
      </c>
      <c r="P156" s="129" t="inlineStr">
        <is>
          <t>18.06.2026</t>
        </is>
      </c>
      <c r="Q156" s="129" t="inlineStr">
        <is>
          <t>Ident A + Ident B + Foreign matter</t>
        </is>
      </c>
      <c r="R156" s="129" t="inlineStr">
        <is>
          <t>to test</t>
        </is>
      </c>
      <c r="S156" s="129" t="inlineStr">
        <is>
          <t>to test</t>
        </is>
      </c>
      <c r="T156" s="129" t="inlineStr">
        <is>
          <t>to test</t>
        </is>
      </c>
      <c r="U156" s="141" t="inlineStr">
        <is>
          <t>— retest assay not yet on file —</t>
        </is>
      </c>
      <c r="V156" s="141" t="inlineStr">
        <is>
          <t>— pending —</t>
        </is>
      </c>
      <c r="W156" s="141" t="inlineStr">
        <is>
          <t>— pending —</t>
        </is>
      </c>
      <c r="X156" s="129" t="inlineStr">
        <is>
          <t>#8, #9, #11, #12 from the initial testing</t>
        </is>
      </c>
      <c r="Y156" s="129" t="inlineStr">
        <is>
          <t>sampled — microbiology on file, retest assay pending</t>
        </is>
      </c>
    </row>
    <row r="157">
      <c r="A157" s="129" t="n">
        <v>156</v>
      </c>
      <c r="B157" s="129" t="inlineStr">
        <is>
          <t>retest — not yet sampled</t>
        </is>
      </c>
      <c r="C157" s="130">
        <f>IFERROR(INDEX('iCoA Register'!$B:$B,MATCH("P060452|R",'iCoA Register'!$P:$P,0)),"— at issue —")</f>
        <v/>
      </c>
      <c r="D157" s="130">
        <f>IFERROR(INDEX('CoQ Register'!$B:$B,MATCH("P060452|R",'CoQ Register'!$S:$S,0)),"—")</f>
        <v/>
      </c>
      <c r="E157" s="129" t="inlineStr">
        <is>
          <t>CoQ reissue (assigned on issue)</t>
        </is>
      </c>
      <c r="F157" s="129" t="inlineStr">
        <is>
          <t>post-SOP</t>
        </is>
      </c>
      <c r="G157" s="129" t="inlineStr">
        <is>
          <t>21.07.2027</t>
        </is>
      </c>
      <c r="H157" s="129" t="inlineStr">
        <is>
          <t>at retest sampling</t>
        </is>
      </c>
      <c r="I157" s="129" t="inlineStr">
        <is>
          <t>at the retest sampling · not yet sampled</t>
        </is>
      </c>
      <c r="J157" s="274">
        <f>IFERROR(INDEX('CoQ Register'!$D:$D,MATCH("P060452|R",'CoQ Register'!$S:$S,0)),"")</f>
        <v/>
      </c>
      <c r="K157" s="130" t="inlineStr">
        <is>
          <t>FB032601</t>
        </is>
      </c>
      <c r="L157" s="129" t="inlineStr">
        <is>
          <t>P060452</t>
        </is>
      </c>
      <c r="M157" s="129" t="inlineStr">
        <is>
          <t>FatBastard</t>
        </is>
      </c>
      <c r="N157" s="129" t="inlineStr">
        <is>
          <t>02.06.2026</t>
        </is>
      </c>
      <c r="O157" s="129" t="inlineStr">
        <is>
          <t>29.06.2026 (the issuance plan's basis: 21.07.2026)</t>
        </is>
      </c>
      <c r="P157" s="129" t="inlineStr">
        <is>
          <t>29.06.2026</t>
        </is>
      </c>
      <c r="Q157" s="129" t="inlineStr">
        <is>
          <t>Ident A + Ident B + Foreign matter</t>
        </is>
      </c>
      <c r="R157" s="129" t="inlineStr">
        <is>
          <t>to test</t>
        </is>
      </c>
      <c r="S157" s="129" t="inlineStr">
        <is>
          <t>to test</t>
        </is>
      </c>
      <c r="T157" s="129" t="inlineStr">
        <is>
          <t>to test</t>
        </is>
      </c>
      <c r="U157" s="141" t="inlineStr">
        <is>
          <t>— retest assay not yet on file —</t>
        </is>
      </c>
      <c r="V157" s="141" t="inlineStr">
        <is>
          <t>— pending —</t>
        </is>
      </c>
      <c r="W157" s="141" t="inlineStr">
        <is>
          <t>— pending —</t>
        </is>
      </c>
      <c r="X157" s="129" t="inlineStr">
        <is>
          <t>#8, #9, #11, #12 from the initial testing</t>
        </is>
      </c>
      <c r="Y157" s="141" t="inlineStr">
        <is>
          <t>pending — not yet sampled</t>
        </is>
      </c>
    </row>
    <row r="158">
      <c r="A158" s="129" t="n">
        <v>157</v>
      </c>
      <c r="B158" s="129" t="inlineStr">
        <is>
          <t>retest — not yet sampled</t>
        </is>
      </c>
      <c r="C158" s="130">
        <f>IFERROR(INDEX('iCoA Register'!$B:$B,MATCH("P060462|R",'iCoA Register'!$P:$P,0)),"— at issue —")</f>
        <v/>
      </c>
      <c r="D158" s="130">
        <f>IFERROR(INDEX('CoQ Register'!$B:$B,MATCH("P060462|R",'CoQ Register'!$S:$S,0)),"—")</f>
        <v/>
      </c>
      <c r="E158" s="129" t="inlineStr">
        <is>
          <t>CoQ reissue (assigned on issue)</t>
        </is>
      </c>
      <c r="F158" s="129" t="inlineStr">
        <is>
          <t>post-SOP</t>
        </is>
      </c>
      <c r="G158" s="129" t="inlineStr">
        <is>
          <t>21.07.2027</t>
        </is>
      </c>
      <c r="H158" s="129" t="inlineStr">
        <is>
          <t>at retest sampling</t>
        </is>
      </c>
      <c r="I158" s="129" t="inlineStr">
        <is>
          <t>at the retest sampling · not yet sampled</t>
        </is>
      </c>
      <c r="J158" s="274">
        <f>IFERROR(INDEX('CoQ Register'!$D:$D,MATCH("P060462|R",'CoQ Register'!$S:$S,0)),"")</f>
        <v/>
      </c>
      <c r="K158" s="130" t="inlineStr">
        <is>
          <t>GG032601</t>
        </is>
      </c>
      <c r="L158" s="129" t="inlineStr">
        <is>
          <t>P060462</t>
        </is>
      </c>
      <c r="M158" s="129" t="inlineStr">
        <is>
          <t>GorillaGlue</t>
        </is>
      </c>
      <c r="N158" s="129" t="inlineStr">
        <is>
          <t>16.06.2026</t>
        </is>
      </c>
      <c r="O158" s="129" t="inlineStr">
        <is>
          <t>16.07.2026 (the issuance plan's basis: 21.07.2026)</t>
        </is>
      </c>
      <c r="P158" s="129" t="inlineStr">
        <is>
          <t>16.07.2026</t>
        </is>
      </c>
      <c r="Q158" s="129" t="inlineStr">
        <is>
          <t>Ident A + Ident B + Foreign matter</t>
        </is>
      </c>
      <c r="R158" s="129" t="inlineStr">
        <is>
          <t>to test</t>
        </is>
      </c>
      <c r="S158" s="129" t="inlineStr">
        <is>
          <t>to test</t>
        </is>
      </c>
      <c r="T158" s="129" t="inlineStr">
        <is>
          <t>to test</t>
        </is>
      </c>
      <c r="U158" s="141" t="inlineStr">
        <is>
          <t>— retest assay not yet on file —</t>
        </is>
      </c>
      <c r="V158" s="141" t="inlineStr">
        <is>
          <t>— pending —</t>
        </is>
      </c>
      <c r="W158" s="141" t="inlineStr">
        <is>
          <t>— pending —</t>
        </is>
      </c>
      <c r="X158" s="129" t="inlineStr">
        <is>
          <t>#8, #9, #11, #12 from the initial testing</t>
        </is>
      </c>
      <c r="Y158" s="141" t="inlineStr">
        <is>
          <t>pending — not yet sampled</t>
        </is>
      </c>
    </row>
    <row r="160" ht="84" customHeight="1" s="70">
      <c r="A160" s="139" t="inlineStr">
        <is>
          <t>Head of QC, 05.09.2026 (confirming 04.09.2026): ONE iCoA per P lot carries identification A, identification B and foreign matter, tested at packaging (the first day, when the sample is taken before primary packaging); where a CNP certificate reports one of them, its document code is the reference and the iCoA covers the rest; where CNP reports all three, no iCoA is needed. Identification C is 'Conforms', referenced to the eCoA that covers Total THC (the cannabinoid assay), on the CoQ. LEGACY lots — packed before the SOP floor of 11.05.2026, or holding an old in-house QCCoA 001 certificate — have their iCoAs issued together on 15.05.2026 and their CoQs (CoQ-PP_26-nnn, superseding the old certificate) on 27.05.2026; POST-SOP lots have the iCoA issued on the first working day 5 days after packaging and the CoQ on the first working day 7 days after the latest eCoA it cites. The codes and the planned dates on this sheet are looked up on the iCoA Register and the CoQ Register by the row's key and follow a renumbering there. The RETEST SERIES (the QP's campaign: medical use, GACP product / API) repeats the iCoA and the CoQ per lot at the retest sampling, sampled by tranche from July 2026 (Tranche 1 the first 21 lots produced, then Tranches 2 and 3): identification A, B and foreign matter are tested in-house on every bag of the representative sample (one iCoA); Farmahem tests the cannabinoids — identification C with them — and the mycotoxins, IJZ-MB the microbiology; the reissued CoQ carries those retest results and the initial external certificates for the rest. A certificate dated on or after 01.07.2026 is a retest document and never certifies the initial CoQ. A retest document takes a new number in the year of issue, never the initial one. 'due' where the retest certificates are on file, 'pending' where they are not. Foreign matter is 'Conforms' by the declaration of 13.08.2026 unless an outsourced certificate reports otherwise.</t>
        </is>
      </c>
    </row>
  </sheetData>
  <autoFilter ref="A1:Y158"/>
  <mergeCells count="1">
    <mergeCell ref="A160:Y160"/>
  </mergeCells>
  <pageMargins left="0.75" right="0.75" top="1" bottom="1"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28" t="inlineStr">
        <is>
          <t>Seq</t>
        </is>
      </c>
      <c r="B1" s="128" t="inlineStr">
        <is>
          <t>Batch (as listed)</t>
        </is>
      </c>
      <c r="C1" s="128" t="inlineStr">
        <is>
          <t>P Batch</t>
        </is>
      </c>
      <c r="D1" s="128" t="inlineStr">
        <is>
          <t>Harvest from</t>
        </is>
      </c>
      <c r="E1" s="128" t="inlineStr">
        <is>
          <t>Harvest to</t>
        </is>
      </c>
      <c r="F1" s="128" t="inlineStr">
        <is>
          <t>Packaging from</t>
        </is>
      </c>
      <c r="G1" s="128" t="inlineStr">
        <is>
          <t>Packaging to</t>
        </is>
      </c>
      <c r="H1" s="128" t="inlineStr">
        <is>
          <t>iCoA basis (first day of packaging)</t>
        </is>
      </c>
      <c r="I1" s="128" t="inlineStr">
        <is>
          <t>Tracker lot</t>
        </is>
      </c>
      <c r="J1" s="128" t="inlineStr">
        <is>
          <t>Note</t>
        </is>
      </c>
    </row>
    <row r="2">
      <c r="A2" s="129" t="n">
        <v>1</v>
      </c>
      <c r="B2" s="130" t="inlineStr">
        <is>
          <t>CJ1024</t>
        </is>
      </c>
      <c r="C2" s="130" t="inlineStr"/>
      <c r="D2" s="274" t="n">
        <v>45677</v>
      </c>
      <c r="E2" s="274" t="n">
        <v>45677</v>
      </c>
      <c r="F2" s="274" t="n">
        <v>45719</v>
      </c>
      <c r="G2" s="274" t="n">
        <v>45719</v>
      </c>
      <c r="H2" s="274">
        <f>F2</f>
        <v/>
      </c>
      <c r="I2" s="129" t="inlineStr">
        <is>
          <t>CJ1024</t>
        </is>
      </c>
      <c r="J2" s="133" t="inlineStr">
        <is>
          <t>listed as 'CJ1024 - R&amp;D'</t>
        </is>
      </c>
    </row>
    <row r="3">
      <c r="A3" s="129" t="n">
        <v>2</v>
      </c>
      <c r="B3" s="130" t="inlineStr">
        <is>
          <t>GG1024</t>
        </is>
      </c>
      <c r="C3" s="130" t="inlineStr"/>
      <c r="D3" s="274" t="n">
        <v>45677</v>
      </c>
      <c r="E3" s="274" t="n">
        <v>45677</v>
      </c>
      <c r="F3" s="274" t="n">
        <v>45727</v>
      </c>
      <c r="G3" s="274" t="n">
        <v>45727</v>
      </c>
      <c r="H3" s="274">
        <f>F3</f>
        <v/>
      </c>
      <c r="I3" s="129" t="inlineStr">
        <is>
          <t>GG1024</t>
        </is>
      </c>
      <c r="J3" s="133" t="inlineStr">
        <is>
          <t>listed as 'GG1024- R&amp;D'</t>
        </is>
      </c>
    </row>
    <row r="4">
      <c r="A4" s="129" t="n">
        <v>3</v>
      </c>
      <c r="B4" s="130" t="inlineStr">
        <is>
          <t>OPM1024</t>
        </is>
      </c>
      <c r="C4" s="130" t="inlineStr"/>
      <c r="D4" s="274" t="n">
        <v>45678</v>
      </c>
      <c r="E4" s="274" t="n">
        <v>45678</v>
      </c>
      <c r="F4" s="274" t="n">
        <v>45771</v>
      </c>
      <c r="G4" s="274" t="n">
        <v>45772</v>
      </c>
      <c r="H4" s="274">
        <f>F4</f>
        <v/>
      </c>
      <c r="I4" s="129" t="inlineStr">
        <is>
          <t>OPM1024</t>
        </is>
      </c>
      <c r="J4" s="133" t="inlineStr">
        <is>
          <t>listed as 'OPM1024- R&amp;D'</t>
        </is>
      </c>
    </row>
    <row r="5">
      <c r="A5" s="129" t="n">
        <v>4</v>
      </c>
      <c r="B5" s="130" t="inlineStr">
        <is>
          <t>BG1024</t>
        </is>
      </c>
      <c r="C5" s="130" t="inlineStr"/>
      <c r="D5" s="274" t="n">
        <v>45678</v>
      </c>
      <c r="E5" s="274" t="n">
        <v>45678</v>
      </c>
      <c r="F5" s="274" t="n">
        <v>45723</v>
      </c>
      <c r="G5" s="274" t="n">
        <v>45723</v>
      </c>
      <c r="H5" s="274">
        <f>F5</f>
        <v/>
      </c>
      <c r="I5" s="129" t="inlineStr">
        <is>
          <t>BG1024</t>
        </is>
      </c>
      <c r="J5" s="133" t="inlineStr">
        <is>
          <t>listed as 'BG1024- R&amp;D'</t>
        </is>
      </c>
    </row>
    <row r="6">
      <c r="A6" s="129" t="n">
        <v>5</v>
      </c>
      <c r="B6" s="130" t="inlineStr">
        <is>
          <t>BSS1024</t>
        </is>
      </c>
      <c r="C6" s="130" t="inlineStr"/>
      <c r="D6" s="274" t="n">
        <v>45679</v>
      </c>
      <c r="E6" s="274" t="n">
        <v>45679</v>
      </c>
      <c r="F6" s="274" t="n">
        <v>45720</v>
      </c>
      <c r="G6" s="274" t="n">
        <v>45720</v>
      </c>
      <c r="H6" s="274">
        <f>F6</f>
        <v/>
      </c>
      <c r="I6" s="129" t="inlineStr">
        <is>
          <t>BSS1024</t>
        </is>
      </c>
      <c r="J6" s="133" t="inlineStr">
        <is>
          <t>listed as 'BSS1024- R&amp;D'</t>
        </is>
      </c>
    </row>
    <row r="7">
      <c r="A7" s="129" t="n">
        <v>6</v>
      </c>
      <c r="B7" s="130" t="inlineStr">
        <is>
          <t>HPA1024</t>
        </is>
      </c>
      <c r="C7" s="130" t="inlineStr"/>
      <c r="D7" s="274" t="n">
        <v>45679</v>
      </c>
      <c r="E7" s="274" t="n">
        <v>45679</v>
      </c>
      <c r="F7" s="274" t="n">
        <v>45758</v>
      </c>
      <c r="G7" s="274" t="n">
        <v>45758</v>
      </c>
      <c r="H7" s="274">
        <f>F7</f>
        <v/>
      </c>
      <c r="I7" s="129" t="inlineStr">
        <is>
          <t>HPA1024</t>
        </is>
      </c>
      <c r="J7" s="133" t="inlineStr">
        <is>
          <t>listed as 'HPA1024- R&amp;D'</t>
        </is>
      </c>
    </row>
    <row r="8">
      <c r="A8" s="129" t="n">
        <v>7</v>
      </c>
      <c r="B8" s="130" t="inlineStr">
        <is>
          <t>GG1024_01</t>
        </is>
      </c>
      <c r="C8" s="130" t="inlineStr">
        <is>
          <t>P050092</t>
        </is>
      </c>
      <c r="D8" s="274" t="n">
        <v>45733</v>
      </c>
      <c r="E8" s="274" t="n">
        <v>45734</v>
      </c>
      <c r="F8" s="274" t="n">
        <v>45869</v>
      </c>
      <c r="G8" s="274" t="n">
        <v>45874</v>
      </c>
      <c r="H8" s="274">
        <f>F8</f>
        <v/>
      </c>
      <c r="I8" s="129" t="inlineStr">
        <is>
          <t>GG1024_01</t>
        </is>
      </c>
      <c r="J8" s="133" t="inlineStr">
        <is>
          <t>packaging: year 2025 inferred (not printed)</t>
        </is>
      </c>
    </row>
    <row r="9">
      <c r="A9" s="129" t="n">
        <v>8</v>
      </c>
      <c r="B9" s="130" t="inlineStr">
        <is>
          <t>GP0824_01</t>
        </is>
      </c>
      <c r="C9" s="130" t="inlineStr">
        <is>
          <t>P050102</t>
        </is>
      </c>
      <c r="D9" s="274" t="n">
        <v>45736</v>
      </c>
      <c r="E9" s="274" t="n">
        <v>45737</v>
      </c>
      <c r="F9" s="274" t="n">
        <v>45874</v>
      </c>
      <c r="G9" s="274" t="n">
        <v>45876</v>
      </c>
      <c r="H9" s="274">
        <f>F9</f>
        <v/>
      </c>
      <c r="I9" s="129" t="inlineStr">
        <is>
          <t>GP0824_01</t>
        </is>
      </c>
      <c r="J9" s="133" t="inlineStr">
        <is>
          <t>packaging: year 2025 inferred (not printed)</t>
        </is>
      </c>
    </row>
    <row r="10">
      <c r="A10" s="129" t="n">
        <v>9</v>
      </c>
      <c r="B10" s="130" t="inlineStr">
        <is>
          <t>OMP1024_01</t>
        </is>
      </c>
      <c r="C10" s="130" t="inlineStr">
        <is>
          <t>P050042</t>
        </is>
      </c>
      <c r="D10" s="274" t="n">
        <v>45742</v>
      </c>
      <c r="E10" s="274" t="n">
        <v>45743</v>
      </c>
      <c r="F10" s="274" t="n">
        <v>45828</v>
      </c>
      <c r="G10" s="274" t="n">
        <v>45828</v>
      </c>
      <c r="H10" s="274">
        <f>F10</f>
        <v/>
      </c>
      <c r="I10" s="129" t="inlineStr">
        <is>
          <t>OMP1024_01</t>
        </is>
      </c>
      <c r="J10" s="133" t="inlineStr"/>
    </row>
    <row r="11">
      <c r="A11" s="129" t="n">
        <v>10</v>
      </c>
      <c r="B11" s="130" t="inlineStr">
        <is>
          <t>MB0824_04</t>
        </is>
      </c>
      <c r="C11" s="130" t="inlineStr">
        <is>
          <t>P050032</t>
        </is>
      </c>
      <c r="D11" s="274" t="n">
        <v>45749</v>
      </c>
      <c r="E11" s="274" t="n">
        <v>45750</v>
      </c>
      <c r="F11" s="274" t="n">
        <v>45824</v>
      </c>
      <c r="G11" s="274" t="n">
        <v>45827</v>
      </c>
      <c r="H11" s="274">
        <f>F11</f>
        <v/>
      </c>
      <c r="I11" s="129" t="inlineStr">
        <is>
          <t>MB0824_04</t>
        </is>
      </c>
      <c r="J11" s="133" t="inlineStr"/>
    </row>
    <row r="12">
      <c r="A12" s="129" t="n">
        <v>11</v>
      </c>
      <c r="B12" s="130" t="inlineStr">
        <is>
          <t>GG1024_02</t>
        </is>
      </c>
      <c r="C12" s="130" t="inlineStr">
        <is>
          <t>P050012</t>
        </is>
      </c>
      <c r="D12" s="274" t="n">
        <v>45761</v>
      </c>
      <c r="E12" s="274" t="n">
        <v>45762</v>
      </c>
      <c r="F12" s="274" t="n">
        <v>45819</v>
      </c>
      <c r="G12" s="274" t="n">
        <v>45824</v>
      </c>
      <c r="H12" s="274">
        <f>F12</f>
        <v/>
      </c>
      <c r="I12" s="129" t="inlineStr">
        <is>
          <t>GG1024_02</t>
        </is>
      </c>
      <c r="J12" s="133" t="inlineStr"/>
    </row>
    <row r="13">
      <c r="A13" s="129" t="n">
        <v>12</v>
      </c>
      <c r="B13" s="130" t="inlineStr">
        <is>
          <t>GP0824_02</t>
        </is>
      </c>
      <c r="C13" s="130" t="inlineStr">
        <is>
          <t>P050022</t>
        </is>
      </c>
      <c r="D13" s="274" t="n">
        <v>45769</v>
      </c>
      <c r="E13" s="274" t="n">
        <v>45770</v>
      </c>
      <c r="F13" s="274" t="n">
        <v>45811</v>
      </c>
      <c r="G13" s="274" t="n">
        <v>45819</v>
      </c>
      <c r="H13" s="274">
        <f>F13</f>
        <v/>
      </c>
      <c r="I13" s="129" t="inlineStr">
        <is>
          <t>GP0824_02</t>
        </is>
      </c>
      <c r="J13" s="133" t="inlineStr"/>
    </row>
    <row r="14">
      <c r="A14" s="129" t="n">
        <v>13</v>
      </c>
      <c r="B14" s="130" t="inlineStr">
        <is>
          <t>HPA1024_01</t>
        </is>
      </c>
      <c r="C14" s="130" t="inlineStr">
        <is>
          <t>P050052</t>
        </is>
      </c>
      <c r="D14" s="274" t="n">
        <v>45804</v>
      </c>
      <c r="E14" s="274" t="n">
        <v>45805</v>
      </c>
      <c r="F14" s="274" t="n">
        <v>45835</v>
      </c>
      <c r="G14" s="274" t="n">
        <v>45842</v>
      </c>
      <c r="H14" s="274">
        <f>F14</f>
        <v/>
      </c>
      <c r="I14" s="129" t="inlineStr">
        <is>
          <t>HPA1024_01</t>
        </is>
      </c>
      <c r="J14" s="133" t="inlineStr"/>
    </row>
    <row r="15">
      <c r="A15" s="129" t="n">
        <v>14</v>
      </c>
      <c r="B15" s="130" t="inlineStr">
        <is>
          <t>OPM1024_02</t>
        </is>
      </c>
      <c r="C15" s="130" t="inlineStr">
        <is>
          <t>P050062</t>
        </is>
      </c>
      <c r="D15" s="274" t="n">
        <v>45806</v>
      </c>
      <c r="E15" s="274" t="n">
        <v>45807</v>
      </c>
      <c r="F15" s="274" t="n">
        <v>45842</v>
      </c>
      <c r="G15" s="274" t="n">
        <v>45848</v>
      </c>
      <c r="H15" s="274">
        <f>F15</f>
        <v/>
      </c>
      <c r="I15" s="129" t="inlineStr">
        <is>
          <t>OPM1024_02</t>
        </is>
      </c>
      <c r="J15" s="133" t="inlineStr"/>
    </row>
    <row r="16">
      <c r="A16" s="129" t="n">
        <v>15</v>
      </c>
      <c r="B16" s="130" t="inlineStr">
        <is>
          <t>BSS1024_01/1</t>
        </is>
      </c>
      <c r="C16" s="130" t="inlineStr">
        <is>
          <t>P050122</t>
        </is>
      </c>
      <c r="D16" s="274" t="n">
        <v>45812</v>
      </c>
      <c r="E16" s="274" t="n">
        <v>45813</v>
      </c>
      <c r="F16" s="274" t="n">
        <v>45901</v>
      </c>
      <c r="G16" s="274" t="n">
        <v>45909</v>
      </c>
      <c r="H16" s="274">
        <f>F16</f>
        <v/>
      </c>
      <c r="I16" s="129" t="inlineStr">
        <is>
          <t>BSS1024_01/1</t>
        </is>
      </c>
      <c r="J16" s="133" t="inlineStr">
        <is>
          <t>packaging: year 2025 inferred (not printed)</t>
        </is>
      </c>
    </row>
    <row r="17">
      <c r="A17" s="129" t="n">
        <v>16</v>
      </c>
      <c r="B17" s="130" t="inlineStr">
        <is>
          <t>BSS1024_01/2</t>
        </is>
      </c>
      <c r="C17" s="130" t="inlineStr">
        <is>
          <t>P050142</t>
        </is>
      </c>
      <c r="D17" s="285" t="inlineStr">
        <is>
          <t>— not given —</t>
        </is>
      </c>
      <c r="E17" s="285" t="inlineStr">
        <is>
          <t>— not given —</t>
        </is>
      </c>
      <c r="F17" s="274" t="n">
        <v>45930</v>
      </c>
      <c r="G17" s="274" t="n">
        <v>45930</v>
      </c>
      <c r="H17" s="274">
        <f>F17</f>
        <v/>
      </c>
      <c r="I17" s="129" t="inlineStr">
        <is>
          <t>BSS1024_01/2</t>
        </is>
      </c>
      <c r="J17" s="133" t="inlineStr">
        <is>
          <t>harvest: no date given; packaging: year 2025 inferred (not printed)</t>
        </is>
      </c>
    </row>
    <row r="18">
      <c r="A18" s="129" t="n">
        <v>17</v>
      </c>
      <c r="B18" s="130" t="inlineStr">
        <is>
          <t>GP0824_03</t>
        </is>
      </c>
      <c r="C18" s="130" t="inlineStr">
        <is>
          <t>P050072</t>
        </is>
      </c>
      <c r="D18" s="274" t="n">
        <v>45817</v>
      </c>
      <c r="E18" s="274" t="n">
        <v>45818</v>
      </c>
      <c r="F18" s="274" t="n">
        <v>45852</v>
      </c>
      <c r="G18" s="274" t="n">
        <v>45855</v>
      </c>
      <c r="H18" s="274">
        <f>F18</f>
        <v/>
      </c>
      <c r="I18" s="129" t="inlineStr">
        <is>
          <t>GP0824_03</t>
        </is>
      </c>
      <c r="J18" s="133" t="inlineStr">
        <is>
          <t>packaging: year 2025 inferred (not printed)</t>
        </is>
      </c>
    </row>
    <row r="19">
      <c r="A19" s="129" t="n">
        <v>18</v>
      </c>
      <c r="B19" s="130" t="inlineStr">
        <is>
          <t>OPM1024_03</t>
        </is>
      </c>
      <c r="C19" s="130" t="inlineStr">
        <is>
          <t>P050082</t>
        </is>
      </c>
      <c r="D19" s="274" t="n">
        <v>45839</v>
      </c>
      <c r="E19" s="274" t="n">
        <v>45840</v>
      </c>
      <c r="F19" s="274" t="n">
        <v>45860</v>
      </c>
      <c r="G19" s="274" t="n">
        <v>45868</v>
      </c>
      <c r="H19" s="274">
        <f>F19</f>
        <v/>
      </c>
      <c r="I19" s="129" t="inlineStr">
        <is>
          <t>OPM1024_03</t>
        </is>
      </c>
      <c r="J19" s="133" t="inlineStr"/>
    </row>
    <row r="20">
      <c r="A20" s="129" t="n">
        <v>19</v>
      </c>
      <c r="B20" s="130" t="inlineStr">
        <is>
          <t>MB0824_05</t>
        </is>
      </c>
      <c r="C20" s="130" t="inlineStr">
        <is>
          <t>P050112</t>
        </is>
      </c>
      <c r="D20" s="274" t="n">
        <v>45846</v>
      </c>
      <c r="E20" s="274" t="n">
        <v>45847</v>
      </c>
      <c r="F20" s="274" t="n">
        <v>45894</v>
      </c>
      <c r="G20" s="274" t="n">
        <v>45900</v>
      </c>
      <c r="H20" s="274">
        <f>F20</f>
        <v/>
      </c>
      <c r="I20" s="129" t="inlineStr">
        <is>
          <t>MB0824_05</t>
        </is>
      </c>
      <c r="J20" s="133" t="inlineStr">
        <is>
          <t>packaging: year 2025 inferred (not printed)</t>
        </is>
      </c>
    </row>
    <row r="21">
      <c r="A21" s="129" t="n">
        <v>20</v>
      </c>
      <c r="B21" s="130" t="inlineStr">
        <is>
          <t>OPM052501</t>
        </is>
      </c>
      <c r="C21" s="130" t="inlineStr">
        <is>
          <t>P050132</t>
        </is>
      </c>
      <c r="D21" s="274" t="n">
        <v>45880</v>
      </c>
      <c r="E21" s="274" t="n">
        <v>45882</v>
      </c>
      <c r="F21" s="274" t="n">
        <v>45909</v>
      </c>
      <c r="G21" s="274" t="n">
        <v>45915</v>
      </c>
      <c r="H21" s="274">
        <f>F21</f>
        <v/>
      </c>
      <c r="I21" s="129" t="inlineStr">
        <is>
          <t>OPM052501</t>
        </is>
      </c>
      <c r="J21" s="133" t="inlineStr">
        <is>
          <t>packaging: year 2025 inferred (not printed)</t>
        </is>
      </c>
    </row>
    <row r="22">
      <c r="A22" s="129" t="n">
        <v>21</v>
      </c>
      <c r="B22" s="130" t="inlineStr">
        <is>
          <t>GP052501</t>
        </is>
      </c>
      <c r="C22" s="130" t="inlineStr">
        <is>
          <t>P050152</t>
        </is>
      </c>
      <c r="D22" s="285" t="inlineStr">
        <is>
          <t>— not given —</t>
        </is>
      </c>
      <c r="E22" s="285" t="inlineStr">
        <is>
          <t>— not given —</t>
        </is>
      </c>
      <c r="F22" s="274" t="n">
        <v>45925</v>
      </c>
      <c r="G22" s="274" t="n">
        <v>45925</v>
      </c>
      <c r="H22" s="274">
        <f>F22</f>
        <v/>
      </c>
      <c r="I22" s="129" t="inlineStr">
        <is>
          <t>GP052501</t>
        </is>
      </c>
      <c r="J22" s="133" t="inlineStr">
        <is>
          <t>harvest: no date given</t>
        </is>
      </c>
    </row>
    <row r="23">
      <c r="A23" s="129" t="n">
        <v>22</v>
      </c>
      <c r="B23" s="130" t="inlineStr">
        <is>
          <t>CJ052501/01</t>
        </is>
      </c>
      <c r="C23" s="130" t="inlineStr">
        <is>
          <t>P050162</t>
        </is>
      </c>
      <c r="D23" s="274" t="n">
        <v>45889</v>
      </c>
      <c r="E23" s="274" t="n">
        <v>45889</v>
      </c>
      <c r="F23" s="274" t="n">
        <v>45930</v>
      </c>
      <c r="G23" s="274" t="n">
        <v>45931</v>
      </c>
      <c r="H23" s="274">
        <f>F23</f>
        <v/>
      </c>
      <c r="I23" s="129" t="inlineStr">
        <is>
          <t>CJ052501/01</t>
        </is>
      </c>
      <c r="J23" s="133" t="inlineStr"/>
    </row>
    <row r="24">
      <c r="A24" s="129" t="n">
        <v>23</v>
      </c>
      <c r="B24" s="130" t="inlineStr">
        <is>
          <t>CJ052501/02</t>
        </is>
      </c>
      <c r="C24" s="130" t="inlineStr">
        <is>
          <t>P050172</t>
        </is>
      </c>
      <c r="D24" s="274" t="n">
        <v>45889</v>
      </c>
      <c r="E24" s="274" t="n">
        <v>45889</v>
      </c>
      <c r="F24" s="274" t="n">
        <v>45931</v>
      </c>
      <c r="G24" s="274" t="n">
        <v>45932</v>
      </c>
      <c r="H24" s="274">
        <f>F24</f>
        <v/>
      </c>
      <c r="I24" s="129" t="inlineStr">
        <is>
          <t>CJ052501/02</t>
        </is>
      </c>
      <c r="J24" s="133" t="inlineStr"/>
    </row>
    <row r="25">
      <c r="A25" s="129" t="n">
        <v>24</v>
      </c>
      <c r="B25" s="130" t="inlineStr">
        <is>
          <t>HPA052501</t>
        </is>
      </c>
      <c r="C25" s="130" t="inlineStr">
        <is>
          <t>P050182</t>
        </is>
      </c>
      <c r="D25" s="274" t="n">
        <v>45890</v>
      </c>
      <c r="E25" s="274" t="n">
        <v>45892</v>
      </c>
      <c r="F25" s="274" t="n">
        <v>45933</v>
      </c>
      <c r="G25" s="274" t="n">
        <v>45939</v>
      </c>
      <c r="H25" s="274">
        <f>F25</f>
        <v/>
      </c>
      <c r="I25" s="129" t="inlineStr">
        <is>
          <t>HPA052501</t>
        </is>
      </c>
      <c r="J25" s="133" t="inlineStr"/>
    </row>
    <row r="26">
      <c r="A26" s="129" t="n">
        <v>25</v>
      </c>
      <c r="B26" s="130" t="inlineStr">
        <is>
          <t>BSS052501</t>
        </is>
      </c>
      <c r="C26" s="130" t="inlineStr">
        <is>
          <t>P050192</t>
        </is>
      </c>
      <c r="D26" s="274" t="n">
        <v>45901</v>
      </c>
      <c r="E26" s="274" t="n">
        <v>45903</v>
      </c>
      <c r="F26" s="274" t="n">
        <v>45940</v>
      </c>
      <c r="G26" s="274" t="n">
        <v>45951</v>
      </c>
      <c r="H26" s="274">
        <f>F26</f>
        <v/>
      </c>
      <c r="I26" s="129" t="inlineStr">
        <is>
          <t>BSS052501</t>
        </is>
      </c>
      <c r="J26" s="133" t="inlineStr"/>
    </row>
    <row r="27">
      <c r="A27" s="129" t="n">
        <v>26</v>
      </c>
      <c r="B27" s="130" t="inlineStr">
        <is>
          <t>GP062501</t>
        </is>
      </c>
      <c r="C27" s="130" t="inlineStr">
        <is>
          <t>P050202</t>
        </is>
      </c>
      <c r="D27" s="274" t="n">
        <v>45915</v>
      </c>
      <c r="E27" s="274" t="n">
        <v>45917</v>
      </c>
      <c r="F27" s="274" t="n">
        <v>45960</v>
      </c>
      <c r="G27" s="274" t="n">
        <v>45968</v>
      </c>
      <c r="H27" s="274">
        <f>F27</f>
        <v/>
      </c>
      <c r="I27" s="129" t="inlineStr">
        <is>
          <t>GP062501</t>
        </is>
      </c>
      <c r="J27" s="133" t="inlineStr"/>
    </row>
    <row r="28">
      <c r="A28" s="129" t="n">
        <v>27</v>
      </c>
      <c r="B28" s="130" t="inlineStr">
        <is>
          <t>SC062501</t>
        </is>
      </c>
      <c r="C28" s="130" t="inlineStr">
        <is>
          <t>P050242</t>
        </is>
      </c>
      <c r="D28" s="274" t="n">
        <v>45917</v>
      </c>
      <c r="E28" s="274" t="n">
        <v>45917</v>
      </c>
      <c r="F28" s="274" t="n">
        <v>45988</v>
      </c>
      <c r="G28" s="274" t="n">
        <v>45988</v>
      </c>
      <c r="H28" s="274">
        <f>F28</f>
        <v/>
      </c>
      <c r="I28" s="141" t="inlineStr">
        <is>
          <t>— not on the tracker —</t>
        </is>
      </c>
      <c r="J28" s="133" t="inlineStr"/>
    </row>
    <row r="29">
      <c r="A29" s="129" t="n">
        <v>28</v>
      </c>
      <c r="B29" s="130" t="inlineStr">
        <is>
          <t>GOG062501</t>
        </is>
      </c>
      <c r="C29" s="130" t="inlineStr">
        <is>
          <t>P050232</t>
        </is>
      </c>
      <c r="D29" s="274" t="n">
        <v>45917</v>
      </c>
      <c r="E29" s="274" t="n">
        <v>45917</v>
      </c>
      <c r="F29" s="274" t="n">
        <v>45988</v>
      </c>
      <c r="G29" s="274" t="n">
        <v>45988</v>
      </c>
      <c r="H29" s="274">
        <f>F29</f>
        <v/>
      </c>
      <c r="I29" s="141" t="inlineStr">
        <is>
          <t>— not on the tracker —</t>
        </is>
      </c>
      <c r="J29" s="133" t="inlineStr"/>
    </row>
    <row r="30">
      <c r="A30" s="129" t="n">
        <v>29</v>
      </c>
      <c r="B30" s="130" t="inlineStr">
        <is>
          <t>CJ062501/1</t>
        </is>
      </c>
      <c r="C30" s="130" t="inlineStr">
        <is>
          <t>P050222</t>
        </is>
      </c>
      <c r="D30" s="274" t="n">
        <v>45923</v>
      </c>
      <c r="E30" s="274" t="n">
        <v>45923</v>
      </c>
      <c r="F30" s="274" t="n">
        <v>45985</v>
      </c>
      <c r="G30" s="274" t="n">
        <v>45986</v>
      </c>
      <c r="H30" s="274">
        <f>F30</f>
        <v/>
      </c>
      <c r="I30" s="129" t="inlineStr">
        <is>
          <t>CJ062501/1</t>
        </is>
      </c>
      <c r="J30" s="133" t="inlineStr"/>
    </row>
    <row r="31">
      <c r="A31" s="129" t="n">
        <v>30</v>
      </c>
      <c r="B31" s="130" t="inlineStr">
        <is>
          <t>CJ062501/2</t>
        </is>
      </c>
      <c r="C31" s="130" t="inlineStr">
        <is>
          <t>P050212</t>
        </is>
      </c>
      <c r="D31" s="274" t="n">
        <v>45923</v>
      </c>
      <c r="E31" s="274" t="n">
        <v>45924</v>
      </c>
      <c r="F31" s="274" t="n">
        <v>45979</v>
      </c>
      <c r="G31" s="274" t="n">
        <v>45985</v>
      </c>
      <c r="H31" s="274">
        <f>F31</f>
        <v/>
      </c>
      <c r="I31" s="129" t="inlineStr">
        <is>
          <t>CJ062501/2</t>
        </is>
      </c>
      <c r="J31" s="133" t="inlineStr"/>
    </row>
    <row r="32">
      <c r="A32" s="129" t="n">
        <v>31</v>
      </c>
      <c r="B32" s="130" t="inlineStr">
        <is>
          <t>CJ072501</t>
        </is>
      </c>
      <c r="C32" s="130" t="inlineStr">
        <is>
          <t>P050252</t>
        </is>
      </c>
      <c r="D32" s="274" t="n">
        <v>45957</v>
      </c>
      <c r="E32" s="274" t="n">
        <v>45957</v>
      </c>
      <c r="F32" s="274" t="n">
        <v>45988</v>
      </c>
      <c r="G32" s="274" t="n">
        <v>45989</v>
      </c>
      <c r="H32" s="274">
        <f>F32</f>
        <v/>
      </c>
      <c r="I32" s="129" t="inlineStr">
        <is>
          <t>CJ072501</t>
        </is>
      </c>
      <c r="J32" s="133" t="inlineStr"/>
    </row>
    <row r="33">
      <c r="A33" s="129" t="n">
        <v>32</v>
      </c>
      <c r="B33" s="130" t="inlineStr">
        <is>
          <t>PM072501</t>
        </is>
      </c>
      <c r="C33" s="130" t="inlineStr">
        <is>
          <t>P050272</t>
        </is>
      </c>
      <c r="D33" s="274" t="n">
        <v>45957</v>
      </c>
      <c r="E33" s="274" t="n">
        <v>45957</v>
      </c>
      <c r="F33" s="274" t="n">
        <v>45993</v>
      </c>
      <c r="G33" s="274" t="n">
        <v>45994</v>
      </c>
      <c r="H33" s="274">
        <f>F33</f>
        <v/>
      </c>
      <c r="I33" s="129" t="inlineStr">
        <is>
          <t>PM072501</t>
        </is>
      </c>
      <c r="J33" s="133" t="inlineStr"/>
    </row>
    <row r="34">
      <c r="A34" s="129" t="n">
        <v>33</v>
      </c>
      <c r="B34" s="130" t="inlineStr">
        <is>
          <t>WC072501</t>
        </is>
      </c>
      <c r="C34" s="130" t="inlineStr">
        <is>
          <t>P050262</t>
        </is>
      </c>
      <c r="D34" s="274" t="n">
        <v>45957</v>
      </c>
      <c r="E34" s="274" t="n">
        <v>45958</v>
      </c>
      <c r="F34" s="274" t="n">
        <v>45992</v>
      </c>
      <c r="G34" s="274" t="n">
        <v>45992</v>
      </c>
      <c r="H34" s="274">
        <f>F34</f>
        <v/>
      </c>
      <c r="I34" s="129" t="inlineStr">
        <is>
          <t>WC072501</t>
        </is>
      </c>
      <c r="J34" s="133" t="inlineStr"/>
    </row>
    <row r="35">
      <c r="A35" s="129" t="n">
        <v>34</v>
      </c>
      <c r="B35" s="130" t="inlineStr">
        <is>
          <t>CLE072501</t>
        </is>
      </c>
      <c r="C35" s="130" t="inlineStr">
        <is>
          <t>P050282</t>
        </is>
      </c>
      <c r="D35" s="274" t="n">
        <v>45958</v>
      </c>
      <c r="E35" s="274" t="n">
        <v>45958</v>
      </c>
      <c r="F35" s="274" t="n">
        <v>45994</v>
      </c>
      <c r="G35" s="274" t="n">
        <v>45995</v>
      </c>
      <c r="H35" s="274">
        <f>F35</f>
        <v/>
      </c>
      <c r="I35" s="129" t="inlineStr">
        <is>
          <t>CLE072501</t>
        </is>
      </c>
      <c r="J35" s="133" t="inlineStr"/>
    </row>
    <row r="36">
      <c r="A36" s="129" t="n">
        <v>35</v>
      </c>
      <c r="B36" s="130" t="inlineStr">
        <is>
          <t>GP072501/1</t>
        </is>
      </c>
      <c r="C36" s="130" t="inlineStr">
        <is>
          <t>P050292</t>
        </is>
      </c>
      <c r="D36" s="274" t="n">
        <v>45972</v>
      </c>
      <c r="E36" s="274" t="n">
        <v>45974</v>
      </c>
      <c r="F36" s="274" t="n">
        <v>46006</v>
      </c>
      <c r="G36" s="274" t="n">
        <v>46012</v>
      </c>
      <c r="H36" s="274">
        <f>F36</f>
        <v/>
      </c>
      <c r="I36" s="129" t="inlineStr">
        <is>
          <t>GP072501/1</t>
        </is>
      </c>
      <c r="J36" s="133" t="inlineStr">
        <is>
          <t>harvest: printed 11-13-11.2025, read as 11-13.11.2025</t>
        </is>
      </c>
    </row>
    <row r="37">
      <c r="A37" s="129" t="n">
        <v>36</v>
      </c>
      <c r="B37" s="130" t="inlineStr">
        <is>
          <t>GP072501/2</t>
        </is>
      </c>
      <c r="C37" s="130" t="inlineStr">
        <is>
          <t>P050302</t>
        </is>
      </c>
      <c r="D37" s="274" t="n">
        <v>45974</v>
      </c>
      <c r="E37" s="274" t="n">
        <v>45974</v>
      </c>
      <c r="F37" s="274" t="n">
        <v>46013</v>
      </c>
      <c r="G37" s="274" t="n">
        <v>46013</v>
      </c>
      <c r="H37" s="274">
        <f>F37</f>
        <v/>
      </c>
      <c r="I37" s="129" t="inlineStr">
        <is>
          <t>GP072501/2</t>
        </is>
      </c>
      <c r="J37" s="133" t="inlineStr"/>
    </row>
    <row r="38">
      <c r="A38" s="129" t="n">
        <v>37</v>
      </c>
      <c r="B38" s="130" t="inlineStr">
        <is>
          <t>GP082501/1</t>
        </is>
      </c>
      <c r="C38" s="130" t="inlineStr">
        <is>
          <t>P050312</t>
        </is>
      </c>
      <c r="D38" s="274" t="n">
        <v>45980</v>
      </c>
      <c r="E38" s="274" t="n">
        <v>45981</v>
      </c>
      <c r="F38" s="274" t="n">
        <v>46014</v>
      </c>
      <c r="G38" s="274" t="n">
        <v>46017</v>
      </c>
      <c r="H38" s="274">
        <f>F38</f>
        <v/>
      </c>
      <c r="I38" s="129" t="inlineStr">
        <is>
          <t>GP082501/1</t>
        </is>
      </c>
      <c r="J38" s="133" t="inlineStr"/>
    </row>
    <row r="39">
      <c r="A39" s="129" t="n">
        <v>38</v>
      </c>
      <c r="B39" s="130" t="inlineStr">
        <is>
          <t>GP082501/2</t>
        </is>
      </c>
      <c r="C39" s="130" t="inlineStr">
        <is>
          <t>P050322</t>
        </is>
      </c>
      <c r="D39" s="274" t="n">
        <v>45981</v>
      </c>
      <c r="E39" s="274" t="n">
        <v>45981</v>
      </c>
      <c r="F39" s="274" t="n">
        <v>46017</v>
      </c>
      <c r="G39" s="274" t="n">
        <v>46017</v>
      </c>
      <c r="H39" s="274">
        <f>F39</f>
        <v/>
      </c>
      <c r="I39" s="129" t="inlineStr">
        <is>
          <t>GP082501/2</t>
        </is>
      </c>
      <c r="J39" s="133" t="inlineStr"/>
    </row>
    <row r="40">
      <c r="A40" s="129" t="n">
        <v>39</v>
      </c>
      <c r="B40" s="130" t="inlineStr">
        <is>
          <t>WC082501</t>
        </is>
      </c>
      <c r="C40" s="130" t="inlineStr">
        <is>
          <t>P060012</t>
        </is>
      </c>
      <c r="D40" s="274" t="n">
        <v>46000</v>
      </c>
      <c r="E40" s="274" t="n">
        <v>46000</v>
      </c>
      <c r="F40" s="274" t="n">
        <v>46035</v>
      </c>
      <c r="G40" s="274" t="n">
        <v>46036</v>
      </c>
      <c r="H40" s="274">
        <f>F40</f>
        <v/>
      </c>
      <c r="I40" s="129" t="inlineStr">
        <is>
          <t>WC082501</t>
        </is>
      </c>
      <c r="J40" s="133" t="inlineStr"/>
    </row>
    <row r="41">
      <c r="A41" s="129" t="n">
        <v>40</v>
      </c>
      <c r="B41" s="130" t="inlineStr">
        <is>
          <t>CJ082501/1</t>
        </is>
      </c>
      <c r="C41" s="130" t="inlineStr">
        <is>
          <t>P060022</t>
        </is>
      </c>
      <c r="D41" s="274" t="n">
        <v>46000</v>
      </c>
      <c r="E41" s="274" t="n">
        <v>46001</v>
      </c>
      <c r="F41" s="274" t="n">
        <v>46038</v>
      </c>
      <c r="G41" s="274" t="n">
        <v>46038</v>
      </c>
      <c r="H41" s="274">
        <f>F41</f>
        <v/>
      </c>
      <c r="I41" s="129" t="inlineStr">
        <is>
          <t>CJ082501/1</t>
        </is>
      </c>
      <c r="J41" s="133" t="inlineStr"/>
    </row>
    <row r="42">
      <c r="A42" s="129" t="n">
        <v>41</v>
      </c>
      <c r="B42" s="130" t="inlineStr">
        <is>
          <t>CJ082501/2</t>
        </is>
      </c>
      <c r="C42" s="130" t="inlineStr">
        <is>
          <t>P060032</t>
        </is>
      </c>
      <c r="D42" s="274" t="n">
        <v>46001</v>
      </c>
      <c r="E42" s="274" t="n">
        <v>46001</v>
      </c>
      <c r="F42" s="274" t="n">
        <v>46051</v>
      </c>
      <c r="G42" s="274" t="n">
        <v>46051</v>
      </c>
      <c r="H42" s="274">
        <f>F42</f>
        <v/>
      </c>
      <c r="I42" s="129" t="inlineStr">
        <is>
          <t>CJ082501/2</t>
        </is>
      </c>
      <c r="J42" s="133" t="inlineStr"/>
    </row>
    <row r="43">
      <c r="A43" s="129" t="n">
        <v>42</v>
      </c>
      <c r="B43" s="130" t="inlineStr">
        <is>
          <t>PM092501</t>
        </is>
      </c>
      <c r="C43" s="130" t="inlineStr">
        <is>
          <t>P060062</t>
        </is>
      </c>
      <c r="D43" s="274" t="n">
        <v>46002</v>
      </c>
      <c r="E43" s="274" t="n">
        <v>46002</v>
      </c>
      <c r="F43" s="274" t="n">
        <v>46052</v>
      </c>
      <c r="G43" s="274" t="n">
        <v>46052</v>
      </c>
      <c r="H43" s="274">
        <f>F43</f>
        <v/>
      </c>
      <c r="I43" s="129" t="inlineStr">
        <is>
          <t>PM092501</t>
        </is>
      </c>
      <c r="J43" s="133" t="inlineStr"/>
    </row>
    <row r="44">
      <c r="A44" s="129" t="n">
        <v>43</v>
      </c>
      <c r="B44" s="130" t="inlineStr">
        <is>
          <t>AB092501</t>
        </is>
      </c>
      <c r="C44" s="130" t="inlineStr">
        <is>
          <t>P060052</t>
        </is>
      </c>
      <c r="D44" s="274" t="n">
        <v>46002</v>
      </c>
      <c r="E44" s="274" t="n">
        <v>46002</v>
      </c>
      <c r="F44" s="274" t="n">
        <v>46052</v>
      </c>
      <c r="G44" s="274" t="n">
        <v>46052</v>
      </c>
      <c r="H44" s="274">
        <f>F44</f>
        <v/>
      </c>
      <c r="I44" s="129" t="inlineStr">
        <is>
          <t>AB092501</t>
        </is>
      </c>
      <c r="J44" s="133" t="inlineStr"/>
    </row>
    <row r="45">
      <c r="A45" s="129" t="n">
        <v>44</v>
      </c>
      <c r="B45" s="130" t="inlineStr">
        <is>
          <t>SJ0925021</t>
        </is>
      </c>
      <c r="C45" s="130" t="inlineStr">
        <is>
          <t>P060082</t>
        </is>
      </c>
      <c r="D45" s="274" t="n">
        <v>46002</v>
      </c>
      <c r="E45" s="274" t="n">
        <v>46003</v>
      </c>
      <c r="F45" s="274" t="n">
        <v>46055</v>
      </c>
      <c r="G45" s="274" t="n">
        <v>46055</v>
      </c>
      <c r="H45" s="274">
        <f>F45</f>
        <v/>
      </c>
      <c r="I45" s="129" t="inlineStr">
        <is>
          <t>SJ0925021</t>
        </is>
      </c>
      <c r="J45" s="133" t="inlineStr"/>
    </row>
    <row r="46">
      <c r="A46" s="129" t="n">
        <v>45</v>
      </c>
      <c r="B46" s="130" t="inlineStr">
        <is>
          <t>CJ092501</t>
        </is>
      </c>
      <c r="C46" s="130" t="inlineStr">
        <is>
          <t>P060072</t>
        </is>
      </c>
      <c r="D46" s="274" t="n">
        <v>46003</v>
      </c>
      <c r="E46" s="274" t="n">
        <v>46003</v>
      </c>
      <c r="F46" s="274" t="n">
        <v>46055</v>
      </c>
      <c r="G46" s="274" t="n">
        <v>46055</v>
      </c>
      <c r="H46" s="274">
        <f>F46</f>
        <v/>
      </c>
      <c r="I46" s="129" t="inlineStr">
        <is>
          <t>CJ092501</t>
        </is>
      </c>
      <c r="J46" s="133" t="inlineStr"/>
    </row>
    <row r="47">
      <c r="A47" s="129" t="n">
        <v>46</v>
      </c>
      <c r="B47" s="130" t="inlineStr">
        <is>
          <t>OPM092501</t>
        </is>
      </c>
      <c r="C47" s="130" t="inlineStr">
        <is>
          <t>P060042</t>
        </is>
      </c>
      <c r="D47" s="274" t="n">
        <v>46003</v>
      </c>
      <c r="E47" s="274" t="n">
        <v>46003</v>
      </c>
      <c r="F47" s="274" t="n">
        <v>46051</v>
      </c>
      <c r="G47" s="274" t="n">
        <v>46051</v>
      </c>
      <c r="H47" s="274">
        <f>F47</f>
        <v/>
      </c>
      <c r="I47" s="129" t="inlineStr">
        <is>
          <t>OPM092501</t>
        </is>
      </c>
      <c r="J47" s="133" t="inlineStr"/>
    </row>
    <row r="48">
      <c r="A48" s="129" t="n">
        <v>47</v>
      </c>
      <c r="B48" s="130" t="inlineStr">
        <is>
          <t>GP092501</t>
        </is>
      </c>
      <c r="C48" s="130" t="inlineStr">
        <is>
          <t>P060092</t>
        </is>
      </c>
      <c r="D48" s="274" t="n">
        <v>46007</v>
      </c>
      <c r="E48" s="274" t="n">
        <v>46008</v>
      </c>
      <c r="F48" s="274" t="n">
        <v>46056</v>
      </c>
      <c r="G48" s="274" t="n">
        <v>46062</v>
      </c>
      <c r="H48" s="274">
        <f>F48</f>
        <v/>
      </c>
      <c r="I48" s="129" t="inlineStr">
        <is>
          <t>GP092501</t>
        </is>
      </c>
      <c r="J48" s="133" t="inlineStr"/>
    </row>
    <row r="49">
      <c r="A49" s="129" t="n">
        <v>48</v>
      </c>
      <c r="B49" s="130" t="inlineStr">
        <is>
          <t>ACC102501</t>
        </is>
      </c>
      <c r="C49" s="130" t="inlineStr">
        <is>
          <t>P060122</t>
        </is>
      </c>
      <c r="D49" s="274" t="n">
        <v>46031</v>
      </c>
      <c r="E49" s="274" t="n">
        <v>46031</v>
      </c>
      <c r="F49" s="274" t="n">
        <v>46071</v>
      </c>
      <c r="G49" s="274" t="n">
        <v>46072</v>
      </c>
      <c r="H49" s="274">
        <f>F49</f>
        <v/>
      </c>
      <c r="I49" s="141" t="inlineStr">
        <is>
          <t>— not on the tracker —</t>
        </is>
      </c>
      <c r="J49" s="133" t="inlineStr"/>
    </row>
    <row r="50">
      <c r="A50" s="129" t="n">
        <v>49</v>
      </c>
      <c r="B50" s="130" t="inlineStr">
        <is>
          <t>PUM102501</t>
        </is>
      </c>
      <c r="C50" s="130" t="inlineStr">
        <is>
          <t>P060112</t>
        </is>
      </c>
      <c r="D50" s="274" t="n">
        <v>46030</v>
      </c>
      <c r="E50" s="274" t="n">
        <v>46031</v>
      </c>
      <c r="F50" s="274" t="n">
        <v>46070</v>
      </c>
      <c r="G50" s="274" t="n">
        <v>46070</v>
      </c>
      <c r="H50" s="274">
        <f>F50</f>
        <v/>
      </c>
      <c r="I50" s="141" t="inlineStr">
        <is>
          <t>— not on the tracker —</t>
        </is>
      </c>
      <c r="J50" s="133" t="inlineStr"/>
    </row>
    <row r="51">
      <c r="A51" s="129" t="n">
        <v>50</v>
      </c>
      <c r="B51" s="130" t="inlineStr">
        <is>
          <t>GRC102501/1</t>
        </is>
      </c>
      <c r="C51" s="130" t="inlineStr">
        <is>
          <t>P060142</t>
        </is>
      </c>
      <c r="D51" s="274" t="n">
        <v>46031</v>
      </c>
      <c r="E51" s="274" t="n">
        <v>46031</v>
      </c>
      <c r="F51" s="274" t="n">
        <v>46076</v>
      </c>
      <c r="G51" s="274" t="n">
        <v>46076</v>
      </c>
      <c r="H51" s="274">
        <f>F51</f>
        <v/>
      </c>
      <c r="I51" s="129" t="inlineStr">
        <is>
          <t>GRC102501</t>
        </is>
      </c>
      <c r="J51" s="133" t="inlineStr"/>
    </row>
    <row r="52">
      <c r="A52" s="129" t="n">
        <v>51</v>
      </c>
      <c r="B52" s="130" t="inlineStr">
        <is>
          <t>WED102501</t>
        </is>
      </c>
      <c r="C52" s="130" t="inlineStr">
        <is>
          <t>P060102</t>
        </is>
      </c>
      <c r="D52" s="274" t="n">
        <v>46030</v>
      </c>
      <c r="E52" s="274" t="n">
        <v>46030</v>
      </c>
      <c r="F52" s="274" t="n">
        <v>46069</v>
      </c>
      <c r="G52" s="274" t="n">
        <v>46069</v>
      </c>
      <c r="H52" s="274">
        <f>F52</f>
        <v/>
      </c>
      <c r="I52" s="129" t="inlineStr">
        <is>
          <t>WED102501</t>
        </is>
      </c>
      <c r="J52" s="133" t="inlineStr"/>
    </row>
    <row r="53">
      <c r="A53" s="129" t="n">
        <v>52</v>
      </c>
      <c r="B53" s="130" t="inlineStr">
        <is>
          <t>CF102501</t>
        </is>
      </c>
      <c r="C53" s="130" t="inlineStr">
        <is>
          <t>P060132</t>
        </is>
      </c>
      <c r="D53" s="274" t="n">
        <v>46031</v>
      </c>
      <c r="E53" s="274" t="n">
        <v>46031</v>
      </c>
      <c r="F53" s="274" t="n">
        <v>46072</v>
      </c>
      <c r="G53" s="274" t="n">
        <v>46073</v>
      </c>
      <c r="H53" s="274">
        <f>F53</f>
        <v/>
      </c>
      <c r="I53" s="141" t="inlineStr">
        <is>
          <t>— not on the tracker —</t>
        </is>
      </c>
      <c r="J53" s="133" t="inlineStr"/>
    </row>
    <row r="54">
      <c r="A54" s="129" t="n">
        <v>53</v>
      </c>
      <c r="B54" s="130" t="inlineStr">
        <is>
          <t>GRC102501/2</t>
        </is>
      </c>
      <c r="C54" s="130" t="inlineStr">
        <is>
          <t>P060182</t>
        </is>
      </c>
      <c r="D54" s="274" t="n">
        <v>46042</v>
      </c>
      <c r="E54" s="274" t="n">
        <v>46042</v>
      </c>
      <c r="F54" s="274" t="n">
        <v>46095</v>
      </c>
      <c r="G54" s="274" t="n">
        <v>46095</v>
      </c>
      <c r="H54" s="274">
        <f>F54</f>
        <v/>
      </c>
      <c r="I54" s="129" t="inlineStr">
        <is>
          <t>GRC102501</t>
        </is>
      </c>
      <c r="J54" s="133" t="inlineStr"/>
    </row>
    <row r="55">
      <c r="A55" s="129" t="n">
        <v>54</v>
      </c>
      <c r="B55" s="130" t="inlineStr">
        <is>
          <t>SJ102501</t>
        </is>
      </c>
      <c r="C55" s="130" t="inlineStr">
        <is>
          <t>P060162</t>
        </is>
      </c>
      <c r="D55" s="274" t="n">
        <v>46042</v>
      </c>
      <c r="E55" s="274" t="n">
        <v>46042</v>
      </c>
      <c r="F55" s="274" t="n">
        <v>46090</v>
      </c>
      <c r="G55" s="274" t="n">
        <v>46090</v>
      </c>
      <c r="H55" s="274">
        <f>F55</f>
        <v/>
      </c>
      <c r="I55" s="129" t="inlineStr">
        <is>
          <t>SJ102501</t>
        </is>
      </c>
      <c r="J55" s="133" t="inlineStr"/>
    </row>
    <row r="56">
      <c r="A56" s="129" t="n">
        <v>55</v>
      </c>
      <c r="B56" s="130" t="inlineStr">
        <is>
          <t>KC102501</t>
        </is>
      </c>
      <c r="C56" s="130" t="inlineStr">
        <is>
          <t>P060172</t>
        </is>
      </c>
      <c r="D56" s="274" t="n">
        <v>46042</v>
      </c>
      <c r="E56" s="274" t="n">
        <v>46043</v>
      </c>
      <c r="F56" s="274" t="n">
        <v>46093</v>
      </c>
      <c r="G56" s="274" t="n">
        <v>46093</v>
      </c>
      <c r="H56" s="274">
        <f>F56</f>
        <v/>
      </c>
      <c r="I56" s="129" t="inlineStr">
        <is>
          <t>KC102501</t>
        </is>
      </c>
      <c r="J56" s="133" t="inlineStr"/>
    </row>
    <row r="57">
      <c r="A57" s="129" t="n">
        <v>56</v>
      </c>
      <c r="B57" s="130" t="inlineStr">
        <is>
          <t>J31102501</t>
        </is>
      </c>
      <c r="C57" s="130" t="inlineStr">
        <is>
          <t>P060152</t>
        </is>
      </c>
      <c r="D57" s="274" t="n">
        <v>46043</v>
      </c>
      <c r="E57" s="274" t="n">
        <v>46043</v>
      </c>
      <c r="F57" s="274" t="n">
        <v>46086</v>
      </c>
      <c r="G57" s="274" t="n">
        <v>46086</v>
      </c>
      <c r="H57" s="274">
        <f>F57</f>
        <v/>
      </c>
      <c r="I57" s="129" t="inlineStr">
        <is>
          <t>J31102501</t>
        </is>
      </c>
      <c r="J57" s="133" t="inlineStr"/>
    </row>
    <row r="58">
      <c r="A58" s="129" t="n">
        <v>57</v>
      </c>
      <c r="B58" s="130" t="inlineStr">
        <is>
          <t>J31112501</t>
        </is>
      </c>
      <c r="C58" s="130" t="inlineStr">
        <is>
          <t>P060202</t>
        </is>
      </c>
      <c r="D58" s="274" t="n">
        <v>46048</v>
      </c>
      <c r="E58" s="274" t="n">
        <v>46048</v>
      </c>
      <c r="F58" s="274" t="n">
        <v>46129</v>
      </c>
      <c r="G58" s="274" t="n">
        <v>46129</v>
      </c>
      <c r="H58" s="274">
        <f>F58</f>
        <v/>
      </c>
      <c r="I58" s="129" t="inlineStr">
        <is>
          <t>J31112501</t>
        </is>
      </c>
      <c r="J58" s="133" t="inlineStr"/>
    </row>
    <row r="59">
      <c r="A59" s="129" t="n">
        <v>58</v>
      </c>
      <c r="B59" s="130" t="inlineStr">
        <is>
          <t>SJ112501</t>
        </is>
      </c>
      <c r="C59" s="130" t="inlineStr">
        <is>
          <t>P060192</t>
        </is>
      </c>
      <c r="D59" s="274" t="n">
        <v>46048</v>
      </c>
      <c r="E59" s="274" t="n">
        <v>46049</v>
      </c>
      <c r="F59" s="274" t="n">
        <v>46112</v>
      </c>
      <c r="G59" s="274" t="n">
        <v>46112</v>
      </c>
      <c r="H59" s="274">
        <f>F59</f>
        <v/>
      </c>
      <c r="I59" s="129" t="inlineStr">
        <is>
          <t>SJ112501</t>
        </is>
      </c>
      <c r="J59" s="133" t="inlineStr"/>
    </row>
    <row r="60">
      <c r="A60" s="129" t="n">
        <v>59</v>
      </c>
      <c r="B60" s="130" t="inlineStr">
        <is>
          <t>OPM112501</t>
        </is>
      </c>
      <c r="C60" s="130" t="inlineStr">
        <is>
          <t>P060222</t>
        </is>
      </c>
      <c r="D60" s="274" t="n">
        <v>46058</v>
      </c>
      <c r="E60" s="274" t="n">
        <v>46058</v>
      </c>
      <c r="F60" s="274" t="n">
        <v>46136</v>
      </c>
      <c r="G60" s="274" t="n">
        <v>46136</v>
      </c>
      <c r="H60" s="274">
        <f>F60</f>
        <v/>
      </c>
      <c r="I60" s="129" t="inlineStr">
        <is>
          <t>OPM112501</t>
        </is>
      </c>
      <c r="J60" s="133" t="inlineStr"/>
    </row>
    <row r="61">
      <c r="A61" s="129" t="n">
        <v>60</v>
      </c>
      <c r="B61" s="130" t="inlineStr">
        <is>
          <t>PM112501</t>
        </is>
      </c>
      <c r="C61" s="130" t="inlineStr">
        <is>
          <t>P060232</t>
        </is>
      </c>
      <c r="D61" s="274" t="n">
        <v>46058</v>
      </c>
      <c r="E61" s="274" t="n">
        <v>46058</v>
      </c>
      <c r="F61" s="274" t="n">
        <v>46139</v>
      </c>
      <c r="G61" s="274" t="n">
        <v>46139</v>
      </c>
      <c r="H61" s="274">
        <f>F61</f>
        <v/>
      </c>
      <c r="I61" s="129" t="inlineStr">
        <is>
          <t>PM112501</t>
        </is>
      </c>
      <c r="J61" s="133" t="inlineStr"/>
    </row>
    <row r="62">
      <c r="A62" s="129" t="n">
        <v>61</v>
      </c>
      <c r="B62" s="130" t="inlineStr">
        <is>
          <t>JD112501</t>
        </is>
      </c>
      <c r="C62" s="130" t="inlineStr">
        <is>
          <t>P060212</t>
        </is>
      </c>
      <c r="D62" s="274" t="n">
        <v>46106</v>
      </c>
      <c r="E62" s="274" t="n">
        <v>46106</v>
      </c>
      <c r="F62" s="274" t="n">
        <v>46133</v>
      </c>
      <c r="G62" s="274" t="n">
        <v>46133</v>
      </c>
      <c r="H62" s="274">
        <f>F62</f>
        <v/>
      </c>
      <c r="I62" s="129" t="inlineStr">
        <is>
          <t>JD112501</t>
        </is>
      </c>
      <c r="J62" s="133" t="inlineStr"/>
    </row>
    <row r="63">
      <c r="A63" s="129" t="n">
        <v>62</v>
      </c>
      <c r="B63" s="130" t="inlineStr">
        <is>
          <t>OPM122501</t>
        </is>
      </c>
      <c r="C63" s="130" t="inlineStr">
        <is>
          <t>P060242</t>
        </is>
      </c>
      <c r="D63" s="274" t="n">
        <v>46092</v>
      </c>
      <c r="E63" s="274" t="n">
        <v>46092</v>
      </c>
      <c r="F63" s="274" t="n">
        <v>46140</v>
      </c>
      <c r="G63" s="274" t="n">
        <v>46140</v>
      </c>
      <c r="H63" s="274">
        <f>F63</f>
        <v/>
      </c>
      <c r="I63" s="129" t="inlineStr">
        <is>
          <t>OPM122501</t>
        </is>
      </c>
      <c r="J63" s="133" t="inlineStr"/>
    </row>
    <row r="64">
      <c r="A64" s="129" t="n">
        <v>63</v>
      </c>
      <c r="B64" s="130" t="inlineStr">
        <is>
          <t>GG112501</t>
        </is>
      </c>
      <c r="C64" s="130" t="inlineStr">
        <is>
          <t>P060252</t>
        </is>
      </c>
      <c r="D64" s="274" t="n">
        <v>46106</v>
      </c>
      <c r="E64" s="274" t="n">
        <v>46106</v>
      </c>
      <c r="F64" s="274" t="n">
        <v>46147</v>
      </c>
      <c r="G64" s="274" t="n">
        <v>46147</v>
      </c>
      <c r="H64" s="274">
        <f>F64</f>
        <v/>
      </c>
      <c r="I64" s="129" t="inlineStr">
        <is>
          <t>GG112501</t>
        </is>
      </c>
      <c r="J64" s="133" t="inlineStr"/>
    </row>
    <row r="65">
      <c r="A65" s="129" t="n">
        <v>64</v>
      </c>
      <c r="B65" s="130" t="inlineStr">
        <is>
          <t>J31122501</t>
        </is>
      </c>
      <c r="C65" s="130" t="inlineStr">
        <is>
          <t>P060262</t>
        </is>
      </c>
      <c r="D65" s="274" t="n">
        <v>46085</v>
      </c>
      <c r="E65" s="274" t="n">
        <v>46085</v>
      </c>
      <c r="F65" s="274" t="n">
        <v>46156</v>
      </c>
      <c r="G65" s="274" t="n">
        <v>46156</v>
      </c>
      <c r="H65" s="274">
        <f>F65</f>
        <v/>
      </c>
      <c r="I65" s="129" t="inlineStr">
        <is>
          <t>J31122501</t>
        </is>
      </c>
      <c r="J65" s="133" t="inlineStr"/>
    </row>
    <row r="66">
      <c r="A66" s="129" t="n">
        <v>65</v>
      </c>
      <c r="B66" s="130" t="inlineStr">
        <is>
          <t>CC112501</t>
        </is>
      </c>
      <c r="C66" s="130" t="inlineStr">
        <is>
          <t>P060272</t>
        </is>
      </c>
      <c r="D66" s="274" t="n">
        <v>46106</v>
      </c>
      <c r="E66" s="274" t="n">
        <v>46106</v>
      </c>
      <c r="F66" s="274" t="n">
        <v>46160</v>
      </c>
      <c r="G66" s="274" t="n">
        <v>46160</v>
      </c>
      <c r="H66" s="274">
        <f>F66</f>
        <v/>
      </c>
      <c r="I66" s="129" t="inlineStr">
        <is>
          <t>CC112501</t>
        </is>
      </c>
      <c r="J66" s="133" t="inlineStr"/>
    </row>
    <row r="67">
      <c r="A67" s="129" t="n">
        <v>66</v>
      </c>
      <c r="B67" s="130" t="inlineStr">
        <is>
          <t>SCR112501</t>
        </is>
      </c>
      <c r="C67" s="130" t="inlineStr">
        <is>
          <t>P060282</t>
        </is>
      </c>
      <c r="D67" s="274" t="n">
        <v>46106</v>
      </c>
      <c r="E67" s="274" t="n">
        <v>46106</v>
      </c>
      <c r="F67" s="274" t="n">
        <v>46160</v>
      </c>
      <c r="G67" s="274" t="n">
        <v>46160</v>
      </c>
      <c r="H67" s="274">
        <f>F67</f>
        <v/>
      </c>
      <c r="I67" s="129" t="inlineStr">
        <is>
          <t>SCR112501</t>
        </is>
      </c>
      <c r="J67" s="133" t="inlineStr"/>
    </row>
    <row r="68">
      <c r="A68" s="129" t="n">
        <v>67</v>
      </c>
      <c r="B68" s="130" t="inlineStr">
        <is>
          <t>FB112501</t>
        </is>
      </c>
      <c r="C68" s="130" t="inlineStr">
        <is>
          <t>P060292</t>
        </is>
      </c>
      <c r="D68" s="274" t="n">
        <v>46106</v>
      </c>
      <c r="E68" s="274" t="n">
        <v>46106</v>
      </c>
      <c r="F68" s="274" t="n">
        <v>46161</v>
      </c>
      <c r="G68" s="274" t="n">
        <v>46161</v>
      </c>
      <c r="H68" s="274">
        <f>F68</f>
        <v/>
      </c>
      <c r="I68" s="129" t="inlineStr">
        <is>
          <t>FB112501</t>
        </is>
      </c>
      <c r="J68" s="133" t="inlineStr"/>
    </row>
    <row r="69">
      <c r="A69" s="129" t="n">
        <v>68</v>
      </c>
      <c r="B69" s="130" t="inlineStr">
        <is>
          <t>GG012601*</t>
        </is>
      </c>
      <c r="C69" s="130" t="inlineStr">
        <is>
          <t>P060302</t>
        </is>
      </c>
      <c r="D69" s="274" t="n">
        <v>46108</v>
      </c>
      <c r="E69" s="274" t="n">
        <v>46108</v>
      </c>
      <c r="F69" s="274" t="n">
        <v>46162</v>
      </c>
      <c r="G69" s="274" t="n">
        <v>46162</v>
      </c>
      <c r="H69" s="274">
        <f>F69</f>
        <v/>
      </c>
      <c r="I69" s="129" t="inlineStr">
        <is>
          <t>GG012601＊</t>
        </is>
      </c>
      <c r="J69" s="133" t="inlineStr"/>
    </row>
    <row r="70">
      <c r="A70" s="129" t="n">
        <v>69</v>
      </c>
      <c r="B70" s="130" t="inlineStr">
        <is>
          <t>JD012601*</t>
        </is>
      </c>
      <c r="C70" s="130" t="inlineStr">
        <is>
          <t>P060312</t>
        </is>
      </c>
      <c r="D70" s="274" t="n">
        <v>46108</v>
      </c>
      <c r="E70" s="274" t="n">
        <v>46108</v>
      </c>
      <c r="F70" s="274" t="n">
        <v>46163</v>
      </c>
      <c r="G70" s="274" t="n">
        <v>46163</v>
      </c>
      <c r="H70" s="274">
        <f>F70</f>
        <v/>
      </c>
      <c r="I70" s="129" t="inlineStr">
        <is>
          <t>JD012601＊</t>
        </is>
      </c>
      <c r="J70" s="133" t="inlineStr"/>
    </row>
    <row r="71">
      <c r="A71" s="129" t="n">
        <v>70</v>
      </c>
      <c r="B71" s="130" t="inlineStr">
        <is>
          <t>FB012601/1</t>
        </is>
      </c>
      <c r="C71" s="130" t="inlineStr">
        <is>
          <t>P060322</t>
        </is>
      </c>
      <c r="D71" s="274" t="n">
        <v>46108</v>
      </c>
      <c r="E71" s="274" t="n">
        <v>46108</v>
      </c>
      <c r="F71" s="274" t="n">
        <v>46164</v>
      </c>
      <c r="G71" s="274" t="n">
        <v>46164</v>
      </c>
      <c r="H71" s="274">
        <f>F71</f>
        <v/>
      </c>
      <c r="I71" s="129" t="inlineStr">
        <is>
          <t>FB012601_1</t>
        </is>
      </c>
      <c r="J71" s="133" t="inlineStr"/>
    </row>
    <row r="72">
      <c r="A72" s="129" t="n">
        <v>71</v>
      </c>
      <c r="B72" s="130" t="inlineStr">
        <is>
          <t>CC012601/1</t>
        </is>
      </c>
      <c r="C72" s="130" t="inlineStr">
        <is>
          <t>P060332</t>
        </is>
      </c>
      <c r="D72" s="274" t="n">
        <v>46128</v>
      </c>
      <c r="E72" s="274" t="n">
        <v>46128</v>
      </c>
      <c r="F72" s="274" t="n">
        <v>46164</v>
      </c>
      <c r="G72" s="274" t="n">
        <v>46164</v>
      </c>
      <c r="H72" s="274">
        <f>F72</f>
        <v/>
      </c>
      <c r="I72" s="129" t="inlineStr">
        <is>
          <t>CC012601/1</t>
        </is>
      </c>
      <c r="J72" s="133" t="inlineStr"/>
    </row>
    <row r="73">
      <c r="A73" s="129" t="n">
        <v>72</v>
      </c>
      <c r="B73" s="130" t="inlineStr">
        <is>
          <t>SCR012601*</t>
        </is>
      </c>
      <c r="C73" s="130" t="inlineStr">
        <is>
          <t>P060342</t>
        </is>
      </c>
      <c r="D73" s="274" t="n">
        <v>46128</v>
      </c>
      <c r="E73" s="274" t="n">
        <v>46128</v>
      </c>
      <c r="F73" s="274" t="n">
        <v>46167</v>
      </c>
      <c r="G73" s="274" t="n">
        <v>46167</v>
      </c>
      <c r="H73" s="274">
        <f>F73</f>
        <v/>
      </c>
      <c r="I73" s="129" t="inlineStr">
        <is>
          <t>SCR012601*</t>
        </is>
      </c>
      <c r="J73" s="133" t="inlineStr"/>
    </row>
    <row r="74">
      <c r="A74" s="129" t="n">
        <v>73</v>
      </c>
      <c r="B74" s="130" t="inlineStr">
        <is>
          <t>FB012602*</t>
        </is>
      </c>
      <c r="C74" s="130" t="inlineStr">
        <is>
          <t>P060352</t>
        </is>
      </c>
      <c r="D74" s="274" t="n">
        <v>46128</v>
      </c>
      <c r="E74" s="274" t="n">
        <v>46128</v>
      </c>
      <c r="F74" s="274" t="n">
        <v>46165</v>
      </c>
      <c r="G74" s="274" t="n">
        <v>46165</v>
      </c>
      <c r="H74" s="274">
        <f>F74</f>
        <v/>
      </c>
      <c r="I74" s="129" t="inlineStr">
        <is>
          <t>FB012602*</t>
        </is>
      </c>
      <c r="J74" s="133" t="inlineStr"/>
    </row>
    <row r="75">
      <c r="A75" s="129" t="n">
        <v>74</v>
      </c>
      <c r="B75" s="130" t="inlineStr">
        <is>
          <t>JD012603/01</t>
        </is>
      </c>
      <c r="C75" s="130" t="inlineStr">
        <is>
          <t>P060362</t>
        </is>
      </c>
      <c r="D75" s="274" t="n">
        <v>46134</v>
      </c>
      <c r="E75" s="274" t="n">
        <v>46134</v>
      </c>
      <c r="F75" s="274" t="n">
        <v>46165</v>
      </c>
      <c r="G75" s="274" t="n">
        <v>46165</v>
      </c>
      <c r="H75" s="274">
        <f>F75</f>
        <v/>
      </c>
      <c r="I75" s="129" t="inlineStr">
        <is>
          <t>JD012603</t>
        </is>
      </c>
      <c r="J75" s="133" t="inlineStr"/>
    </row>
    <row r="76">
      <c r="A76" s="129" t="n">
        <v>75</v>
      </c>
      <c r="B76" s="130" t="inlineStr">
        <is>
          <t>CC012603</t>
        </is>
      </c>
      <c r="C76" s="130" t="inlineStr">
        <is>
          <t>P060372</t>
        </is>
      </c>
      <c r="D76" s="274" t="n">
        <v>46134</v>
      </c>
      <c r="E76" s="274" t="n">
        <v>46134</v>
      </c>
      <c r="F76" s="274" t="n">
        <v>46166</v>
      </c>
      <c r="G76" s="274" t="n">
        <v>46166</v>
      </c>
      <c r="H76" s="274">
        <f>F76</f>
        <v/>
      </c>
      <c r="I76" s="141" t="inlineStr">
        <is>
          <t>— not on the tracker —</t>
        </is>
      </c>
      <c r="J76" s="133" t="inlineStr"/>
    </row>
    <row r="77">
      <c r="A77" s="129" t="n">
        <v>76</v>
      </c>
      <c r="B77" s="130" t="inlineStr">
        <is>
          <t>SCR012603</t>
        </is>
      </c>
      <c r="C77" s="130" t="inlineStr">
        <is>
          <t>P060382</t>
        </is>
      </c>
      <c r="D77" s="274" t="n">
        <v>46134</v>
      </c>
      <c r="E77" s="274" t="n">
        <v>46134</v>
      </c>
      <c r="F77" s="274" t="n">
        <v>46167</v>
      </c>
      <c r="G77" s="274" t="n">
        <v>46167</v>
      </c>
      <c r="H77" s="274">
        <f>F77</f>
        <v/>
      </c>
      <c r="I77" s="129" t="inlineStr">
        <is>
          <t>SCR012603</t>
        </is>
      </c>
      <c r="J77" s="133" t="inlineStr"/>
    </row>
    <row r="78">
      <c r="A78" s="129" t="n">
        <v>77</v>
      </c>
      <c r="B78" s="130" t="inlineStr">
        <is>
          <t>FB012603V</t>
        </is>
      </c>
      <c r="C78" s="130" t="inlineStr">
        <is>
          <t>P060392</t>
        </is>
      </c>
      <c r="D78" s="274" t="n">
        <v>46141</v>
      </c>
      <c r="E78" s="274" t="n">
        <v>46141</v>
      </c>
      <c r="F78" s="274" t="n">
        <v>46165</v>
      </c>
      <c r="G78" s="274" t="n">
        <v>46165</v>
      </c>
      <c r="H78" s="274">
        <f>F78</f>
        <v/>
      </c>
      <c r="I78" s="129" t="inlineStr">
        <is>
          <t>FB012603V</t>
        </is>
      </c>
      <c r="J78" s="133" t="inlineStr"/>
    </row>
    <row r="79">
      <c r="A79" s="129" t="n">
        <v>78</v>
      </c>
      <c r="B79" s="130" t="inlineStr">
        <is>
          <t>GG012603</t>
        </is>
      </c>
      <c r="C79" s="130" t="inlineStr">
        <is>
          <t>P060402</t>
        </is>
      </c>
      <c r="D79" s="274" t="n">
        <v>46146</v>
      </c>
      <c r="E79" s="274" t="n">
        <v>46146</v>
      </c>
      <c r="F79" s="274" t="n">
        <v>46166</v>
      </c>
      <c r="G79" s="274" t="n">
        <v>46166</v>
      </c>
      <c r="H79" s="274">
        <f>F79</f>
        <v/>
      </c>
      <c r="I79" s="129" t="inlineStr">
        <is>
          <t>GG012603</t>
        </is>
      </c>
      <c r="J79" s="133" t="inlineStr"/>
    </row>
    <row r="80">
      <c r="A80" s="129" t="n">
        <v>79</v>
      </c>
      <c r="B80" s="130" t="inlineStr">
        <is>
          <t>JD012603/02</t>
        </is>
      </c>
      <c r="C80" s="130" t="inlineStr">
        <is>
          <t>P060412</t>
        </is>
      </c>
      <c r="D80" s="274" t="n">
        <v>46146</v>
      </c>
      <c r="E80" s="274" t="n">
        <v>46146</v>
      </c>
      <c r="F80" s="274" t="n">
        <v>46166</v>
      </c>
      <c r="G80" s="274" t="n">
        <v>46166</v>
      </c>
      <c r="H80" s="274">
        <f>F80</f>
        <v/>
      </c>
      <c r="I80" s="129" t="inlineStr">
        <is>
          <t>JD012603</t>
        </is>
      </c>
      <c r="J80" s="133" t="inlineStr"/>
    </row>
    <row r="81">
      <c r="A81" s="129" t="n">
        <v>80</v>
      </c>
      <c r="B81" s="130" t="inlineStr">
        <is>
          <t>JD012603/02V</t>
        </is>
      </c>
      <c r="C81" s="130" t="inlineStr">
        <is>
          <t>P060422</t>
        </is>
      </c>
      <c r="D81" s="274" t="n">
        <v>46141</v>
      </c>
      <c r="E81" s="274" t="n">
        <v>46141</v>
      </c>
      <c r="F81" s="274" t="n">
        <v>46165</v>
      </c>
      <c r="G81" s="274" t="n">
        <v>46165</v>
      </c>
      <c r="H81" s="274">
        <f>F81</f>
        <v/>
      </c>
      <c r="I81" s="129" t="inlineStr">
        <is>
          <t>JD012603</t>
        </is>
      </c>
      <c r="J81" s="133" t="inlineStr"/>
    </row>
    <row r="82">
      <c r="A82" s="129" t="n">
        <v>81</v>
      </c>
      <c r="B82" s="130" t="inlineStr">
        <is>
          <t>FB012603</t>
        </is>
      </c>
      <c r="C82" s="130" t="inlineStr">
        <is>
          <t>P060432</t>
        </is>
      </c>
      <c r="D82" s="274" t="n">
        <v>46146</v>
      </c>
      <c r="E82" s="274" t="n">
        <v>46146</v>
      </c>
      <c r="F82" s="274" t="n">
        <v>46188</v>
      </c>
      <c r="G82" s="274" t="n">
        <v>46188</v>
      </c>
      <c r="H82" s="274">
        <f>F82</f>
        <v/>
      </c>
      <c r="I82" s="129" t="inlineStr">
        <is>
          <t>FB012603</t>
        </is>
      </c>
      <c r="J82" s="133" t="inlineStr"/>
    </row>
    <row r="83">
      <c r="A83" s="129" t="n">
        <v>82</v>
      </c>
      <c r="B83" s="130" t="inlineStr">
        <is>
          <t>SCR022601</t>
        </is>
      </c>
      <c r="C83" s="130" t="inlineStr">
        <is>
          <t>P060442</t>
        </is>
      </c>
      <c r="D83" s="274" t="n">
        <v>46155</v>
      </c>
      <c r="E83" s="274" t="n">
        <v>46155</v>
      </c>
      <c r="F83" s="274" t="n">
        <v>46191</v>
      </c>
      <c r="G83" s="274" t="n">
        <v>46191</v>
      </c>
      <c r="H83" s="274">
        <f>F83</f>
        <v/>
      </c>
      <c r="I83" s="129" t="inlineStr">
        <is>
          <t>SCR022601</t>
        </is>
      </c>
      <c r="J83" s="133" t="inlineStr"/>
    </row>
    <row r="84">
      <c r="A84" s="129" t="n">
        <v>83</v>
      </c>
      <c r="B84" s="130" t="inlineStr">
        <is>
          <t>FB032601</t>
        </is>
      </c>
      <c r="C84" s="130" t="inlineStr">
        <is>
          <t>P060452</t>
        </is>
      </c>
      <c r="D84" s="274" t="n">
        <v>46175</v>
      </c>
      <c r="E84" s="274" t="n">
        <v>46175</v>
      </c>
      <c r="F84" s="274" t="n">
        <v>46202</v>
      </c>
      <c r="G84" s="274" t="n">
        <v>46202</v>
      </c>
      <c r="H84" s="274">
        <f>F84</f>
        <v/>
      </c>
      <c r="I84" s="129" t="inlineStr">
        <is>
          <t>FB032601</t>
        </is>
      </c>
      <c r="J84" s="133" t="inlineStr"/>
    </row>
    <row r="85">
      <c r="A85" s="129" t="n">
        <v>84</v>
      </c>
      <c r="B85" s="130" t="inlineStr">
        <is>
          <t>GG032601</t>
        </is>
      </c>
      <c r="C85" s="130" t="inlineStr">
        <is>
          <t>P060462</t>
        </is>
      </c>
      <c r="D85" s="274" t="n">
        <v>46189</v>
      </c>
      <c r="E85" s="274" t="n">
        <v>46189</v>
      </c>
      <c r="F85" s="274" t="n">
        <v>46219</v>
      </c>
      <c r="G85" s="274" t="n">
        <v>46219</v>
      </c>
      <c r="H85" s="274">
        <f>F85</f>
        <v/>
      </c>
      <c r="I85" s="129" t="inlineStr">
        <is>
          <t>GG032601</t>
        </is>
      </c>
      <c r="J85" s="133" t="inlineStr"/>
    </row>
    <row r="86">
      <c r="A86" s="129" t="n">
        <v>85</v>
      </c>
      <c r="B86" s="130" t="inlineStr">
        <is>
          <t>JD032601</t>
        </is>
      </c>
      <c r="C86" s="130" t="inlineStr">
        <is>
          <t>P060472</t>
        </is>
      </c>
      <c r="D86" s="274" t="n">
        <v>46197</v>
      </c>
      <c r="E86" s="274" t="n">
        <v>46197</v>
      </c>
      <c r="F86" s="274" t="n">
        <v>46224</v>
      </c>
      <c r="G86" s="274" t="n">
        <v>46224</v>
      </c>
      <c r="H86" s="274">
        <f>F86</f>
        <v/>
      </c>
      <c r="I86" s="141" t="inlineStr">
        <is>
          <t>— not on the tracker —</t>
        </is>
      </c>
      <c r="J86" s="133" t="inlineStr"/>
    </row>
    <row r="87">
      <c r="A87" s="129" t="n">
        <v>86</v>
      </c>
      <c r="B87" s="130" t="inlineStr">
        <is>
          <t>JD022601</t>
        </is>
      </c>
      <c r="C87" s="130" t="inlineStr">
        <is>
          <t>P060482</t>
        </is>
      </c>
      <c r="D87" s="274" t="n">
        <v>46160</v>
      </c>
      <c r="E87" s="274" t="n">
        <v>46160</v>
      </c>
      <c r="F87" s="274" t="n">
        <v>46239</v>
      </c>
      <c r="G87" s="274" t="n">
        <v>46239</v>
      </c>
      <c r="H87" s="274">
        <f>F87</f>
        <v/>
      </c>
      <c r="I87" s="129" t="inlineStr">
        <is>
          <t>JD022601</t>
        </is>
      </c>
      <c r="J87" s="133" t="inlineStr"/>
    </row>
    <row r="88">
      <c r="A88" s="129" t="n">
        <v>87</v>
      </c>
      <c r="B88" s="130" t="inlineStr">
        <is>
          <t>JD042601</t>
        </is>
      </c>
      <c r="C88" s="130" t="inlineStr">
        <is>
          <t>P060492</t>
        </is>
      </c>
      <c r="D88" s="274" t="n">
        <v>46224</v>
      </c>
      <c r="E88" s="274" t="n">
        <v>46224</v>
      </c>
      <c r="F88" s="274" t="n">
        <v>46247</v>
      </c>
      <c r="G88" s="274" t="n">
        <v>46247</v>
      </c>
      <c r="H88" s="274">
        <f>F88</f>
        <v/>
      </c>
      <c r="I88" s="141" t="inlineStr">
        <is>
          <t>— not on the tracker —</t>
        </is>
      </c>
      <c r="J88" s="133" t="inlineStr"/>
    </row>
    <row r="90" ht="52" customHeight="1" s="70">
      <c r="A90" s="139"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Q1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4" customWidth="1" style="70" min="16" max="16"/>
    <col width="60" customWidth="1" style="70" min="17" max="17"/>
  </cols>
  <sheetData>
    <row r="1" ht="22" customHeight="1" s="70">
      <c r="A1" s="128" t="inlineStr">
        <is>
          <t>No.</t>
        </is>
      </c>
      <c r="B1" s="128" t="inlineStr">
        <is>
          <t>iCoA code</t>
        </is>
      </c>
      <c r="C1" s="128" t="inlineStr">
        <is>
          <t>Issuable</t>
        </is>
      </c>
      <c r="D1" s="128" t="inlineStr">
        <is>
          <t>Issue date (planned)</t>
        </is>
      </c>
      <c r="E1" s="128" t="inlineStr">
        <is>
          <t>Test date (packaging)</t>
        </is>
      </c>
      <c r="F1" s="128" t="inlineStr">
        <is>
          <t>Packaging complete</t>
        </is>
      </c>
      <c r="G1" s="128" t="inlineStr">
        <is>
          <t>Group</t>
        </is>
      </c>
      <c r="H1" s="128" t="inlineStr">
        <is>
          <t>Series</t>
        </is>
      </c>
      <c r="I1" s="128" t="inlineStr">
        <is>
          <t>CU Batch</t>
        </is>
      </c>
      <c r="J1" s="128" t="inlineStr">
        <is>
          <t>P Batch</t>
        </is>
      </c>
      <c r="K1" s="128" t="inlineStr">
        <is>
          <t>Strain</t>
        </is>
      </c>
      <c r="L1" s="128" t="inlineStr">
        <is>
          <t>iCoA scope</t>
        </is>
      </c>
      <c r="M1" s="128" t="inlineStr">
        <is>
          <t>CNP reference</t>
        </is>
      </c>
      <c r="N1" s="128" t="inlineStr">
        <is>
          <t>CoQ (register)</t>
        </is>
      </c>
      <c r="O1" s="128" t="inlineStr">
        <is>
          <t>Plan reference (31.08.2026)</t>
        </is>
      </c>
      <c r="P1" s="128" t="inlineStr">
        <is>
          <t>Key</t>
        </is>
      </c>
      <c r="Q1" s="128" t="inlineStr">
        <is>
          <t>Status</t>
        </is>
      </c>
    </row>
    <row r="2">
      <c r="A2" s="129" t="n">
        <v>1</v>
      </c>
      <c r="B2" s="130" t="inlineStr">
        <is>
          <t>iCoA-PP_26-001</t>
        </is>
      </c>
      <c r="C2" s="140" t="inlineStr">
        <is>
          <t>yes</t>
        </is>
      </c>
      <c r="D2" s="274">
        <f>IF(A2="","",IF(ISNUMBER(E2),MAX(DATE(2026,6,3),E2),DATE(2026,6,3)))</f>
        <v/>
      </c>
      <c r="E2" s="274">
        <f>IFERROR(INDEX('Batch Dates'!$F:$F,MATCH(J2,'Batch Dates'!$C:$C,0)),IFERROR(INDEX('Batch Dates'!$F:$F,MATCH(I2,'Batch Dates'!$B:$B,0)),""))</f>
        <v/>
      </c>
      <c r="F2" s="274">
        <f>IFERROR(INDEX('Batch Dates'!$G:$G,MATCH(J2,'Batch Dates'!$C:$C,0)),IFERROR(INDEX('Batch Dates'!$G:$G,MATCH(I2,'Batch Dates'!$B:$B,0)),""))</f>
        <v/>
      </c>
      <c r="G2" s="129" t="inlineStr">
        <is>
          <t>legacy</t>
        </is>
      </c>
      <c r="H2" s="129" t="inlineStr">
        <is>
          <t>initial release</t>
        </is>
      </c>
      <c r="I2" s="130" t="inlineStr">
        <is>
          <t>CJ1024</t>
        </is>
      </c>
      <c r="J2" s="129" t="inlineStr">
        <is>
          <t>N/A — no P batch assigned</t>
        </is>
      </c>
      <c r="K2" s="129" t="inlineStr">
        <is>
          <t>Cup Junky</t>
        </is>
      </c>
      <c r="L2" s="129" t="inlineStr">
        <is>
          <t>Ident A + Ident B + Foreign matter</t>
        </is>
      </c>
      <c r="M2" s="141" t="inlineStr">
        <is>
          <t>—</t>
        </is>
      </c>
      <c r="N2" s="129">
        <f>IFERROR(INDEX('CoQ Register'!$B:$B,MATCH("CJ1024|I",'CoQ Register'!$S:$S,0)),"—")</f>
        <v/>
      </c>
      <c r="O2" s="141" t="inlineStr">
        <is>
          <t>—</t>
        </is>
      </c>
      <c r="P2" s="129" t="inlineStr">
        <is>
          <t>CJ1024|I</t>
        </is>
      </c>
      <c r="Q2" s="134" t="inlineStr">
        <is>
          <t>registered — initial release, issued 03.06.2026</t>
        </is>
      </c>
    </row>
    <row r="3">
      <c r="A3" s="129" t="n">
        <v>2</v>
      </c>
      <c r="B3" s="130" t="inlineStr">
        <is>
          <t>iCoA-PP_26-002</t>
        </is>
      </c>
      <c r="C3" s="140" t="inlineStr">
        <is>
          <t>yes</t>
        </is>
      </c>
      <c r="D3" s="274">
        <f>IF(A3="","",IF(ISNUMBER(E3),MAX(DATE(2026,6,3),E3),DATE(2026,6,3)))</f>
        <v/>
      </c>
      <c r="E3" s="274">
        <f>IFERROR(INDEX('Batch Dates'!$F:$F,MATCH(J3,'Batch Dates'!$C:$C,0)),IFERROR(INDEX('Batch Dates'!$F:$F,MATCH(I3,'Batch Dates'!$B:$B,0)),""))</f>
        <v/>
      </c>
      <c r="F3" s="274">
        <f>IFERROR(INDEX('Batch Dates'!$G:$G,MATCH(J3,'Batch Dates'!$C:$C,0)),IFERROR(INDEX('Batch Dates'!$G:$G,MATCH(I3,'Batch Dates'!$B:$B,0)),""))</f>
        <v/>
      </c>
      <c r="G3" s="129" t="inlineStr">
        <is>
          <t>legacy</t>
        </is>
      </c>
      <c r="H3" s="129" t="inlineStr">
        <is>
          <t>initial release</t>
        </is>
      </c>
      <c r="I3" s="130" t="inlineStr">
        <is>
          <t>BSS1024</t>
        </is>
      </c>
      <c r="J3" s="129" t="inlineStr">
        <is>
          <t>N/A — no P batch assigned</t>
        </is>
      </c>
      <c r="K3" s="129" t="inlineStr">
        <is>
          <t>Blue Sunset Sherbet</t>
        </is>
      </c>
      <c r="L3" s="129" t="inlineStr">
        <is>
          <t>Ident A + Ident B + Foreign matter</t>
        </is>
      </c>
      <c r="M3" s="141" t="inlineStr">
        <is>
          <t>—</t>
        </is>
      </c>
      <c r="N3" s="129">
        <f>IFERROR(INDEX('CoQ Register'!$B:$B,MATCH("BSS1024|I",'CoQ Register'!$S:$S,0)),"—")</f>
        <v/>
      </c>
      <c r="O3" s="129" t="inlineStr">
        <is>
          <t>iCoA-PP-2025-0001</t>
        </is>
      </c>
      <c r="P3" s="129" t="inlineStr">
        <is>
          <t>BSS1024|I</t>
        </is>
      </c>
      <c r="Q3" s="134" t="inlineStr">
        <is>
          <t>registered — initial release, issued 03.06.2026</t>
        </is>
      </c>
    </row>
    <row r="4">
      <c r="A4" s="129" t="n">
        <v>3</v>
      </c>
      <c r="B4" s="130" t="inlineStr">
        <is>
          <t>iCoA-PP_26-003</t>
        </is>
      </c>
      <c r="C4" s="140" t="inlineStr">
        <is>
          <t>yes</t>
        </is>
      </c>
      <c r="D4" s="274">
        <f>IF(A4="","",IF(ISNUMBER(E4),MAX(DATE(2026,6,3),E4),DATE(2026,6,3)))</f>
        <v/>
      </c>
      <c r="E4" s="274">
        <f>IFERROR(INDEX('Batch Dates'!$F:$F,MATCH(J4,'Batch Dates'!$C:$C,0)),IFERROR(INDEX('Batch Dates'!$F:$F,MATCH(I4,'Batch Dates'!$B:$B,0)),""))</f>
        <v/>
      </c>
      <c r="F4" s="274">
        <f>IFERROR(INDEX('Batch Dates'!$G:$G,MATCH(J4,'Batch Dates'!$C:$C,0)),IFERROR(INDEX('Batch Dates'!$G:$G,MATCH(I4,'Batch Dates'!$B:$B,0)),""))</f>
        <v/>
      </c>
      <c r="G4" s="129" t="inlineStr">
        <is>
          <t>legacy</t>
        </is>
      </c>
      <c r="H4" s="129" t="inlineStr">
        <is>
          <t>initial release</t>
        </is>
      </c>
      <c r="I4" s="130" t="inlineStr">
        <is>
          <t>BG1024</t>
        </is>
      </c>
      <c r="J4" s="129" t="inlineStr">
        <is>
          <t>N/A — no P batch assigned</t>
        </is>
      </c>
      <c r="K4" s="129" t="inlineStr">
        <is>
          <t>Blue Gelato</t>
        </is>
      </c>
      <c r="L4" s="129" t="inlineStr">
        <is>
          <t>Ident A + Ident B + Foreign matter</t>
        </is>
      </c>
      <c r="M4" s="141" t="inlineStr">
        <is>
          <t>—</t>
        </is>
      </c>
      <c r="N4" s="129">
        <f>IFERROR(INDEX('CoQ Register'!$B:$B,MATCH("BG1024|I",'CoQ Register'!$S:$S,0)),"—")</f>
        <v/>
      </c>
      <c r="O4" s="129" t="inlineStr">
        <is>
          <t>iCoA-PP-2025-0002</t>
        </is>
      </c>
      <c r="P4" s="129" t="inlineStr">
        <is>
          <t>BG1024|I</t>
        </is>
      </c>
      <c r="Q4" s="134" t="inlineStr">
        <is>
          <t>registered — initial release, issued 03.06.2026</t>
        </is>
      </c>
    </row>
    <row r="5">
      <c r="A5" s="129" t="n">
        <v>4</v>
      </c>
      <c r="B5" s="130" t="inlineStr">
        <is>
          <t>iCoA-PP_26-004</t>
        </is>
      </c>
      <c r="C5" s="140" t="inlineStr">
        <is>
          <t>yes</t>
        </is>
      </c>
      <c r="D5" s="274">
        <f>IF(A5="","",IF(ISNUMBER(E5),MAX(DATE(2026,6,3),E5),DATE(2026,6,3)))</f>
        <v/>
      </c>
      <c r="E5" s="274">
        <f>IFERROR(INDEX('Batch Dates'!$F:$F,MATCH(J5,'Batch Dates'!$C:$C,0)),IFERROR(INDEX('Batch Dates'!$F:$F,MATCH(I5,'Batch Dates'!$B:$B,0)),""))</f>
        <v/>
      </c>
      <c r="F5" s="274">
        <f>IFERROR(INDEX('Batch Dates'!$G:$G,MATCH(J5,'Batch Dates'!$C:$C,0)),IFERROR(INDEX('Batch Dates'!$G:$G,MATCH(I5,'Batch Dates'!$B:$B,0)),""))</f>
        <v/>
      </c>
      <c r="G5" s="129" t="inlineStr">
        <is>
          <t>legacy</t>
        </is>
      </c>
      <c r="H5" s="129" t="inlineStr">
        <is>
          <t>initial release</t>
        </is>
      </c>
      <c r="I5" s="130" t="inlineStr">
        <is>
          <t>HPA1024</t>
        </is>
      </c>
      <c r="J5" s="129" t="inlineStr">
        <is>
          <t>N/A — no P batch assigned</t>
        </is>
      </c>
      <c r="K5" s="129" t="inlineStr">
        <is>
          <t>HighProAmnesia</t>
        </is>
      </c>
      <c r="L5" s="129" t="inlineStr">
        <is>
          <t>Ident A + Ident B + #4 + #5 + Foreign matter + #9.1 + #9.2 + #9.3 + #9.4 + #9.5 + #10.2 + #11.1 + #11.2 + #11.3 + #11.4 + #12</t>
        </is>
      </c>
      <c r="M5" s="141" t="inlineStr">
        <is>
          <t>—</t>
        </is>
      </c>
      <c r="N5" s="129">
        <f>IFERROR(INDEX('CoQ Register'!$B:$B,MATCH("HPA1024|I",'CoQ Register'!$S:$S,0)),"—")</f>
        <v/>
      </c>
      <c r="O5" s="129" t="inlineStr">
        <is>
          <t>iCoA-PP-2025-0004</t>
        </is>
      </c>
      <c r="P5" s="129" t="inlineStr">
        <is>
          <t>HPA1024|I</t>
        </is>
      </c>
      <c r="Q5" s="134" t="inlineStr">
        <is>
          <t>registered — initial release, issued 03.06.2026</t>
        </is>
      </c>
    </row>
    <row r="6">
      <c r="A6" s="129" t="n">
        <v>5</v>
      </c>
      <c r="B6" s="130" t="inlineStr">
        <is>
          <t>iCoA-PP_26-005</t>
        </is>
      </c>
      <c r="C6" s="140" t="inlineStr">
        <is>
          <t>yes</t>
        </is>
      </c>
      <c r="D6" s="274">
        <f>IF(A6="","",IF(ISNUMBER(E6),MAX(DATE(2026,6,3),E6),DATE(2026,6,3)))</f>
        <v/>
      </c>
      <c r="E6" s="274">
        <f>IFERROR(INDEX('Batch Dates'!$F:$F,MATCH(J6,'Batch Dates'!$C:$C,0)),IFERROR(INDEX('Batch Dates'!$F:$F,MATCH(I6,'Batch Dates'!$B:$B,0)),""))</f>
        <v/>
      </c>
      <c r="F6" s="274">
        <f>IFERROR(INDEX('Batch Dates'!$G:$G,MATCH(J6,'Batch Dates'!$C:$C,0)),IFERROR(INDEX('Batch Dates'!$G:$G,MATCH(I6,'Batch Dates'!$B:$B,0)),""))</f>
        <v/>
      </c>
      <c r="G6" s="129" t="inlineStr">
        <is>
          <t>legacy</t>
        </is>
      </c>
      <c r="H6" s="129" t="inlineStr">
        <is>
          <t>initial release</t>
        </is>
      </c>
      <c r="I6" s="130" t="inlineStr">
        <is>
          <t>OPM1024</t>
        </is>
      </c>
      <c r="J6" s="129" t="inlineStr">
        <is>
          <t>N/A — no P batch assigned</t>
        </is>
      </c>
      <c r="K6" s="129" t="inlineStr">
        <is>
          <t>OrangePunchMimosa</t>
        </is>
      </c>
      <c r="L6" s="129" t="inlineStr">
        <is>
          <t>Ident A + Ident B + #4 + #5 + Foreign matter + #9.1 + #9.2 + #9.3 + #9.4 + #9.5 + #10.2 + #11.1 + #11.2 + #11.3 + #11.4 + #12</t>
        </is>
      </c>
      <c r="M6" s="141" t="inlineStr">
        <is>
          <t>—</t>
        </is>
      </c>
      <c r="N6" s="129">
        <f>IFERROR(INDEX('CoQ Register'!$B:$B,MATCH("OPM1024|I",'CoQ Register'!$S:$S,0)),"—")</f>
        <v/>
      </c>
      <c r="O6" s="129" t="inlineStr">
        <is>
          <t>iCoA-PP-2025-0005</t>
        </is>
      </c>
      <c r="P6" s="129" t="inlineStr">
        <is>
          <t>OPM1024|I</t>
        </is>
      </c>
      <c r="Q6" s="134" t="inlineStr">
        <is>
          <t>registered — initial release, issued 03.06.2026</t>
        </is>
      </c>
    </row>
    <row r="7">
      <c r="A7" s="129" t="n">
        <v>6</v>
      </c>
      <c r="B7" s="130" t="inlineStr">
        <is>
          <t>iCoA-PP_26-006</t>
        </is>
      </c>
      <c r="C7" s="140" t="inlineStr">
        <is>
          <t>yes</t>
        </is>
      </c>
      <c r="D7" s="274">
        <f>IF(A7="","",IF(ISNUMBER(E7),MAX(DATE(2026,6,3),E7),DATE(2026,6,3)))</f>
        <v/>
      </c>
      <c r="E7" s="274">
        <f>IFERROR(INDEX('Batch Dates'!$F:$F,MATCH(J7,'Batch Dates'!$C:$C,0)),IFERROR(INDEX('Batch Dates'!$F:$F,MATCH(I7,'Batch Dates'!$B:$B,0)),""))</f>
        <v/>
      </c>
      <c r="F7" s="274">
        <f>IFERROR(INDEX('Batch Dates'!$G:$G,MATCH(J7,'Batch Dates'!$C:$C,0)),IFERROR(INDEX('Batch Dates'!$G:$G,MATCH(I7,'Batch Dates'!$B:$B,0)),""))</f>
        <v/>
      </c>
      <c r="G7" s="129" t="inlineStr">
        <is>
          <t>legacy</t>
        </is>
      </c>
      <c r="H7" s="129" t="inlineStr">
        <is>
          <t>initial release</t>
        </is>
      </c>
      <c r="I7" s="130" t="inlineStr">
        <is>
          <t>GP0824_02</t>
        </is>
      </c>
      <c r="J7" s="129" t="inlineStr">
        <is>
          <t>P050022</t>
        </is>
      </c>
      <c r="K7" s="129" t="inlineStr">
        <is>
          <t>Grape Pie</t>
        </is>
      </c>
      <c r="L7" s="129" t="inlineStr">
        <is>
          <t>Ident A + Ident B + Foreign matter</t>
        </is>
      </c>
      <c r="M7" s="141" t="inlineStr">
        <is>
          <t>—</t>
        </is>
      </c>
      <c r="N7" s="129">
        <f>IFERROR(INDEX('CoQ Register'!$B:$B,MATCH("P050022|I",'CoQ Register'!$S:$S,0)),"—")</f>
        <v/>
      </c>
      <c r="O7" s="129" t="inlineStr">
        <is>
          <t>iCoA-PP-2025-0006</t>
        </is>
      </c>
      <c r="P7" s="129" t="inlineStr">
        <is>
          <t>P050022|I</t>
        </is>
      </c>
      <c r="Q7" s="134" t="inlineStr">
        <is>
          <t>registered — initial release, issued 03.06.2026</t>
        </is>
      </c>
    </row>
    <row r="8">
      <c r="A8" s="129" t="n">
        <v>7</v>
      </c>
      <c r="B8" s="130" t="inlineStr">
        <is>
          <t>iCoA-PP_26-007</t>
        </is>
      </c>
      <c r="C8" s="140" t="inlineStr">
        <is>
          <t>yes</t>
        </is>
      </c>
      <c r="D8" s="274">
        <f>IF(A8="","",IF(ISNUMBER(E8),MAX(DATE(2026,6,3),E8),DATE(2026,6,3)))</f>
        <v/>
      </c>
      <c r="E8" s="274">
        <f>IFERROR(INDEX('Batch Dates'!$F:$F,MATCH(J8,'Batch Dates'!$C:$C,0)),IFERROR(INDEX('Batch Dates'!$F:$F,MATCH(I8,'Batch Dates'!$B:$B,0)),""))</f>
        <v/>
      </c>
      <c r="F8" s="274">
        <f>IFERROR(INDEX('Batch Dates'!$G:$G,MATCH(J8,'Batch Dates'!$C:$C,0)),IFERROR(INDEX('Batch Dates'!$G:$G,MATCH(I8,'Batch Dates'!$B:$B,0)),""))</f>
        <v/>
      </c>
      <c r="G8" s="129" t="inlineStr">
        <is>
          <t>legacy</t>
        </is>
      </c>
      <c r="H8" s="129" t="inlineStr">
        <is>
          <t>initial release</t>
        </is>
      </c>
      <c r="I8" s="130" t="inlineStr">
        <is>
          <t>GG1024_02</t>
        </is>
      </c>
      <c r="J8" s="129" t="inlineStr">
        <is>
          <t>P050012</t>
        </is>
      </c>
      <c r="K8" s="129" t="inlineStr">
        <is>
          <t>Gorilla Glue</t>
        </is>
      </c>
      <c r="L8" s="129" t="inlineStr">
        <is>
          <t>Ident A + Ident B + Foreign matter</t>
        </is>
      </c>
      <c r="M8" s="141" t="inlineStr">
        <is>
          <t>—</t>
        </is>
      </c>
      <c r="N8" s="129">
        <f>IFERROR(INDEX('CoQ Register'!$B:$B,MATCH("P050012|I",'CoQ Register'!$S:$S,0)),"—")</f>
        <v/>
      </c>
      <c r="O8" s="141" t="inlineStr">
        <is>
          <t>—</t>
        </is>
      </c>
      <c r="P8" s="129" t="inlineStr">
        <is>
          <t>P050012|I</t>
        </is>
      </c>
      <c r="Q8" s="134" t="inlineStr">
        <is>
          <t>registered — initial release, issued 03.06.2026</t>
        </is>
      </c>
    </row>
    <row r="9">
      <c r="A9" s="129" t="n">
        <v>8</v>
      </c>
      <c r="B9" s="130" t="inlineStr">
        <is>
          <t>iCoA-PP_26-008</t>
        </is>
      </c>
      <c r="C9" s="140" t="inlineStr">
        <is>
          <t>yes</t>
        </is>
      </c>
      <c r="D9" s="274">
        <f>IF(A9="","",IF(ISNUMBER(E9),MAX(DATE(2026,6,3),E9),DATE(2026,6,3)))</f>
        <v/>
      </c>
      <c r="E9" s="274">
        <f>IFERROR(INDEX('Batch Dates'!$F:$F,MATCH(J9,'Batch Dates'!$C:$C,0)),IFERROR(INDEX('Batch Dates'!$F:$F,MATCH(I9,'Batch Dates'!$B:$B,0)),""))</f>
        <v/>
      </c>
      <c r="F9" s="274">
        <f>IFERROR(INDEX('Batch Dates'!$G:$G,MATCH(J9,'Batch Dates'!$C:$C,0)),IFERROR(INDEX('Batch Dates'!$G:$G,MATCH(I9,'Batch Dates'!$B:$B,0)),""))</f>
        <v/>
      </c>
      <c r="G9" s="129" t="inlineStr">
        <is>
          <t>legacy</t>
        </is>
      </c>
      <c r="H9" s="129" t="inlineStr">
        <is>
          <t>initial release</t>
        </is>
      </c>
      <c r="I9" s="130" t="inlineStr">
        <is>
          <t>MB0824_04</t>
        </is>
      </c>
      <c r="J9" s="129" t="inlineStr">
        <is>
          <t>P050032</t>
        </is>
      </c>
      <c r="K9" s="129" t="inlineStr">
        <is>
          <t>Motor Breath</t>
        </is>
      </c>
      <c r="L9" s="129" t="inlineStr">
        <is>
          <t>Ident A + Ident B + Foreign matter</t>
        </is>
      </c>
      <c r="M9" s="141" t="inlineStr">
        <is>
          <t>—</t>
        </is>
      </c>
      <c r="N9" s="129">
        <f>IFERROR(INDEX('CoQ Register'!$B:$B,MATCH("P050032|I",'CoQ Register'!$S:$S,0)),"—")</f>
        <v/>
      </c>
      <c r="O9" s="141" t="inlineStr">
        <is>
          <t>—</t>
        </is>
      </c>
      <c r="P9" s="129" t="inlineStr">
        <is>
          <t>P050032|I</t>
        </is>
      </c>
      <c r="Q9" s="134" t="inlineStr">
        <is>
          <t>registered — initial release, issued 03.06.2026</t>
        </is>
      </c>
    </row>
    <row r="10">
      <c r="A10" s="129" t="n">
        <v>9</v>
      </c>
      <c r="B10" s="130" t="inlineStr">
        <is>
          <t>iCoA-PP_26-009</t>
        </is>
      </c>
      <c r="C10" s="140" t="inlineStr">
        <is>
          <t>yes</t>
        </is>
      </c>
      <c r="D10" s="274">
        <f>IF(A10="","",IF(ISNUMBER(E10),MAX(DATE(2026,6,3),E10),DATE(2026,6,3)))</f>
        <v/>
      </c>
      <c r="E10" s="274">
        <f>IFERROR(INDEX('Batch Dates'!$F:$F,MATCH(J10,'Batch Dates'!$C:$C,0)),IFERROR(INDEX('Batch Dates'!$F:$F,MATCH(I10,'Batch Dates'!$B:$B,0)),""))</f>
        <v/>
      </c>
      <c r="F10" s="274">
        <f>IFERROR(INDEX('Batch Dates'!$G:$G,MATCH(J10,'Batch Dates'!$C:$C,0)),IFERROR(INDEX('Batch Dates'!$G:$G,MATCH(I10,'Batch Dates'!$B:$B,0)),""))</f>
        <v/>
      </c>
      <c r="G10" s="129" t="inlineStr">
        <is>
          <t>legacy</t>
        </is>
      </c>
      <c r="H10" s="129" t="inlineStr">
        <is>
          <t>initial release</t>
        </is>
      </c>
      <c r="I10" s="130" t="inlineStr">
        <is>
          <t>HPA1024_01</t>
        </is>
      </c>
      <c r="J10" s="129" t="inlineStr">
        <is>
          <t>P050052</t>
        </is>
      </c>
      <c r="K10" s="129" t="inlineStr">
        <is>
          <t>High Pro Amnesia</t>
        </is>
      </c>
      <c r="L10" s="129" t="inlineStr">
        <is>
          <t>Ident A + Ident B + Foreign matter</t>
        </is>
      </c>
      <c r="M10" s="141" t="inlineStr">
        <is>
          <t>—</t>
        </is>
      </c>
      <c r="N10" s="129">
        <f>IFERROR(INDEX('CoQ Register'!$B:$B,MATCH("P050052|I",'CoQ Register'!$S:$S,0)),"—")</f>
        <v/>
      </c>
      <c r="O10" s="129" t="inlineStr">
        <is>
          <t>iCoA-PP-2025-0008</t>
        </is>
      </c>
      <c r="P10" s="129" t="inlineStr">
        <is>
          <t>P050052|I</t>
        </is>
      </c>
      <c r="Q10" s="134" t="inlineStr">
        <is>
          <t>registered — initial release, issued 03.06.2026</t>
        </is>
      </c>
    </row>
    <row r="11">
      <c r="A11" s="129" t="n">
        <v>10</v>
      </c>
      <c r="B11" s="130" t="inlineStr">
        <is>
          <t>iCoA-PP_26-010</t>
        </is>
      </c>
      <c r="C11" s="140" t="inlineStr">
        <is>
          <t>yes</t>
        </is>
      </c>
      <c r="D11" s="274">
        <f>IF(A11="","",IF(ISNUMBER(E11),MAX(DATE(2026,6,3),E11),DATE(2026,6,3)))</f>
        <v/>
      </c>
      <c r="E11" s="274">
        <f>IFERROR(INDEX('Batch Dates'!$F:$F,MATCH(J11,'Batch Dates'!$C:$C,0)),IFERROR(INDEX('Batch Dates'!$F:$F,MATCH(I11,'Batch Dates'!$B:$B,0)),""))</f>
        <v/>
      </c>
      <c r="F11" s="274">
        <f>IFERROR(INDEX('Batch Dates'!$G:$G,MATCH(J11,'Batch Dates'!$C:$C,0)),IFERROR(INDEX('Batch Dates'!$G:$G,MATCH(I11,'Batch Dates'!$B:$B,0)),""))</f>
        <v/>
      </c>
      <c r="G11" s="129" t="inlineStr">
        <is>
          <t>legacy</t>
        </is>
      </c>
      <c r="H11" s="129" t="inlineStr">
        <is>
          <t>initial release</t>
        </is>
      </c>
      <c r="I11" s="130" t="inlineStr">
        <is>
          <t>OPM1024_02</t>
        </is>
      </c>
      <c r="J11" s="129" t="inlineStr">
        <is>
          <t>P050062</t>
        </is>
      </c>
      <c r="K11" s="129" t="inlineStr">
        <is>
          <t>Orange Punch Mimosa</t>
        </is>
      </c>
      <c r="L11" s="129" t="inlineStr">
        <is>
          <t>Ident A + Ident B + Foreign matter</t>
        </is>
      </c>
      <c r="M11" s="141" t="inlineStr">
        <is>
          <t>—</t>
        </is>
      </c>
      <c r="N11" s="129">
        <f>IFERROR(INDEX('CoQ Register'!$B:$B,MATCH("P050062|I",'CoQ Register'!$S:$S,0)),"—")</f>
        <v/>
      </c>
      <c r="O11" s="129" t="inlineStr">
        <is>
          <t>iCoA-PP-2025-0009</t>
        </is>
      </c>
      <c r="P11" s="129" t="inlineStr">
        <is>
          <t>P050062|I</t>
        </is>
      </c>
      <c r="Q11" s="134" t="inlineStr">
        <is>
          <t>registered — initial release, issued 03.06.2026</t>
        </is>
      </c>
    </row>
    <row r="12">
      <c r="A12" s="129" t="n">
        <v>11</v>
      </c>
      <c r="B12" s="130" t="inlineStr">
        <is>
          <t>iCoA-PP_26-011</t>
        </is>
      </c>
      <c r="C12" s="140" t="inlineStr">
        <is>
          <t>yes</t>
        </is>
      </c>
      <c r="D12" s="274">
        <f>IF(A12="","",IF(ISNUMBER(E12),MAX(DATE(2026,6,3),E12),DATE(2026,6,3)))</f>
        <v/>
      </c>
      <c r="E12" s="274">
        <f>IFERROR(INDEX('Batch Dates'!$F:$F,MATCH(J12,'Batch Dates'!$C:$C,0)),IFERROR(INDEX('Batch Dates'!$F:$F,MATCH(I12,'Batch Dates'!$B:$B,0)),""))</f>
        <v/>
      </c>
      <c r="F12" s="274">
        <f>IFERROR(INDEX('Batch Dates'!$G:$G,MATCH(J12,'Batch Dates'!$C:$C,0)),IFERROR(INDEX('Batch Dates'!$G:$G,MATCH(I12,'Batch Dates'!$B:$B,0)),""))</f>
        <v/>
      </c>
      <c r="G12" s="129" t="inlineStr">
        <is>
          <t>legacy</t>
        </is>
      </c>
      <c r="H12" s="129" t="inlineStr">
        <is>
          <t>initial release</t>
        </is>
      </c>
      <c r="I12" s="130" t="inlineStr">
        <is>
          <t>GP0824_03</t>
        </is>
      </c>
      <c r="J12" s="129" t="inlineStr">
        <is>
          <t>P050072</t>
        </is>
      </c>
      <c r="K12" s="129" t="inlineStr">
        <is>
          <t>Grape Pie</t>
        </is>
      </c>
      <c r="L12" s="129" t="inlineStr">
        <is>
          <t>Ident A + Ident B + Foreign matter</t>
        </is>
      </c>
      <c r="M12" s="141" t="inlineStr">
        <is>
          <t>—</t>
        </is>
      </c>
      <c r="N12" s="129">
        <f>IFERROR(INDEX('CoQ Register'!$B:$B,MATCH("P050072|I",'CoQ Register'!$S:$S,0)),"—")</f>
        <v/>
      </c>
      <c r="O12" s="129" t="inlineStr">
        <is>
          <t>iCoA-PP-2025-0010</t>
        </is>
      </c>
      <c r="P12" s="129" t="inlineStr">
        <is>
          <t>P050072|I</t>
        </is>
      </c>
      <c r="Q12" s="134" t="inlineStr">
        <is>
          <t>registered — initial release, issued 03.06.2026</t>
        </is>
      </c>
    </row>
    <row r="13">
      <c r="A13" s="129" t="n">
        <v>12</v>
      </c>
      <c r="B13" s="130" t="inlineStr">
        <is>
          <t>iCoA-PP_26-012</t>
        </is>
      </c>
      <c r="C13" s="140" t="inlineStr">
        <is>
          <t>yes</t>
        </is>
      </c>
      <c r="D13" s="274">
        <f>IF(A13="","",IF(ISNUMBER(E13),MAX(DATE(2026,6,3),E13),DATE(2026,6,3)))</f>
        <v/>
      </c>
      <c r="E13" s="274">
        <f>IFERROR(INDEX('Batch Dates'!$F:$F,MATCH(J13,'Batch Dates'!$C:$C,0)),IFERROR(INDEX('Batch Dates'!$F:$F,MATCH(I13,'Batch Dates'!$B:$B,0)),""))</f>
        <v/>
      </c>
      <c r="F13" s="274">
        <f>IFERROR(INDEX('Batch Dates'!$G:$G,MATCH(J13,'Batch Dates'!$C:$C,0)),IFERROR(INDEX('Batch Dates'!$G:$G,MATCH(I13,'Batch Dates'!$B:$B,0)),""))</f>
        <v/>
      </c>
      <c r="G13" s="129" t="inlineStr">
        <is>
          <t>legacy</t>
        </is>
      </c>
      <c r="H13" s="129" t="inlineStr">
        <is>
          <t>initial release</t>
        </is>
      </c>
      <c r="I13" s="130" t="inlineStr">
        <is>
          <t>OPM1024_03</t>
        </is>
      </c>
      <c r="J13" s="129" t="inlineStr">
        <is>
          <t>P050082</t>
        </is>
      </c>
      <c r="K13" s="129" t="inlineStr">
        <is>
          <t>Orange Punch Mimosa</t>
        </is>
      </c>
      <c r="L13" s="129" t="inlineStr">
        <is>
          <t>Ident A + Ident B + Foreign matter</t>
        </is>
      </c>
      <c r="M13" s="141" t="inlineStr">
        <is>
          <t>—</t>
        </is>
      </c>
      <c r="N13" s="129">
        <f>IFERROR(INDEX('CoQ Register'!$B:$B,MATCH("P050082|I",'CoQ Register'!$S:$S,0)),"—")</f>
        <v/>
      </c>
      <c r="O13" s="129" t="inlineStr">
        <is>
          <t>iCoA-PP-2025-0011</t>
        </is>
      </c>
      <c r="P13" s="129" t="inlineStr">
        <is>
          <t>P050082|I</t>
        </is>
      </c>
      <c r="Q13" s="134" t="inlineStr">
        <is>
          <t>registered — initial release, issued 03.06.2026</t>
        </is>
      </c>
    </row>
    <row r="14">
      <c r="A14" s="129" t="n">
        <v>13</v>
      </c>
      <c r="B14" s="130" t="inlineStr">
        <is>
          <t>iCoA-PP_26-013</t>
        </is>
      </c>
      <c r="C14" s="140" t="inlineStr">
        <is>
          <t>yes</t>
        </is>
      </c>
      <c r="D14" s="274">
        <f>IF(A14="","",IF(ISNUMBER(E14),MAX(DATE(2026,6,3),E14),DATE(2026,6,3)))</f>
        <v/>
      </c>
      <c r="E14" s="274">
        <f>IFERROR(INDEX('Batch Dates'!$F:$F,MATCH(J14,'Batch Dates'!$C:$C,0)),IFERROR(INDEX('Batch Dates'!$F:$F,MATCH(I14,'Batch Dates'!$B:$B,0)),""))</f>
        <v/>
      </c>
      <c r="F14" s="274">
        <f>IFERROR(INDEX('Batch Dates'!$G:$G,MATCH(J14,'Batch Dates'!$C:$C,0)),IFERROR(INDEX('Batch Dates'!$G:$G,MATCH(I14,'Batch Dates'!$B:$B,0)),""))</f>
        <v/>
      </c>
      <c r="G14" s="129" t="inlineStr">
        <is>
          <t>legacy</t>
        </is>
      </c>
      <c r="H14" s="129" t="inlineStr">
        <is>
          <t>initial release</t>
        </is>
      </c>
      <c r="I14" s="130" t="inlineStr">
        <is>
          <t>GG1024_01</t>
        </is>
      </c>
      <c r="J14" s="129" t="inlineStr">
        <is>
          <t>P050092</t>
        </is>
      </c>
      <c r="K14" s="129" t="inlineStr">
        <is>
          <t>Gorilla Glue</t>
        </is>
      </c>
      <c r="L14" s="129" t="inlineStr">
        <is>
          <t>Ident A + Ident B + Foreign matter</t>
        </is>
      </c>
      <c r="M14" s="141" t="inlineStr">
        <is>
          <t>—</t>
        </is>
      </c>
      <c r="N14" s="129">
        <f>IFERROR(INDEX('CoQ Register'!$B:$B,MATCH("P050092|I",'CoQ Register'!$S:$S,0)),"—")</f>
        <v/>
      </c>
      <c r="O14" s="129" t="inlineStr">
        <is>
          <t>iCoA-PP-2025-0012</t>
        </is>
      </c>
      <c r="P14" s="129" t="inlineStr">
        <is>
          <t>P050092|I</t>
        </is>
      </c>
      <c r="Q14" s="134" t="inlineStr">
        <is>
          <t>registered — initial release, issued 03.06.2026</t>
        </is>
      </c>
    </row>
    <row r="15">
      <c r="A15" s="129" t="n">
        <v>14</v>
      </c>
      <c r="B15" s="130" t="inlineStr">
        <is>
          <t>iCoA-PP_26-014</t>
        </is>
      </c>
      <c r="C15" s="140" t="inlineStr">
        <is>
          <t>yes</t>
        </is>
      </c>
      <c r="D15" s="274">
        <f>IF(A15="","",IF(ISNUMBER(E15),MAX(DATE(2026,6,3),E15),DATE(2026,6,3)))</f>
        <v/>
      </c>
      <c r="E15" s="274">
        <f>IFERROR(INDEX('Batch Dates'!$F:$F,MATCH(J15,'Batch Dates'!$C:$C,0)),IFERROR(INDEX('Batch Dates'!$F:$F,MATCH(I15,'Batch Dates'!$B:$B,0)),""))</f>
        <v/>
      </c>
      <c r="F15" s="274">
        <f>IFERROR(INDEX('Batch Dates'!$G:$G,MATCH(J15,'Batch Dates'!$C:$C,0)),IFERROR(INDEX('Batch Dates'!$G:$G,MATCH(I15,'Batch Dates'!$B:$B,0)),""))</f>
        <v/>
      </c>
      <c r="G15" s="129" t="inlineStr">
        <is>
          <t>legacy</t>
        </is>
      </c>
      <c r="H15" s="129" t="inlineStr">
        <is>
          <t>initial release</t>
        </is>
      </c>
      <c r="I15" s="130" t="inlineStr">
        <is>
          <t>GP0824_01</t>
        </is>
      </c>
      <c r="J15" s="129" t="inlineStr">
        <is>
          <t>P050102</t>
        </is>
      </c>
      <c r="K15" s="129" t="inlineStr">
        <is>
          <t>Grape Pie</t>
        </is>
      </c>
      <c r="L15" s="129" t="inlineStr">
        <is>
          <t>Ident A + Ident B + Foreign matter</t>
        </is>
      </c>
      <c r="M15" s="141" t="inlineStr">
        <is>
          <t>—</t>
        </is>
      </c>
      <c r="N15" s="129">
        <f>IFERROR(INDEX('CoQ Register'!$B:$B,MATCH("P050102|I",'CoQ Register'!$S:$S,0)),"—")</f>
        <v/>
      </c>
      <c r="O15" s="141" t="inlineStr">
        <is>
          <t>—</t>
        </is>
      </c>
      <c r="P15" s="129" t="inlineStr">
        <is>
          <t>P050102|I</t>
        </is>
      </c>
      <c r="Q15" s="134" t="inlineStr">
        <is>
          <t>registered — initial release, issued 03.06.2026</t>
        </is>
      </c>
    </row>
    <row r="16">
      <c r="A16" s="129" t="n">
        <v>15</v>
      </c>
      <c r="B16" s="130" t="inlineStr">
        <is>
          <t>iCoA-PP_26-015</t>
        </is>
      </c>
      <c r="C16" s="140" t="inlineStr">
        <is>
          <t>yes</t>
        </is>
      </c>
      <c r="D16" s="274">
        <f>IF(A16="","",IF(ISNUMBER(E16),MAX(DATE(2026,6,3),E16),DATE(2026,6,3)))</f>
        <v/>
      </c>
      <c r="E16" s="274">
        <f>IFERROR(INDEX('Batch Dates'!$F:$F,MATCH(J16,'Batch Dates'!$C:$C,0)),IFERROR(INDEX('Batch Dates'!$F:$F,MATCH(I16,'Batch Dates'!$B:$B,0)),""))</f>
        <v/>
      </c>
      <c r="F16" s="274">
        <f>IFERROR(INDEX('Batch Dates'!$G:$G,MATCH(J16,'Batch Dates'!$C:$C,0)),IFERROR(INDEX('Batch Dates'!$G:$G,MATCH(I16,'Batch Dates'!$B:$B,0)),""))</f>
        <v/>
      </c>
      <c r="G16" s="129" t="inlineStr">
        <is>
          <t>legacy</t>
        </is>
      </c>
      <c r="H16" s="129" t="inlineStr">
        <is>
          <t>initial release</t>
        </is>
      </c>
      <c r="I16" s="130" t="inlineStr">
        <is>
          <t>MB0824_05</t>
        </is>
      </c>
      <c r="J16" s="129" t="inlineStr">
        <is>
          <t>P050112</t>
        </is>
      </c>
      <c r="K16" s="129" t="inlineStr">
        <is>
          <t>Motor Breath</t>
        </is>
      </c>
      <c r="L16" s="129" t="inlineStr">
        <is>
          <t>Ident A + Ident B + Foreign matter</t>
        </is>
      </c>
      <c r="M16" s="141" t="inlineStr">
        <is>
          <t>—</t>
        </is>
      </c>
      <c r="N16" s="129">
        <f>IFERROR(INDEX('CoQ Register'!$B:$B,MATCH("P050112|I",'CoQ Register'!$S:$S,0)),"—")</f>
        <v/>
      </c>
      <c r="O16" s="129" t="inlineStr">
        <is>
          <t>iCoA-PP-2025-0013</t>
        </is>
      </c>
      <c r="P16" s="129" t="inlineStr">
        <is>
          <t>P050112|I</t>
        </is>
      </c>
      <c r="Q16" s="134" t="inlineStr">
        <is>
          <t>registered — initial release, issued 03.06.2026</t>
        </is>
      </c>
    </row>
    <row r="17">
      <c r="A17" s="129" t="n">
        <v>16</v>
      </c>
      <c r="B17" s="130" t="inlineStr">
        <is>
          <t>iCoA-PP_26-016</t>
        </is>
      </c>
      <c r="C17" s="140" t="inlineStr">
        <is>
          <t>yes</t>
        </is>
      </c>
      <c r="D17" s="274">
        <f>IF(A17="","",IF(ISNUMBER(E17),MAX(DATE(2026,6,3),E17),DATE(2026,6,3)))</f>
        <v/>
      </c>
      <c r="E17" s="274">
        <f>IFERROR(INDEX('Batch Dates'!$F:$F,MATCH(J17,'Batch Dates'!$C:$C,0)),IFERROR(INDEX('Batch Dates'!$F:$F,MATCH(I17,'Batch Dates'!$B:$B,0)),""))</f>
        <v/>
      </c>
      <c r="F17" s="274">
        <f>IFERROR(INDEX('Batch Dates'!$G:$G,MATCH(J17,'Batch Dates'!$C:$C,0)),IFERROR(INDEX('Batch Dates'!$G:$G,MATCH(I17,'Batch Dates'!$B:$B,0)),""))</f>
        <v/>
      </c>
      <c r="G17" s="129" t="inlineStr">
        <is>
          <t>legacy</t>
        </is>
      </c>
      <c r="H17" s="129" t="inlineStr">
        <is>
          <t>initial release</t>
        </is>
      </c>
      <c r="I17" s="130" t="inlineStr">
        <is>
          <t>OPM052501</t>
        </is>
      </c>
      <c r="J17" s="129" t="inlineStr">
        <is>
          <t>P050132</t>
        </is>
      </c>
      <c r="K17" s="129" t="inlineStr">
        <is>
          <t>Orange Punch Mimosa</t>
        </is>
      </c>
      <c r="L17" s="129" t="inlineStr">
        <is>
          <t>Ident A + Ident B + Foreign matter</t>
        </is>
      </c>
      <c r="M17" s="141" t="inlineStr">
        <is>
          <t>—</t>
        </is>
      </c>
      <c r="N17" s="129">
        <f>IFERROR(INDEX('CoQ Register'!$B:$B,MATCH("P050132|I",'CoQ Register'!$S:$S,0)),"—")</f>
        <v/>
      </c>
      <c r="O17" s="141" t="inlineStr">
        <is>
          <t>—</t>
        </is>
      </c>
      <c r="P17" s="129" t="inlineStr">
        <is>
          <t>P050132|I</t>
        </is>
      </c>
      <c r="Q17" s="134" t="inlineStr">
        <is>
          <t>registered — initial release, issued 03.06.2026</t>
        </is>
      </c>
    </row>
    <row r="18">
      <c r="A18" s="129" t="n">
        <v>17</v>
      </c>
      <c r="B18" s="130" t="inlineStr">
        <is>
          <t>iCoA-PP_26-017</t>
        </is>
      </c>
      <c r="C18" s="140" t="inlineStr">
        <is>
          <t>yes</t>
        </is>
      </c>
      <c r="D18" s="274">
        <f>IF(A18="","",IF(ISNUMBER(E18),MAX(DATE(2026,6,3),E18),DATE(2026,6,3)))</f>
        <v/>
      </c>
      <c r="E18" s="274">
        <f>IFERROR(INDEX('Batch Dates'!$F:$F,MATCH(J18,'Batch Dates'!$C:$C,0)),IFERROR(INDEX('Batch Dates'!$F:$F,MATCH(I18,'Batch Dates'!$B:$B,0)),""))</f>
        <v/>
      </c>
      <c r="F18" s="274">
        <f>IFERROR(INDEX('Batch Dates'!$G:$G,MATCH(J18,'Batch Dates'!$C:$C,0)),IFERROR(INDEX('Batch Dates'!$G:$G,MATCH(I18,'Batch Dates'!$B:$B,0)),""))</f>
        <v/>
      </c>
      <c r="G18" s="129" t="inlineStr">
        <is>
          <t>legacy</t>
        </is>
      </c>
      <c r="H18" s="129" t="inlineStr">
        <is>
          <t>initial release</t>
        </is>
      </c>
      <c r="I18" s="130" t="inlineStr">
        <is>
          <t>GP052501</t>
        </is>
      </c>
      <c r="J18" s="129" t="inlineStr">
        <is>
          <t>P050152</t>
        </is>
      </c>
      <c r="K18" s="129" t="inlineStr">
        <is>
          <t>Grape Pie</t>
        </is>
      </c>
      <c r="L18" s="129" t="inlineStr">
        <is>
          <t>Ident A + Ident B + Foreign matter</t>
        </is>
      </c>
      <c r="M18" s="141" t="inlineStr">
        <is>
          <t>—</t>
        </is>
      </c>
      <c r="N18" s="129">
        <f>IFERROR(INDEX('CoQ Register'!$B:$B,MATCH("P050152|I",'CoQ Register'!$S:$S,0)),"—")</f>
        <v/>
      </c>
      <c r="O18" s="129" t="inlineStr">
        <is>
          <t>iCoA-PP-2025-0014</t>
        </is>
      </c>
      <c r="P18" s="129" t="inlineStr">
        <is>
          <t>P050152|I</t>
        </is>
      </c>
      <c r="Q18" s="134" t="inlineStr">
        <is>
          <t>registered — initial release, issued 03.06.2026</t>
        </is>
      </c>
    </row>
    <row r="19">
      <c r="A19" s="129" t="n">
        <v>18</v>
      </c>
      <c r="B19" s="130" t="inlineStr">
        <is>
          <t>iCoA-PP_26-018</t>
        </is>
      </c>
      <c r="C19" s="140" t="inlineStr">
        <is>
          <t>yes</t>
        </is>
      </c>
      <c r="D19" s="274">
        <f>IF(A19="","",IF(ISNUMBER(E19),MAX(DATE(2026,6,3),E19),DATE(2026,6,3)))</f>
        <v/>
      </c>
      <c r="E19" s="274">
        <f>IFERROR(INDEX('Batch Dates'!$F:$F,MATCH(J19,'Batch Dates'!$C:$C,0)),IFERROR(INDEX('Batch Dates'!$F:$F,MATCH(I19,'Batch Dates'!$B:$B,0)),""))</f>
        <v/>
      </c>
      <c r="F19" s="274">
        <f>IFERROR(INDEX('Batch Dates'!$G:$G,MATCH(J19,'Batch Dates'!$C:$C,0)),IFERROR(INDEX('Batch Dates'!$G:$G,MATCH(I19,'Batch Dates'!$B:$B,0)),""))</f>
        <v/>
      </c>
      <c r="G19" s="129" t="inlineStr">
        <is>
          <t>legacy</t>
        </is>
      </c>
      <c r="H19" s="129" t="inlineStr">
        <is>
          <t>initial release</t>
        </is>
      </c>
      <c r="I19" s="130" t="inlineStr">
        <is>
          <t>CJ052501/01</t>
        </is>
      </c>
      <c r="J19" s="129" t="inlineStr">
        <is>
          <t>P050162</t>
        </is>
      </c>
      <c r="K19" s="129" t="inlineStr">
        <is>
          <t>Cup Junky</t>
        </is>
      </c>
      <c r="L19" s="129" t="inlineStr">
        <is>
          <t>Ident A + Ident B + Foreign matter</t>
        </is>
      </c>
      <c r="M19" s="141" t="inlineStr">
        <is>
          <t>—</t>
        </is>
      </c>
      <c r="N19" s="129">
        <f>IFERROR(INDEX('CoQ Register'!$B:$B,MATCH("P050162|I",'CoQ Register'!$S:$S,0)),"—")</f>
        <v/>
      </c>
      <c r="O19" s="129" t="inlineStr">
        <is>
          <t>iCoA-PP-2025-0015</t>
        </is>
      </c>
      <c r="P19" s="129" t="inlineStr">
        <is>
          <t>P050162|I</t>
        </is>
      </c>
      <c r="Q19" s="134" t="inlineStr">
        <is>
          <t>registered — initial release, issued 03.06.2026</t>
        </is>
      </c>
    </row>
    <row r="20">
      <c r="A20" s="129" t="n">
        <v>19</v>
      </c>
      <c r="B20" s="130" t="inlineStr">
        <is>
          <t>iCoA-PP_26-019</t>
        </is>
      </c>
      <c r="C20" s="140" t="inlineStr">
        <is>
          <t>yes</t>
        </is>
      </c>
      <c r="D20" s="274">
        <f>IF(A20="","",IF(ISNUMBER(E20),MAX(DATE(2026,6,3),E20),DATE(2026,6,3)))</f>
        <v/>
      </c>
      <c r="E20" s="274">
        <f>IFERROR(INDEX('Batch Dates'!$F:$F,MATCH(J20,'Batch Dates'!$C:$C,0)),IFERROR(INDEX('Batch Dates'!$F:$F,MATCH(I20,'Batch Dates'!$B:$B,0)),""))</f>
        <v/>
      </c>
      <c r="F20" s="274">
        <f>IFERROR(INDEX('Batch Dates'!$G:$G,MATCH(J20,'Batch Dates'!$C:$C,0)),IFERROR(INDEX('Batch Dates'!$G:$G,MATCH(I20,'Batch Dates'!$B:$B,0)),""))</f>
        <v/>
      </c>
      <c r="G20" s="129" t="inlineStr">
        <is>
          <t>legacy</t>
        </is>
      </c>
      <c r="H20" s="129" t="inlineStr">
        <is>
          <t>initial release</t>
        </is>
      </c>
      <c r="I20" s="130" t="inlineStr">
        <is>
          <t>CJ052501/02</t>
        </is>
      </c>
      <c r="J20" s="129" t="inlineStr">
        <is>
          <t>P050172</t>
        </is>
      </c>
      <c r="K20" s="129" t="inlineStr">
        <is>
          <t>Cup Junky</t>
        </is>
      </c>
      <c r="L20" s="129" t="inlineStr">
        <is>
          <t>Ident A + Ident B + Foreign matter</t>
        </is>
      </c>
      <c r="M20" s="141" t="inlineStr">
        <is>
          <t>—</t>
        </is>
      </c>
      <c r="N20" s="129">
        <f>IFERROR(INDEX('CoQ Register'!$B:$B,MATCH("P050172|I",'CoQ Register'!$S:$S,0)),"—")</f>
        <v/>
      </c>
      <c r="O20" s="141" t="inlineStr">
        <is>
          <t>—</t>
        </is>
      </c>
      <c r="P20" s="129" t="inlineStr">
        <is>
          <t>P050172|I</t>
        </is>
      </c>
      <c r="Q20" s="134" t="inlineStr">
        <is>
          <t>registered — initial release, issued 03.06.2026</t>
        </is>
      </c>
    </row>
    <row r="21">
      <c r="A21" s="129" t="n">
        <v>20</v>
      </c>
      <c r="B21" s="130" t="inlineStr">
        <is>
          <t>iCoA-PP_26-020</t>
        </is>
      </c>
      <c r="C21" s="140" t="inlineStr">
        <is>
          <t>yes</t>
        </is>
      </c>
      <c r="D21" s="274">
        <f>IF(A21="","",IF(ISNUMBER(E21),MAX(DATE(2026,6,3),E21),DATE(2026,6,3)))</f>
        <v/>
      </c>
      <c r="E21" s="274">
        <f>IFERROR(INDEX('Batch Dates'!$F:$F,MATCH(J21,'Batch Dates'!$C:$C,0)),IFERROR(INDEX('Batch Dates'!$F:$F,MATCH(I21,'Batch Dates'!$B:$B,0)),""))</f>
        <v/>
      </c>
      <c r="F21" s="274">
        <f>IFERROR(INDEX('Batch Dates'!$G:$G,MATCH(J21,'Batch Dates'!$C:$C,0)),IFERROR(INDEX('Batch Dates'!$G:$G,MATCH(I21,'Batch Dates'!$B:$B,0)),""))</f>
        <v/>
      </c>
      <c r="G21" s="129" t="inlineStr">
        <is>
          <t>legacy</t>
        </is>
      </c>
      <c r="H21" s="129" t="inlineStr">
        <is>
          <t>initial release</t>
        </is>
      </c>
      <c r="I21" s="130" t="inlineStr">
        <is>
          <t>HPA052501</t>
        </is>
      </c>
      <c r="J21" s="129" t="inlineStr">
        <is>
          <t>P050182</t>
        </is>
      </c>
      <c r="K21" s="129" t="inlineStr">
        <is>
          <t>High Pro Amnesia</t>
        </is>
      </c>
      <c r="L21" s="129" t="inlineStr">
        <is>
          <t>Ident A + Ident B + Foreign matter</t>
        </is>
      </c>
      <c r="M21" s="141" t="inlineStr">
        <is>
          <t>—</t>
        </is>
      </c>
      <c r="N21" s="129">
        <f>IFERROR(INDEX('CoQ Register'!$B:$B,MATCH("P050182|I",'CoQ Register'!$S:$S,0)),"—")</f>
        <v/>
      </c>
      <c r="O21" s="129" t="inlineStr">
        <is>
          <t>iCoA-PP-2025-0016</t>
        </is>
      </c>
      <c r="P21" s="129" t="inlineStr">
        <is>
          <t>P050182|I</t>
        </is>
      </c>
      <c r="Q21" s="134" t="inlineStr">
        <is>
          <t>registered — initial release, issued 03.06.2026</t>
        </is>
      </c>
    </row>
    <row r="22">
      <c r="A22" s="129" t="n">
        <v>21</v>
      </c>
      <c r="B22" s="130" t="inlineStr">
        <is>
          <t>iCoA-PP_26-021</t>
        </is>
      </c>
      <c r="C22" s="140" t="inlineStr">
        <is>
          <t>yes</t>
        </is>
      </c>
      <c r="D22" s="274">
        <f>IF(A22="","",IF(ISNUMBER(E22),MAX(DATE(2026,6,3),E22),DATE(2026,6,3)))</f>
        <v/>
      </c>
      <c r="E22" s="274">
        <f>IFERROR(INDEX('Batch Dates'!$F:$F,MATCH(J22,'Batch Dates'!$C:$C,0)),IFERROR(INDEX('Batch Dates'!$F:$F,MATCH(I22,'Batch Dates'!$B:$B,0)),""))</f>
        <v/>
      </c>
      <c r="F22" s="274">
        <f>IFERROR(INDEX('Batch Dates'!$G:$G,MATCH(J22,'Batch Dates'!$C:$C,0)),IFERROR(INDEX('Batch Dates'!$G:$G,MATCH(I22,'Batch Dates'!$B:$B,0)),""))</f>
        <v/>
      </c>
      <c r="G22" s="129" t="inlineStr">
        <is>
          <t>legacy</t>
        </is>
      </c>
      <c r="H22" s="129" t="inlineStr">
        <is>
          <t>initial release</t>
        </is>
      </c>
      <c r="I22" s="130" t="inlineStr">
        <is>
          <t>BSS052501</t>
        </is>
      </c>
      <c r="J22" s="129" t="inlineStr">
        <is>
          <t>P050192</t>
        </is>
      </c>
      <c r="K22" s="129" t="inlineStr">
        <is>
          <t>Blue Sunset Sherbet</t>
        </is>
      </c>
      <c r="L22" s="129" t="inlineStr">
        <is>
          <t>Ident A + Ident B + #4 + #5 + Foreign matter + #8</t>
        </is>
      </c>
      <c r="M22" s="141" t="inlineStr">
        <is>
          <t>—</t>
        </is>
      </c>
      <c r="N22" s="129">
        <f>IFERROR(INDEX('CoQ Register'!$B:$B,MATCH("P050192|I",'CoQ Register'!$S:$S,0)),"—")</f>
        <v/>
      </c>
      <c r="O22" s="129" t="inlineStr">
        <is>
          <t>iCoA-PP-2025-0017</t>
        </is>
      </c>
      <c r="P22" s="129" t="inlineStr">
        <is>
          <t>P050192|I</t>
        </is>
      </c>
      <c r="Q22" s="134" t="inlineStr">
        <is>
          <t>registered — initial release, issued 03.06.2026</t>
        </is>
      </c>
    </row>
    <row r="23">
      <c r="A23" s="129" t="n">
        <v>22</v>
      </c>
      <c r="B23" s="130" t="inlineStr">
        <is>
          <t>iCoA-PP_26-022</t>
        </is>
      </c>
      <c r="C23" s="140" t="inlineStr">
        <is>
          <t>yes</t>
        </is>
      </c>
      <c r="D23" s="274">
        <f>IF(A23="","",IF(ISNUMBER(E23),MAX(DATE(2026,6,3),E23),DATE(2026,6,3)))</f>
        <v/>
      </c>
      <c r="E23" s="274">
        <f>IFERROR(INDEX('Batch Dates'!$F:$F,MATCH(J23,'Batch Dates'!$C:$C,0)),IFERROR(INDEX('Batch Dates'!$F:$F,MATCH(I23,'Batch Dates'!$B:$B,0)),""))</f>
        <v/>
      </c>
      <c r="F23" s="274">
        <f>IFERROR(INDEX('Batch Dates'!$G:$G,MATCH(J23,'Batch Dates'!$C:$C,0)),IFERROR(INDEX('Batch Dates'!$G:$G,MATCH(I23,'Batch Dates'!$B:$B,0)),""))</f>
        <v/>
      </c>
      <c r="G23" s="129" t="inlineStr">
        <is>
          <t>legacy</t>
        </is>
      </c>
      <c r="H23" s="129" t="inlineStr">
        <is>
          <t>initial release</t>
        </is>
      </c>
      <c r="I23" s="130" t="inlineStr">
        <is>
          <t>GP062501</t>
        </is>
      </c>
      <c r="J23" s="129" t="inlineStr">
        <is>
          <t>P050202</t>
        </is>
      </c>
      <c r="K23" s="129" t="inlineStr">
        <is>
          <t>Grape Pie</t>
        </is>
      </c>
      <c r="L23" s="129" t="inlineStr">
        <is>
          <t>Ident A + Ident B + #4 + #5 + Foreign matter + #8</t>
        </is>
      </c>
      <c r="M23" s="141" t="inlineStr">
        <is>
          <t>—</t>
        </is>
      </c>
      <c r="N23" s="129">
        <f>IFERROR(INDEX('CoQ Register'!$B:$B,MATCH("P050202|I",'CoQ Register'!$S:$S,0)),"—")</f>
        <v/>
      </c>
      <c r="O23" s="141" t="inlineStr">
        <is>
          <t>—</t>
        </is>
      </c>
      <c r="P23" s="129" t="inlineStr">
        <is>
          <t>P050202|I</t>
        </is>
      </c>
      <c r="Q23" s="134" t="inlineStr">
        <is>
          <t>registered — initial release, issued 03.06.2026</t>
        </is>
      </c>
    </row>
    <row r="24">
      <c r="A24" s="129" t="n">
        <v>23</v>
      </c>
      <c r="B24" s="130" t="inlineStr">
        <is>
          <t>iCoA-PP_26-023</t>
        </is>
      </c>
      <c r="C24" s="140" t="inlineStr">
        <is>
          <t>yes</t>
        </is>
      </c>
      <c r="D24" s="274">
        <f>IF(A24="","",IF(ISNUMBER(E24),MAX(DATE(2026,6,3),E24),DATE(2026,6,3)))</f>
        <v/>
      </c>
      <c r="E24" s="274">
        <f>IFERROR(INDEX('Batch Dates'!$F:$F,MATCH(J24,'Batch Dates'!$C:$C,0)),IFERROR(INDEX('Batch Dates'!$F:$F,MATCH(I24,'Batch Dates'!$B:$B,0)),""))</f>
        <v/>
      </c>
      <c r="F24" s="274">
        <f>IFERROR(INDEX('Batch Dates'!$G:$G,MATCH(J24,'Batch Dates'!$C:$C,0)),IFERROR(INDEX('Batch Dates'!$G:$G,MATCH(I24,'Batch Dates'!$B:$B,0)),""))</f>
        <v/>
      </c>
      <c r="G24" s="129" t="inlineStr">
        <is>
          <t>legacy</t>
        </is>
      </c>
      <c r="H24" s="129" t="inlineStr">
        <is>
          <t>initial release</t>
        </is>
      </c>
      <c r="I24" s="130" t="inlineStr">
        <is>
          <t>CJ062501/2</t>
        </is>
      </c>
      <c r="J24" s="129" t="inlineStr">
        <is>
          <t>P050212</t>
        </is>
      </c>
      <c r="K24" s="129" t="inlineStr">
        <is>
          <t>Cap Junkie</t>
        </is>
      </c>
      <c r="L24" s="129" t="inlineStr">
        <is>
          <t>Ident A + Ident B + Foreign matter</t>
        </is>
      </c>
      <c r="M24" s="141" t="inlineStr">
        <is>
          <t>—</t>
        </is>
      </c>
      <c r="N24" s="129">
        <f>IFERROR(INDEX('CoQ Register'!$B:$B,MATCH("P050212|I",'CoQ Register'!$S:$S,0)),"—")</f>
        <v/>
      </c>
      <c r="O24" s="141" t="inlineStr">
        <is>
          <t>—</t>
        </is>
      </c>
      <c r="P24" s="129" t="inlineStr">
        <is>
          <t>P050212|I</t>
        </is>
      </c>
      <c r="Q24" s="134" t="inlineStr">
        <is>
          <t>registered — initial release, issued 03.06.2026</t>
        </is>
      </c>
    </row>
    <row r="25">
      <c r="A25" s="129" t="n">
        <v>24</v>
      </c>
      <c r="B25" s="130" t="inlineStr">
        <is>
          <t>iCoA-PP_26-024</t>
        </is>
      </c>
      <c r="C25" s="140" t="inlineStr">
        <is>
          <t>yes</t>
        </is>
      </c>
      <c r="D25" s="274">
        <f>IF(A25="","",IF(ISNUMBER(E25),MAX(DATE(2026,6,3),E25),DATE(2026,6,3)))</f>
        <v/>
      </c>
      <c r="E25" s="274">
        <f>IFERROR(INDEX('Batch Dates'!$F:$F,MATCH(J25,'Batch Dates'!$C:$C,0)),IFERROR(INDEX('Batch Dates'!$F:$F,MATCH(I25,'Batch Dates'!$B:$B,0)),""))</f>
        <v/>
      </c>
      <c r="F25" s="274">
        <f>IFERROR(INDEX('Batch Dates'!$G:$G,MATCH(J25,'Batch Dates'!$C:$C,0)),IFERROR(INDEX('Batch Dates'!$G:$G,MATCH(I25,'Batch Dates'!$B:$B,0)),""))</f>
        <v/>
      </c>
      <c r="G25" s="129" t="inlineStr">
        <is>
          <t>legacy</t>
        </is>
      </c>
      <c r="H25" s="129" t="inlineStr">
        <is>
          <t>initial release</t>
        </is>
      </c>
      <c r="I25" s="130" t="inlineStr">
        <is>
          <t>CJ062501/1</t>
        </is>
      </c>
      <c r="J25" s="129" t="inlineStr">
        <is>
          <t>P050222</t>
        </is>
      </c>
      <c r="K25" s="129" t="inlineStr">
        <is>
          <t>Cap Junkie</t>
        </is>
      </c>
      <c r="L25" s="129" t="inlineStr">
        <is>
          <t>Ident A + Ident B + Foreign matter</t>
        </is>
      </c>
      <c r="M25" s="141" t="inlineStr">
        <is>
          <t>—</t>
        </is>
      </c>
      <c r="N25" s="129">
        <f>IFERROR(INDEX('CoQ Register'!$B:$B,MATCH("P050222|I",'CoQ Register'!$S:$S,0)),"—")</f>
        <v/>
      </c>
      <c r="O25" s="129" t="inlineStr">
        <is>
          <t>iCoA-PP-2025-0018</t>
        </is>
      </c>
      <c r="P25" s="129" t="inlineStr">
        <is>
          <t>P050222|I</t>
        </is>
      </c>
      <c r="Q25" s="134" t="inlineStr">
        <is>
          <t>registered — initial release, issued 03.06.2026</t>
        </is>
      </c>
    </row>
    <row r="26">
      <c r="A26" s="129" t="n">
        <v>25</v>
      </c>
      <c r="B26" s="130" t="inlineStr">
        <is>
          <t>iCoA-PP_26-025</t>
        </is>
      </c>
      <c r="C26" s="140" t="inlineStr">
        <is>
          <t>yes</t>
        </is>
      </c>
      <c r="D26" s="274">
        <f>IF(A26="","",IF(ISNUMBER(E26),MAX(DATE(2026,6,3),E26),DATE(2026,6,3)))</f>
        <v/>
      </c>
      <c r="E26" s="274">
        <f>IFERROR(INDEX('Batch Dates'!$F:$F,MATCH(J26,'Batch Dates'!$C:$C,0)),IFERROR(INDEX('Batch Dates'!$F:$F,MATCH(I26,'Batch Dates'!$B:$B,0)),""))</f>
        <v/>
      </c>
      <c r="F26" s="274">
        <f>IFERROR(INDEX('Batch Dates'!$G:$G,MATCH(J26,'Batch Dates'!$C:$C,0)),IFERROR(INDEX('Batch Dates'!$G:$G,MATCH(I26,'Batch Dates'!$B:$B,0)),""))</f>
        <v/>
      </c>
      <c r="G26" s="129" t="inlineStr">
        <is>
          <t>legacy</t>
        </is>
      </c>
      <c r="H26" s="129" t="inlineStr">
        <is>
          <t>initial release</t>
        </is>
      </c>
      <c r="I26" s="130" t="inlineStr">
        <is>
          <t>CJ072501</t>
        </is>
      </c>
      <c r="J26" s="129" t="inlineStr">
        <is>
          <t>P050252</t>
        </is>
      </c>
      <c r="K26" s="129" t="inlineStr">
        <is>
          <t>Cup Junky</t>
        </is>
      </c>
      <c r="L26" s="129" t="inlineStr">
        <is>
          <t>Ident A + Ident B + Foreign matter</t>
        </is>
      </c>
      <c r="M26" s="141" t="inlineStr">
        <is>
          <t>—</t>
        </is>
      </c>
      <c r="N26" s="129">
        <f>IFERROR(INDEX('CoQ Register'!$B:$B,MATCH("P050252|I",'CoQ Register'!$S:$S,0)),"—")</f>
        <v/>
      </c>
      <c r="O26" s="141" t="inlineStr">
        <is>
          <t>—</t>
        </is>
      </c>
      <c r="P26" s="129" t="inlineStr">
        <is>
          <t>P050252|I</t>
        </is>
      </c>
      <c r="Q26" s="134" t="inlineStr">
        <is>
          <t>registered — initial release, issued 03.06.2026</t>
        </is>
      </c>
    </row>
    <row r="27">
      <c r="A27" s="129" t="n">
        <v>26</v>
      </c>
      <c r="B27" s="130" t="inlineStr">
        <is>
          <t>iCoA-PP_26-026</t>
        </is>
      </c>
      <c r="C27" s="140" t="inlineStr">
        <is>
          <t>yes</t>
        </is>
      </c>
      <c r="D27" s="274">
        <f>IF(A27="","",IF(ISNUMBER(E27),MAX(DATE(2026,6,3),E27),DATE(2026,6,3)))</f>
        <v/>
      </c>
      <c r="E27" s="274">
        <f>IFERROR(INDEX('Batch Dates'!$F:$F,MATCH(J27,'Batch Dates'!$C:$C,0)),IFERROR(INDEX('Batch Dates'!$F:$F,MATCH(I27,'Batch Dates'!$B:$B,0)),""))</f>
        <v/>
      </c>
      <c r="F27" s="274">
        <f>IFERROR(INDEX('Batch Dates'!$G:$G,MATCH(J27,'Batch Dates'!$C:$C,0)),IFERROR(INDEX('Batch Dates'!$G:$G,MATCH(I27,'Batch Dates'!$B:$B,0)),""))</f>
        <v/>
      </c>
      <c r="G27" s="129" t="inlineStr">
        <is>
          <t>legacy</t>
        </is>
      </c>
      <c r="H27" s="129" t="inlineStr">
        <is>
          <t>initial release</t>
        </is>
      </c>
      <c r="I27" s="130" t="inlineStr">
        <is>
          <t>WC072501</t>
        </is>
      </c>
      <c r="J27" s="129" t="inlineStr">
        <is>
          <t>P050262</t>
        </is>
      </c>
      <c r="K27" s="129" t="inlineStr">
        <is>
          <t>Wedding Crasher</t>
        </is>
      </c>
      <c r="L27" s="129" t="inlineStr">
        <is>
          <t>Ident A + Ident B + Foreign matter</t>
        </is>
      </c>
      <c r="M27" s="141" t="inlineStr">
        <is>
          <t>—</t>
        </is>
      </c>
      <c r="N27" s="129">
        <f>IFERROR(INDEX('CoQ Register'!$B:$B,MATCH("P050262|I",'CoQ Register'!$S:$S,0)),"—")</f>
        <v/>
      </c>
      <c r="O27" s="141" t="inlineStr">
        <is>
          <t>—</t>
        </is>
      </c>
      <c r="P27" s="129" t="inlineStr">
        <is>
          <t>P050262|I</t>
        </is>
      </c>
      <c r="Q27" s="134" t="inlineStr">
        <is>
          <t>registered — initial release, issued 03.06.2026</t>
        </is>
      </c>
    </row>
    <row r="28">
      <c r="A28" s="129" t="n">
        <v>27</v>
      </c>
      <c r="B28" s="130" t="inlineStr">
        <is>
          <t>iCoA-PP_26-027</t>
        </is>
      </c>
      <c r="C28" s="140" t="inlineStr">
        <is>
          <t>yes</t>
        </is>
      </c>
      <c r="D28" s="274">
        <f>IF(A28="","",IF(ISNUMBER(E28),MAX(DATE(2026,6,3),E28),DATE(2026,6,3)))</f>
        <v/>
      </c>
      <c r="E28" s="274">
        <f>IFERROR(INDEX('Batch Dates'!$F:$F,MATCH(J28,'Batch Dates'!$C:$C,0)),IFERROR(INDEX('Batch Dates'!$F:$F,MATCH(I28,'Batch Dates'!$B:$B,0)),""))</f>
        <v/>
      </c>
      <c r="F28" s="274">
        <f>IFERROR(INDEX('Batch Dates'!$G:$G,MATCH(J28,'Batch Dates'!$C:$C,0)),IFERROR(INDEX('Batch Dates'!$G:$G,MATCH(I28,'Batch Dates'!$B:$B,0)),""))</f>
        <v/>
      </c>
      <c r="G28" s="129" t="inlineStr">
        <is>
          <t>legacy</t>
        </is>
      </c>
      <c r="H28" s="129" t="inlineStr">
        <is>
          <t>initial release</t>
        </is>
      </c>
      <c r="I28" s="130" t="inlineStr">
        <is>
          <t>PM072501</t>
        </is>
      </c>
      <c r="J28" s="129" t="inlineStr">
        <is>
          <t>P050272</t>
        </is>
      </c>
      <c r="K28" s="129" t="inlineStr">
        <is>
          <t>Permanent Market</t>
        </is>
      </c>
      <c r="L28" s="129" t="inlineStr">
        <is>
          <t>Ident A + Ident B + Foreign matter</t>
        </is>
      </c>
      <c r="M28" s="141" t="inlineStr">
        <is>
          <t>—</t>
        </is>
      </c>
      <c r="N28" s="129">
        <f>IFERROR(INDEX('CoQ Register'!$B:$B,MATCH("P050272|I",'CoQ Register'!$S:$S,0)),"—")</f>
        <v/>
      </c>
      <c r="O28" s="141" t="inlineStr">
        <is>
          <t>—</t>
        </is>
      </c>
      <c r="P28" s="129" t="inlineStr">
        <is>
          <t>P050272|I</t>
        </is>
      </c>
      <c r="Q28" s="134" t="inlineStr">
        <is>
          <t>registered — initial release, issued 03.06.2026</t>
        </is>
      </c>
    </row>
    <row r="29">
      <c r="A29" s="129" t="n">
        <v>28</v>
      </c>
      <c r="B29" s="130" t="inlineStr">
        <is>
          <t>iCoA-PP_26-028</t>
        </is>
      </c>
      <c r="C29" s="140" t="inlineStr">
        <is>
          <t>yes</t>
        </is>
      </c>
      <c r="D29" s="274">
        <f>IF(A29="","",IF(ISNUMBER(E29),MAX(DATE(2026,6,3),E29),DATE(2026,6,3)))</f>
        <v/>
      </c>
      <c r="E29" s="274">
        <f>IFERROR(INDEX('Batch Dates'!$F:$F,MATCH(J29,'Batch Dates'!$C:$C,0)),IFERROR(INDEX('Batch Dates'!$F:$F,MATCH(I29,'Batch Dates'!$B:$B,0)),""))</f>
        <v/>
      </c>
      <c r="F29" s="274">
        <f>IFERROR(INDEX('Batch Dates'!$G:$G,MATCH(J29,'Batch Dates'!$C:$C,0)),IFERROR(INDEX('Batch Dates'!$G:$G,MATCH(I29,'Batch Dates'!$B:$B,0)),""))</f>
        <v/>
      </c>
      <c r="G29" s="129" t="inlineStr">
        <is>
          <t>legacy</t>
        </is>
      </c>
      <c r="H29" s="129" t="inlineStr">
        <is>
          <t>initial release</t>
        </is>
      </c>
      <c r="I29" s="130" t="inlineStr">
        <is>
          <t>CLE072501</t>
        </is>
      </c>
      <c r="J29" s="129" t="inlineStr">
        <is>
          <t>P050282</t>
        </is>
      </c>
      <c r="K29" s="129" t="inlineStr">
        <is>
          <t>Clemosa a bud</t>
        </is>
      </c>
      <c r="L29" s="129" t="inlineStr">
        <is>
          <t>Ident A + Ident B + Foreign matter</t>
        </is>
      </c>
      <c r="M29" s="141" t="inlineStr">
        <is>
          <t>—</t>
        </is>
      </c>
      <c r="N29" s="129">
        <f>IFERROR(INDEX('CoQ Register'!$B:$B,MATCH("P050282|I",'CoQ Register'!$S:$S,0)),"—")</f>
        <v/>
      </c>
      <c r="O29" s="129" t="inlineStr">
        <is>
          <t>iCoA-PP-2025-0019</t>
        </is>
      </c>
      <c r="P29" s="129" t="inlineStr">
        <is>
          <t>P050282|I</t>
        </is>
      </c>
      <c r="Q29" s="134" t="inlineStr">
        <is>
          <t>registered — initial release, issued 03.06.2026</t>
        </is>
      </c>
    </row>
    <row r="30">
      <c r="A30" s="129" t="n">
        <v>29</v>
      </c>
      <c r="B30" s="130" t="inlineStr">
        <is>
          <t>iCoA-PP_26-029</t>
        </is>
      </c>
      <c r="C30" s="140" t="inlineStr">
        <is>
          <t>yes</t>
        </is>
      </c>
      <c r="D30" s="274">
        <f>IF(A30="","",IF(ISNUMBER(E30),MAX(DATE(2026,6,3),E30),DATE(2026,6,3)))</f>
        <v/>
      </c>
      <c r="E30" s="274">
        <f>IFERROR(INDEX('Batch Dates'!$F:$F,MATCH(J30,'Batch Dates'!$C:$C,0)),IFERROR(INDEX('Batch Dates'!$F:$F,MATCH(I30,'Batch Dates'!$B:$B,0)),""))</f>
        <v/>
      </c>
      <c r="F30" s="274">
        <f>IFERROR(INDEX('Batch Dates'!$G:$G,MATCH(J30,'Batch Dates'!$C:$C,0)),IFERROR(INDEX('Batch Dates'!$G:$G,MATCH(I30,'Batch Dates'!$B:$B,0)),""))</f>
        <v/>
      </c>
      <c r="G30" s="129" t="inlineStr">
        <is>
          <t>legacy</t>
        </is>
      </c>
      <c r="H30" s="129" t="inlineStr">
        <is>
          <t>initial release</t>
        </is>
      </c>
      <c r="I30" s="130" t="inlineStr">
        <is>
          <t>GP072501/1</t>
        </is>
      </c>
      <c r="J30" s="129" t="inlineStr">
        <is>
          <t>P050292</t>
        </is>
      </c>
      <c r="K30" s="129" t="inlineStr">
        <is>
          <t>Grape Pie</t>
        </is>
      </c>
      <c r="L30" s="129" t="inlineStr">
        <is>
          <t>Ident A + Ident B + Foreign matter</t>
        </is>
      </c>
      <c r="M30" s="141" t="inlineStr">
        <is>
          <t>—</t>
        </is>
      </c>
      <c r="N30" s="129">
        <f>IFERROR(INDEX('CoQ Register'!$B:$B,MATCH("P050292|I",'CoQ Register'!$S:$S,0)),"—")</f>
        <v/>
      </c>
      <c r="O30" s="141" t="inlineStr">
        <is>
          <t>—</t>
        </is>
      </c>
      <c r="P30" s="129" t="inlineStr">
        <is>
          <t>P050292|I</t>
        </is>
      </c>
      <c r="Q30" s="134" t="inlineStr">
        <is>
          <t>registered — initial release, issued 03.06.2026</t>
        </is>
      </c>
    </row>
    <row r="31">
      <c r="A31" s="129" t="n">
        <v>30</v>
      </c>
      <c r="B31" s="130" t="inlineStr">
        <is>
          <t>iCoA-PP_26-030</t>
        </is>
      </c>
      <c r="C31" s="140" t="inlineStr">
        <is>
          <t>yes</t>
        </is>
      </c>
      <c r="D31" s="274">
        <f>IF(A31="","",IF(ISNUMBER(E31),MAX(DATE(2026,6,3),E31),DATE(2026,6,3)))</f>
        <v/>
      </c>
      <c r="E31" s="274">
        <f>IFERROR(INDEX('Batch Dates'!$F:$F,MATCH(J31,'Batch Dates'!$C:$C,0)),IFERROR(INDEX('Batch Dates'!$F:$F,MATCH(I31,'Batch Dates'!$B:$B,0)),""))</f>
        <v/>
      </c>
      <c r="F31" s="274">
        <f>IFERROR(INDEX('Batch Dates'!$G:$G,MATCH(J31,'Batch Dates'!$C:$C,0)),IFERROR(INDEX('Batch Dates'!$G:$G,MATCH(I31,'Batch Dates'!$B:$B,0)),""))</f>
        <v/>
      </c>
      <c r="G31" s="129" t="inlineStr">
        <is>
          <t>legacy</t>
        </is>
      </c>
      <c r="H31" s="129" t="inlineStr">
        <is>
          <t>initial release</t>
        </is>
      </c>
      <c r="I31" s="130" t="inlineStr">
        <is>
          <t>GP072501/2</t>
        </is>
      </c>
      <c r="J31" s="129" t="inlineStr">
        <is>
          <t>P050302</t>
        </is>
      </c>
      <c r="K31" s="129" t="inlineStr">
        <is>
          <t>Grape Pie</t>
        </is>
      </c>
      <c r="L31" s="129" t="inlineStr">
        <is>
          <t>Ident A + Ident B + Foreign matter</t>
        </is>
      </c>
      <c r="M31" s="141" t="inlineStr">
        <is>
          <t>—</t>
        </is>
      </c>
      <c r="N31" s="129">
        <f>IFERROR(INDEX('CoQ Register'!$B:$B,MATCH("P050302|I",'CoQ Register'!$S:$S,0)),"—")</f>
        <v/>
      </c>
      <c r="O31" s="129" t="inlineStr">
        <is>
          <t>iCoA-PP-2025-0020</t>
        </is>
      </c>
      <c r="P31" s="129" t="inlineStr">
        <is>
          <t>P050302|I</t>
        </is>
      </c>
      <c r="Q31" s="134" t="inlineStr">
        <is>
          <t>registered — initial release, issued 03.06.2026</t>
        </is>
      </c>
    </row>
    <row r="32">
      <c r="A32" s="129" t="n">
        <v>31</v>
      </c>
      <c r="B32" s="130" t="inlineStr">
        <is>
          <t>iCoA-PP_26-031</t>
        </is>
      </c>
      <c r="C32" s="140" t="inlineStr">
        <is>
          <t>yes</t>
        </is>
      </c>
      <c r="D32" s="274">
        <f>IF(A32="","",IF(ISNUMBER(E32),MAX(DATE(2026,6,3),E32),DATE(2026,6,3)))</f>
        <v/>
      </c>
      <c r="E32" s="274">
        <f>IFERROR(INDEX('Batch Dates'!$F:$F,MATCH(J32,'Batch Dates'!$C:$C,0)),IFERROR(INDEX('Batch Dates'!$F:$F,MATCH(I32,'Batch Dates'!$B:$B,0)),""))</f>
        <v/>
      </c>
      <c r="F32" s="274">
        <f>IFERROR(INDEX('Batch Dates'!$G:$G,MATCH(J32,'Batch Dates'!$C:$C,0)),IFERROR(INDEX('Batch Dates'!$G:$G,MATCH(I32,'Batch Dates'!$B:$B,0)),""))</f>
        <v/>
      </c>
      <c r="G32" s="129" t="inlineStr">
        <is>
          <t>legacy</t>
        </is>
      </c>
      <c r="H32" s="129" t="inlineStr">
        <is>
          <t>initial release</t>
        </is>
      </c>
      <c r="I32" s="130" t="inlineStr">
        <is>
          <t>GP082501/1</t>
        </is>
      </c>
      <c r="J32" s="129" t="inlineStr">
        <is>
          <t>P050312</t>
        </is>
      </c>
      <c r="K32" s="129" t="inlineStr">
        <is>
          <t>Grape Pie</t>
        </is>
      </c>
      <c r="L32" s="129" t="inlineStr">
        <is>
          <t>Ident A + Ident B + Foreign matter</t>
        </is>
      </c>
      <c r="M32" s="141" t="inlineStr">
        <is>
          <t>—</t>
        </is>
      </c>
      <c r="N32" s="129">
        <f>IFERROR(INDEX('CoQ Register'!$B:$B,MATCH("P050312|I",'CoQ Register'!$S:$S,0)),"—")</f>
        <v/>
      </c>
      <c r="O32" s="129" t="inlineStr">
        <is>
          <t>iCoA-PP-2025-0021</t>
        </is>
      </c>
      <c r="P32" s="129" t="inlineStr">
        <is>
          <t>P050312|I</t>
        </is>
      </c>
      <c r="Q32" s="134" t="inlineStr">
        <is>
          <t>registered — initial release, issued 03.06.2026</t>
        </is>
      </c>
    </row>
    <row r="33">
      <c r="A33" s="129" t="n">
        <v>32</v>
      </c>
      <c r="B33" s="130" t="inlineStr">
        <is>
          <t>iCoA-PP_26-032</t>
        </is>
      </c>
      <c r="C33" s="140" t="inlineStr">
        <is>
          <t>yes</t>
        </is>
      </c>
      <c r="D33" s="274">
        <f>IF(A33="","",IF(ISNUMBER(E33),MAX(DATE(2026,6,3),E33),DATE(2026,6,3)))</f>
        <v/>
      </c>
      <c r="E33" s="274">
        <f>IFERROR(INDEX('Batch Dates'!$F:$F,MATCH(J33,'Batch Dates'!$C:$C,0)),IFERROR(INDEX('Batch Dates'!$F:$F,MATCH(I33,'Batch Dates'!$B:$B,0)),""))</f>
        <v/>
      </c>
      <c r="F33" s="274">
        <f>IFERROR(INDEX('Batch Dates'!$G:$G,MATCH(J33,'Batch Dates'!$C:$C,0)),IFERROR(INDEX('Batch Dates'!$G:$G,MATCH(I33,'Batch Dates'!$B:$B,0)),""))</f>
        <v/>
      </c>
      <c r="G33" s="129" t="inlineStr">
        <is>
          <t>legacy</t>
        </is>
      </c>
      <c r="H33" s="129" t="inlineStr">
        <is>
          <t>initial release</t>
        </is>
      </c>
      <c r="I33" s="130" t="inlineStr">
        <is>
          <t>GP082501/2</t>
        </is>
      </c>
      <c r="J33" s="129" t="inlineStr">
        <is>
          <t>P050322</t>
        </is>
      </c>
      <c r="K33" s="129" t="inlineStr">
        <is>
          <t>Grape Pie</t>
        </is>
      </c>
      <c r="L33" s="129" t="inlineStr">
        <is>
          <t>Ident A + Ident B + Foreign matter</t>
        </is>
      </c>
      <c r="M33" s="141" t="inlineStr">
        <is>
          <t>—</t>
        </is>
      </c>
      <c r="N33" s="129">
        <f>IFERROR(INDEX('CoQ Register'!$B:$B,MATCH("P050322|I",'CoQ Register'!$S:$S,0)),"—")</f>
        <v/>
      </c>
      <c r="O33" s="129" t="inlineStr">
        <is>
          <t>iCoA-PP-2025-0022</t>
        </is>
      </c>
      <c r="P33" s="129" t="inlineStr">
        <is>
          <t>P050322|I</t>
        </is>
      </c>
      <c r="Q33" s="134" t="inlineStr">
        <is>
          <t>registered — initial release, issued 03.06.2026</t>
        </is>
      </c>
    </row>
    <row r="34">
      <c r="A34" s="129" t="n">
        <v>33</v>
      </c>
      <c r="B34" s="130" t="inlineStr">
        <is>
          <t>iCoA-PP_26-033</t>
        </is>
      </c>
      <c r="C34" s="140" t="inlineStr">
        <is>
          <t>yes</t>
        </is>
      </c>
      <c r="D34" s="274">
        <f>IF(A34="","",IF(ISNUMBER(E34),MAX(DATE(2026,6,3),E34),DATE(2026,6,3)))</f>
        <v/>
      </c>
      <c r="E34" s="274">
        <f>IFERROR(INDEX('Batch Dates'!$F:$F,MATCH(J34,'Batch Dates'!$C:$C,0)),IFERROR(INDEX('Batch Dates'!$F:$F,MATCH(I34,'Batch Dates'!$B:$B,0)),""))</f>
        <v/>
      </c>
      <c r="F34" s="274">
        <f>IFERROR(INDEX('Batch Dates'!$G:$G,MATCH(J34,'Batch Dates'!$C:$C,0)),IFERROR(INDEX('Batch Dates'!$G:$G,MATCH(I34,'Batch Dates'!$B:$B,0)),""))</f>
        <v/>
      </c>
      <c r="G34" s="129" t="inlineStr">
        <is>
          <t>legacy</t>
        </is>
      </c>
      <c r="H34" s="129" t="inlineStr">
        <is>
          <t>initial release</t>
        </is>
      </c>
      <c r="I34" s="130" t="inlineStr">
        <is>
          <t>WC082501</t>
        </is>
      </c>
      <c r="J34" s="129" t="inlineStr">
        <is>
          <t>P060012</t>
        </is>
      </c>
      <c r="K34" s="129" t="inlineStr">
        <is>
          <t>Wedding Crasher</t>
        </is>
      </c>
      <c r="L34" s="129" t="inlineStr">
        <is>
          <t>Ident A + Ident B + Foreign matter</t>
        </is>
      </c>
      <c r="M34" s="141" t="inlineStr">
        <is>
          <t>—</t>
        </is>
      </c>
      <c r="N34" s="129">
        <f>IFERROR(INDEX('CoQ Register'!$B:$B,MATCH("P060012|I",'CoQ Register'!$S:$S,0)),"—")</f>
        <v/>
      </c>
      <c r="O34" s="129" t="inlineStr">
        <is>
          <t>iCoA-PP-2026-0001</t>
        </is>
      </c>
      <c r="P34" s="129" t="inlineStr">
        <is>
          <t>P060012|I</t>
        </is>
      </c>
      <c r="Q34" s="134" t="inlineStr">
        <is>
          <t>registered — initial release, issued 03.06.2026</t>
        </is>
      </c>
    </row>
    <row r="35">
      <c r="A35" s="129" t="n">
        <v>34</v>
      </c>
      <c r="B35" s="130" t="inlineStr">
        <is>
          <t>iCoA-PP_26-034</t>
        </is>
      </c>
      <c r="C35" s="140" t="inlineStr">
        <is>
          <t>yes</t>
        </is>
      </c>
      <c r="D35" s="274">
        <f>IF(A35="","",IF(ISNUMBER(E35),MAX(DATE(2026,6,3),E35),DATE(2026,6,3)))</f>
        <v/>
      </c>
      <c r="E35" s="274">
        <f>IFERROR(INDEX('Batch Dates'!$F:$F,MATCH(J35,'Batch Dates'!$C:$C,0)),IFERROR(INDEX('Batch Dates'!$F:$F,MATCH(I35,'Batch Dates'!$B:$B,0)),""))</f>
        <v/>
      </c>
      <c r="F35" s="274">
        <f>IFERROR(INDEX('Batch Dates'!$G:$G,MATCH(J35,'Batch Dates'!$C:$C,0)),IFERROR(INDEX('Batch Dates'!$G:$G,MATCH(I35,'Batch Dates'!$B:$B,0)),""))</f>
        <v/>
      </c>
      <c r="G35" s="129" t="inlineStr">
        <is>
          <t>legacy</t>
        </is>
      </c>
      <c r="H35" s="129" t="inlineStr">
        <is>
          <t>initial release</t>
        </is>
      </c>
      <c r="I35" s="130" t="inlineStr">
        <is>
          <t>CJ082501/1</t>
        </is>
      </c>
      <c r="J35" s="129" t="inlineStr">
        <is>
          <t>P060022</t>
        </is>
      </c>
      <c r="K35" s="129" t="inlineStr">
        <is>
          <t>Cap Junky</t>
        </is>
      </c>
      <c r="L35" s="129" t="inlineStr">
        <is>
          <t>Ident A + Ident B + Foreign matter</t>
        </is>
      </c>
      <c r="M35" s="141" t="inlineStr">
        <is>
          <t>—</t>
        </is>
      </c>
      <c r="N35" s="129">
        <f>IFERROR(INDEX('CoQ Register'!$B:$B,MATCH("P060022|I",'CoQ Register'!$S:$S,0)),"—")</f>
        <v/>
      </c>
      <c r="O35" s="129" t="inlineStr">
        <is>
          <t>iCoA-PP-2026-0002</t>
        </is>
      </c>
      <c r="P35" s="129" t="inlineStr">
        <is>
          <t>P060022|I</t>
        </is>
      </c>
      <c r="Q35" s="134" t="inlineStr">
        <is>
          <t>registered — initial release, issued 03.06.2026</t>
        </is>
      </c>
    </row>
    <row r="36">
      <c r="A36" s="129" t="n">
        <v>35</v>
      </c>
      <c r="B36" s="130" t="inlineStr">
        <is>
          <t>iCoA-PP_26-035</t>
        </is>
      </c>
      <c r="C36" s="140" t="inlineStr">
        <is>
          <t>yes</t>
        </is>
      </c>
      <c r="D36" s="274">
        <f>IF(A36="","",IF(ISNUMBER(E36),MAX(DATE(2026,6,3),E36),DATE(2026,6,3)))</f>
        <v/>
      </c>
      <c r="E36" s="274">
        <f>IFERROR(INDEX('Batch Dates'!$F:$F,MATCH(J36,'Batch Dates'!$C:$C,0)),IFERROR(INDEX('Batch Dates'!$F:$F,MATCH(I36,'Batch Dates'!$B:$B,0)),""))</f>
        <v/>
      </c>
      <c r="F36" s="274">
        <f>IFERROR(INDEX('Batch Dates'!$G:$G,MATCH(J36,'Batch Dates'!$C:$C,0)),IFERROR(INDEX('Batch Dates'!$G:$G,MATCH(I36,'Batch Dates'!$B:$B,0)),""))</f>
        <v/>
      </c>
      <c r="G36" s="129" t="inlineStr">
        <is>
          <t>legacy</t>
        </is>
      </c>
      <c r="H36" s="129" t="inlineStr">
        <is>
          <t>initial release</t>
        </is>
      </c>
      <c r="I36" s="130" t="inlineStr">
        <is>
          <t>CJ082501/2</t>
        </is>
      </c>
      <c r="J36" s="129" t="inlineStr">
        <is>
          <t>P060032</t>
        </is>
      </c>
      <c r="K36" s="129" t="inlineStr">
        <is>
          <t>Cap Junky</t>
        </is>
      </c>
      <c r="L36" s="129" t="inlineStr">
        <is>
          <t>Ident A + Ident B + Foreign matter</t>
        </is>
      </c>
      <c r="M36" s="141" t="inlineStr">
        <is>
          <t>—</t>
        </is>
      </c>
      <c r="N36" s="129">
        <f>IFERROR(INDEX('CoQ Register'!$B:$B,MATCH("P060032|I",'CoQ Register'!$S:$S,0)),"—")</f>
        <v/>
      </c>
      <c r="O36" s="129" t="inlineStr">
        <is>
          <t>iCoA-PP-2026-0003</t>
        </is>
      </c>
      <c r="P36" s="129" t="inlineStr">
        <is>
          <t>P060032|I</t>
        </is>
      </c>
      <c r="Q36" s="134" t="inlineStr">
        <is>
          <t>registered — initial release, issued 03.06.2026</t>
        </is>
      </c>
    </row>
    <row r="37">
      <c r="A37" s="129" t="n">
        <v>36</v>
      </c>
      <c r="B37" s="130" t="inlineStr">
        <is>
          <t>iCoA-PP_26-036</t>
        </is>
      </c>
      <c r="C37" s="140" t="inlineStr">
        <is>
          <t>yes</t>
        </is>
      </c>
      <c r="D37" s="274">
        <f>IF(A37="","",IF(ISNUMBER(E37),MAX(DATE(2026,6,3),E37),DATE(2026,6,3)))</f>
        <v/>
      </c>
      <c r="E37" s="274">
        <f>IFERROR(INDEX('Batch Dates'!$F:$F,MATCH(J37,'Batch Dates'!$C:$C,0)),IFERROR(INDEX('Batch Dates'!$F:$F,MATCH(I37,'Batch Dates'!$B:$B,0)),""))</f>
        <v/>
      </c>
      <c r="F37" s="274">
        <f>IFERROR(INDEX('Batch Dates'!$G:$G,MATCH(J37,'Batch Dates'!$C:$C,0)),IFERROR(INDEX('Batch Dates'!$G:$G,MATCH(I37,'Batch Dates'!$B:$B,0)),""))</f>
        <v/>
      </c>
      <c r="G37" s="129" t="inlineStr">
        <is>
          <t>legacy</t>
        </is>
      </c>
      <c r="H37" s="129" t="inlineStr">
        <is>
          <t>initial release</t>
        </is>
      </c>
      <c r="I37" s="130" t="inlineStr">
        <is>
          <t>OPM092501</t>
        </is>
      </c>
      <c r="J37" s="129" t="inlineStr">
        <is>
          <t>P060042</t>
        </is>
      </c>
      <c r="K37" s="129" t="inlineStr">
        <is>
          <t>Orange Punch Mimosa</t>
        </is>
      </c>
      <c r="L37" s="129" t="inlineStr">
        <is>
          <t>Ident A + Ident B + Foreign matter</t>
        </is>
      </c>
      <c r="M37" s="141" t="inlineStr">
        <is>
          <t>—</t>
        </is>
      </c>
      <c r="N37" s="129">
        <f>IFERROR(INDEX('CoQ Register'!$B:$B,MATCH("P060042|I",'CoQ Register'!$S:$S,0)),"—")</f>
        <v/>
      </c>
      <c r="O37" s="129" t="inlineStr">
        <is>
          <t>iCoA-PP-2026-0004</t>
        </is>
      </c>
      <c r="P37" s="129" t="inlineStr">
        <is>
          <t>P060042|I</t>
        </is>
      </c>
      <c r="Q37" s="134" t="inlineStr">
        <is>
          <t>registered — initial release, issued 03.06.2026</t>
        </is>
      </c>
    </row>
    <row r="38">
      <c r="A38" s="129" t="n">
        <v>37</v>
      </c>
      <c r="B38" s="130" t="inlineStr">
        <is>
          <t>iCoA-PP_26-037</t>
        </is>
      </c>
      <c r="C38" s="140" t="inlineStr">
        <is>
          <t>yes</t>
        </is>
      </c>
      <c r="D38" s="274">
        <f>IF(A38="","",IF(ISNUMBER(E38),MAX(DATE(2026,6,3),E38),DATE(2026,6,3)))</f>
        <v/>
      </c>
      <c r="E38" s="274">
        <f>IFERROR(INDEX('Batch Dates'!$F:$F,MATCH(J38,'Batch Dates'!$C:$C,0)),IFERROR(INDEX('Batch Dates'!$F:$F,MATCH(I38,'Batch Dates'!$B:$B,0)),""))</f>
        <v/>
      </c>
      <c r="F38" s="274">
        <f>IFERROR(INDEX('Batch Dates'!$G:$G,MATCH(J38,'Batch Dates'!$C:$C,0)),IFERROR(INDEX('Batch Dates'!$G:$G,MATCH(I38,'Batch Dates'!$B:$B,0)),""))</f>
        <v/>
      </c>
      <c r="G38" s="129" t="inlineStr">
        <is>
          <t>legacy</t>
        </is>
      </c>
      <c r="H38" s="129" t="inlineStr">
        <is>
          <t>initial release</t>
        </is>
      </c>
      <c r="I38" s="130" t="inlineStr">
        <is>
          <t>AB092501</t>
        </is>
      </c>
      <c r="J38" s="129" t="inlineStr">
        <is>
          <t>P060052</t>
        </is>
      </c>
      <c r="K38" s="129" t="inlineStr">
        <is>
          <t>Apple and Banana</t>
        </is>
      </c>
      <c r="L38" s="129" t="inlineStr">
        <is>
          <t>Ident A + Ident B + Foreign matter</t>
        </is>
      </c>
      <c r="M38" s="141" t="inlineStr">
        <is>
          <t>—</t>
        </is>
      </c>
      <c r="N38" s="129">
        <f>IFERROR(INDEX('CoQ Register'!$B:$B,MATCH("P060052|I",'CoQ Register'!$S:$S,0)),"—")</f>
        <v/>
      </c>
      <c r="O38" s="141" t="inlineStr">
        <is>
          <t>—</t>
        </is>
      </c>
      <c r="P38" s="129" t="inlineStr">
        <is>
          <t>P060052|I</t>
        </is>
      </c>
      <c r="Q38" s="134" t="inlineStr">
        <is>
          <t>registered — initial release, issued 03.06.2026</t>
        </is>
      </c>
    </row>
    <row r="39">
      <c r="A39" s="129" t="n">
        <v>38</v>
      </c>
      <c r="B39" s="130" t="inlineStr">
        <is>
          <t>iCoA-PP_26-038</t>
        </is>
      </c>
      <c r="C39" s="140" t="inlineStr">
        <is>
          <t>yes</t>
        </is>
      </c>
      <c r="D39" s="274">
        <f>IF(A39="","",IF(ISNUMBER(E39),MAX(DATE(2026,6,3),E39),DATE(2026,6,3)))</f>
        <v/>
      </c>
      <c r="E39" s="274">
        <f>IFERROR(INDEX('Batch Dates'!$F:$F,MATCH(J39,'Batch Dates'!$C:$C,0)),IFERROR(INDEX('Batch Dates'!$F:$F,MATCH(I39,'Batch Dates'!$B:$B,0)),""))</f>
        <v/>
      </c>
      <c r="F39" s="274">
        <f>IFERROR(INDEX('Batch Dates'!$G:$G,MATCH(J39,'Batch Dates'!$C:$C,0)),IFERROR(INDEX('Batch Dates'!$G:$G,MATCH(I39,'Batch Dates'!$B:$B,0)),""))</f>
        <v/>
      </c>
      <c r="G39" s="129" t="inlineStr">
        <is>
          <t>legacy</t>
        </is>
      </c>
      <c r="H39" s="129" t="inlineStr">
        <is>
          <t>initial release</t>
        </is>
      </c>
      <c r="I39" s="130" t="inlineStr">
        <is>
          <t>PM092501</t>
        </is>
      </c>
      <c r="J39" s="129" t="inlineStr">
        <is>
          <t>P060062</t>
        </is>
      </c>
      <c r="K39" s="129" t="inlineStr">
        <is>
          <t>Permanent Market</t>
        </is>
      </c>
      <c r="L39" s="129" t="inlineStr">
        <is>
          <t>Ident A + Ident B + Foreign matter</t>
        </is>
      </c>
      <c r="M39" s="141" t="inlineStr">
        <is>
          <t>—</t>
        </is>
      </c>
      <c r="N39" s="129">
        <f>IFERROR(INDEX('CoQ Register'!$B:$B,MATCH("P060062|I",'CoQ Register'!$S:$S,0)),"—")</f>
        <v/>
      </c>
      <c r="O39" s="129" t="inlineStr">
        <is>
          <t>iCoA-PP-2026-0005</t>
        </is>
      </c>
      <c r="P39" s="129" t="inlineStr">
        <is>
          <t>P060062|I</t>
        </is>
      </c>
      <c r="Q39" s="134" t="inlineStr">
        <is>
          <t>registered — initial release, issued 03.06.2026</t>
        </is>
      </c>
    </row>
    <row r="40">
      <c r="A40" s="129" t="n">
        <v>39</v>
      </c>
      <c r="B40" s="130" t="inlineStr">
        <is>
          <t>iCoA-PP_26-039</t>
        </is>
      </c>
      <c r="C40" s="140" t="inlineStr">
        <is>
          <t>yes</t>
        </is>
      </c>
      <c r="D40" s="274">
        <f>IF(A40="","",IF(ISNUMBER(E40),MAX(DATE(2026,6,3),E40),DATE(2026,6,3)))</f>
        <v/>
      </c>
      <c r="E40" s="274">
        <f>IFERROR(INDEX('Batch Dates'!$F:$F,MATCH(J40,'Batch Dates'!$C:$C,0)),IFERROR(INDEX('Batch Dates'!$F:$F,MATCH(I40,'Batch Dates'!$B:$B,0)),""))</f>
        <v/>
      </c>
      <c r="F40" s="274">
        <f>IFERROR(INDEX('Batch Dates'!$G:$G,MATCH(J40,'Batch Dates'!$C:$C,0)),IFERROR(INDEX('Batch Dates'!$G:$G,MATCH(I40,'Batch Dates'!$B:$B,0)),""))</f>
        <v/>
      </c>
      <c r="G40" s="129" t="inlineStr">
        <is>
          <t>legacy</t>
        </is>
      </c>
      <c r="H40" s="129" t="inlineStr">
        <is>
          <t>initial release</t>
        </is>
      </c>
      <c r="I40" s="130" t="inlineStr">
        <is>
          <t>CJ092501</t>
        </is>
      </c>
      <c r="J40" s="129" t="inlineStr">
        <is>
          <t>P060072</t>
        </is>
      </c>
      <c r="K40" s="129" t="inlineStr">
        <is>
          <t>Cap Junky</t>
        </is>
      </c>
      <c r="L40" s="129" t="inlineStr">
        <is>
          <t>Ident A + Ident B + Foreign matter</t>
        </is>
      </c>
      <c r="M40" s="141" t="inlineStr">
        <is>
          <t>—</t>
        </is>
      </c>
      <c r="N40" s="129">
        <f>IFERROR(INDEX('CoQ Register'!$B:$B,MATCH("P060072|I",'CoQ Register'!$S:$S,0)),"—")</f>
        <v/>
      </c>
      <c r="O40" s="129" t="inlineStr">
        <is>
          <t>iCoA-PP-2026-0006</t>
        </is>
      </c>
      <c r="P40" s="129" t="inlineStr">
        <is>
          <t>P060072|I</t>
        </is>
      </c>
      <c r="Q40" s="134" t="inlineStr">
        <is>
          <t>registered — initial release, issued 03.06.2026</t>
        </is>
      </c>
    </row>
    <row r="41">
      <c r="A41" s="129" t="n">
        <v>40</v>
      </c>
      <c r="B41" s="130" t="inlineStr">
        <is>
          <t>iCoA-PP_26-040</t>
        </is>
      </c>
      <c r="C41" s="140" t="inlineStr">
        <is>
          <t>yes</t>
        </is>
      </c>
      <c r="D41" s="274">
        <f>IF(A41="","",IF(ISNUMBER(E41),MAX(DATE(2026,6,3),E41),DATE(2026,6,3)))</f>
        <v/>
      </c>
      <c r="E41" s="274">
        <f>IFERROR(INDEX('Batch Dates'!$F:$F,MATCH(J41,'Batch Dates'!$C:$C,0)),IFERROR(INDEX('Batch Dates'!$F:$F,MATCH(I41,'Batch Dates'!$B:$B,0)),""))</f>
        <v/>
      </c>
      <c r="F41" s="274">
        <f>IFERROR(INDEX('Batch Dates'!$G:$G,MATCH(J41,'Batch Dates'!$C:$C,0)),IFERROR(INDEX('Batch Dates'!$G:$G,MATCH(I41,'Batch Dates'!$B:$B,0)),""))</f>
        <v/>
      </c>
      <c r="G41" s="129" t="inlineStr">
        <is>
          <t>legacy</t>
        </is>
      </c>
      <c r="H41" s="129" t="inlineStr">
        <is>
          <t>initial release</t>
        </is>
      </c>
      <c r="I41" s="130" t="inlineStr">
        <is>
          <t>SJ0925021</t>
        </is>
      </c>
      <c r="J41" s="129" t="inlineStr">
        <is>
          <t>P060082</t>
        </is>
      </c>
      <c r="K41" s="129" t="inlineStr">
        <is>
          <t>Sleepy Joy</t>
        </is>
      </c>
      <c r="L41" s="129" t="inlineStr">
        <is>
          <t>Ident A + Ident B + Foreign matter</t>
        </is>
      </c>
      <c r="M41" s="141" t="inlineStr">
        <is>
          <t>—</t>
        </is>
      </c>
      <c r="N41" s="129">
        <f>IFERROR(INDEX('CoQ Register'!$B:$B,MATCH("P060082|I",'CoQ Register'!$S:$S,0)),"—")</f>
        <v/>
      </c>
      <c r="O41" s="129" t="inlineStr">
        <is>
          <t>iCoA-PP-2026-0007</t>
        </is>
      </c>
      <c r="P41" s="129" t="inlineStr">
        <is>
          <t>P060082|I</t>
        </is>
      </c>
      <c r="Q41" s="134" t="inlineStr">
        <is>
          <t>registered — initial release, issued 03.06.2026</t>
        </is>
      </c>
    </row>
    <row r="42">
      <c r="A42" s="129" t="n">
        <v>41</v>
      </c>
      <c r="B42" s="130" t="inlineStr">
        <is>
          <t>iCoA-PP_26-041</t>
        </is>
      </c>
      <c r="C42" s="140" t="inlineStr">
        <is>
          <t>yes</t>
        </is>
      </c>
      <c r="D42" s="274">
        <f>IF(A42="","",IF(ISNUMBER(E42),MAX(DATE(2026,6,3),E42),DATE(2026,6,3)))</f>
        <v/>
      </c>
      <c r="E42" s="274">
        <f>IFERROR(INDEX('Batch Dates'!$F:$F,MATCH(J42,'Batch Dates'!$C:$C,0)),IFERROR(INDEX('Batch Dates'!$F:$F,MATCH(I42,'Batch Dates'!$B:$B,0)),""))</f>
        <v/>
      </c>
      <c r="F42" s="274">
        <f>IFERROR(INDEX('Batch Dates'!$G:$G,MATCH(J42,'Batch Dates'!$C:$C,0)),IFERROR(INDEX('Batch Dates'!$G:$G,MATCH(I42,'Batch Dates'!$B:$B,0)),""))</f>
        <v/>
      </c>
      <c r="G42" s="129" t="inlineStr">
        <is>
          <t>legacy</t>
        </is>
      </c>
      <c r="H42" s="129" t="inlineStr">
        <is>
          <t>initial release</t>
        </is>
      </c>
      <c r="I42" s="130" t="inlineStr">
        <is>
          <t>GP092501</t>
        </is>
      </c>
      <c r="J42" s="129" t="inlineStr">
        <is>
          <t>P060092</t>
        </is>
      </c>
      <c r="K42" s="129" t="inlineStr">
        <is>
          <t>Grape Pie</t>
        </is>
      </c>
      <c r="L42" s="129" t="inlineStr">
        <is>
          <t>Ident A + Ident B + Foreign matter</t>
        </is>
      </c>
      <c r="M42" s="141" t="inlineStr">
        <is>
          <t>—</t>
        </is>
      </c>
      <c r="N42" s="129">
        <f>IFERROR(INDEX('CoQ Register'!$B:$B,MATCH("P060092|I",'CoQ Register'!$S:$S,0)),"—")</f>
        <v/>
      </c>
      <c r="O42" s="129" t="inlineStr">
        <is>
          <t>iCoA-PP-2026-0008</t>
        </is>
      </c>
      <c r="P42" s="129" t="inlineStr">
        <is>
          <t>P060092|I</t>
        </is>
      </c>
      <c r="Q42" s="134" t="inlineStr">
        <is>
          <t>registered — initial release, issued 03.06.2026</t>
        </is>
      </c>
    </row>
    <row r="43">
      <c r="A43" s="129" t="n">
        <v>42</v>
      </c>
      <c r="B43" s="130" t="inlineStr">
        <is>
          <t>iCoA-PP_26-042</t>
        </is>
      </c>
      <c r="C43" s="140" t="inlineStr">
        <is>
          <t>yes</t>
        </is>
      </c>
      <c r="D43" s="274" t="n">
        <v>46176</v>
      </c>
      <c r="E43" s="274" t="n">
        <v>46086</v>
      </c>
      <c r="F43" s="274">
        <f>IFERROR(INDEX('Batch Dates'!$G:$G,MATCH(J43,'Batch Dates'!$C:$C,0)),IFERROR(INDEX('Batch Dates'!$G:$G,MATCH(I43,'Batch Dates'!$B:$B,0)),""))</f>
        <v/>
      </c>
      <c r="G43" s="129" t="inlineStr">
        <is>
          <t>legacy</t>
        </is>
      </c>
      <c r="H43" s="129" t="inlineStr">
        <is>
          <t>retest 2</t>
        </is>
      </c>
      <c r="I43" s="130" t="inlineStr">
        <is>
          <t>GP0824_02</t>
        </is>
      </c>
      <c r="J43" s="129" t="inlineStr">
        <is>
          <t>P050022</t>
        </is>
      </c>
      <c r="K43" s="129" t="inlineStr">
        <is>
          <t>Grape Pie</t>
        </is>
      </c>
      <c r="L43" s="129" t="inlineStr">
        <is>
          <t>Ident A + Ident B + Foreign matter</t>
        </is>
      </c>
      <c r="M43" s="141" t="inlineStr">
        <is>
          <t>—</t>
        </is>
      </c>
      <c r="N43" s="129">
        <f>IFERROR(INDEX('CoQ Register'!$B:$B,MATCH("P050022|R2",'CoQ Register'!$S:$S,0)),"—")</f>
        <v/>
      </c>
      <c r="O43" s="141" t="inlineStr">
        <is>
          <t>—</t>
        </is>
      </c>
      <c r="P43" s="129" t="inlineStr">
        <is>
          <t>P050022|R2</t>
        </is>
      </c>
      <c r="Q43" s="134" t="inlineStr">
        <is>
          <t>registered — retest 2, issued 03.06.2026</t>
        </is>
      </c>
    </row>
    <row r="44">
      <c r="A44" s="129" t="n">
        <v>43</v>
      </c>
      <c r="B44" s="130" t="inlineStr">
        <is>
          <t>iCoA-PP_26-043</t>
        </is>
      </c>
      <c r="C44" s="140" t="inlineStr">
        <is>
          <t>yes</t>
        </is>
      </c>
      <c r="D44" s="274" t="n">
        <v>46176</v>
      </c>
      <c r="E44" s="274" t="n">
        <v>46086</v>
      </c>
      <c r="F44" s="274">
        <f>IFERROR(INDEX('Batch Dates'!$G:$G,MATCH(J44,'Batch Dates'!$C:$C,0)),IFERROR(INDEX('Batch Dates'!$G:$G,MATCH(I44,'Batch Dates'!$B:$B,0)),""))</f>
        <v/>
      </c>
      <c r="G44" s="129" t="inlineStr">
        <is>
          <t>legacy</t>
        </is>
      </c>
      <c r="H44" s="129" t="inlineStr">
        <is>
          <t>retest 2</t>
        </is>
      </c>
      <c r="I44" s="130" t="inlineStr">
        <is>
          <t>GP0824_03</t>
        </is>
      </c>
      <c r="J44" s="129" t="inlineStr">
        <is>
          <t>P050072</t>
        </is>
      </c>
      <c r="K44" s="129" t="inlineStr">
        <is>
          <t>Grape Pie</t>
        </is>
      </c>
      <c r="L44" s="129" t="inlineStr">
        <is>
          <t>Ident A + Ident B + Foreign matter</t>
        </is>
      </c>
      <c r="M44" s="141" t="inlineStr">
        <is>
          <t>—</t>
        </is>
      </c>
      <c r="N44" s="129">
        <f>IFERROR(INDEX('CoQ Register'!$B:$B,MATCH("P050072|R2",'CoQ Register'!$S:$S,0)),"—")</f>
        <v/>
      </c>
      <c r="O44" s="141" t="inlineStr">
        <is>
          <t>—</t>
        </is>
      </c>
      <c r="P44" s="129" t="inlineStr">
        <is>
          <t>P050072|R2</t>
        </is>
      </c>
      <c r="Q44" s="134" t="inlineStr">
        <is>
          <t>registered — retest 2, issued 03.06.2026</t>
        </is>
      </c>
    </row>
    <row r="45">
      <c r="A45" s="129" t="n">
        <v>44</v>
      </c>
      <c r="B45" s="130" t="inlineStr">
        <is>
          <t>iCoA-PP_26-044</t>
        </is>
      </c>
      <c r="C45" s="140" t="inlineStr">
        <is>
          <t>yes</t>
        </is>
      </c>
      <c r="D45" s="274">
        <f>IF(A45="","",IF(ISNUMBER(E45),MAX(DATE(2026,6,3),E45),DATE(2026,6,3)))</f>
        <v/>
      </c>
      <c r="E45" s="274">
        <f>IFERROR(INDEX('Batch Dates'!$F:$F,MATCH(J45,'Batch Dates'!$C:$C,0)),IFERROR(INDEX('Batch Dates'!$F:$F,MATCH(I45,'Batch Dates'!$B:$B,0)),""))</f>
        <v/>
      </c>
      <c r="F45" s="274">
        <f>IFERROR(INDEX('Batch Dates'!$G:$G,MATCH(J45,'Batch Dates'!$C:$C,0)),IFERROR(INDEX('Batch Dates'!$G:$G,MATCH(I45,'Batch Dates'!$B:$B,0)),""))</f>
        <v/>
      </c>
      <c r="G45" s="129" t="inlineStr">
        <is>
          <t>legacy</t>
        </is>
      </c>
      <c r="H45" s="129" t="inlineStr">
        <is>
          <t>initial release</t>
        </is>
      </c>
      <c r="I45" s="130" t="inlineStr">
        <is>
          <t>J31102501</t>
        </is>
      </c>
      <c r="J45" s="129" t="inlineStr">
        <is>
          <t>P060152</t>
        </is>
      </c>
      <c r="K45" s="129" t="inlineStr">
        <is>
          <t>Jokerz 31</t>
        </is>
      </c>
      <c r="L45" s="129" t="inlineStr">
        <is>
          <t>Ident A + Ident B + Foreign matter</t>
        </is>
      </c>
      <c r="M45" s="141" t="inlineStr">
        <is>
          <t>—</t>
        </is>
      </c>
      <c r="N45" s="129">
        <f>IFERROR(INDEX('CoQ Register'!$B:$B,MATCH("P060152|I",'CoQ Register'!$S:$S,0)),"—")</f>
        <v/>
      </c>
      <c r="O45" s="129" t="inlineStr">
        <is>
          <t>iCoA-PP-2026-0012</t>
        </is>
      </c>
      <c r="P45" s="129" t="inlineStr">
        <is>
          <t>P060152|I</t>
        </is>
      </c>
      <c r="Q45" s="134" t="inlineStr">
        <is>
          <t>registered — initial release, issued 03.06.2026</t>
        </is>
      </c>
    </row>
    <row r="46">
      <c r="A46" s="129" t="n">
        <v>45</v>
      </c>
      <c r="B46" s="130" t="inlineStr">
        <is>
          <t>iCoA-PP_26-045</t>
        </is>
      </c>
      <c r="C46" s="140" t="inlineStr">
        <is>
          <t>yes</t>
        </is>
      </c>
      <c r="D46" s="274">
        <f>IF(A46="","",IF(ISNUMBER(E46),MAX(DATE(2026,6,3),E46),DATE(2026,6,3)))</f>
        <v/>
      </c>
      <c r="E46" s="274">
        <f>IFERROR(INDEX('Batch Dates'!$F:$F,MATCH(J46,'Batch Dates'!$C:$C,0)),IFERROR(INDEX('Batch Dates'!$F:$F,MATCH(I46,'Batch Dates'!$B:$B,0)),""))</f>
        <v/>
      </c>
      <c r="F46" s="274">
        <f>IFERROR(INDEX('Batch Dates'!$G:$G,MATCH(J46,'Batch Dates'!$C:$C,0)),IFERROR(INDEX('Batch Dates'!$G:$G,MATCH(I46,'Batch Dates'!$B:$B,0)),""))</f>
        <v/>
      </c>
      <c r="G46" s="129" t="inlineStr">
        <is>
          <t>legacy</t>
        </is>
      </c>
      <c r="H46" s="129" t="inlineStr">
        <is>
          <t>initial release</t>
        </is>
      </c>
      <c r="I46" s="130" t="inlineStr">
        <is>
          <t>SJ102501</t>
        </is>
      </c>
      <c r="J46" s="129" t="inlineStr">
        <is>
          <t>P060162</t>
        </is>
      </c>
      <c r="K46" s="129" t="inlineStr">
        <is>
          <t>Sleepy Joy</t>
        </is>
      </c>
      <c r="L46" s="129" t="inlineStr">
        <is>
          <t>Ident A + Ident B + Foreign matter</t>
        </is>
      </c>
      <c r="M46" s="141" t="inlineStr">
        <is>
          <t>—</t>
        </is>
      </c>
      <c r="N46" s="129">
        <f>IFERROR(INDEX('CoQ Register'!$B:$B,MATCH("P060162|I",'CoQ Register'!$S:$S,0)),"—")</f>
        <v/>
      </c>
      <c r="O46" s="141" t="inlineStr">
        <is>
          <t>—</t>
        </is>
      </c>
      <c r="P46" s="129" t="inlineStr">
        <is>
          <t>P060162|I</t>
        </is>
      </c>
      <c r="Q46" s="134" t="inlineStr">
        <is>
          <t>registered — initial release, issued 03.06.2026</t>
        </is>
      </c>
    </row>
    <row r="47">
      <c r="A47" s="129" t="n">
        <v>46</v>
      </c>
      <c r="B47" s="130" t="inlineStr">
        <is>
          <t>iCoA-PP_26-046</t>
        </is>
      </c>
      <c r="C47" s="140" t="inlineStr">
        <is>
          <t>yes</t>
        </is>
      </c>
      <c r="D47" s="274">
        <f>IF(A47="","",IF(ISNUMBER(E47),MAX(DATE(2026,6,3),E47),DATE(2026,6,3)))</f>
        <v/>
      </c>
      <c r="E47" s="274">
        <f>IFERROR(INDEX('Batch Dates'!$F:$F,MATCH(J47,'Batch Dates'!$C:$C,0)),IFERROR(INDEX('Batch Dates'!$F:$F,MATCH(I47,'Batch Dates'!$B:$B,0)),""))</f>
        <v/>
      </c>
      <c r="F47" s="274">
        <f>IFERROR(INDEX('Batch Dates'!$G:$G,MATCH(J47,'Batch Dates'!$C:$C,0)),IFERROR(INDEX('Batch Dates'!$G:$G,MATCH(I47,'Batch Dates'!$B:$B,0)),""))</f>
        <v/>
      </c>
      <c r="G47" s="129" t="inlineStr">
        <is>
          <t>legacy</t>
        </is>
      </c>
      <c r="H47" s="129" t="inlineStr">
        <is>
          <t>initial release</t>
        </is>
      </c>
      <c r="I47" s="130" t="inlineStr">
        <is>
          <t>KC102501</t>
        </is>
      </c>
      <c r="J47" s="129" t="inlineStr">
        <is>
          <t>P060172</t>
        </is>
      </c>
      <c r="K47" s="129" t="inlineStr">
        <is>
          <t>Kush Crasher</t>
        </is>
      </c>
      <c r="L47" s="129" t="inlineStr">
        <is>
          <t>Ident A + Ident B + Foreign matter</t>
        </is>
      </c>
      <c r="M47" s="141" t="inlineStr">
        <is>
          <t>—</t>
        </is>
      </c>
      <c r="N47" s="129">
        <f>IFERROR(INDEX('CoQ Register'!$B:$B,MATCH("P060172|I",'CoQ Register'!$S:$S,0)),"—")</f>
        <v/>
      </c>
      <c r="O47" s="129" t="inlineStr">
        <is>
          <t>iCoA-PP-2026-0013</t>
        </is>
      </c>
      <c r="P47" s="129" t="inlineStr">
        <is>
          <t>P060172|I</t>
        </is>
      </c>
      <c r="Q47" s="134" t="inlineStr">
        <is>
          <t>registered — initial release, issued 03.06.2026</t>
        </is>
      </c>
    </row>
    <row r="48">
      <c r="A48" s="129" t="n">
        <v>47</v>
      </c>
      <c r="B48" s="130" t="inlineStr">
        <is>
          <t>iCoA-PP_26-047</t>
        </is>
      </c>
      <c r="C48" s="140" t="inlineStr">
        <is>
          <t>yes</t>
        </is>
      </c>
      <c r="D48" s="274">
        <f>IF(A48="","",IF(ISNUMBER(E48),MAX(DATE(2026,6,3),E48),DATE(2026,6,3)))</f>
        <v/>
      </c>
      <c r="E48" s="274">
        <f>IFERROR(INDEX('Batch Dates'!$F:$F,MATCH(J48,'Batch Dates'!$C:$C,0)),IFERROR(INDEX('Batch Dates'!$F:$F,MATCH(I48,'Batch Dates'!$B:$B,0)),""))</f>
        <v/>
      </c>
      <c r="F48" s="274">
        <f>IFERROR(INDEX('Batch Dates'!$G:$G,MATCH(J48,'Batch Dates'!$C:$C,0)),IFERROR(INDEX('Batch Dates'!$G:$G,MATCH(I48,'Batch Dates'!$B:$B,0)),""))</f>
        <v/>
      </c>
      <c r="G48" s="129" t="inlineStr">
        <is>
          <t>legacy</t>
        </is>
      </c>
      <c r="H48" s="129" t="inlineStr">
        <is>
          <t>initial release</t>
        </is>
      </c>
      <c r="I48" s="130" t="inlineStr">
        <is>
          <t>GRC102501</t>
        </is>
      </c>
      <c r="J48" s="129" t="inlineStr">
        <is>
          <t>P060182</t>
        </is>
      </c>
      <c r="K48" s="129" t="inlineStr">
        <is>
          <t>Graps &amp; Creme</t>
        </is>
      </c>
      <c r="L48" s="129" t="inlineStr">
        <is>
          <t>Ident A + Ident B + Foreign matter</t>
        </is>
      </c>
      <c r="M48" s="141" t="inlineStr">
        <is>
          <t>—</t>
        </is>
      </c>
      <c r="N48" s="129">
        <f>IFERROR(INDEX('CoQ Register'!$B:$B,MATCH("P060182|I",'CoQ Register'!$S:$S,0)),"—")</f>
        <v/>
      </c>
      <c r="O48" s="129" t="inlineStr">
        <is>
          <t>iCoA-PP-2026-0014</t>
        </is>
      </c>
      <c r="P48" s="129" t="inlineStr">
        <is>
          <t>P060182|I</t>
        </is>
      </c>
      <c r="Q48" s="134" t="inlineStr">
        <is>
          <t>registered — initial release, issued 03.06.2026</t>
        </is>
      </c>
    </row>
    <row r="49">
      <c r="A49" s="129" t="n">
        <v>48</v>
      </c>
      <c r="B49" s="130" t="inlineStr">
        <is>
          <t>iCoA-PP_26-048</t>
        </is>
      </c>
      <c r="C49" s="140" t="inlineStr">
        <is>
          <t>yes</t>
        </is>
      </c>
      <c r="D49" s="274">
        <f>IF(A49="","",IF(ISNUMBER(E49),MAX(DATE(2026,6,3),E49),DATE(2026,6,3)))</f>
        <v/>
      </c>
      <c r="E49" s="274">
        <f>IFERROR(INDEX('Batch Dates'!$F:$F,MATCH(J49,'Batch Dates'!$C:$C,0)),IFERROR(INDEX('Batch Dates'!$F:$F,MATCH(I49,'Batch Dates'!$B:$B,0)),""))</f>
        <v/>
      </c>
      <c r="F49" s="274">
        <f>IFERROR(INDEX('Batch Dates'!$G:$G,MATCH(J49,'Batch Dates'!$C:$C,0)),IFERROR(INDEX('Batch Dates'!$G:$G,MATCH(I49,'Batch Dates'!$B:$B,0)),""))</f>
        <v/>
      </c>
      <c r="G49" s="129" t="inlineStr">
        <is>
          <t>legacy</t>
        </is>
      </c>
      <c r="H49" s="129" t="inlineStr">
        <is>
          <t>initial release</t>
        </is>
      </c>
      <c r="I49" s="130" t="inlineStr">
        <is>
          <t>SJ112501</t>
        </is>
      </c>
      <c r="J49" s="129" t="inlineStr">
        <is>
          <t>P060192</t>
        </is>
      </c>
      <c r="K49" s="129" t="inlineStr">
        <is>
          <t>Sleepy Joy</t>
        </is>
      </c>
      <c r="L49" s="129" t="inlineStr">
        <is>
          <t>Ident A + Ident B + Foreign matter</t>
        </is>
      </c>
      <c r="M49" s="141" t="inlineStr">
        <is>
          <t>—</t>
        </is>
      </c>
      <c r="N49" s="129">
        <f>IFERROR(INDEX('CoQ Register'!$B:$B,MATCH("P060192|I",'CoQ Register'!$S:$S,0)),"—")</f>
        <v/>
      </c>
      <c r="O49" s="141" t="inlineStr">
        <is>
          <t>—</t>
        </is>
      </c>
      <c r="P49" s="129" t="inlineStr">
        <is>
          <t>P060192|I</t>
        </is>
      </c>
      <c r="Q49" s="134" t="inlineStr">
        <is>
          <t>registered — initial release, issued 03.06.2026</t>
        </is>
      </c>
    </row>
    <row r="50">
      <c r="A50" s="129" t="n">
        <v>49</v>
      </c>
      <c r="B50" s="130" t="inlineStr">
        <is>
          <t>iCoA-PP_26-049</t>
        </is>
      </c>
      <c r="C50" s="140" t="inlineStr">
        <is>
          <t>yes</t>
        </is>
      </c>
      <c r="D50" s="274" t="n">
        <v>46176</v>
      </c>
      <c r="E50" s="274" t="n">
        <v>46121</v>
      </c>
      <c r="F50" s="274">
        <f>IFERROR(INDEX('Batch Dates'!$G:$G,MATCH(J50,'Batch Dates'!$C:$C,0)),IFERROR(INDEX('Batch Dates'!$G:$G,MATCH(I50,'Batch Dates'!$B:$B,0)),""))</f>
        <v/>
      </c>
      <c r="G50" s="129" t="inlineStr">
        <is>
          <t>legacy</t>
        </is>
      </c>
      <c r="H50" s="129" t="inlineStr">
        <is>
          <t>retest 1</t>
        </is>
      </c>
      <c r="I50" s="130" t="inlineStr">
        <is>
          <t>J31112501</t>
        </is>
      </c>
      <c r="J50" s="129" t="inlineStr">
        <is>
          <t>P060202</t>
        </is>
      </c>
      <c r="K50" s="129" t="inlineStr">
        <is>
          <t>Jokerz 31</t>
        </is>
      </c>
      <c r="L50" s="129" t="inlineStr">
        <is>
          <t>Ident A + Ident B + Foreign matter</t>
        </is>
      </c>
      <c r="M50" s="141" t="inlineStr">
        <is>
          <t>—</t>
        </is>
      </c>
      <c r="N50" s="129">
        <f>IFERROR(INDEX('CoQ Register'!$B:$B,MATCH("P060202|R",'CoQ Register'!$S:$S,0)),"—")</f>
        <v/>
      </c>
      <c r="O50" s="141" t="inlineStr">
        <is>
          <t>—</t>
        </is>
      </c>
      <c r="P50" s="129" t="inlineStr">
        <is>
          <t>P060202|R</t>
        </is>
      </c>
      <c r="Q50" s="134" t="inlineStr">
        <is>
          <t>registered — retest 1, issued 03.06.2026</t>
        </is>
      </c>
    </row>
    <row r="51">
      <c r="A51" s="129" t="n">
        <v>50</v>
      </c>
      <c r="B51" s="130" t="inlineStr">
        <is>
          <t>iCoA-PP_26-050</t>
        </is>
      </c>
      <c r="C51" s="140" t="inlineStr">
        <is>
          <t>yes</t>
        </is>
      </c>
      <c r="D51" s="274">
        <f>IF(A51="","",IF(ISNUMBER(E51),MAX(DATE(2026,6,3),E51),DATE(2026,6,3)))</f>
        <v/>
      </c>
      <c r="E51" s="274">
        <f>IFERROR(INDEX('Batch Dates'!$F:$F,MATCH(J51,'Batch Dates'!$C:$C,0)),IFERROR(INDEX('Batch Dates'!$F:$F,MATCH(I51,'Batch Dates'!$B:$B,0)),""))</f>
        <v/>
      </c>
      <c r="F51" s="274">
        <f>IFERROR(INDEX('Batch Dates'!$G:$G,MATCH(J51,'Batch Dates'!$C:$C,0)),IFERROR(INDEX('Batch Dates'!$G:$G,MATCH(I51,'Batch Dates'!$B:$B,0)),""))</f>
        <v/>
      </c>
      <c r="G51" s="129" t="inlineStr">
        <is>
          <t>legacy</t>
        </is>
      </c>
      <c r="H51" s="129" t="inlineStr">
        <is>
          <t>initial release</t>
        </is>
      </c>
      <c r="I51" s="130" t="inlineStr">
        <is>
          <t>J31112501</t>
        </is>
      </c>
      <c r="J51" s="129" t="inlineStr">
        <is>
          <t>P060202</t>
        </is>
      </c>
      <c r="K51" s="129" t="inlineStr">
        <is>
          <t>Jokerz 31</t>
        </is>
      </c>
      <c r="L51" s="129" t="inlineStr">
        <is>
          <t>Ident A + Ident B + Foreign matter</t>
        </is>
      </c>
      <c r="M51" s="141" t="inlineStr">
        <is>
          <t>—</t>
        </is>
      </c>
      <c r="N51" s="129">
        <f>IFERROR(INDEX('CoQ Register'!$B:$B,MATCH("P060202|I",'CoQ Register'!$S:$S,0)),"—")</f>
        <v/>
      </c>
      <c r="O51" s="141" t="inlineStr">
        <is>
          <t>—</t>
        </is>
      </c>
      <c r="P51" s="129" t="inlineStr">
        <is>
          <t>P060202|I</t>
        </is>
      </c>
      <c r="Q51" s="134" t="inlineStr">
        <is>
          <t>registered — initial release, issued 03.06.2026</t>
        </is>
      </c>
    </row>
    <row r="52">
      <c r="A52" s="129" t="n">
        <v>51</v>
      </c>
      <c r="B52" s="130" t="inlineStr">
        <is>
          <t>iCoA-PP_26-051</t>
        </is>
      </c>
      <c r="C52" s="140" t="inlineStr">
        <is>
          <t>yes</t>
        </is>
      </c>
      <c r="D52" s="274">
        <f>IF(A52="","",IF(ISNUMBER(E52),MAX(DATE(2026,6,3),E52),DATE(2026,6,3)))</f>
        <v/>
      </c>
      <c r="E52" s="274">
        <f>IFERROR(INDEX('Batch Dates'!$F:$F,MATCH(J52,'Batch Dates'!$C:$C,0)),IFERROR(INDEX('Batch Dates'!$F:$F,MATCH(I52,'Batch Dates'!$B:$B,0)),""))</f>
        <v/>
      </c>
      <c r="F52" s="274">
        <f>IFERROR(INDEX('Batch Dates'!$G:$G,MATCH(J52,'Batch Dates'!$C:$C,0)),IFERROR(INDEX('Batch Dates'!$G:$G,MATCH(I52,'Batch Dates'!$B:$B,0)),""))</f>
        <v/>
      </c>
      <c r="G52" s="129" t="inlineStr">
        <is>
          <t>legacy</t>
        </is>
      </c>
      <c r="H52" s="129" t="inlineStr">
        <is>
          <t>initial release</t>
        </is>
      </c>
      <c r="I52" s="130" t="inlineStr">
        <is>
          <t>JD112501</t>
        </is>
      </c>
      <c r="J52" s="129" t="inlineStr">
        <is>
          <t>P060212</t>
        </is>
      </c>
      <c r="K52" s="129" t="inlineStr">
        <is>
          <t>Jelly Donutz</t>
        </is>
      </c>
      <c r="L52" s="129" t="inlineStr">
        <is>
          <t>Ident A + Ident B + Foreign matter</t>
        </is>
      </c>
      <c r="M52" s="141" t="inlineStr">
        <is>
          <t>—</t>
        </is>
      </c>
      <c r="N52" s="129">
        <f>IFERROR(INDEX('CoQ Register'!$B:$B,MATCH("P060212|I",'CoQ Register'!$S:$S,0)),"—")</f>
        <v/>
      </c>
      <c r="O52" s="129" t="inlineStr">
        <is>
          <t>iCoA-PP-2026-0015</t>
        </is>
      </c>
      <c r="P52" s="129" t="inlineStr">
        <is>
          <t>P060212|I</t>
        </is>
      </c>
      <c r="Q52" s="134" t="inlineStr">
        <is>
          <t>registered — initial release, issued 03.06.2026</t>
        </is>
      </c>
    </row>
    <row r="53">
      <c r="A53" s="129" t="n">
        <v>52</v>
      </c>
      <c r="B53" s="130" t="inlineStr">
        <is>
          <t>iCoA-PP_26-052</t>
        </is>
      </c>
      <c r="C53" s="140" t="inlineStr">
        <is>
          <t>yes</t>
        </is>
      </c>
      <c r="D53" s="274">
        <f>IF(A53="","",IF(ISNUMBER(E53),MAX(DATE(2026,6,3),E53),DATE(2026,6,3)))</f>
        <v/>
      </c>
      <c r="E53" s="274">
        <f>IFERROR(INDEX('Batch Dates'!$F:$F,MATCH(J53,'Batch Dates'!$C:$C,0)),IFERROR(INDEX('Batch Dates'!$F:$F,MATCH(I53,'Batch Dates'!$B:$B,0)),""))</f>
        <v/>
      </c>
      <c r="F53" s="274">
        <f>IFERROR(INDEX('Batch Dates'!$G:$G,MATCH(J53,'Batch Dates'!$C:$C,0)),IFERROR(INDEX('Batch Dates'!$G:$G,MATCH(I53,'Batch Dates'!$B:$B,0)),""))</f>
        <v/>
      </c>
      <c r="G53" s="129" t="inlineStr">
        <is>
          <t>legacy</t>
        </is>
      </c>
      <c r="H53" s="129" t="inlineStr">
        <is>
          <t>initial release</t>
        </is>
      </c>
      <c r="I53" s="130" t="inlineStr">
        <is>
          <t>OPM112501</t>
        </is>
      </c>
      <c r="J53" s="129" t="inlineStr">
        <is>
          <t>P060222</t>
        </is>
      </c>
      <c r="K53" s="129" t="inlineStr">
        <is>
          <t>Orange Punch Mimosa</t>
        </is>
      </c>
      <c r="L53" s="129" t="inlineStr">
        <is>
          <t>Ident A + Ident B + Foreign matter</t>
        </is>
      </c>
      <c r="M53" s="141" t="inlineStr">
        <is>
          <t>—</t>
        </is>
      </c>
      <c r="N53" s="129">
        <f>IFERROR(INDEX('CoQ Register'!$B:$B,MATCH("P060222|I",'CoQ Register'!$S:$S,0)),"—")</f>
        <v/>
      </c>
      <c r="O53" s="141" t="inlineStr">
        <is>
          <t>—</t>
        </is>
      </c>
      <c r="P53" s="129" t="inlineStr">
        <is>
          <t>P060222|I</t>
        </is>
      </c>
      <c r="Q53" s="134" t="inlineStr">
        <is>
          <t>registered — initial release, issued 03.06.2026</t>
        </is>
      </c>
    </row>
    <row r="54">
      <c r="A54" s="129" t="n">
        <v>53</v>
      </c>
      <c r="B54" s="130" t="inlineStr">
        <is>
          <t>iCoA-PP_26-053</t>
        </is>
      </c>
      <c r="C54" s="140" t="inlineStr">
        <is>
          <t>yes</t>
        </is>
      </c>
      <c r="D54" s="274">
        <f>IF(A54="","",IF(ISNUMBER(E54),MAX(DATE(2026,6,3),E54),DATE(2026,6,3)))</f>
        <v/>
      </c>
      <c r="E54" s="274">
        <f>IFERROR(INDEX('Batch Dates'!$F:$F,MATCH(J54,'Batch Dates'!$C:$C,0)),IFERROR(INDEX('Batch Dates'!$F:$F,MATCH(I54,'Batch Dates'!$B:$B,0)),""))</f>
        <v/>
      </c>
      <c r="F54" s="274">
        <f>IFERROR(INDEX('Batch Dates'!$G:$G,MATCH(J54,'Batch Dates'!$C:$C,0)),IFERROR(INDEX('Batch Dates'!$G:$G,MATCH(I54,'Batch Dates'!$B:$B,0)),""))</f>
        <v/>
      </c>
      <c r="G54" s="129" t="inlineStr">
        <is>
          <t>legacy</t>
        </is>
      </c>
      <c r="H54" s="129" t="inlineStr">
        <is>
          <t>initial release</t>
        </is>
      </c>
      <c r="I54" s="130" t="inlineStr">
        <is>
          <t>PM112501</t>
        </is>
      </c>
      <c r="J54" s="129" t="inlineStr">
        <is>
          <t>P060232</t>
        </is>
      </c>
      <c r="K54" s="129" t="inlineStr">
        <is>
          <t>Permanent Market</t>
        </is>
      </c>
      <c r="L54" s="129" t="inlineStr">
        <is>
          <t>Ident A + Ident B + Foreign matter</t>
        </is>
      </c>
      <c r="M54" s="141" t="inlineStr">
        <is>
          <t>—</t>
        </is>
      </c>
      <c r="N54" s="129">
        <f>IFERROR(INDEX('CoQ Register'!$B:$B,MATCH("P060232|I",'CoQ Register'!$S:$S,0)),"—")</f>
        <v/>
      </c>
      <c r="O54" s="129" t="inlineStr">
        <is>
          <t>iCoA-PP-2026-0016</t>
        </is>
      </c>
      <c r="P54" s="129" t="inlineStr">
        <is>
          <t>P060232|I</t>
        </is>
      </c>
      <c r="Q54" s="134" t="inlineStr">
        <is>
          <t>registered — initial release, issued 03.06.2026</t>
        </is>
      </c>
    </row>
    <row r="55">
      <c r="A55" s="129" t="n">
        <v>54</v>
      </c>
      <c r="B55" s="130" t="inlineStr">
        <is>
          <t>iCoA-PP_26-054</t>
        </is>
      </c>
      <c r="C55" s="140" t="inlineStr">
        <is>
          <t>yes</t>
        </is>
      </c>
      <c r="D55" s="274">
        <f>IF(A55="","",IF(ISNUMBER(E55),MAX(DATE(2026,6,3),E55),DATE(2026,6,3)))</f>
        <v/>
      </c>
      <c r="E55" s="274">
        <f>IFERROR(INDEX('Batch Dates'!$F:$F,MATCH(J55,'Batch Dates'!$C:$C,0)),IFERROR(INDEX('Batch Dates'!$F:$F,MATCH(I55,'Batch Dates'!$B:$B,0)),""))</f>
        <v/>
      </c>
      <c r="F55" s="274">
        <f>IFERROR(INDEX('Batch Dates'!$G:$G,MATCH(J55,'Batch Dates'!$C:$C,0)),IFERROR(INDEX('Batch Dates'!$G:$G,MATCH(I55,'Batch Dates'!$B:$B,0)),""))</f>
        <v/>
      </c>
      <c r="G55" s="129" t="inlineStr">
        <is>
          <t>legacy</t>
        </is>
      </c>
      <c r="H55" s="129" t="inlineStr">
        <is>
          <t>initial release</t>
        </is>
      </c>
      <c r="I55" s="130" t="inlineStr">
        <is>
          <t>OPM122501</t>
        </is>
      </c>
      <c r="J55" s="129" t="inlineStr">
        <is>
          <t>P060242</t>
        </is>
      </c>
      <c r="K55" s="129" t="inlineStr">
        <is>
          <t>Orange Punch Mimosa</t>
        </is>
      </c>
      <c r="L55" s="129" t="inlineStr">
        <is>
          <t>Ident A + Ident B + Foreign matter</t>
        </is>
      </c>
      <c r="M55" s="141" t="inlineStr">
        <is>
          <t>—</t>
        </is>
      </c>
      <c r="N55" s="129">
        <f>IFERROR(INDEX('CoQ Register'!$B:$B,MATCH("P060242|I",'CoQ Register'!$S:$S,0)),"—")</f>
        <v/>
      </c>
      <c r="O55" s="129" t="inlineStr">
        <is>
          <t>iCoA-PP-2026-0017</t>
        </is>
      </c>
      <c r="P55" s="129" t="inlineStr">
        <is>
          <t>P060242|I</t>
        </is>
      </c>
      <c r="Q55" s="134" t="inlineStr">
        <is>
          <t>registered — initial release, issued 03.06.2026</t>
        </is>
      </c>
    </row>
    <row r="56">
      <c r="A56" s="129" t="n">
        <v>55</v>
      </c>
      <c r="B56" s="130" t="inlineStr">
        <is>
          <t>iCoA-PP_26-055</t>
        </is>
      </c>
      <c r="C56" s="140" t="inlineStr">
        <is>
          <t>yes</t>
        </is>
      </c>
      <c r="D56" s="274">
        <f>IF(A56="","",IF(ISNUMBER(E56),MAX(DATE(2026,6,3),E56),DATE(2026,6,3)))</f>
        <v/>
      </c>
      <c r="E56" s="274">
        <f>IFERROR(INDEX('Batch Dates'!$F:$F,MATCH(J56,'Batch Dates'!$C:$C,0)),IFERROR(INDEX('Batch Dates'!$F:$F,MATCH(I56,'Batch Dates'!$B:$B,0)),""))</f>
        <v/>
      </c>
      <c r="F56" s="274">
        <f>IFERROR(INDEX('Batch Dates'!$G:$G,MATCH(J56,'Batch Dates'!$C:$C,0)),IFERROR(INDEX('Batch Dates'!$G:$G,MATCH(I56,'Batch Dates'!$B:$B,0)),""))</f>
        <v/>
      </c>
      <c r="G56" s="129" t="inlineStr">
        <is>
          <t>legacy</t>
        </is>
      </c>
      <c r="H56" s="129" t="inlineStr">
        <is>
          <t>initial release</t>
        </is>
      </c>
      <c r="I56" s="130" t="inlineStr">
        <is>
          <t>GG112501</t>
        </is>
      </c>
      <c r="J56" s="129" t="inlineStr">
        <is>
          <t>P060252</t>
        </is>
      </c>
      <c r="K56" s="129" t="inlineStr">
        <is>
          <t>Gorilla Glue</t>
        </is>
      </c>
      <c r="L56" s="129" t="inlineStr">
        <is>
          <t>Ident A + Ident B + Foreign matter</t>
        </is>
      </c>
      <c r="M56" s="141" t="inlineStr">
        <is>
          <t>—</t>
        </is>
      </c>
      <c r="N56" s="129">
        <f>IFERROR(INDEX('CoQ Register'!$B:$B,MATCH("P060252|I",'CoQ Register'!$S:$S,0)),"—")</f>
        <v/>
      </c>
      <c r="O56" s="141" t="inlineStr">
        <is>
          <t>—</t>
        </is>
      </c>
      <c r="P56" s="129" t="inlineStr">
        <is>
          <t>P060252|I</t>
        </is>
      </c>
      <c r="Q56" s="134" t="inlineStr">
        <is>
          <t>registered — initial release, issued 03.06.2026</t>
        </is>
      </c>
    </row>
    <row r="57">
      <c r="A57" s="129" t="n">
        <v>56</v>
      </c>
      <c r="B57" s="130" t="inlineStr">
        <is>
          <t>iCoA-PP_26-056</t>
        </is>
      </c>
      <c r="C57" s="140" t="inlineStr">
        <is>
          <t>yes</t>
        </is>
      </c>
      <c r="D57" s="274" t="n">
        <v>46176</v>
      </c>
      <c r="E57" s="274" t="n">
        <v>46153</v>
      </c>
      <c r="F57" s="274">
        <f>IFERROR(INDEX('Batch Dates'!$G:$G,MATCH(J57,'Batch Dates'!$C:$C,0)),IFERROR(INDEX('Batch Dates'!$G:$G,MATCH(I57,'Batch Dates'!$B:$B,0)),""))</f>
        <v/>
      </c>
      <c r="G57" s="129" t="inlineStr">
        <is>
          <t>legacy</t>
        </is>
      </c>
      <c r="H57" s="129" t="inlineStr">
        <is>
          <t>retest 1</t>
        </is>
      </c>
      <c r="I57" s="130" t="inlineStr">
        <is>
          <t>GP062501</t>
        </is>
      </c>
      <c r="J57" s="129" t="inlineStr">
        <is>
          <t>P050202</t>
        </is>
      </c>
      <c r="K57" s="129" t="inlineStr">
        <is>
          <t>Grape Pie</t>
        </is>
      </c>
      <c r="L57" s="129" t="inlineStr">
        <is>
          <t>Ident A + Ident B + Foreign matter</t>
        </is>
      </c>
      <c r="M57" s="141" t="inlineStr">
        <is>
          <t>—</t>
        </is>
      </c>
      <c r="N57" s="129">
        <f>IFERROR(INDEX('CoQ Register'!$B:$B,MATCH("P050202|R",'CoQ Register'!$S:$S,0)),"—")</f>
        <v/>
      </c>
      <c r="O57" s="141" t="inlineStr">
        <is>
          <t>—</t>
        </is>
      </c>
      <c r="P57" s="129" t="inlineStr">
        <is>
          <t>P050202|R</t>
        </is>
      </c>
      <c r="Q57" s="134" t="inlineStr">
        <is>
          <t>registered — retest 1, issued 03.06.2026</t>
        </is>
      </c>
    </row>
    <row r="58">
      <c r="A58" s="129" t="n">
        <v>57</v>
      </c>
      <c r="B58" s="130" t="inlineStr">
        <is>
          <t>iCoA-PP_26-057</t>
        </is>
      </c>
      <c r="C58" s="140" t="inlineStr">
        <is>
          <t>yes</t>
        </is>
      </c>
      <c r="D58" s="274" t="n">
        <v>46176</v>
      </c>
      <c r="E58" s="274" t="n">
        <v>46153</v>
      </c>
      <c r="F58" s="274">
        <f>IFERROR(INDEX('Batch Dates'!$G:$G,MATCH(J58,'Batch Dates'!$C:$C,0)),IFERROR(INDEX('Batch Dates'!$G:$G,MATCH(I58,'Batch Dates'!$B:$B,0)),""))</f>
        <v/>
      </c>
      <c r="G58" s="129" t="inlineStr">
        <is>
          <t>legacy</t>
        </is>
      </c>
      <c r="H58" s="129" t="inlineStr">
        <is>
          <t>retest 2</t>
        </is>
      </c>
      <c r="I58" s="130" t="inlineStr">
        <is>
          <t>GP062501</t>
        </is>
      </c>
      <c r="J58" s="129" t="inlineStr">
        <is>
          <t>P050202</t>
        </is>
      </c>
      <c r="K58" s="129" t="inlineStr">
        <is>
          <t>Grape Pie</t>
        </is>
      </c>
      <c r="L58" s="129" t="inlineStr">
        <is>
          <t>Ident A + Ident B + Foreign matter</t>
        </is>
      </c>
      <c r="M58" s="141" t="inlineStr">
        <is>
          <t>—</t>
        </is>
      </c>
      <c r="N58" s="129">
        <f>IFERROR(INDEX('CoQ Register'!$B:$B,MATCH("P050202|R2",'CoQ Register'!$S:$S,0)),"—")</f>
        <v/>
      </c>
      <c r="O58" s="141" t="inlineStr">
        <is>
          <t>—</t>
        </is>
      </c>
      <c r="P58" s="129" t="inlineStr">
        <is>
          <t>P050202|R2</t>
        </is>
      </c>
      <c r="Q58" s="134" t="inlineStr">
        <is>
          <t>registered — retest 2, issued 03.06.2026</t>
        </is>
      </c>
    </row>
    <row r="59">
      <c r="A59" s="129" t="n">
        <v>58</v>
      </c>
      <c r="B59" s="130" t="inlineStr">
        <is>
          <t>iCoA-PP_26-058</t>
        </is>
      </c>
      <c r="C59" s="140" t="inlineStr">
        <is>
          <t>yes</t>
        </is>
      </c>
      <c r="D59" s="274" t="n">
        <v>46176</v>
      </c>
      <c r="E59" s="274" t="n">
        <v>46153</v>
      </c>
      <c r="F59" s="274">
        <f>IFERROR(INDEX('Batch Dates'!$G:$G,MATCH(J59,'Batch Dates'!$C:$C,0)),IFERROR(INDEX('Batch Dates'!$G:$G,MATCH(I59,'Batch Dates'!$B:$B,0)),""))</f>
        <v/>
      </c>
      <c r="G59" s="129" t="inlineStr">
        <is>
          <t>legacy</t>
        </is>
      </c>
      <c r="H59" s="129" t="inlineStr">
        <is>
          <t>retest 3</t>
        </is>
      </c>
      <c r="I59" s="130" t="inlineStr">
        <is>
          <t>GP062501</t>
        </is>
      </c>
      <c r="J59" s="129" t="inlineStr">
        <is>
          <t>P050202</t>
        </is>
      </c>
      <c r="K59" s="129" t="inlineStr">
        <is>
          <t>Grape Pie</t>
        </is>
      </c>
      <c r="L59" s="129" t="inlineStr">
        <is>
          <t>Ident A + Ident B + Foreign matter</t>
        </is>
      </c>
      <c r="M59" s="141" t="inlineStr">
        <is>
          <t>—</t>
        </is>
      </c>
      <c r="N59" s="129">
        <f>IFERROR(INDEX('CoQ Register'!$B:$B,MATCH("P050202|R3",'CoQ Register'!$S:$S,0)),"—")</f>
        <v/>
      </c>
      <c r="O59" s="141" t="inlineStr">
        <is>
          <t>—</t>
        </is>
      </c>
      <c r="P59" s="129" t="inlineStr">
        <is>
          <t>P050202|R3</t>
        </is>
      </c>
      <c r="Q59" s="134" t="inlineStr">
        <is>
          <t>registered — retest 3, issued 03.06.2026</t>
        </is>
      </c>
    </row>
    <row r="60">
      <c r="A60" s="129" t="n">
        <v>59</v>
      </c>
      <c r="B60" s="130" t="inlineStr">
        <is>
          <t>iCoA-PP_26-059</t>
        </is>
      </c>
      <c r="C60" s="140" t="inlineStr">
        <is>
          <t>yes</t>
        </is>
      </c>
      <c r="D60" s="274" t="n">
        <v>46176</v>
      </c>
      <c r="E60" s="274" t="n">
        <v>46153</v>
      </c>
      <c r="F60" s="274">
        <f>IFERROR(INDEX('Batch Dates'!$G:$G,MATCH(J60,'Batch Dates'!$C:$C,0)),IFERROR(INDEX('Batch Dates'!$G:$G,MATCH(I60,'Batch Dates'!$B:$B,0)),""))</f>
        <v/>
      </c>
      <c r="G60" s="129" t="inlineStr">
        <is>
          <t>legacy</t>
        </is>
      </c>
      <c r="H60" s="129" t="inlineStr">
        <is>
          <t>retest 4</t>
        </is>
      </c>
      <c r="I60" s="130" t="inlineStr">
        <is>
          <t>GP062501</t>
        </is>
      </c>
      <c r="J60" s="129" t="inlineStr">
        <is>
          <t>P050202</t>
        </is>
      </c>
      <c r="K60" s="129" t="inlineStr">
        <is>
          <t>Grape Pie</t>
        </is>
      </c>
      <c r="L60" s="129" t="inlineStr">
        <is>
          <t>Ident A + Ident B + Foreign matter</t>
        </is>
      </c>
      <c r="M60" s="141" t="inlineStr">
        <is>
          <t>—</t>
        </is>
      </c>
      <c r="N60" s="129">
        <f>IFERROR(INDEX('CoQ Register'!$B:$B,MATCH("P050202|R4",'CoQ Register'!$S:$S,0)),"—")</f>
        <v/>
      </c>
      <c r="O60" s="141" t="inlineStr">
        <is>
          <t>—</t>
        </is>
      </c>
      <c r="P60" s="129" t="inlineStr">
        <is>
          <t>P050202|R4</t>
        </is>
      </c>
      <c r="Q60" s="134" t="inlineStr">
        <is>
          <t>registered — retest 4, issued 03.06.2026</t>
        </is>
      </c>
    </row>
    <row r="61">
      <c r="A61" s="129" t="n">
        <v>60</v>
      </c>
      <c r="B61" s="130" t="inlineStr">
        <is>
          <t>iCoA-PP_26-060</t>
        </is>
      </c>
      <c r="C61" s="140" t="inlineStr">
        <is>
          <t>yes</t>
        </is>
      </c>
      <c r="D61" s="274" t="n">
        <v>46176</v>
      </c>
      <c r="E61" s="274" t="n">
        <v>46153</v>
      </c>
      <c r="F61" s="274">
        <f>IFERROR(INDEX('Batch Dates'!$G:$G,MATCH(J61,'Batch Dates'!$C:$C,0)),IFERROR(INDEX('Batch Dates'!$G:$G,MATCH(I61,'Batch Dates'!$B:$B,0)),""))</f>
        <v/>
      </c>
      <c r="G61" s="129" t="inlineStr">
        <is>
          <t>legacy</t>
        </is>
      </c>
      <c r="H61" s="129" t="inlineStr">
        <is>
          <t>retest 3</t>
        </is>
      </c>
      <c r="I61" s="130" t="inlineStr">
        <is>
          <t>GP0824_02</t>
        </is>
      </c>
      <c r="J61" s="129" t="inlineStr">
        <is>
          <t>P050022</t>
        </is>
      </c>
      <c r="K61" s="129" t="inlineStr">
        <is>
          <t>Grape Pie</t>
        </is>
      </c>
      <c r="L61" s="129" t="inlineStr">
        <is>
          <t>Ident A + Ident B + Foreign matter</t>
        </is>
      </c>
      <c r="M61" s="141" t="inlineStr">
        <is>
          <t>—</t>
        </is>
      </c>
      <c r="N61" s="129">
        <f>IFERROR(INDEX('CoQ Register'!$B:$B,MATCH("P050022|R3",'CoQ Register'!$S:$S,0)),"—")</f>
        <v/>
      </c>
      <c r="O61" s="141" t="inlineStr">
        <is>
          <t>—</t>
        </is>
      </c>
      <c r="P61" s="129" t="inlineStr">
        <is>
          <t>P050022|R3</t>
        </is>
      </c>
      <c r="Q61" s="134" t="inlineStr">
        <is>
          <t>registered — retest 3, issued 03.06.2026</t>
        </is>
      </c>
    </row>
    <row r="62">
      <c r="A62" s="129" t="n">
        <v>61</v>
      </c>
      <c r="B62" s="130" t="inlineStr">
        <is>
          <t>iCoA-PP_26-061</t>
        </is>
      </c>
      <c r="C62" s="140" t="inlineStr">
        <is>
          <t>yes</t>
        </is>
      </c>
      <c r="D62" s="274" t="n">
        <v>46176</v>
      </c>
      <c r="E62" s="274" t="n">
        <v>46153</v>
      </c>
      <c r="F62" s="274">
        <f>IFERROR(INDEX('Batch Dates'!$G:$G,MATCH(J62,'Batch Dates'!$C:$C,0)),IFERROR(INDEX('Batch Dates'!$G:$G,MATCH(I62,'Batch Dates'!$B:$B,0)),""))</f>
        <v/>
      </c>
      <c r="G62" s="129" t="inlineStr">
        <is>
          <t>legacy</t>
        </is>
      </c>
      <c r="H62" s="129" t="inlineStr">
        <is>
          <t>retest 1</t>
        </is>
      </c>
      <c r="I62" s="130" t="inlineStr">
        <is>
          <t>GP0824_03</t>
        </is>
      </c>
      <c r="J62" s="129" t="inlineStr">
        <is>
          <t>P050072</t>
        </is>
      </c>
      <c r="K62" s="129" t="inlineStr">
        <is>
          <t>Grape Pie</t>
        </is>
      </c>
      <c r="L62" s="129" t="inlineStr">
        <is>
          <t>Ident A + Ident B + Foreign matter</t>
        </is>
      </c>
      <c r="M62" s="141" t="inlineStr">
        <is>
          <t>—</t>
        </is>
      </c>
      <c r="N62" s="129">
        <f>IFERROR(INDEX('CoQ Register'!$B:$B,MATCH("P050072|R",'CoQ Register'!$S:$S,0)),"—")</f>
        <v/>
      </c>
      <c r="O62" s="141" t="inlineStr">
        <is>
          <t>—</t>
        </is>
      </c>
      <c r="P62" s="129" t="inlineStr">
        <is>
          <t>P050072|R</t>
        </is>
      </c>
      <c r="Q62" s="134" t="inlineStr">
        <is>
          <t>registered — retest 1, issued 03.06.2026</t>
        </is>
      </c>
    </row>
    <row r="63">
      <c r="A63" s="129" t="n">
        <v>62</v>
      </c>
      <c r="B63" s="130" t="inlineStr">
        <is>
          <t>iCoA-PP_26-062</t>
        </is>
      </c>
      <c r="C63" s="140" t="inlineStr">
        <is>
          <t>yes</t>
        </is>
      </c>
      <c r="D63" s="274" t="n">
        <v>46176</v>
      </c>
      <c r="E63" s="274" t="n">
        <v>46153</v>
      </c>
      <c r="F63" s="274">
        <f>IFERROR(INDEX('Batch Dates'!$G:$G,MATCH(J63,'Batch Dates'!$C:$C,0)),IFERROR(INDEX('Batch Dates'!$G:$G,MATCH(I63,'Batch Dates'!$B:$B,0)),""))</f>
        <v/>
      </c>
      <c r="G63" s="129" t="inlineStr">
        <is>
          <t>legacy</t>
        </is>
      </c>
      <c r="H63" s="129" t="inlineStr">
        <is>
          <t>retest 3</t>
        </is>
      </c>
      <c r="I63" s="130" t="inlineStr">
        <is>
          <t>GP0824_03</t>
        </is>
      </c>
      <c r="J63" s="129" t="inlineStr">
        <is>
          <t>P050072</t>
        </is>
      </c>
      <c r="K63" s="129" t="inlineStr">
        <is>
          <t>Grape Pie</t>
        </is>
      </c>
      <c r="L63" s="129" t="inlineStr">
        <is>
          <t>Ident A + Ident B + Foreign matter</t>
        </is>
      </c>
      <c r="M63" s="141" t="inlineStr">
        <is>
          <t>—</t>
        </is>
      </c>
      <c r="N63" s="129">
        <f>IFERROR(INDEX('CoQ Register'!$B:$B,MATCH("P050072|R3",'CoQ Register'!$S:$S,0)),"—")</f>
        <v/>
      </c>
      <c r="O63" s="141" t="inlineStr">
        <is>
          <t>—</t>
        </is>
      </c>
      <c r="P63" s="129" t="inlineStr">
        <is>
          <t>P050072|R3</t>
        </is>
      </c>
      <c r="Q63" s="134" t="inlineStr">
        <is>
          <t>registered — retest 3, issued 03.06.2026</t>
        </is>
      </c>
    </row>
    <row r="64">
      <c r="A64" s="129" t="n">
        <v>63</v>
      </c>
      <c r="B64" s="130" t="inlineStr">
        <is>
          <t>iCoA-PP_26-063</t>
        </is>
      </c>
      <c r="C64" s="140" t="inlineStr">
        <is>
          <t>yes</t>
        </is>
      </c>
      <c r="D64" s="274">
        <f>IF(A64="","",IF(ISNUMBER(E64),MAX(DATE(2026,6,3),E64),DATE(2026,6,3)))</f>
        <v/>
      </c>
      <c r="E64" s="274">
        <f>IFERROR(INDEX('Batch Dates'!$F:$F,MATCH(J64,'Batch Dates'!$C:$C,0)),IFERROR(INDEX('Batch Dates'!$F:$F,MATCH(I64,'Batch Dates'!$B:$B,0)),""))</f>
        <v/>
      </c>
      <c r="F64" s="274">
        <f>IFERROR(INDEX('Batch Dates'!$G:$G,MATCH(J64,'Batch Dates'!$C:$C,0)),IFERROR(INDEX('Batch Dates'!$G:$G,MATCH(I64,'Batch Dates'!$B:$B,0)),""))</f>
        <v/>
      </c>
      <c r="G64" s="129" t="inlineStr">
        <is>
          <t>post-SOP</t>
        </is>
      </c>
      <c r="H64" s="129" t="inlineStr">
        <is>
          <t>initial release</t>
        </is>
      </c>
      <c r="I64" s="130" t="inlineStr">
        <is>
          <t>J31122501</t>
        </is>
      </c>
      <c r="J64" s="129" t="inlineStr">
        <is>
          <t>P060262</t>
        </is>
      </c>
      <c r="K64" s="129" t="inlineStr">
        <is>
          <t>Jokerz 31</t>
        </is>
      </c>
      <c r="L64" s="129" t="inlineStr">
        <is>
          <t>Ident A + Ident B + Foreign matter</t>
        </is>
      </c>
      <c r="M64" s="141" t="inlineStr">
        <is>
          <t>—</t>
        </is>
      </c>
      <c r="N64" s="129">
        <f>IFERROR(INDEX('CoQ Register'!$B:$B,MATCH("P060262|I",'CoQ Register'!$S:$S,0)),"—")</f>
        <v/>
      </c>
      <c r="O64" s="141" t="inlineStr">
        <is>
          <t>—</t>
        </is>
      </c>
      <c r="P64" s="129" t="inlineStr">
        <is>
          <t>P060262|I</t>
        </is>
      </c>
      <c r="Q64" s="134" t="inlineStr">
        <is>
          <t>registered — initial release, issued 03.06.2026</t>
        </is>
      </c>
    </row>
    <row r="65">
      <c r="A65" s="129" t="n">
        <v>64</v>
      </c>
      <c r="B65" s="130" t="inlineStr">
        <is>
          <t>iCoA-PP_26-064</t>
        </is>
      </c>
      <c r="C65" s="140" t="inlineStr">
        <is>
          <t>yes</t>
        </is>
      </c>
      <c r="D65" s="274">
        <f>IF(A65="","",IF(ISNUMBER(E65),MAX(DATE(2026,6,3),E65),DATE(2026,6,3)))</f>
        <v/>
      </c>
      <c r="E65" s="274">
        <f>IFERROR(INDEX('Batch Dates'!$F:$F,MATCH(J65,'Batch Dates'!$C:$C,0)),IFERROR(INDEX('Batch Dates'!$F:$F,MATCH(I65,'Batch Dates'!$B:$B,0)),""))</f>
        <v/>
      </c>
      <c r="F65" s="274">
        <f>IFERROR(INDEX('Batch Dates'!$G:$G,MATCH(J65,'Batch Dates'!$C:$C,0)),IFERROR(INDEX('Batch Dates'!$G:$G,MATCH(I65,'Batch Dates'!$B:$B,0)),""))</f>
        <v/>
      </c>
      <c r="G65" s="129" t="inlineStr">
        <is>
          <t>post-SOP</t>
        </is>
      </c>
      <c r="H65" s="129" t="inlineStr">
        <is>
          <t>initial release</t>
        </is>
      </c>
      <c r="I65" s="130" t="inlineStr">
        <is>
          <t>CC112501</t>
        </is>
      </c>
      <c r="J65" s="129" t="inlineStr">
        <is>
          <t>P060272</t>
        </is>
      </c>
      <c r="K65" s="129" t="inlineStr">
        <is>
          <t>Cash Cow</t>
        </is>
      </c>
      <c r="L65" s="129" t="inlineStr">
        <is>
          <t>Ident A + Ident B + Foreign matter</t>
        </is>
      </c>
      <c r="M65" s="141" t="inlineStr">
        <is>
          <t>—</t>
        </is>
      </c>
      <c r="N65" s="129">
        <f>IFERROR(INDEX('CoQ Register'!$B:$B,MATCH("P060272|I",'CoQ Register'!$S:$S,0)),"—")</f>
        <v/>
      </c>
      <c r="O65" s="141" t="inlineStr">
        <is>
          <t>—</t>
        </is>
      </c>
      <c r="P65" s="129" t="inlineStr">
        <is>
          <t>P060272|I</t>
        </is>
      </c>
      <c r="Q65" s="134" t="inlineStr">
        <is>
          <t>registered — initial release, issued 03.06.2026</t>
        </is>
      </c>
    </row>
    <row r="66">
      <c r="A66" s="129" t="n">
        <v>65</v>
      </c>
      <c r="B66" s="130" t="inlineStr">
        <is>
          <t>iCoA-PP_26-065</t>
        </is>
      </c>
      <c r="C66" s="140" t="inlineStr">
        <is>
          <t>yes</t>
        </is>
      </c>
      <c r="D66" s="274">
        <f>IF(A66="","",IF(ISNUMBER(E66),MAX(DATE(2026,6,3),E66),DATE(2026,6,3)))</f>
        <v/>
      </c>
      <c r="E66" s="274">
        <f>IFERROR(INDEX('Batch Dates'!$F:$F,MATCH(J66,'Batch Dates'!$C:$C,0)),IFERROR(INDEX('Batch Dates'!$F:$F,MATCH(I66,'Batch Dates'!$B:$B,0)),""))</f>
        <v/>
      </c>
      <c r="F66" s="274">
        <f>IFERROR(INDEX('Batch Dates'!$G:$G,MATCH(J66,'Batch Dates'!$C:$C,0)),IFERROR(INDEX('Batch Dates'!$G:$G,MATCH(I66,'Batch Dates'!$B:$B,0)),""))</f>
        <v/>
      </c>
      <c r="G66" s="129" t="inlineStr">
        <is>
          <t>post-SOP</t>
        </is>
      </c>
      <c r="H66" s="129" t="inlineStr">
        <is>
          <t>initial release</t>
        </is>
      </c>
      <c r="I66" s="130" t="inlineStr">
        <is>
          <t>SCR112501</t>
        </is>
      </c>
      <c r="J66" s="129" t="inlineStr">
        <is>
          <t>P060282</t>
        </is>
      </c>
      <c r="K66" s="129" t="inlineStr">
        <is>
          <t>Scrambler</t>
        </is>
      </c>
      <c r="L66" s="129" t="inlineStr">
        <is>
          <t>Ident A + Ident B + Foreign matter</t>
        </is>
      </c>
      <c r="M66" s="141" t="inlineStr">
        <is>
          <t>—</t>
        </is>
      </c>
      <c r="N66" s="129">
        <f>IFERROR(INDEX('CoQ Register'!$B:$B,MATCH("P060282|I",'CoQ Register'!$S:$S,0)),"—")</f>
        <v/>
      </c>
      <c r="O66" s="129" t="inlineStr">
        <is>
          <t>iCoA-PP-2026-0018</t>
        </is>
      </c>
      <c r="P66" s="129" t="inlineStr">
        <is>
          <t>P060282|I</t>
        </is>
      </c>
      <c r="Q66" s="134" t="inlineStr">
        <is>
          <t>registered — initial release, issued 03.06.2026</t>
        </is>
      </c>
    </row>
    <row r="67">
      <c r="A67" s="129" t="n">
        <v>66</v>
      </c>
      <c r="B67" s="130" t="inlineStr">
        <is>
          <t>iCoA-PP_26-066</t>
        </is>
      </c>
      <c r="C67" s="140" t="inlineStr">
        <is>
          <t>yes</t>
        </is>
      </c>
      <c r="D67" s="274">
        <f>IF(A67="","",IF(ISNUMBER(E67),MAX(DATE(2026,6,3),E67),DATE(2026,6,3)))</f>
        <v/>
      </c>
      <c r="E67" s="274">
        <f>IFERROR(INDEX('Batch Dates'!$F:$F,MATCH(J67,'Batch Dates'!$C:$C,0)),IFERROR(INDEX('Batch Dates'!$F:$F,MATCH(I67,'Batch Dates'!$B:$B,0)),""))</f>
        <v/>
      </c>
      <c r="F67" s="274">
        <f>IFERROR(INDEX('Batch Dates'!$G:$G,MATCH(J67,'Batch Dates'!$C:$C,0)),IFERROR(INDEX('Batch Dates'!$G:$G,MATCH(I67,'Batch Dates'!$B:$B,0)),""))</f>
        <v/>
      </c>
      <c r="G67" s="129" t="inlineStr">
        <is>
          <t>post-SOP</t>
        </is>
      </c>
      <c r="H67" s="129" t="inlineStr">
        <is>
          <t>initial release</t>
        </is>
      </c>
      <c r="I67" s="130" t="inlineStr">
        <is>
          <t>FB112501</t>
        </is>
      </c>
      <c r="J67" s="129" t="inlineStr">
        <is>
          <t>P060292</t>
        </is>
      </c>
      <c r="K67" s="129" t="inlineStr">
        <is>
          <t>Fat Bastard</t>
        </is>
      </c>
      <c r="L67" s="129" t="inlineStr">
        <is>
          <t>Ident A + Ident B + Foreign matter</t>
        </is>
      </c>
      <c r="M67" s="141" t="inlineStr">
        <is>
          <t>—</t>
        </is>
      </c>
      <c r="N67" s="129">
        <f>IFERROR(INDEX('CoQ Register'!$B:$B,MATCH("P060292|I",'CoQ Register'!$S:$S,0)),"—")</f>
        <v/>
      </c>
      <c r="O67" s="141" t="inlineStr">
        <is>
          <t>—</t>
        </is>
      </c>
      <c r="P67" s="129" t="inlineStr">
        <is>
          <t>P060292|I</t>
        </is>
      </c>
      <c r="Q67" s="134" t="inlineStr">
        <is>
          <t>registered — initial release, issued 03.06.2026</t>
        </is>
      </c>
    </row>
    <row r="68">
      <c r="A68" s="129" t="n">
        <v>67</v>
      </c>
      <c r="B68" s="130" t="inlineStr">
        <is>
          <t>iCoA-PP_26-067</t>
        </is>
      </c>
      <c r="C68" s="140" t="inlineStr">
        <is>
          <t>yes</t>
        </is>
      </c>
      <c r="D68" s="274">
        <f>IF(A68="","",IF(ISNUMBER(E68),MAX(DATE(2026,6,3),E68),DATE(2026,6,3)))</f>
        <v/>
      </c>
      <c r="E68" s="274">
        <f>IFERROR(INDEX('Batch Dates'!$F:$F,MATCH(J68,'Batch Dates'!$C:$C,0)),IFERROR(INDEX('Batch Dates'!$F:$F,MATCH(I68,'Batch Dates'!$B:$B,0)),""))</f>
        <v/>
      </c>
      <c r="F68" s="274">
        <f>IFERROR(INDEX('Batch Dates'!$G:$G,MATCH(J68,'Batch Dates'!$C:$C,0)),IFERROR(INDEX('Batch Dates'!$G:$G,MATCH(I68,'Batch Dates'!$B:$B,0)),""))</f>
        <v/>
      </c>
      <c r="G68" s="129" t="inlineStr">
        <is>
          <t>post-SOP</t>
        </is>
      </c>
      <c r="H68" s="129" t="inlineStr">
        <is>
          <t>initial release</t>
        </is>
      </c>
      <c r="I68" s="130" t="inlineStr">
        <is>
          <t>FB012601_1</t>
        </is>
      </c>
      <c r="J68" s="129" t="inlineStr">
        <is>
          <t>P060322</t>
        </is>
      </c>
      <c r="K68" s="129" t="inlineStr">
        <is>
          <t>Fat Bastard</t>
        </is>
      </c>
      <c r="L68" s="129" t="inlineStr">
        <is>
          <t>Ident A + Ident B + Foreign matter</t>
        </is>
      </c>
      <c r="M68" s="141" t="inlineStr">
        <is>
          <t>—</t>
        </is>
      </c>
      <c r="N68" s="129">
        <f>IFERROR(INDEX('CoQ Register'!$B:$B,MATCH("P060322|I",'CoQ Register'!$S:$S,0)),"—")</f>
        <v/>
      </c>
      <c r="O68" s="129" t="inlineStr">
        <is>
          <t>iCoA-PP-2026-0019</t>
        </is>
      </c>
      <c r="P68" s="129" t="inlineStr">
        <is>
          <t>P060322|I</t>
        </is>
      </c>
      <c r="Q68" s="134" t="inlineStr">
        <is>
          <t>registered — initial release, issued 03.06.2026</t>
        </is>
      </c>
    </row>
    <row r="69">
      <c r="A69" s="129" t="n">
        <v>68</v>
      </c>
      <c r="B69" s="130" t="inlineStr">
        <is>
          <t>iCoA-PP_26-068</t>
        </is>
      </c>
      <c r="C69" s="140" t="inlineStr">
        <is>
          <t>yes</t>
        </is>
      </c>
      <c r="D69" s="274">
        <f>IF(A69="","",IF(ISNUMBER(E69),MAX(DATE(2026,6,3),E69),DATE(2026,6,3)))</f>
        <v/>
      </c>
      <c r="E69" s="274">
        <f>IFERROR(INDEX('Batch Dates'!$F:$F,MATCH(J69,'Batch Dates'!$C:$C,0)),IFERROR(INDEX('Batch Dates'!$F:$F,MATCH(I69,'Batch Dates'!$B:$B,0)),""))</f>
        <v/>
      </c>
      <c r="F69" s="274">
        <f>IFERROR(INDEX('Batch Dates'!$G:$G,MATCH(J69,'Batch Dates'!$C:$C,0)),IFERROR(INDEX('Batch Dates'!$G:$G,MATCH(I69,'Batch Dates'!$B:$B,0)),""))</f>
        <v/>
      </c>
      <c r="G69" s="129" t="inlineStr">
        <is>
          <t>post-SOP</t>
        </is>
      </c>
      <c r="H69" s="129" t="inlineStr">
        <is>
          <t>initial release</t>
        </is>
      </c>
      <c r="I69" s="130" t="inlineStr">
        <is>
          <t>CC012601/1</t>
        </is>
      </c>
      <c r="J69" s="129" t="inlineStr">
        <is>
          <t>P060332</t>
        </is>
      </c>
      <c r="K69" s="129" t="inlineStr">
        <is>
          <t>CashCow</t>
        </is>
      </c>
      <c r="L69" s="129" t="inlineStr">
        <is>
          <t>Ident A + Ident B + Foreign matter</t>
        </is>
      </c>
      <c r="M69" s="141" t="inlineStr">
        <is>
          <t>—</t>
        </is>
      </c>
      <c r="N69" s="129">
        <f>IFERROR(INDEX('CoQ Register'!$B:$B,MATCH("P060332|I",'CoQ Register'!$S:$S,0)),"—")</f>
        <v/>
      </c>
      <c r="O69" s="141" t="inlineStr">
        <is>
          <t>—</t>
        </is>
      </c>
      <c r="P69" s="129" t="inlineStr">
        <is>
          <t>P060332|I</t>
        </is>
      </c>
      <c r="Q69" s="134" t="inlineStr">
        <is>
          <t>registered — initial release, issued 03.06.2026</t>
        </is>
      </c>
    </row>
    <row r="70">
      <c r="A70" s="129" t="n">
        <v>69</v>
      </c>
      <c r="B70" s="130" t="inlineStr">
        <is>
          <t>iCoA-PP_26-069</t>
        </is>
      </c>
      <c r="C70" s="140" t="inlineStr">
        <is>
          <t>yes</t>
        </is>
      </c>
      <c r="D70" s="274">
        <f>IF(A70="","",IF(ISNUMBER(E70),MAX(DATE(2026,6,3),E70),DATE(2026,6,3)))</f>
        <v/>
      </c>
      <c r="E70" s="274">
        <f>IFERROR(INDEX('Batch Dates'!$F:$F,MATCH(J70,'Batch Dates'!$C:$C,0)),IFERROR(INDEX('Batch Dates'!$F:$F,MATCH(I70,'Batch Dates'!$B:$B,0)),""))</f>
        <v/>
      </c>
      <c r="F70" s="274">
        <f>IFERROR(INDEX('Batch Dates'!$G:$G,MATCH(J70,'Batch Dates'!$C:$C,0)),IFERROR(INDEX('Batch Dates'!$G:$G,MATCH(I70,'Batch Dates'!$B:$B,0)),""))</f>
        <v/>
      </c>
      <c r="G70" s="129" t="inlineStr">
        <is>
          <t>post-SOP</t>
        </is>
      </c>
      <c r="H70" s="129" t="inlineStr">
        <is>
          <t>initial release</t>
        </is>
      </c>
      <c r="I70" s="130" t="inlineStr">
        <is>
          <t>FB012603V</t>
        </is>
      </c>
      <c r="J70" s="129" t="inlineStr">
        <is>
          <t>P060392</t>
        </is>
      </c>
      <c r="K70" s="129" t="inlineStr">
        <is>
          <t>FatBastard</t>
        </is>
      </c>
      <c r="L70" s="129" t="inlineStr">
        <is>
          <t>Ident A + Ident B + Foreign matter</t>
        </is>
      </c>
      <c r="M70" s="129" t="inlineStr">
        <is>
          <t>A: ППК26110 / B: ППК26110 / FM: ППК26110</t>
        </is>
      </c>
      <c r="N70" s="129">
        <f>IFERROR(INDEX('CoQ Register'!$B:$B,MATCH("P060392|I",'CoQ Register'!$S:$S,0)),"—")</f>
        <v/>
      </c>
      <c r="O70" s="141" t="inlineStr">
        <is>
          <t>—</t>
        </is>
      </c>
      <c r="P70" s="129" t="inlineStr">
        <is>
          <t>P060392|I</t>
        </is>
      </c>
      <c r="Q70" s="134" t="inlineStr">
        <is>
          <t>registered — initial release, issued 03.06.2026</t>
        </is>
      </c>
    </row>
    <row r="71">
      <c r="A71" s="129" t="n">
        <v>70</v>
      </c>
      <c r="B71" s="130" t="inlineStr">
        <is>
          <t>iCoA-PP_26-070</t>
        </is>
      </c>
      <c r="C71" s="140" t="inlineStr">
        <is>
          <t>yes</t>
        </is>
      </c>
      <c r="D71" s="274">
        <f>IF(A71="","",IF(ISNUMBER(E71),MAX(DATE(2026,6,3),E71),DATE(2026,6,3)))</f>
        <v/>
      </c>
      <c r="E71" s="274">
        <f>IFERROR(INDEX('Batch Dates'!$F:$F,MATCH(J71,'Batch Dates'!$C:$C,0)),IFERROR(INDEX('Batch Dates'!$F:$F,MATCH(I71,'Batch Dates'!$B:$B,0)),""))</f>
        <v/>
      </c>
      <c r="F71" s="274">
        <f>IFERROR(INDEX('Batch Dates'!$G:$G,MATCH(J71,'Batch Dates'!$C:$C,0)),IFERROR(INDEX('Batch Dates'!$G:$G,MATCH(I71,'Batch Dates'!$B:$B,0)),""))</f>
        <v/>
      </c>
      <c r="G71" s="129" t="inlineStr">
        <is>
          <t>post-SOP</t>
        </is>
      </c>
      <c r="H71" s="129" t="inlineStr">
        <is>
          <t>initial release</t>
        </is>
      </c>
      <c r="I71" s="130" t="inlineStr">
        <is>
          <t>JD012603</t>
        </is>
      </c>
      <c r="J71" s="129" t="inlineStr">
        <is>
          <t>P060422</t>
        </is>
      </c>
      <c r="K71" s="129" t="inlineStr">
        <is>
          <t>JellyDonutz</t>
        </is>
      </c>
      <c r="L71" s="129" t="inlineStr">
        <is>
          <t>Ident A + Ident B + Foreign matter</t>
        </is>
      </c>
      <c r="M71" s="129" t="inlineStr">
        <is>
          <t>A: ППК26111 / B: ППК26111 / FM: ППК26111</t>
        </is>
      </c>
      <c r="N71" s="129">
        <f>IFERROR(INDEX('CoQ Register'!$B:$B,MATCH("P060422|I",'CoQ Register'!$S:$S,0)),"—")</f>
        <v/>
      </c>
      <c r="O71" s="129" t="inlineStr">
        <is>
          <t>iCoA-PP-2026-0022</t>
        </is>
      </c>
      <c r="P71" s="129" t="inlineStr">
        <is>
          <t>P060422|I</t>
        </is>
      </c>
      <c r="Q71" s="134" t="inlineStr">
        <is>
          <t>registered — initial release, issued 03.06.2026</t>
        </is>
      </c>
    </row>
    <row r="72">
      <c r="A72" s="129" t="n">
        <v>71</v>
      </c>
      <c r="B72" s="130" t="inlineStr">
        <is>
          <t>iCoA-PP_26-071</t>
        </is>
      </c>
      <c r="C72" s="140" t="inlineStr">
        <is>
          <t>yes</t>
        </is>
      </c>
      <c r="D72" s="274">
        <f>IF(A72="","",IF(ISNUMBER(E72),MAX(DATE(2026,6,3),E72),DATE(2026,6,3)))</f>
        <v/>
      </c>
      <c r="E72" s="274">
        <f>IFERROR(INDEX('Batch Dates'!$F:$F,MATCH(J72,'Batch Dates'!$C:$C,0)),IFERROR(INDEX('Batch Dates'!$F:$F,MATCH(I72,'Batch Dates'!$B:$B,0)),""))</f>
        <v/>
      </c>
      <c r="F72" s="274">
        <f>IFERROR(INDEX('Batch Dates'!$G:$G,MATCH(J72,'Batch Dates'!$C:$C,0)),IFERROR(INDEX('Batch Dates'!$G:$G,MATCH(I72,'Batch Dates'!$B:$B,0)),""))</f>
        <v/>
      </c>
      <c r="G72" s="129" t="inlineStr">
        <is>
          <t>post-SOP</t>
        </is>
      </c>
      <c r="H72" s="129" t="inlineStr">
        <is>
          <t>initial release</t>
        </is>
      </c>
      <c r="I72" s="130" t="inlineStr">
        <is>
          <t>FB012602*</t>
        </is>
      </c>
      <c r="J72" s="129" t="inlineStr">
        <is>
          <t>P060352</t>
        </is>
      </c>
      <c r="K72" s="129" t="inlineStr">
        <is>
          <t>FatBastard</t>
        </is>
      </c>
      <c r="L72" s="129" t="inlineStr">
        <is>
          <t>Ident A + Ident B + Foreign matter</t>
        </is>
      </c>
      <c r="M72" s="141" t="inlineStr">
        <is>
          <t>—</t>
        </is>
      </c>
      <c r="N72" s="129">
        <f>IFERROR(INDEX('CoQ Register'!$B:$B,MATCH("P060352|I",'CoQ Register'!$S:$S,0)),"—")</f>
        <v/>
      </c>
      <c r="O72" s="129" t="inlineStr">
        <is>
          <t>iCoA-PP-2026-0021</t>
        </is>
      </c>
      <c r="P72" s="129" t="inlineStr">
        <is>
          <t>P060352|I</t>
        </is>
      </c>
      <c r="Q72" s="134" t="inlineStr">
        <is>
          <t>registered — initial release, issued 03.06.2026</t>
        </is>
      </c>
    </row>
    <row r="73">
      <c r="A73" s="129" t="n">
        <v>72</v>
      </c>
      <c r="B73" s="130" t="inlineStr">
        <is>
          <t>iCoA-PP_26-072</t>
        </is>
      </c>
      <c r="C73" s="140" t="inlineStr">
        <is>
          <t>yes</t>
        </is>
      </c>
      <c r="D73" s="274">
        <f>IF(A73="","",IF(ISNUMBER(E73),MAX(DATE(2026,6,3),E73),DATE(2026,6,3)))</f>
        <v/>
      </c>
      <c r="E73" s="274">
        <f>IFERROR(INDEX('Batch Dates'!$F:$F,MATCH(J73,'Batch Dates'!$C:$C,0)),IFERROR(INDEX('Batch Dates'!$F:$F,MATCH(I73,'Batch Dates'!$B:$B,0)),""))</f>
        <v/>
      </c>
      <c r="F73" s="274">
        <f>IFERROR(INDEX('Batch Dates'!$G:$G,MATCH(J73,'Batch Dates'!$C:$C,0)),IFERROR(INDEX('Batch Dates'!$G:$G,MATCH(I73,'Batch Dates'!$B:$B,0)),""))</f>
        <v/>
      </c>
      <c r="G73" s="129" t="inlineStr">
        <is>
          <t>post-SOP</t>
        </is>
      </c>
      <c r="H73" s="129" t="inlineStr">
        <is>
          <t>initial release</t>
        </is>
      </c>
      <c r="I73" s="130" t="inlineStr">
        <is>
          <t>GG012603</t>
        </is>
      </c>
      <c r="J73" s="129" t="inlineStr">
        <is>
          <t>P060402</t>
        </is>
      </c>
      <c r="K73" s="129" t="inlineStr">
        <is>
          <t>GorillaGlue</t>
        </is>
      </c>
      <c r="L73" s="129" t="inlineStr">
        <is>
          <t>Ident A + Ident B + Foreign matter</t>
        </is>
      </c>
      <c r="M73" s="129" t="inlineStr">
        <is>
          <t>A: ППК26114 / B: ППК26114 / FM: ППК26114</t>
        </is>
      </c>
      <c r="N73" s="129">
        <f>IFERROR(INDEX('CoQ Register'!$B:$B,MATCH("P060402|I",'CoQ Register'!$S:$S,0)),"—")</f>
        <v/>
      </c>
      <c r="O73" s="129" t="inlineStr">
        <is>
          <t>iCoA-PP-2026-0023</t>
        </is>
      </c>
      <c r="P73" s="129" t="inlineStr">
        <is>
          <t>P060402|I</t>
        </is>
      </c>
      <c r="Q73" s="134" t="inlineStr">
        <is>
          <t>registered — initial release, issued 03.06.2026</t>
        </is>
      </c>
    </row>
    <row r="74">
      <c r="A74" s="129" t="n">
        <v>73</v>
      </c>
      <c r="B74" s="130" t="inlineStr">
        <is>
          <t>iCoA-PP_26-073</t>
        </is>
      </c>
      <c r="C74" s="140" t="inlineStr">
        <is>
          <t>yes</t>
        </is>
      </c>
      <c r="D74" s="274">
        <f>IF(A74="","",IF(ISNUMBER(E74),MAX(DATE(2026,6,3),E74),DATE(2026,6,3)))</f>
        <v/>
      </c>
      <c r="E74" s="274">
        <f>IFERROR(INDEX('Batch Dates'!$F:$F,MATCH(J74,'Batch Dates'!$C:$C,0)),IFERROR(INDEX('Batch Dates'!$F:$F,MATCH(I74,'Batch Dates'!$B:$B,0)),""))</f>
        <v/>
      </c>
      <c r="F74" s="274">
        <f>IFERROR(INDEX('Batch Dates'!$G:$G,MATCH(J74,'Batch Dates'!$C:$C,0)),IFERROR(INDEX('Batch Dates'!$G:$G,MATCH(I74,'Batch Dates'!$B:$B,0)),""))</f>
        <v/>
      </c>
      <c r="G74" s="129" t="inlineStr">
        <is>
          <t>post-SOP</t>
        </is>
      </c>
      <c r="H74" s="129" t="inlineStr">
        <is>
          <t>initial release</t>
        </is>
      </c>
      <c r="I74" s="130" t="inlineStr">
        <is>
          <t>JD012603</t>
        </is>
      </c>
      <c r="J74" s="129" t="inlineStr">
        <is>
          <t>P060412</t>
        </is>
      </c>
      <c r="K74" s="129" t="inlineStr">
        <is>
          <t>JellyDonutz</t>
        </is>
      </c>
      <c r="L74" s="129" t="inlineStr">
        <is>
          <t>Ident A + Ident B + Foreign matter</t>
        </is>
      </c>
      <c r="M74" s="129" t="inlineStr">
        <is>
          <t>A: ППК26111 / B: ППК26111 / FM: ППК26111</t>
        </is>
      </c>
      <c r="N74" s="129">
        <f>IFERROR(INDEX('CoQ Register'!$B:$B,MATCH("P060412|I",'CoQ Register'!$S:$S,0)),"—")</f>
        <v/>
      </c>
      <c r="O74" s="129" t="inlineStr">
        <is>
          <t>iCoA-PP-2026-0025</t>
        </is>
      </c>
      <c r="P74" s="129" t="inlineStr">
        <is>
          <t>P060412|I</t>
        </is>
      </c>
      <c r="Q74" s="134" t="inlineStr">
        <is>
          <t>registered — initial release, issued 03.06.2026</t>
        </is>
      </c>
    </row>
    <row r="75">
      <c r="A75" s="129" t="n">
        <v>74</v>
      </c>
      <c r="B75" s="130" t="inlineStr">
        <is>
          <t>iCoA-PP_26-074</t>
        </is>
      </c>
      <c r="C75" s="140" t="inlineStr">
        <is>
          <t>yes</t>
        </is>
      </c>
      <c r="D75" s="274">
        <f>IF(A75="","",IF(ISNUMBER(E75),MAX(DATE(2026,6,3),E75),DATE(2026,6,3)))</f>
        <v/>
      </c>
      <c r="E75" s="274">
        <f>IFERROR(INDEX('Batch Dates'!$F:$F,MATCH(J75,'Batch Dates'!$C:$C,0)),IFERROR(INDEX('Batch Dates'!$F:$F,MATCH(I75,'Batch Dates'!$B:$B,0)),""))</f>
        <v/>
      </c>
      <c r="F75" s="274">
        <f>IFERROR(INDEX('Batch Dates'!$G:$G,MATCH(J75,'Batch Dates'!$C:$C,0)),IFERROR(INDEX('Batch Dates'!$G:$G,MATCH(I75,'Batch Dates'!$B:$B,0)),""))</f>
        <v/>
      </c>
      <c r="G75" s="129" t="inlineStr">
        <is>
          <t>post-SOP</t>
        </is>
      </c>
      <c r="H75" s="129" t="inlineStr">
        <is>
          <t>initial release</t>
        </is>
      </c>
      <c r="I75" s="130" t="inlineStr">
        <is>
          <t>SCR012603</t>
        </is>
      </c>
      <c r="J75" s="129" t="inlineStr">
        <is>
          <t>P060382</t>
        </is>
      </c>
      <c r="K75" s="129" t="inlineStr">
        <is>
          <t>Scrambler</t>
        </is>
      </c>
      <c r="L75" s="129" t="inlineStr">
        <is>
          <t>Ident A + Ident B + Foreign matter</t>
        </is>
      </c>
      <c r="M75" s="141" t="inlineStr">
        <is>
          <t>—</t>
        </is>
      </c>
      <c r="N75" s="129">
        <f>IFERROR(INDEX('CoQ Register'!$B:$B,MATCH("P060382|I",'CoQ Register'!$S:$S,0)),"—")</f>
        <v/>
      </c>
      <c r="O75" s="129" t="inlineStr">
        <is>
          <t>iCoA-PP-2026-0026</t>
        </is>
      </c>
      <c r="P75" s="129" t="inlineStr">
        <is>
          <t>P060382|I</t>
        </is>
      </c>
      <c r="Q75" s="134" t="inlineStr">
        <is>
          <t>registered — initial release, issued 03.06.2026</t>
        </is>
      </c>
    </row>
    <row r="76">
      <c r="A76" s="129" t="n">
        <v>75</v>
      </c>
      <c r="B76" s="130" t="inlineStr">
        <is>
          <t>iCoA-PP_26-075</t>
        </is>
      </c>
      <c r="C76" s="140" t="inlineStr">
        <is>
          <t>yes</t>
        </is>
      </c>
      <c r="D76" s="274">
        <f>IF(A76="","",IF(ISNUMBER(E76),MAX(DATE(2026,6,3),E76),DATE(2026,6,3)))</f>
        <v/>
      </c>
      <c r="E76" s="274">
        <f>IFERROR(INDEX('Batch Dates'!$F:$F,MATCH(J76,'Batch Dates'!$C:$C,0)),IFERROR(INDEX('Batch Dates'!$F:$F,MATCH(I76,'Batch Dates'!$B:$B,0)),""))</f>
        <v/>
      </c>
      <c r="F76" s="274">
        <f>IFERROR(INDEX('Batch Dates'!$G:$G,MATCH(J76,'Batch Dates'!$C:$C,0)),IFERROR(INDEX('Batch Dates'!$G:$G,MATCH(I76,'Batch Dates'!$B:$B,0)),""))</f>
        <v/>
      </c>
      <c r="G76" s="129" t="inlineStr">
        <is>
          <t>post-SOP</t>
        </is>
      </c>
      <c r="H76" s="129" t="inlineStr">
        <is>
          <t>initial release</t>
        </is>
      </c>
      <c r="I76" s="130" t="inlineStr">
        <is>
          <t>FB012603</t>
        </is>
      </c>
      <c r="J76" s="129" t="inlineStr">
        <is>
          <t>P060432</t>
        </is>
      </c>
      <c r="K76" s="129" t="inlineStr">
        <is>
          <t>Fat Bastard</t>
        </is>
      </c>
      <c r="L76" s="129" t="inlineStr">
        <is>
          <t>Ident A + Ident B + Foreign matter</t>
        </is>
      </c>
      <c r="M76" s="129" t="inlineStr">
        <is>
          <t>A: ППК26112 / B: ППК26112 / FM: ППК26112</t>
        </is>
      </c>
      <c r="N76" s="129">
        <f>IFERROR(INDEX('CoQ Register'!$B:$B,MATCH("P060432|I",'CoQ Register'!$S:$S,0)),"—")</f>
        <v/>
      </c>
      <c r="O76" s="141" t="inlineStr">
        <is>
          <t>—</t>
        </is>
      </c>
      <c r="P76" s="129" t="inlineStr">
        <is>
          <t>P060432|I</t>
        </is>
      </c>
      <c r="Q76" s="134" t="inlineStr">
        <is>
          <t>registered — initial release, issued 15.06.2026</t>
        </is>
      </c>
    </row>
    <row r="77">
      <c r="A77" s="129" t="n">
        <v>76</v>
      </c>
      <c r="B77" s="130" t="inlineStr">
        <is>
          <t>iCoA-PP_26-076</t>
        </is>
      </c>
      <c r="C77" s="140" t="inlineStr">
        <is>
          <t>yes</t>
        </is>
      </c>
      <c r="D77" s="274">
        <f>IF(A77="","",IF(ISNUMBER(E77),MAX(DATE(2026,6,3),E77),DATE(2026,6,3)))</f>
        <v/>
      </c>
      <c r="E77" s="274">
        <f>IFERROR(INDEX('Batch Dates'!$F:$F,MATCH(J77,'Batch Dates'!$C:$C,0)),IFERROR(INDEX('Batch Dates'!$F:$F,MATCH(I77,'Batch Dates'!$B:$B,0)),""))</f>
        <v/>
      </c>
      <c r="F77" s="274">
        <f>IFERROR(INDEX('Batch Dates'!$G:$G,MATCH(J77,'Batch Dates'!$C:$C,0)),IFERROR(INDEX('Batch Dates'!$G:$G,MATCH(I77,'Batch Dates'!$B:$B,0)),""))</f>
        <v/>
      </c>
      <c r="G77" s="129" t="inlineStr">
        <is>
          <t>post-SOP</t>
        </is>
      </c>
      <c r="H77" s="129" t="inlineStr">
        <is>
          <t>initial release</t>
        </is>
      </c>
      <c r="I77" s="130" t="inlineStr">
        <is>
          <t>SCR022601</t>
        </is>
      </c>
      <c r="J77" s="129" t="inlineStr">
        <is>
          <t>P060442</t>
        </is>
      </c>
      <c r="K77" s="129" t="inlineStr">
        <is>
          <t>Scrambler</t>
        </is>
      </c>
      <c r="L77" s="129" t="inlineStr">
        <is>
          <t>Ident A + Ident B + Foreign matter</t>
        </is>
      </c>
      <c r="M77" s="129" t="inlineStr">
        <is>
          <t>A: ППК26116 / B: ППК26116 / FM: ППК26116</t>
        </is>
      </c>
      <c r="N77" s="129">
        <f>IFERROR(INDEX('CoQ Register'!$B:$B,MATCH("P060442|I",'CoQ Register'!$S:$S,0)),"—")</f>
        <v/>
      </c>
      <c r="O77" s="141" t="inlineStr">
        <is>
          <t>—</t>
        </is>
      </c>
      <c r="P77" s="129" t="inlineStr">
        <is>
          <t>P060442|I</t>
        </is>
      </c>
      <c r="Q77" s="134" t="inlineStr">
        <is>
          <t>registered — initial release, issued 18.06.2026</t>
        </is>
      </c>
    </row>
    <row r="78">
      <c r="A78" s="129" t="n">
        <v>77</v>
      </c>
      <c r="B78" s="130" t="inlineStr">
        <is>
          <t>iCoA-PP_26-077</t>
        </is>
      </c>
      <c r="C78" s="140" t="inlineStr">
        <is>
          <t>yes</t>
        </is>
      </c>
      <c r="D78" s="274">
        <f>IF(A78="","",IF(ISNUMBER(E78),MAX(DATE(2026,6,3),E78),DATE(2026,6,3)))</f>
        <v/>
      </c>
      <c r="E78" s="274">
        <f>IFERROR(INDEX('Batch Dates'!$F:$F,MATCH(J78,'Batch Dates'!$C:$C,0)),IFERROR(INDEX('Batch Dates'!$F:$F,MATCH(I78,'Batch Dates'!$B:$B,0)),""))</f>
        <v/>
      </c>
      <c r="F78" s="274">
        <f>IFERROR(INDEX('Batch Dates'!$G:$G,MATCH(J78,'Batch Dates'!$C:$C,0)),IFERROR(INDEX('Batch Dates'!$G:$G,MATCH(I78,'Batch Dates'!$B:$B,0)),""))</f>
        <v/>
      </c>
      <c r="G78" s="129" t="inlineStr">
        <is>
          <t>post-SOP</t>
        </is>
      </c>
      <c r="H78" s="129" t="inlineStr">
        <is>
          <t>initial release</t>
        </is>
      </c>
      <c r="I78" s="130" t="inlineStr">
        <is>
          <t>FB032601</t>
        </is>
      </c>
      <c r="J78" s="129" t="inlineStr">
        <is>
          <t>P060452</t>
        </is>
      </c>
      <c r="K78" s="129" t="inlineStr">
        <is>
          <t>FatBastard</t>
        </is>
      </c>
      <c r="L78" s="129" t="inlineStr">
        <is>
          <t>Ident A + Ident B + Foreign matter</t>
        </is>
      </c>
      <c r="M78" s="129" t="inlineStr">
        <is>
          <t>A: ППК26127 / B: ППК26127 / FM: ППК26127</t>
        </is>
      </c>
      <c r="N78" s="129">
        <f>IFERROR(INDEX('CoQ Register'!$B:$B,MATCH("P060452|I",'CoQ Register'!$S:$S,0)),"—")</f>
        <v/>
      </c>
      <c r="O78" s="141" t="inlineStr">
        <is>
          <t>—</t>
        </is>
      </c>
      <c r="P78" s="129" t="inlineStr">
        <is>
          <t>P060452|I</t>
        </is>
      </c>
      <c r="Q78" s="134" t="inlineStr">
        <is>
          <t>registered — initial release, issued 29.06.2026</t>
        </is>
      </c>
    </row>
    <row r="79">
      <c r="A79" s="129" t="n">
        <v>78</v>
      </c>
      <c r="B79" s="130" t="inlineStr">
        <is>
          <t>iCoA-PP_26-078</t>
        </is>
      </c>
      <c r="C79" s="140" t="inlineStr">
        <is>
          <t>yes</t>
        </is>
      </c>
      <c r="D79" s="274">
        <f>IF(A79="","",IF(ISNUMBER(E79),MAX(DATE(2026,6,3),E79),DATE(2026,6,3)))</f>
        <v/>
      </c>
      <c r="E79" s="274">
        <f>IFERROR(INDEX('Batch Dates'!$F:$F,MATCH(J79,'Batch Dates'!$C:$C,0)),IFERROR(INDEX('Batch Dates'!$F:$F,MATCH(I79,'Batch Dates'!$B:$B,0)),""))</f>
        <v/>
      </c>
      <c r="F79" s="274">
        <f>IFERROR(INDEX('Batch Dates'!$G:$G,MATCH(J79,'Batch Dates'!$C:$C,0)),IFERROR(INDEX('Batch Dates'!$G:$G,MATCH(I79,'Batch Dates'!$B:$B,0)),""))</f>
        <v/>
      </c>
      <c r="G79" s="129" t="inlineStr">
        <is>
          <t>post-SOP</t>
        </is>
      </c>
      <c r="H79" s="129" t="inlineStr">
        <is>
          <t>initial release</t>
        </is>
      </c>
      <c r="I79" s="130" t="inlineStr">
        <is>
          <t>GG032601</t>
        </is>
      </c>
      <c r="J79" s="129" t="inlineStr">
        <is>
          <t>P060462</t>
        </is>
      </c>
      <c r="K79" s="129" t="inlineStr">
        <is>
          <t>GorillaGlue</t>
        </is>
      </c>
      <c r="L79" s="129" t="inlineStr">
        <is>
          <t>Ident A + Ident B + Foreign matter</t>
        </is>
      </c>
      <c r="M79" s="129" t="inlineStr">
        <is>
          <t>A: ППК26128 / B: ППК26128 / FM: ППК26128</t>
        </is>
      </c>
      <c r="N79" s="129">
        <f>IFERROR(INDEX('CoQ Register'!$B:$B,MATCH("P060462|I",'CoQ Register'!$S:$S,0)),"—")</f>
        <v/>
      </c>
      <c r="O79" s="141" t="inlineStr">
        <is>
          <t>—</t>
        </is>
      </c>
      <c r="P79" s="129" t="inlineStr">
        <is>
          <t>P060462|I</t>
        </is>
      </c>
      <c r="Q79" s="134" t="inlineStr">
        <is>
          <t>registered — initial release, issued 16.07.2026</t>
        </is>
      </c>
    </row>
    <row r="80">
      <c r="A80" s="129" t="n">
        <v>79</v>
      </c>
      <c r="B80" s="130" t="inlineStr">
        <is>
          <t>iCoA-PP_26-079</t>
        </is>
      </c>
      <c r="C80" s="140" t="inlineStr">
        <is>
          <t>yes</t>
        </is>
      </c>
      <c r="D80" s="274">
        <f>IF(A80="","",IF(ISNUMBER(E80),MAX(DATE(2026,6,3),E80),DATE(2026,6,3)))</f>
        <v/>
      </c>
      <c r="E80" s="274">
        <f>IFERROR(INDEX('Batch Dates'!$F:$F,MATCH(J80,'Batch Dates'!$C:$C,0)),IFERROR(INDEX('Batch Dates'!$F:$F,MATCH(I80,'Batch Dates'!$B:$B,0)),""))</f>
        <v/>
      </c>
      <c r="F80" s="274">
        <f>IFERROR(INDEX('Batch Dates'!$G:$G,MATCH(J80,'Batch Dates'!$C:$C,0)),IFERROR(INDEX('Batch Dates'!$G:$G,MATCH(I80,'Batch Dates'!$B:$B,0)),""))</f>
        <v/>
      </c>
      <c r="G80" s="129" t="inlineStr">
        <is>
          <t>post-SOP</t>
        </is>
      </c>
      <c r="H80" s="129" t="inlineStr">
        <is>
          <t>initial release</t>
        </is>
      </c>
      <c r="I80" s="130" t="inlineStr">
        <is>
          <t>JD022601</t>
        </is>
      </c>
      <c r="J80" s="129" t="inlineStr">
        <is>
          <t>P060482</t>
        </is>
      </c>
      <c r="K80" s="129" t="inlineStr">
        <is>
          <t>JellyDonutz</t>
        </is>
      </c>
      <c r="L80" s="129" t="inlineStr">
        <is>
          <t>Ident A + Ident B + Foreign matter</t>
        </is>
      </c>
      <c r="M80" s="129" t="inlineStr">
        <is>
          <t>A: ППК26115 / B: ППК26115 / FM: ППК26115</t>
        </is>
      </c>
      <c r="N80" s="129">
        <f>IFERROR(INDEX('CoQ Register'!$B:$B,MATCH("P060482|I",'CoQ Register'!$S:$S,0)),"—")</f>
        <v/>
      </c>
      <c r="O80" s="141" t="inlineStr">
        <is>
          <t>—</t>
        </is>
      </c>
      <c r="P80" s="129" t="inlineStr">
        <is>
          <t>P060482|I</t>
        </is>
      </c>
      <c r="Q80" s="134" t="inlineStr">
        <is>
          <t>registered — initial release, issued 05.08.2026</t>
        </is>
      </c>
    </row>
    <row r="81">
      <c r="A81" s="129" t="n">
        <v>80</v>
      </c>
      <c r="B81" s="130" t="inlineStr">
        <is>
          <t>iCoA-PP_26-080</t>
        </is>
      </c>
      <c r="C81" s="140" t="inlineStr">
        <is>
          <t>yes</t>
        </is>
      </c>
      <c r="D81" s="274" t="n">
        <v>46241</v>
      </c>
      <c r="E81" s="274" t="n">
        <v>46241</v>
      </c>
      <c r="F81" s="274">
        <f>IFERROR(INDEX('Batch Dates'!$G:$G,MATCH(J81,'Batch Dates'!$C:$C,0)),IFERROR(INDEX('Batch Dates'!$G:$G,MATCH(I81,'Batch Dates'!$B:$B,0)),""))</f>
        <v/>
      </c>
      <c r="G81" s="129" t="inlineStr">
        <is>
          <t>legacy</t>
        </is>
      </c>
      <c r="H81" s="129" t="inlineStr">
        <is>
          <t>retest 4</t>
        </is>
      </c>
      <c r="I81" s="130" t="inlineStr">
        <is>
          <t>GP0824_02</t>
        </is>
      </c>
      <c r="J81" s="129" t="inlineStr">
        <is>
          <t>P050022</t>
        </is>
      </c>
      <c r="K81" s="129" t="inlineStr">
        <is>
          <t>Grape Pie</t>
        </is>
      </c>
      <c r="L81" s="129" t="inlineStr">
        <is>
          <t>Ident A + Ident B + Foreign matter</t>
        </is>
      </c>
      <c r="M81" s="141" t="inlineStr">
        <is>
          <t>—</t>
        </is>
      </c>
      <c r="N81" s="129">
        <f>IFERROR(INDEX('CoQ Register'!$B:$B,MATCH("P050022|R4",'CoQ Register'!$S:$S,0)),"—")</f>
        <v/>
      </c>
      <c r="O81" s="141" t="inlineStr">
        <is>
          <t>—</t>
        </is>
      </c>
      <c r="P81" s="129" t="inlineStr">
        <is>
          <t>P050022|R4</t>
        </is>
      </c>
      <c r="Q81" s="134" t="inlineStr">
        <is>
          <t>registered — retest 4, issued 07.08.2026</t>
        </is>
      </c>
    </row>
    <row r="82">
      <c r="A82" s="129" t="n">
        <v>81</v>
      </c>
      <c r="B82" s="130" t="inlineStr">
        <is>
          <t>iCoA-PP_26-081</t>
        </is>
      </c>
      <c r="C82" s="140" t="inlineStr">
        <is>
          <t>yes</t>
        </is>
      </c>
      <c r="D82" s="274" t="n">
        <v>46241</v>
      </c>
      <c r="E82" s="274" t="n">
        <v>46241</v>
      </c>
      <c r="F82" s="274">
        <f>IFERROR(INDEX('Batch Dates'!$G:$G,MATCH(J82,'Batch Dates'!$C:$C,0)),IFERROR(INDEX('Batch Dates'!$G:$G,MATCH(I82,'Batch Dates'!$B:$B,0)),""))</f>
        <v/>
      </c>
      <c r="G82" s="129" t="inlineStr">
        <is>
          <t>legacy</t>
        </is>
      </c>
      <c r="H82" s="129" t="inlineStr">
        <is>
          <t>retest 5</t>
        </is>
      </c>
      <c r="I82" s="130" t="inlineStr">
        <is>
          <t>GP0824_02</t>
        </is>
      </c>
      <c r="J82" s="129" t="inlineStr">
        <is>
          <t>P050022</t>
        </is>
      </c>
      <c r="K82" s="129" t="inlineStr">
        <is>
          <t>Grape Pie</t>
        </is>
      </c>
      <c r="L82" s="129" t="inlineStr">
        <is>
          <t>Ident A + Ident B + Foreign matter</t>
        </is>
      </c>
      <c r="M82" s="141" t="inlineStr">
        <is>
          <t>—</t>
        </is>
      </c>
      <c r="N82" s="129">
        <f>IFERROR(INDEX('CoQ Register'!$B:$B,MATCH("P050022|R5",'CoQ Register'!$S:$S,0)),"—")</f>
        <v/>
      </c>
      <c r="O82" s="141" t="inlineStr">
        <is>
          <t>—</t>
        </is>
      </c>
      <c r="P82" s="129" t="inlineStr">
        <is>
          <t>P050022|R5</t>
        </is>
      </c>
      <c r="Q82" s="134" t="inlineStr">
        <is>
          <t>registered — retest 5, issued 07.08.2026</t>
        </is>
      </c>
    </row>
    <row r="83">
      <c r="A83" s="129" t="n">
        <v>82</v>
      </c>
      <c r="B83" s="130" t="inlineStr">
        <is>
          <t>iCoA-PP_26-082</t>
        </is>
      </c>
      <c r="C83" s="140" t="inlineStr">
        <is>
          <t>yes</t>
        </is>
      </c>
      <c r="D83" s="274" t="n">
        <v>46244</v>
      </c>
      <c r="E83" s="274" t="n">
        <v>46244</v>
      </c>
      <c r="F83" s="274">
        <f>IFERROR(INDEX('Batch Dates'!$G:$G,MATCH(J83,'Batch Dates'!$C:$C,0)),IFERROR(INDEX('Batch Dates'!$G:$G,MATCH(I83,'Batch Dates'!$B:$B,0)),""))</f>
        <v/>
      </c>
      <c r="G83" s="129" t="inlineStr">
        <is>
          <t>legacy</t>
        </is>
      </c>
      <c r="H83" s="129" t="inlineStr">
        <is>
          <t>retest 1</t>
        </is>
      </c>
      <c r="I83" s="130" t="inlineStr">
        <is>
          <t>BG1024</t>
        </is>
      </c>
      <c r="J83" s="129" t="inlineStr">
        <is>
          <t>N/A — no P batch assigned</t>
        </is>
      </c>
      <c r="K83" s="129" t="inlineStr">
        <is>
          <t>Blue Gelato</t>
        </is>
      </c>
      <c r="L83" s="129" t="inlineStr">
        <is>
          <t>Ident A + Ident B + Foreign matter</t>
        </is>
      </c>
      <c r="M83" s="141" t="inlineStr">
        <is>
          <t>—</t>
        </is>
      </c>
      <c r="N83" s="129">
        <f>IFERROR(INDEX('CoQ Register'!$B:$B,MATCH("BG1024|R",'CoQ Register'!$S:$S,0)),"—")</f>
        <v/>
      </c>
      <c r="O83" s="141" t="inlineStr">
        <is>
          <t>—</t>
        </is>
      </c>
      <c r="P83" s="129" t="inlineStr">
        <is>
          <t>BG1024|R</t>
        </is>
      </c>
      <c r="Q83" s="134" t="inlineStr">
        <is>
          <t>registered — retest 1, issued 10.08.2026</t>
        </is>
      </c>
    </row>
    <row r="84">
      <c r="A84" s="129" t="n">
        <v>83</v>
      </c>
      <c r="B84" s="130" t="inlineStr">
        <is>
          <t>iCoA-PP_26-083</t>
        </is>
      </c>
      <c r="C84" s="140" t="inlineStr">
        <is>
          <t>yes</t>
        </is>
      </c>
      <c r="D84" s="274" t="n">
        <v>46244</v>
      </c>
      <c r="E84" s="274" t="n">
        <v>46244</v>
      </c>
      <c r="F84" s="274">
        <f>IFERROR(INDEX('Batch Dates'!$G:$G,MATCH(J84,'Batch Dates'!$C:$C,0)),IFERROR(INDEX('Batch Dates'!$G:$G,MATCH(I84,'Batch Dates'!$B:$B,0)),""))</f>
        <v/>
      </c>
      <c r="G84" s="129" t="inlineStr">
        <is>
          <t>legacy</t>
        </is>
      </c>
      <c r="H84" s="129" t="inlineStr">
        <is>
          <t>retest 1</t>
        </is>
      </c>
      <c r="I84" s="130" t="inlineStr">
        <is>
          <t>BSS1024</t>
        </is>
      </c>
      <c r="J84" s="129" t="inlineStr">
        <is>
          <t>N/A — no P batch assigned</t>
        </is>
      </c>
      <c r="K84" s="129" t="inlineStr">
        <is>
          <t>Blue Sunset Sherbet</t>
        </is>
      </c>
      <c r="L84" s="129" t="inlineStr">
        <is>
          <t>Ident A + Ident B + Foreign matter</t>
        </is>
      </c>
      <c r="M84" s="141" t="inlineStr">
        <is>
          <t>—</t>
        </is>
      </c>
      <c r="N84" s="129">
        <f>IFERROR(INDEX('CoQ Register'!$B:$B,MATCH("BSS1024|R",'CoQ Register'!$S:$S,0)),"—")</f>
        <v/>
      </c>
      <c r="O84" s="141" t="inlineStr">
        <is>
          <t>—</t>
        </is>
      </c>
      <c r="P84" s="129" t="inlineStr">
        <is>
          <t>BSS1024|R</t>
        </is>
      </c>
      <c r="Q84" s="134" t="inlineStr">
        <is>
          <t>registered — retest 1, issued 10.08.2026</t>
        </is>
      </c>
    </row>
    <row r="85">
      <c r="A85" s="129" t="n">
        <v>84</v>
      </c>
      <c r="B85" s="130" t="inlineStr">
        <is>
          <t>iCoA-PP_26-084</t>
        </is>
      </c>
      <c r="C85" s="140" t="inlineStr">
        <is>
          <t>yes</t>
        </is>
      </c>
      <c r="D85" s="274" t="n">
        <v>46244</v>
      </c>
      <c r="E85" s="274" t="n">
        <v>46244</v>
      </c>
      <c r="F85" s="274">
        <f>IFERROR(INDEX('Batch Dates'!$G:$G,MATCH(J85,'Batch Dates'!$C:$C,0)),IFERROR(INDEX('Batch Dates'!$G:$G,MATCH(I85,'Batch Dates'!$B:$B,0)),""))</f>
        <v/>
      </c>
      <c r="G85" s="129" t="inlineStr">
        <is>
          <t>legacy</t>
        </is>
      </c>
      <c r="H85" s="129" t="inlineStr">
        <is>
          <t>retest 1</t>
        </is>
      </c>
      <c r="I85" s="130" t="inlineStr">
        <is>
          <t>CJ052501/01</t>
        </is>
      </c>
      <c r="J85" s="129" t="inlineStr">
        <is>
          <t>P050162</t>
        </is>
      </c>
      <c r="K85" s="129" t="inlineStr">
        <is>
          <t>Cup Junky</t>
        </is>
      </c>
      <c r="L85" s="129" t="inlineStr">
        <is>
          <t>Ident A + Ident B + Foreign matter</t>
        </is>
      </c>
      <c r="M85" s="141" t="inlineStr">
        <is>
          <t>—</t>
        </is>
      </c>
      <c r="N85" s="129">
        <f>IFERROR(INDEX('CoQ Register'!$B:$B,MATCH("P050162|R",'CoQ Register'!$S:$S,0)),"—")</f>
        <v/>
      </c>
      <c r="O85" s="141" t="inlineStr">
        <is>
          <t>—</t>
        </is>
      </c>
      <c r="P85" s="129" t="inlineStr">
        <is>
          <t>P050162|R</t>
        </is>
      </c>
      <c r="Q85" s="134" t="inlineStr">
        <is>
          <t>registered — retest 1, issued 10.08.2026</t>
        </is>
      </c>
    </row>
    <row r="86">
      <c r="A86" s="129" t="n">
        <v>85</v>
      </c>
      <c r="B86" s="130" t="inlineStr">
        <is>
          <t>iCoA-PP_26-085</t>
        </is>
      </c>
      <c r="C86" s="140" t="inlineStr">
        <is>
          <t>yes</t>
        </is>
      </c>
      <c r="D86" s="274" t="n">
        <v>46244</v>
      </c>
      <c r="E86" s="274" t="n">
        <v>46244</v>
      </c>
      <c r="F86" s="274">
        <f>IFERROR(INDEX('Batch Dates'!$G:$G,MATCH(J86,'Batch Dates'!$C:$C,0)),IFERROR(INDEX('Batch Dates'!$G:$G,MATCH(I86,'Batch Dates'!$B:$B,0)),""))</f>
        <v/>
      </c>
      <c r="G86" s="129" t="inlineStr">
        <is>
          <t>legacy</t>
        </is>
      </c>
      <c r="H86" s="129" t="inlineStr">
        <is>
          <t>retest 1</t>
        </is>
      </c>
      <c r="I86" s="130" t="inlineStr">
        <is>
          <t>CJ062501/2</t>
        </is>
      </c>
      <c r="J86" s="129" t="inlineStr">
        <is>
          <t>P050212</t>
        </is>
      </c>
      <c r="K86" s="129" t="inlineStr">
        <is>
          <t>Cap Junkie</t>
        </is>
      </c>
      <c r="L86" s="129" t="inlineStr">
        <is>
          <t>Ident A + Ident B + Foreign matter</t>
        </is>
      </c>
      <c r="M86" s="141" t="inlineStr">
        <is>
          <t>—</t>
        </is>
      </c>
      <c r="N86" s="129">
        <f>IFERROR(INDEX('CoQ Register'!$B:$B,MATCH("P050212|R",'CoQ Register'!$S:$S,0)),"—")</f>
        <v/>
      </c>
      <c r="O86" s="141" t="inlineStr">
        <is>
          <t>—</t>
        </is>
      </c>
      <c r="P86" s="129" t="inlineStr">
        <is>
          <t>P050212|R</t>
        </is>
      </c>
      <c r="Q86" s="134" t="inlineStr">
        <is>
          <t>registered — retest 1, issued 10.08.2026</t>
        </is>
      </c>
    </row>
    <row r="87">
      <c r="A87" s="129" t="n">
        <v>86</v>
      </c>
      <c r="B87" s="130" t="inlineStr">
        <is>
          <t>iCoA-PP_26-086</t>
        </is>
      </c>
      <c r="C87" s="140" t="inlineStr">
        <is>
          <t>yes</t>
        </is>
      </c>
      <c r="D87" s="274" t="n">
        <v>46244</v>
      </c>
      <c r="E87" s="274" t="n">
        <v>46244</v>
      </c>
      <c r="F87" s="274">
        <f>IFERROR(INDEX('Batch Dates'!$G:$G,MATCH(J87,'Batch Dates'!$C:$C,0)),IFERROR(INDEX('Batch Dates'!$G:$G,MATCH(I87,'Batch Dates'!$B:$B,0)),""))</f>
        <v/>
      </c>
      <c r="G87" s="129" t="inlineStr">
        <is>
          <t>legacy</t>
        </is>
      </c>
      <c r="H87" s="129" t="inlineStr">
        <is>
          <t>retest 1</t>
        </is>
      </c>
      <c r="I87" s="130" t="inlineStr">
        <is>
          <t>CJ082501/2</t>
        </is>
      </c>
      <c r="J87" s="129" t="inlineStr">
        <is>
          <t>P060032</t>
        </is>
      </c>
      <c r="K87" s="129" t="inlineStr">
        <is>
          <t>Cap Junky</t>
        </is>
      </c>
      <c r="L87" s="129" t="inlineStr">
        <is>
          <t>Ident A + Ident B + Foreign matter</t>
        </is>
      </c>
      <c r="M87" s="141" t="inlineStr">
        <is>
          <t>—</t>
        </is>
      </c>
      <c r="N87" s="129">
        <f>IFERROR(INDEX('CoQ Register'!$B:$B,MATCH("P060032|R",'CoQ Register'!$S:$S,0)),"—")</f>
        <v/>
      </c>
      <c r="O87" s="141" t="inlineStr">
        <is>
          <t>—</t>
        </is>
      </c>
      <c r="P87" s="129" t="inlineStr">
        <is>
          <t>P060032|R</t>
        </is>
      </c>
      <c r="Q87" s="134" t="inlineStr">
        <is>
          <t>registered — retest 1, issued 10.08.2026</t>
        </is>
      </c>
    </row>
    <row r="88">
      <c r="A88" s="129" t="n">
        <v>87</v>
      </c>
      <c r="B88" s="130" t="inlineStr">
        <is>
          <t>iCoA-PP_26-087</t>
        </is>
      </c>
      <c r="C88" s="140" t="inlineStr">
        <is>
          <t>yes</t>
        </is>
      </c>
      <c r="D88" s="274" t="n">
        <v>46244</v>
      </c>
      <c r="E88" s="274" t="n">
        <v>46244</v>
      </c>
      <c r="F88" s="274">
        <f>IFERROR(INDEX('Batch Dates'!$G:$G,MATCH(J88,'Batch Dates'!$C:$C,0)),IFERROR(INDEX('Batch Dates'!$G:$G,MATCH(I88,'Batch Dates'!$B:$B,0)),""))</f>
        <v/>
      </c>
      <c r="G88" s="129" t="inlineStr">
        <is>
          <t>legacy</t>
        </is>
      </c>
      <c r="H88" s="129" t="inlineStr">
        <is>
          <t>retest 1</t>
        </is>
      </c>
      <c r="I88" s="130" t="inlineStr">
        <is>
          <t>GG1024_01</t>
        </is>
      </c>
      <c r="J88" s="129" t="inlineStr">
        <is>
          <t>P050092</t>
        </is>
      </c>
      <c r="K88" s="129" t="inlineStr">
        <is>
          <t>Gorilla Glue</t>
        </is>
      </c>
      <c r="L88" s="129" t="inlineStr">
        <is>
          <t>Ident A + Ident B + Foreign matter</t>
        </is>
      </c>
      <c r="M88" s="141" t="inlineStr">
        <is>
          <t>—</t>
        </is>
      </c>
      <c r="N88" s="129">
        <f>IFERROR(INDEX('CoQ Register'!$B:$B,MATCH("P050092|R",'CoQ Register'!$S:$S,0)),"—")</f>
        <v/>
      </c>
      <c r="O88" s="141" t="inlineStr">
        <is>
          <t>—</t>
        </is>
      </c>
      <c r="P88" s="129" t="inlineStr">
        <is>
          <t>P050092|R</t>
        </is>
      </c>
      <c r="Q88" s="134" t="inlineStr">
        <is>
          <t>registered — retest 1, issued 10.08.2026</t>
        </is>
      </c>
    </row>
    <row r="89">
      <c r="A89" s="129" t="n">
        <v>88</v>
      </c>
      <c r="B89" s="130" t="inlineStr">
        <is>
          <t>iCoA-PP_26-088</t>
        </is>
      </c>
      <c r="C89" s="140" t="inlineStr">
        <is>
          <t>yes</t>
        </is>
      </c>
      <c r="D89" s="274" t="n">
        <v>46244</v>
      </c>
      <c r="E89" s="274" t="n">
        <v>46244</v>
      </c>
      <c r="F89" s="274">
        <f>IFERROR(INDEX('Batch Dates'!$G:$G,MATCH(J89,'Batch Dates'!$C:$C,0)),IFERROR(INDEX('Batch Dates'!$G:$G,MATCH(I89,'Batch Dates'!$B:$B,0)),""))</f>
        <v/>
      </c>
      <c r="G89" s="129" t="inlineStr">
        <is>
          <t>legacy</t>
        </is>
      </c>
      <c r="H89" s="129" t="inlineStr">
        <is>
          <t>retest 1</t>
        </is>
      </c>
      <c r="I89" s="130" t="inlineStr">
        <is>
          <t>GP052501</t>
        </is>
      </c>
      <c r="J89" s="129" t="inlineStr">
        <is>
          <t>P050152</t>
        </is>
      </c>
      <c r="K89" s="129" t="inlineStr">
        <is>
          <t>Grape Pie</t>
        </is>
      </c>
      <c r="L89" s="129" t="inlineStr">
        <is>
          <t>Ident A + Ident B + Foreign matter</t>
        </is>
      </c>
      <c r="M89" s="141" t="inlineStr">
        <is>
          <t>—</t>
        </is>
      </c>
      <c r="N89" s="129">
        <f>IFERROR(INDEX('CoQ Register'!$B:$B,MATCH("P050152|R",'CoQ Register'!$S:$S,0)),"—")</f>
        <v/>
      </c>
      <c r="O89" s="141" t="inlineStr">
        <is>
          <t>—</t>
        </is>
      </c>
      <c r="P89" s="129" t="inlineStr">
        <is>
          <t>P050152|R</t>
        </is>
      </c>
      <c r="Q89" s="134" t="inlineStr">
        <is>
          <t>registered — retest 1, issued 10.08.2026</t>
        </is>
      </c>
    </row>
    <row r="90">
      <c r="A90" s="129" t="n">
        <v>89</v>
      </c>
      <c r="B90" s="130" t="inlineStr">
        <is>
          <t>iCoA-PP_26-089</t>
        </is>
      </c>
      <c r="C90" s="140" t="inlineStr">
        <is>
          <t>yes</t>
        </is>
      </c>
      <c r="D90" s="274" t="n">
        <v>46244</v>
      </c>
      <c r="E90" s="274" t="n">
        <v>46244</v>
      </c>
      <c r="F90" s="274">
        <f>IFERROR(INDEX('Batch Dates'!$G:$G,MATCH(J90,'Batch Dates'!$C:$C,0)),IFERROR(INDEX('Batch Dates'!$G:$G,MATCH(I90,'Batch Dates'!$B:$B,0)),""))</f>
        <v/>
      </c>
      <c r="G90" s="129" t="inlineStr">
        <is>
          <t>legacy</t>
        </is>
      </c>
      <c r="H90" s="129" t="inlineStr">
        <is>
          <t>retest 1</t>
        </is>
      </c>
      <c r="I90" s="130" t="inlineStr">
        <is>
          <t>GP0824_02</t>
        </is>
      </c>
      <c r="J90" s="129" t="inlineStr">
        <is>
          <t>P050022</t>
        </is>
      </c>
      <c r="K90" s="129" t="inlineStr">
        <is>
          <t>Grape Pie</t>
        </is>
      </c>
      <c r="L90" s="129" t="inlineStr">
        <is>
          <t>Ident A + Ident B + Foreign matter</t>
        </is>
      </c>
      <c r="M90" s="141" t="inlineStr">
        <is>
          <t>—</t>
        </is>
      </c>
      <c r="N90" s="129">
        <f>IFERROR(INDEX('CoQ Register'!$B:$B,MATCH("P050022|R",'CoQ Register'!$S:$S,0)),"—")</f>
        <v/>
      </c>
      <c r="O90" s="141" t="inlineStr">
        <is>
          <t>—</t>
        </is>
      </c>
      <c r="P90" s="129" t="inlineStr">
        <is>
          <t>P050022|R</t>
        </is>
      </c>
      <c r="Q90" s="134" t="inlineStr">
        <is>
          <t>registered — retest 1, issued 10.08.2026</t>
        </is>
      </c>
    </row>
    <row r="91">
      <c r="A91" s="129" t="n">
        <v>90</v>
      </c>
      <c r="B91" s="130" t="inlineStr">
        <is>
          <t>iCoA-PP_26-090</t>
        </is>
      </c>
      <c r="C91" s="140" t="inlineStr">
        <is>
          <t>yes</t>
        </is>
      </c>
      <c r="D91" s="274" t="n">
        <v>46244</v>
      </c>
      <c r="E91" s="274" t="n">
        <v>46244</v>
      </c>
      <c r="F91" s="274">
        <f>IFERROR(INDEX('Batch Dates'!$G:$G,MATCH(J91,'Batch Dates'!$C:$C,0)),IFERROR(INDEX('Batch Dates'!$G:$G,MATCH(I91,'Batch Dates'!$B:$B,0)),""))</f>
        <v/>
      </c>
      <c r="G91" s="129" t="inlineStr">
        <is>
          <t>legacy</t>
        </is>
      </c>
      <c r="H91" s="129" t="inlineStr">
        <is>
          <t>retest 1</t>
        </is>
      </c>
      <c r="I91" s="130" t="inlineStr">
        <is>
          <t>GP082501/2</t>
        </is>
      </c>
      <c r="J91" s="129" t="inlineStr">
        <is>
          <t>P050322</t>
        </is>
      </c>
      <c r="K91" s="129" t="inlineStr">
        <is>
          <t>Grape Pie</t>
        </is>
      </c>
      <c r="L91" s="129" t="inlineStr">
        <is>
          <t>Ident A + Ident B + Foreign matter</t>
        </is>
      </c>
      <c r="M91" s="141" t="inlineStr">
        <is>
          <t>—</t>
        </is>
      </c>
      <c r="N91" s="129">
        <f>IFERROR(INDEX('CoQ Register'!$B:$B,MATCH("P050322|R",'CoQ Register'!$S:$S,0)),"—")</f>
        <v/>
      </c>
      <c r="O91" s="141" t="inlineStr">
        <is>
          <t>—</t>
        </is>
      </c>
      <c r="P91" s="129" t="inlineStr">
        <is>
          <t>P050322|R</t>
        </is>
      </c>
      <c r="Q91" s="134" t="inlineStr">
        <is>
          <t>registered — retest 1, issued 10.08.2026</t>
        </is>
      </c>
    </row>
    <row r="92">
      <c r="A92" s="129" t="n">
        <v>91</v>
      </c>
      <c r="B92" s="130" t="inlineStr">
        <is>
          <t>iCoA-PP_26-091</t>
        </is>
      </c>
      <c r="C92" s="140" t="inlineStr">
        <is>
          <t>yes</t>
        </is>
      </c>
      <c r="D92" s="274" t="n">
        <v>46244</v>
      </c>
      <c r="E92" s="274" t="n">
        <v>46244</v>
      </c>
      <c r="F92" s="274">
        <f>IFERROR(INDEX('Batch Dates'!$G:$G,MATCH(J92,'Batch Dates'!$C:$C,0)),IFERROR(INDEX('Batch Dates'!$G:$G,MATCH(I92,'Batch Dates'!$B:$B,0)),""))</f>
        <v/>
      </c>
      <c r="G92" s="129" t="inlineStr">
        <is>
          <t>legacy</t>
        </is>
      </c>
      <c r="H92" s="129" t="inlineStr">
        <is>
          <t>retest 1</t>
        </is>
      </c>
      <c r="I92" s="130" t="inlineStr">
        <is>
          <t>HPA1024</t>
        </is>
      </c>
      <c r="J92" s="129" t="inlineStr">
        <is>
          <t>N/A — no P batch assigned</t>
        </is>
      </c>
      <c r="K92" s="129" t="inlineStr">
        <is>
          <t>HighProAmnesia</t>
        </is>
      </c>
      <c r="L92" s="129" t="inlineStr">
        <is>
          <t>Ident A + Ident B + Foreign matter</t>
        </is>
      </c>
      <c r="M92" s="141" t="inlineStr">
        <is>
          <t>—</t>
        </is>
      </c>
      <c r="N92" s="129">
        <f>IFERROR(INDEX('CoQ Register'!$B:$B,MATCH("HPA1024|R",'CoQ Register'!$S:$S,0)),"—")</f>
        <v/>
      </c>
      <c r="O92" s="141" t="inlineStr">
        <is>
          <t>—</t>
        </is>
      </c>
      <c r="P92" s="129" t="inlineStr">
        <is>
          <t>HPA1024|R</t>
        </is>
      </c>
      <c r="Q92" s="134" t="inlineStr">
        <is>
          <t>registered — retest 1, issued 10.08.2026</t>
        </is>
      </c>
    </row>
    <row r="93">
      <c r="A93" s="129" t="n">
        <v>92</v>
      </c>
      <c r="B93" s="130" t="inlineStr">
        <is>
          <t>iCoA-PP_26-092</t>
        </is>
      </c>
      <c r="C93" s="140" t="inlineStr">
        <is>
          <t>yes</t>
        </is>
      </c>
      <c r="D93" s="274" t="n">
        <v>46244</v>
      </c>
      <c r="E93" s="274" t="n">
        <v>46244</v>
      </c>
      <c r="F93" s="274">
        <f>IFERROR(INDEX('Batch Dates'!$G:$G,MATCH(J93,'Batch Dates'!$C:$C,0)),IFERROR(INDEX('Batch Dates'!$G:$G,MATCH(I93,'Batch Dates'!$B:$B,0)),""))</f>
        <v/>
      </c>
      <c r="G93" s="129" t="inlineStr">
        <is>
          <t>legacy</t>
        </is>
      </c>
      <c r="H93" s="129" t="inlineStr">
        <is>
          <t>retest 1</t>
        </is>
      </c>
      <c r="I93" s="130" t="inlineStr">
        <is>
          <t>HPA1024_01</t>
        </is>
      </c>
      <c r="J93" s="129" t="inlineStr">
        <is>
          <t>P050052</t>
        </is>
      </c>
      <c r="K93" s="129" t="inlineStr">
        <is>
          <t>High Pro Amnesia</t>
        </is>
      </c>
      <c r="L93" s="129" t="inlineStr">
        <is>
          <t>Ident A + Ident B + Foreign matter</t>
        </is>
      </c>
      <c r="M93" s="141" t="inlineStr">
        <is>
          <t>—</t>
        </is>
      </c>
      <c r="N93" s="129">
        <f>IFERROR(INDEX('CoQ Register'!$B:$B,MATCH("P050052|R",'CoQ Register'!$S:$S,0)),"—")</f>
        <v/>
      </c>
      <c r="O93" s="141" t="inlineStr">
        <is>
          <t>—</t>
        </is>
      </c>
      <c r="P93" s="129" t="inlineStr">
        <is>
          <t>P050052|R</t>
        </is>
      </c>
      <c r="Q93" s="134" t="inlineStr">
        <is>
          <t>registered — retest 1, issued 10.08.2026</t>
        </is>
      </c>
    </row>
    <row r="94">
      <c r="A94" s="129" t="n">
        <v>93</v>
      </c>
      <c r="B94" s="130" t="inlineStr">
        <is>
          <t>iCoA-PP_26-093</t>
        </is>
      </c>
      <c r="C94" s="140" t="inlineStr">
        <is>
          <t>yes</t>
        </is>
      </c>
      <c r="D94" s="274" t="n">
        <v>46244</v>
      </c>
      <c r="E94" s="274" t="n">
        <v>46244</v>
      </c>
      <c r="F94" s="274">
        <f>IFERROR(INDEX('Batch Dates'!$G:$G,MATCH(J94,'Batch Dates'!$C:$C,0)),IFERROR(INDEX('Batch Dates'!$G:$G,MATCH(I94,'Batch Dates'!$B:$B,0)),""))</f>
        <v/>
      </c>
      <c r="G94" s="129" t="inlineStr">
        <is>
          <t>legacy</t>
        </is>
      </c>
      <c r="H94" s="129" t="inlineStr">
        <is>
          <t>retest 1</t>
        </is>
      </c>
      <c r="I94" s="130" t="inlineStr">
        <is>
          <t>OPM1024</t>
        </is>
      </c>
      <c r="J94" s="129" t="inlineStr">
        <is>
          <t>N/A — no P batch assigned</t>
        </is>
      </c>
      <c r="K94" s="129" t="inlineStr">
        <is>
          <t>OrangePunchMimosa</t>
        </is>
      </c>
      <c r="L94" s="129" t="inlineStr">
        <is>
          <t>Ident A + Ident B + Foreign matter</t>
        </is>
      </c>
      <c r="M94" s="141" t="inlineStr">
        <is>
          <t>—</t>
        </is>
      </c>
      <c r="N94" s="129">
        <f>IFERROR(INDEX('CoQ Register'!$B:$B,MATCH("OPM1024|R",'CoQ Register'!$S:$S,0)),"—")</f>
        <v/>
      </c>
      <c r="O94" s="141" t="inlineStr">
        <is>
          <t>—</t>
        </is>
      </c>
      <c r="P94" s="129" t="inlineStr">
        <is>
          <t>OPM1024|R</t>
        </is>
      </c>
      <c r="Q94" s="134" t="inlineStr">
        <is>
          <t>registered — retest 1, issued 10.08.2026</t>
        </is>
      </c>
    </row>
    <row r="95">
      <c r="A95" s="129" t="n">
        <v>94</v>
      </c>
      <c r="B95" s="130" t="inlineStr">
        <is>
          <t>iCoA-PP_26-094</t>
        </is>
      </c>
      <c r="C95" s="140" t="inlineStr">
        <is>
          <t>yes</t>
        </is>
      </c>
      <c r="D95" s="274" t="n">
        <v>46244</v>
      </c>
      <c r="E95" s="274" t="n">
        <v>46244</v>
      </c>
      <c r="F95" s="274">
        <f>IFERROR(INDEX('Batch Dates'!$G:$G,MATCH(J95,'Batch Dates'!$C:$C,0)),IFERROR(INDEX('Batch Dates'!$G:$G,MATCH(I95,'Batch Dates'!$B:$B,0)),""))</f>
        <v/>
      </c>
      <c r="G95" s="129" t="inlineStr">
        <is>
          <t>legacy</t>
        </is>
      </c>
      <c r="H95" s="129" t="inlineStr">
        <is>
          <t>retest 1</t>
        </is>
      </c>
      <c r="I95" s="130" t="inlineStr">
        <is>
          <t>OPM1024_02</t>
        </is>
      </c>
      <c r="J95" s="129" t="inlineStr">
        <is>
          <t>P050062</t>
        </is>
      </c>
      <c r="K95" s="129" t="inlineStr">
        <is>
          <t>Orange Punch Mimosa</t>
        </is>
      </c>
      <c r="L95" s="129" t="inlineStr">
        <is>
          <t>Ident A + Ident B + Foreign matter</t>
        </is>
      </c>
      <c r="M95" s="141" t="inlineStr">
        <is>
          <t>—</t>
        </is>
      </c>
      <c r="N95" s="129">
        <f>IFERROR(INDEX('CoQ Register'!$B:$B,MATCH("P050062|R",'CoQ Register'!$S:$S,0)),"—")</f>
        <v/>
      </c>
      <c r="O95" s="141" t="inlineStr">
        <is>
          <t>—</t>
        </is>
      </c>
      <c r="P95" s="129" t="inlineStr">
        <is>
          <t>P050062|R</t>
        </is>
      </c>
      <c r="Q95" s="134" t="inlineStr">
        <is>
          <t>registered — retest 1, issued 10.08.2026</t>
        </is>
      </c>
    </row>
    <row r="96">
      <c r="A96" s="129" t="n">
        <v>95</v>
      </c>
      <c r="B96" s="130" t="inlineStr">
        <is>
          <t>iCoA-PP_26-095</t>
        </is>
      </c>
      <c r="C96" s="140" t="inlineStr">
        <is>
          <t>yes</t>
        </is>
      </c>
      <c r="D96" s="274" t="n">
        <v>46244</v>
      </c>
      <c r="E96" s="274" t="n">
        <v>46244</v>
      </c>
      <c r="F96" s="274">
        <f>IFERROR(INDEX('Batch Dates'!$G:$G,MATCH(J96,'Batch Dates'!$C:$C,0)),IFERROR(INDEX('Batch Dates'!$G:$G,MATCH(I96,'Batch Dates'!$B:$B,0)),""))</f>
        <v/>
      </c>
      <c r="G96" s="129" t="inlineStr">
        <is>
          <t>legacy</t>
        </is>
      </c>
      <c r="H96" s="129" t="inlineStr">
        <is>
          <t>retest 1</t>
        </is>
      </c>
      <c r="I96" s="130" t="inlineStr">
        <is>
          <t>PM092501</t>
        </is>
      </c>
      <c r="J96" s="129" t="inlineStr">
        <is>
          <t>P060062</t>
        </is>
      </c>
      <c r="K96" s="129" t="inlineStr">
        <is>
          <t>Permanent Market</t>
        </is>
      </c>
      <c r="L96" s="129" t="inlineStr">
        <is>
          <t>Ident A + Ident B + Foreign matter</t>
        </is>
      </c>
      <c r="M96" s="141" t="inlineStr">
        <is>
          <t>—</t>
        </is>
      </c>
      <c r="N96" s="129">
        <f>IFERROR(INDEX('CoQ Register'!$B:$B,MATCH("P060062|R",'CoQ Register'!$S:$S,0)),"—")</f>
        <v/>
      </c>
      <c r="O96" s="141" t="inlineStr">
        <is>
          <t>—</t>
        </is>
      </c>
      <c r="P96" s="129" t="inlineStr">
        <is>
          <t>P060062|R</t>
        </is>
      </c>
      <c r="Q96" s="134" t="inlineStr">
        <is>
          <t>registered — retest 1, issued 10.08.2026</t>
        </is>
      </c>
    </row>
    <row r="97">
      <c r="A97" s="129" t="inlineStr"/>
      <c r="B97" s="130" t="inlineStr">
        <is>
          <t>— at issue —</t>
        </is>
      </c>
      <c r="C97" s="141" t="inlineStr">
        <is>
          <t>no</t>
        </is>
      </c>
      <c r="D97" s="274">
        <f>IF(A97="","",IF(ISNUMBER(E97),MAX(DATE(2026,6,3),E97),DATE(2026,6,3)))</f>
        <v/>
      </c>
      <c r="E97" s="274">
        <f>IFERROR(INDEX('Batch Dates'!$F:$F,MATCH(J97,'Batch Dates'!$C:$C,0)),IFERROR(INDEX('Batch Dates'!$F:$F,MATCH(I97,'Batch Dates'!$B:$B,0)),""))</f>
        <v/>
      </c>
      <c r="F97" s="274">
        <f>IFERROR(INDEX('Batch Dates'!$G:$G,MATCH(J97,'Batch Dates'!$C:$C,0)),IFERROR(INDEX('Batch Dates'!$G:$G,MATCH(I97,'Batch Dates'!$B:$B,0)),""))</f>
        <v/>
      </c>
      <c r="G97" s="129" t="inlineStr">
        <is>
          <t>legacy</t>
        </is>
      </c>
      <c r="H97" s="129" t="inlineStr">
        <is>
          <t>initial release</t>
        </is>
      </c>
      <c r="I97" s="130" t="inlineStr">
        <is>
          <t>BSS1024_01/1</t>
        </is>
      </c>
      <c r="J97" s="129" t="inlineStr">
        <is>
          <t>P050122</t>
        </is>
      </c>
      <c r="K97" s="129" t="inlineStr">
        <is>
          <t>Blue Sunset Sherbet</t>
        </is>
      </c>
      <c r="L97" s="129" t="inlineStr">
        <is>
          <t>Ident A + Ident B + Foreign matter</t>
        </is>
      </c>
      <c r="M97" s="141" t="inlineStr">
        <is>
          <t>—</t>
        </is>
      </c>
      <c r="N97" s="129">
        <f>IFERROR(INDEX('CoQ Register'!$B:$B,MATCH("P050122|I",'CoQ Register'!$S:$S,0)),"—")</f>
        <v/>
      </c>
      <c r="O97" s="141" t="inlineStr">
        <is>
          <t>—</t>
        </is>
      </c>
      <c r="P97" s="129" t="inlineStr">
        <is>
          <t>P050122|I</t>
        </is>
      </c>
      <c r="Q97" s="135" t="inlineStr">
        <is>
          <t>not yet issuable — no packaging date on file — testing date not stated</t>
        </is>
      </c>
    </row>
    <row r="98">
      <c r="A98" s="129" t="inlineStr"/>
      <c r="B98" s="130" t="inlineStr">
        <is>
          <t>— at issue —</t>
        </is>
      </c>
      <c r="C98" s="141" t="inlineStr">
        <is>
          <t>no</t>
        </is>
      </c>
      <c r="D98" s="274">
        <f>IF(A98="","",IF(ISNUMBER(E98),MAX(DATE(2026,6,3),E98),DATE(2026,6,3)))</f>
        <v/>
      </c>
      <c r="E98" s="274">
        <f>IFERROR(INDEX('Batch Dates'!$F:$F,MATCH(J98,'Batch Dates'!$C:$C,0)),IFERROR(INDEX('Batch Dates'!$F:$F,MATCH(I98,'Batch Dates'!$B:$B,0)),""))</f>
        <v/>
      </c>
      <c r="F98" s="274">
        <f>IFERROR(INDEX('Batch Dates'!$G:$G,MATCH(J98,'Batch Dates'!$C:$C,0)),IFERROR(INDEX('Batch Dates'!$G:$G,MATCH(I98,'Batch Dates'!$B:$B,0)),""))</f>
        <v/>
      </c>
      <c r="G98" s="129" t="inlineStr">
        <is>
          <t>post-SOP</t>
        </is>
      </c>
      <c r="H98" s="129" t="inlineStr">
        <is>
          <t>initial release</t>
        </is>
      </c>
      <c r="I98" s="130" t="inlineStr">
        <is>
          <t>GG012601＊</t>
        </is>
      </c>
      <c r="J98" s="129" t="inlineStr">
        <is>
          <t>P060302</t>
        </is>
      </c>
      <c r="K98" s="129" t="inlineStr">
        <is>
          <t>Gorilla Glue</t>
        </is>
      </c>
      <c r="L98" s="129" t="inlineStr">
        <is>
          <t>Ident A + Ident B + Foreign matter</t>
        </is>
      </c>
      <c r="M98" s="141" t="inlineStr">
        <is>
          <t>—</t>
        </is>
      </c>
      <c r="N98" s="129">
        <f>IFERROR(INDEX('CoQ Register'!$B:$B,MATCH("P060302|I",'CoQ Register'!$S:$S,0)),"—")</f>
        <v/>
      </c>
      <c r="O98" s="141" t="inlineStr">
        <is>
          <t>—</t>
        </is>
      </c>
      <c r="P98" s="129" t="inlineStr">
        <is>
          <t>P060302|I</t>
        </is>
      </c>
      <c r="Q98" s="135" t="inlineStr">
        <is>
          <t>not yet issuable — no packaging date on file — testing date not stated</t>
        </is>
      </c>
    </row>
    <row r="99">
      <c r="A99" s="129" t="inlineStr"/>
      <c r="B99" s="130" t="inlineStr">
        <is>
          <t>— at issue —</t>
        </is>
      </c>
      <c r="C99" s="141" t="inlineStr">
        <is>
          <t>no</t>
        </is>
      </c>
      <c r="D99" s="274">
        <f>IF(A99="","",IF(ISNUMBER(E99),MAX(DATE(2026,6,3),E99),DATE(2026,6,3)))</f>
        <v/>
      </c>
      <c r="E99" s="274">
        <f>IFERROR(INDEX('Batch Dates'!$F:$F,MATCH(J99,'Batch Dates'!$C:$C,0)),IFERROR(INDEX('Batch Dates'!$F:$F,MATCH(I99,'Batch Dates'!$B:$B,0)),""))</f>
        <v/>
      </c>
      <c r="F99" s="274">
        <f>IFERROR(INDEX('Batch Dates'!$G:$G,MATCH(J99,'Batch Dates'!$C:$C,0)),IFERROR(INDEX('Batch Dates'!$G:$G,MATCH(I99,'Batch Dates'!$B:$B,0)),""))</f>
        <v/>
      </c>
      <c r="G99" s="129" t="inlineStr">
        <is>
          <t>post-SOP</t>
        </is>
      </c>
      <c r="H99" s="129" t="inlineStr">
        <is>
          <t>initial release</t>
        </is>
      </c>
      <c r="I99" s="130" t="inlineStr">
        <is>
          <t>JD012601＊</t>
        </is>
      </c>
      <c r="J99" s="129" t="inlineStr">
        <is>
          <t>P060312</t>
        </is>
      </c>
      <c r="K99" s="129" t="inlineStr">
        <is>
          <t>Jelly Donutz</t>
        </is>
      </c>
      <c r="L99" s="129" t="inlineStr">
        <is>
          <t>Ident A + Ident B + Foreign matter</t>
        </is>
      </c>
      <c r="M99" s="141" t="inlineStr">
        <is>
          <t>—</t>
        </is>
      </c>
      <c r="N99" s="129">
        <f>IFERROR(INDEX('CoQ Register'!$B:$B,MATCH("P060312|I",'CoQ Register'!$S:$S,0)),"—")</f>
        <v/>
      </c>
      <c r="O99" s="141" t="inlineStr">
        <is>
          <t>—</t>
        </is>
      </c>
      <c r="P99" s="129" t="inlineStr">
        <is>
          <t>P060312|I</t>
        </is>
      </c>
      <c r="Q99" s="135" t="inlineStr">
        <is>
          <t>not yet issuable — no packaging date on file — testing date not stated</t>
        </is>
      </c>
    </row>
    <row r="100">
      <c r="A100" s="129" t="inlineStr"/>
      <c r="B100" s="130" t="inlineStr">
        <is>
          <t>— at issue —</t>
        </is>
      </c>
      <c r="C100" s="141" t="inlineStr">
        <is>
          <t>no</t>
        </is>
      </c>
      <c r="D100" s="274">
        <f>IF(A100="","",IF(ISNUMBER(E100),MAX(DATE(2026,6,3),E100),DATE(2026,6,3)))</f>
        <v/>
      </c>
      <c r="E100" s="274">
        <f>IFERROR(INDEX('Batch Dates'!$F:$F,MATCH(J100,'Batch Dates'!$C:$C,0)),IFERROR(INDEX('Batch Dates'!$F:$F,MATCH(I100,'Batch Dates'!$B:$B,0)),""))</f>
        <v/>
      </c>
      <c r="F100" s="274">
        <f>IFERROR(INDEX('Batch Dates'!$G:$G,MATCH(J100,'Batch Dates'!$C:$C,0)),IFERROR(INDEX('Batch Dates'!$G:$G,MATCH(I100,'Batch Dates'!$B:$B,0)),""))</f>
        <v/>
      </c>
      <c r="G100" s="129" t="inlineStr">
        <is>
          <t>legacy</t>
        </is>
      </c>
      <c r="H100" s="129" t="inlineStr">
        <is>
          <t>initial release</t>
        </is>
      </c>
      <c r="I100" s="130" t="inlineStr">
        <is>
          <t>OMP1024_01</t>
        </is>
      </c>
      <c r="J100" s="129" t="inlineStr">
        <is>
          <t>P050042</t>
        </is>
      </c>
      <c r="K100" s="129" t="inlineStr">
        <is>
          <t>Orange Punch Mimosa</t>
        </is>
      </c>
      <c r="L100" s="129" t="inlineStr">
        <is>
          <t>Ident A + Ident B + Foreign matter</t>
        </is>
      </c>
      <c r="M100" s="141" t="inlineStr">
        <is>
          <t>—</t>
        </is>
      </c>
      <c r="N100" s="129">
        <f>IFERROR(INDEX('CoQ Register'!$B:$B,MATCH("P050042|I",'CoQ Register'!$S:$S,0)),"—")</f>
        <v/>
      </c>
      <c r="O100" s="129" t="inlineStr">
        <is>
          <t>iCoA-PP-2025-0007</t>
        </is>
      </c>
      <c r="P100" s="129" t="inlineStr">
        <is>
          <t>P050042|I</t>
        </is>
      </c>
      <c r="Q100" s="135" t="inlineStr">
        <is>
          <t>not yet issuable — no packaging date on file — testing date not stated</t>
        </is>
      </c>
    </row>
    <row r="101">
      <c r="A101" s="129" t="inlineStr"/>
      <c r="B101" s="130" t="inlineStr">
        <is>
          <t>— at issue —</t>
        </is>
      </c>
      <c r="C101" s="141" t="inlineStr">
        <is>
          <t>no</t>
        </is>
      </c>
      <c r="D101" s="274">
        <f>IF(A101="","",IF(ISNUMBER(E101),MAX(DATE(2026,6,3),E101),DATE(2026,6,3)))</f>
        <v/>
      </c>
      <c r="E101" s="274">
        <f>IFERROR(INDEX('Batch Dates'!$F:$F,MATCH(J101,'Batch Dates'!$C:$C,0)),IFERROR(INDEX('Batch Dates'!$F:$F,MATCH(I101,'Batch Dates'!$B:$B,0)),""))</f>
        <v/>
      </c>
      <c r="F101" s="274">
        <f>IFERROR(INDEX('Batch Dates'!$G:$G,MATCH(J101,'Batch Dates'!$C:$C,0)),IFERROR(INDEX('Batch Dates'!$G:$G,MATCH(I101,'Batch Dates'!$B:$B,0)),""))</f>
        <v/>
      </c>
      <c r="G101" s="129" t="inlineStr">
        <is>
          <t>—</t>
        </is>
      </c>
      <c r="H101" s="129" t="inlineStr">
        <is>
          <t>initial release</t>
        </is>
      </c>
      <c r="I101" s="130" t="inlineStr">
        <is>
          <t>— not recorded — (P160012)</t>
        </is>
      </c>
      <c r="J101" s="129" t="inlineStr">
        <is>
          <t>P160012</t>
        </is>
      </c>
      <c r="K101" s="129" t="inlineStr">
        <is>
          <t>GrapePie</t>
        </is>
      </c>
      <c r="L101" s="129" t="inlineStr">
        <is>
          <t>Ident A + Ident B + Foreign matter</t>
        </is>
      </c>
      <c r="M101" s="129" t="inlineStr">
        <is>
          <t>A: ППК26117 / B: ППК26117 / FM: ППК26117</t>
        </is>
      </c>
      <c r="N101" s="129">
        <f>IFERROR(INDEX('CoQ Register'!$B:$B,MATCH("P160012|I",'CoQ Register'!$S:$S,0)),"—")</f>
        <v/>
      </c>
      <c r="O101" s="141" t="inlineStr">
        <is>
          <t>—</t>
        </is>
      </c>
      <c r="P101" s="129" t="inlineStr">
        <is>
          <t>P160012|I</t>
        </is>
      </c>
      <c r="Q101" s="135" t="inlineStr">
        <is>
          <t>not yet issuable — no packaging date on file — testing date not stated</t>
        </is>
      </c>
    </row>
    <row r="102">
      <c r="A102" s="129" t="inlineStr"/>
      <c r="B102" s="130" t="inlineStr">
        <is>
          <t>— at issue —</t>
        </is>
      </c>
      <c r="C102" s="141" t="inlineStr">
        <is>
          <t>no</t>
        </is>
      </c>
      <c r="D102" s="274">
        <f>IF(A102="","",IF(ISNUMBER(E102),MAX(DATE(2026,6,3),E102),DATE(2026,6,3)))</f>
        <v/>
      </c>
      <c r="E102" s="274">
        <f>IFERROR(INDEX('Batch Dates'!$F:$F,MATCH(J102,'Batch Dates'!$C:$C,0)),IFERROR(INDEX('Batch Dates'!$F:$F,MATCH(I102,'Batch Dates'!$B:$B,0)),""))</f>
        <v/>
      </c>
      <c r="F102" s="274">
        <f>IFERROR(INDEX('Batch Dates'!$G:$G,MATCH(J102,'Batch Dates'!$C:$C,0)),IFERROR(INDEX('Batch Dates'!$G:$G,MATCH(I102,'Batch Dates'!$B:$B,0)),""))</f>
        <v/>
      </c>
      <c r="G102" s="129" t="inlineStr">
        <is>
          <t>—</t>
        </is>
      </c>
      <c r="H102" s="129" t="inlineStr">
        <is>
          <t>initial release</t>
        </is>
      </c>
      <c r="I102" s="130" t="inlineStr">
        <is>
          <t>— not recorded — (P160022)</t>
        </is>
      </c>
      <c r="J102" s="129" t="inlineStr">
        <is>
          <t>P160022</t>
        </is>
      </c>
      <c r="K102" s="129" t="inlineStr">
        <is>
          <t>GrapePie</t>
        </is>
      </c>
      <c r="L102" s="129" t="inlineStr">
        <is>
          <t>Ident A + Ident B + Foreign matter</t>
        </is>
      </c>
      <c r="M102" s="129" t="inlineStr">
        <is>
          <t>A: ППК26118 / B: ППК26118 / FM: ППК26118</t>
        </is>
      </c>
      <c r="N102" s="129">
        <f>IFERROR(INDEX('CoQ Register'!$B:$B,MATCH("P160022|I",'CoQ Register'!$S:$S,0)),"—")</f>
        <v/>
      </c>
      <c r="O102" s="141" t="inlineStr">
        <is>
          <t>—</t>
        </is>
      </c>
      <c r="P102" s="129" t="inlineStr">
        <is>
          <t>P160022|I</t>
        </is>
      </c>
      <c r="Q102" s="135" t="inlineStr">
        <is>
          <t>not yet issuable — no packaging date on file — testing date not stated</t>
        </is>
      </c>
    </row>
    <row r="103">
      <c r="A103" s="129" t="inlineStr"/>
      <c r="B103" s="130" t="inlineStr">
        <is>
          <t>— at issue —</t>
        </is>
      </c>
      <c r="C103" s="141" t="inlineStr">
        <is>
          <t>no</t>
        </is>
      </c>
      <c r="D103" s="274">
        <f>IF(A103="","",IF(ISNUMBER(E103),MAX(DATE(2026,6,3),E103),DATE(2026,6,3)))</f>
        <v/>
      </c>
      <c r="E103" s="274">
        <f>IFERROR(INDEX('Batch Dates'!$F:$F,MATCH(J103,'Batch Dates'!$C:$C,0)),IFERROR(INDEX('Batch Dates'!$F:$F,MATCH(I103,'Batch Dates'!$B:$B,0)),""))</f>
        <v/>
      </c>
      <c r="F103" s="274">
        <f>IFERROR(INDEX('Batch Dates'!$G:$G,MATCH(J103,'Batch Dates'!$C:$C,0)),IFERROR(INDEX('Batch Dates'!$G:$G,MATCH(I103,'Batch Dates'!$B:$B,0)),""))</f>
        <v/>
      </c>
      <c r="G103" s="129" t="inlineStr">
        <is>
          <t>—</t>
        </is>
      </c>
      <c r="H103" s="129" t="inlineStr">
        <is>
          <t>initial release</t>
        </is>
      </c>
      <c r="I103" s="130" t="inlineStr">
        <is>
          <t>— not recorded — (P160032)</t>
        </is>
      </c>
      <c r="J103" s="129" t="inlineStr">
        <is>
          <t>P160032</t>
        </is>
      </c>
      <c r="K103" s="129" t="inlineStr">
        <is>
          <t>GrapePie</t>
        </is>
      </c>
      <c r="L103" s="129" t="inlineStr">
        <is>
          <t>Ident A + Ident B + Foreign matter</t>
        </is>
      </c>
      <c r="M103" s="129" t="inlineStr">
        <is>
          <t>A: ППК26119 / B: ППК26119 / FM: ППК26119</t>
        </is>
      </c>
      <c r="N103" s="129">
        <f>IFERROR(INDEX('CoQ Register'!$B:$B,MATCH("P160032|I",'CoQ Register'!$S:$S,0)),"—")</f>
        <v/>
      </c>
      <c r="O103" s="141" t="inlineStr">
        <is>
          <t>—</t>
        </is>
      </c>
      <c r="P103" s="129" t="inlineStr">
        <is>
          <t>P160032|I</t>
        </is>
      </c>
      <c r="Q103" s="135" t="inlineStr">
        <is>
          <t>not yet issuable — no packaging date on file — testing date not stated</t>
        </is>
      </c>
    </row>
    <row r="104">
      <c r="A104" s="129" t="inlineStr"/>
      <c r="B104" s="130" t="inlineStr">
        <is>
          <t>not needed</t>
        </is>
      </c>
      <c r="C104" s="129" t="inlineStr">
        <is>
          <t>n/a</t>
        </is>
      </c>
      <c r="D104" s="274">
        <f>IF(A104="","",IF(ISNUMBER(E104),MAX(DATE(2026,6,3),E104),DATE(2026,6,3)))</f>
        <v/>
      </c>
      <c r="E104" s="274">
        <f>IFERROR(INDEX('Batch Dates'!$F:$F,MATCH(J104,'Batch Dates'!$C:$C,0)),IFERROR(INDEX('Batch Dates'!$F:$F,MATCH(I104,'Batch Dates'!$B:$B,0)),""))</f>
        <v/>
      </c>
      <c r="F104" s="274">
        <f>IFERROR(INDEX('Batch Dates'!$G:$G,MATCH(J104,'Batch Dates'!$C:$C,0)),IFERROR(INDEX('Batch Dates'!$G:$G,MATCH(I104,'Batch Dates'!$B:$B,0)),""))</f>
        <v/>
      </c>
      <c r="G104" s="129" t="inlineStr">
        <is>
          <t>post-SOP</t>
        </is>
      </c>
      <c r="H104" s="129" t="inlineStr">
        <is>
          <t>initial release</t>
        </is>
      </c>
      <c r="I104" s="130" t="inlineStr">
        <is>
          <t>JD012603</t>
        </is>
      </c>
      <c r="J104" s="129" t="inlineStr">
        <is>
          <t>P060362</t>
        </is>
      </c>
      <c r="K104" s="129" t="inlineStr"/>
      <c r="L104" s="129" t="inlineStr">
        <is>
          <t>— all three on the CNP certificate —</t>
        </is>
      </c>
      <c r="M104" s="129" t="inlineStr">
        <is>
          <t>A: ППК26111 / B: ППК26111 / FM: ППК26111</t>
        </is>
      </c>
      <c r="N104" s="129">
        <f>IFERROR(INDEX('CoQ Register'!$B:$B,MATCH("P060362|I",'CoQ Register'!$S:$S,0)),"—")</f>
        <v/>
      </c>
      <c r="O104" s="129" t="inlineStr">
        <is>
          <t>iCoA-PP-2026-0020</t>
        </is>
      </c>
      <c r="P104" s="129" t="inlineStr">
        <is>
          <t>P060362|I</t>
        </is>
      </c>
      <c r="Q104" s="133" t="inlineStr">
        <is>
          <t>not needed — CNP covers A, B and foreign matter</t>
        </is>
      </c>
    </row>
    <row r="105">
      <c r="A105" s="129" t="inlineStr"/>
      <c r="B105" s="130" t="inlineStr">
        <is>
          <t>— at issue —</t>
        </is>
      </c>
      <c r="C105" s="141" t="inlineStr">
        <is>
          <t>no</t>
        </is>
      </c>
      <c r="D105" s="274">
        <f>IF(A105="","",IF(ISNUMBER(E105),MAX(DATE(2026,6,3),E105),DATE(2026,6,3)))</f>
        <v/>
      </c>
      <c r="E105" s="274">
        <f>IFERROR(INDEX('Batch Dates'!$F:$F,MATCH(J105,'Batch Dates'!$C:$C,0)),IFERROR(INDEX('Batch Dates'!$F:$F,MATCH(I105,'Batch Dates'!$B:$B,0)),""))</f>
        <v/>
      </c>
      <c r="F105" s="274">
        <f>IFERROR(INDEX('Batch Dates'!$G:$G,MATCH(J105,'Batch Dates'!$C:$C,0)),IFERROR(INDEX('Batch Dates'!$G:$G,MATCH(I105,'Batch Dates'!$B:$B,0)),""))</f>
        <v/>
      </c>
      <c r="G105" s="129" t="inlineStr">
        <is>
          <t>legacy</t>
        </is>
      </c>
      <c r="H105" s="129" t="inlineStr">
        <is>
          <t>initial release</t>
        </is>
      </c>
      <c r="I105" s="130" t="inlineStr">
        <is>
          <t>GG1024</t>
        </is>
      </c>
      <c r="J105" s="129" t="inlineStr">
        <is>
          <t>N/A — no P batch assigned</t>
        </is>
      </c>
      <c r="K105" s="129" t="inlineStr">
        <is>
          <t>Gorilla Glue</t>
        </is>
      </c>
      <c r="L105" s="129" t="inlineStr">
        <is>
          <t>Ident A + Ident B + Foreign matter</t>
        </is>
      </c>
      <c r="M105" s="141" t="inlineStr">
        <is>
          <t>—</t>
        </is>
      </c>
      <c r="N105" s="129">
        <f>IFERROR(INDEX('CoQ Register'!$B:$B,MATCH("GG1024|I",'CoQ Register'!$S:$S,0)),"—")</f>
        <v/>
      </c>
      <c r="O105" s="129" t="inlineStr">
        <is>
          <t>iCoA-PP-2025-0003</t>
        </is>
      </c>
      <c r="P105" s="129" t="inlineStr">
        <is>
          <t>GG1024|I</t>
        </is>
      </c>
      <c r="Q105" s="135" t="inlineStr">
        <is>
          <t>not yet issuable — not in icoa_register.py — the register numbers the series and does not carry this round</t>
        </is>
      </c>
    </row>
    <row r="106">
      <c r="A106" s="129" t="inlineStr"/>
      <c r="B106" s="130" t="inlineStr">
        <is>
          <t>— at issue —</t>
        </is>
      </c>
      <c r="C106" s="141" t="inlineStr">
        <is>
          <t>no</t>
        </is>
      </c>
      <c r="D106" s="274">
        <f>IF(A106="","",IF(ISNUMBER(E106),MAX(DATE(2026,6,3),E106),DATE(2026,6,3)))</f>
        <v/>
      </c>
      <c r="E106" s="274">
        <f>IFERROR(INDEX('Batch Dates'!$F:$F,MATCH(J106,'Batch Dates'!$C:$C,0)),IFERROR(INDEX('Batch Dates'!$F:$F,MATCH(I106,'Batch Dates'!$B:$B,0)),""))</f>
        <v/>
      </c>
      <c r="F106" s="274">
        <f>IFERROR(INDEX('Batch Dates'!$G:$G,MATCH(J106,'Batch Dates'!$C:$C,0)),IFERROR(INDEX('Batch Dates'!$G:$G,MATCH(I106,'Batch Dates'!$B:$B,0)),""))</f>
        <v/>
      </c>
      <c r="G106" s="129" t="inlineStr">
        <is>
          <t>legacy</t>
        </is>
      </c>
      <c r="H106" s="129" t="inlineStr">
        <is>
          <t>initial release</t>
        </is>
      </c>
      <c r="I106" s="130" t="inlineStr">
        <is>
          <t>BSS1024_01/2</t>
        </is>
      </c>
      <c r="J106" s="129" t="inlineStr">
        <is>
          <t>P050142</t>
        </is>
      </c>
      <c r="K106" s="129" t="inlineStr">
        <is>
          <t>Blue Sunset Sherbet</t>
        </is>
      </c>
      <c r="L106" s="129" t="inlineStr">
        <is>
          <t>Ident A + Ident B + Foreign matter</t>
        </is>
      </c>
      <c r="M106" s="141" t="inlineStr">
        <is>
          <t>—</t>
        </is>
      </c>
      <c r="N106" s="129">
        <f>IFERROR(INDEX('CoQ Register'!$B:$B,MATCH("P050142|I",'CoQ Register'!$S:$S,0)),"—")</f>
        <v/>
      </c>
      <c r="O106" s="141" t="inlineStr">
        <is>
          <t>—</t>
        </is>
      </c>
      <c r="P106" s="129" t="inlineStr">
        <is>
          <t>P050142|I</t>
        </is>
      </c>
      <c r="Q106" s="135" t="inlineStr">
        <is>
          <t>not yet issuable — not in icoa_register.py — the register numbers the series and does not carry this round</t>
        </is>
      </c>
    </row>
    <row r="107">
      <c r="A107" s="129" t="inlineStr"/>
      <c r="B107" s="130" t="inlineStr">
        <is>
          <t>— at issue —</t>
        </is>
      </c>
      <c r="C107" s="141" t="inlineStr">
        <is>
          <t>no</t>
        </is>
      </c>
      <c r="D107" s="274">
        <f>IF(A107="","",IF(ISNUMBER(E107),MAX(DATE(2026,6,3),E107),DATE(2026,6,3)))</f>
        <v/>
      </c>
      <c r="E107" s="274">
        <f>IFERROR(INDEX('Batch Dates'!$F:$F,MATCH(J107,'Batch Dates'!$C:$C,0)),IFERROR(INDEX('Batch Dates'!$F:$F,MATCH(I107,'Batch Dates'!$B:$B,0)),""))</f>
        <v/>
      </c>
      <c r="F107" s="274">
        <f>IFERROR(INDEX('Batch Dates'!$G:$G,MATCH(J107,'Batch Dates'!$C:$C,0)),IFERROR(INDEX('Batch Dates'!$G:$G,MATCH(I107,'Batch Dates'!$B:$B,0)),""))</f>
        <v/>
      </c>
      <c r="G107" s="129" t="inlineStr">
        <is>
          <t>legacy</t>
        </is>
      </c>
      <c r="H107" s="129" t="inlineStr">
        <is>
          <t>initial release</t>
        </is>
      </c>
      <c r="I107" s="130" t="inlineStr">
        <is>
          <t>WED102501</t>
        </is>
      </c>
      <c r="J107" s="129" t="inlineStr">
        <is>
          <t>P060102</t>
        </is>
      </c>
      <c r="K107" s="129" t="inlineStr">
        <is>
          <t>Wedding Cake</t>
        </is>
      </c>
      <c r="L107" s="129" t="inlineStr">
        <is>
          <t>Ident A + Ident B + Foreign matter</t>
        </is>
      </c>
      <c r="M107" s="141" t="inlineStr">
        <is>
          <t>—</t>
        </is>
      </c>
      <c r="N107" s="129">
        <f>IFERROR(INDEX('CoQ Register'!$B:$B,MATCH("P060102|I",'CoQ Register'!$S:$S,0)),"—")</f>
        <v/>
      </c>
      <c r="O107" s="141" t="inlineStr">
        <is>
          <t>—</t>
        </is>
      </c>
      <c r="P107" s="129" t="inlineStr">
        <is>
          <t>P060102|I</t>
        </is>
      </c>
      <c r="Q107" s="135" t="inlineStr">
        <is>
          <t>not yet issuable — not in icoa_register.py — the register numbers the series and does not carry this round</t>
        </is>
      </c>
    </row>
    <row r="108">
      <c r="A108" s="129" t="inlineStr"/>
      <c r="B108" s="130" t="inlineStr">
        <is>
          <t>— at issue —</t>
        </is>
      </c>
      <c r="C108" s="141" t="inlineStr">
        <is>
          <t>no</t>
        </is>
      </c>
      <c r="D108" s="274">
        <f>IF(A108="","",IF(ISNUMBER(E108),MAX(DATE(2026,6,3),E108),DATE(2026,6,3)))</f>
        <v/>
      </c>
      <c r="E108" s="274">
        <f>IFERROR(INDEX('Batch Dates'!$F:$F,MATCH(J108,'Batch Dates'!$C:$C,0)),IFERROR(INDEX('Batch Dates'!$F:$F,MATCH(I108,'Batch Dates'!$B:$B,0)),""))</f>
        <v/>
      </c>
      <c r="F108" s="274">
        <f>IFERROR(INDEX('Batch Dates'!$G:$G,MATCH(J108,'Batch Dates'!$C:$C,0)),IFERROR(INDEX('Batch Dates'!$G:$G,MATCH(I108,'Batch Dates'!$B:$B,0)),""))</f>
        <v/>
      </c>
      <c r="G108" s="129" t="inlineStr">
        <is>
          <t>legacy</t>
        </is>
      </c>
      <c r="H108" s="129" t="inlineStr">
        <is>
          <t>initial release</t>
        </is>
      </c>
      <c r="I108" s="130" t="inlineStr">
        <is>
          <t>GRC102501</t>
        </is>
      </c>
      <c r="J108" s="129" t="inlineStr">
        <is>
          <t>P060142</t>
        </is>
      </c>
      <c r="K108" s="129" t="inlineStr">
        <is>
          <t>Graps &amp; Creme</t>
        </is>
      </c>
      <c r="L108" s="129" t="inlineStr">
        <is>
          <t>Ident A + Ident B + Foreign matter</t>
        </is>
      </c>
      <c r="M108" s="141" t="inlineStr">
        <is>
          <t>—</t>
        </is>
      </c>
      <c r="N108" s="129">
        <f>IFERROR(INDEX('CoQ Register'!$B:$B,MATCH("P060142|I",'CoQ Register'!$S:$S,0)),"—")</f>
        <v/>
      </c>
      <c r="O108" s="141" t="inlineStr">
        <is>
          <t>—</t>
        </is>
      </c>
      <c r="P108" s="129" t="inlineStr">
        <is>
          <t>P060142|I</t>
        </is>
      </c>
      <c r="Q108" s="135" t="inlineStr">
        <is>
          <t>not yet issuable — not in icoa_register.py — the register numbers the series and does not carry this round</t>
        </is>
      </c>
    </row>
    <row r="109">
      <c r="A109" s="129" t="inlineStr"/>
      <c r="B109" s="130" t="inlineStr">
        <is>
          <t>— at issue —</t>
        </is>
      </c>
      <c r="C109" s="141" t="inlineStr">
        <is>
          <t>no</t>
        </is>
      </c>
      <c r="D109" s="274">
        <f>IF(A109="","",IF(ISNUMBER(E109),MAX(DATE(2026,6,3),E109),DATE(2026,6,3)))</f>
        <v/>
      </c>
      <c r="E109" s="274">
        <f>IFERROR(INDEX('Batch Dates'!$F:$F,MATCH(J109,'Batch Dates'!$C:$C,0)),IFERROR(INDEX('Batch Dates'!$F:$F,MATCH(I109,'Batch Dates'!$B:$B,0)),""))</f>
        <v/>
      </c>
      <c r="F109" s="274">
        <f>IFERROR(INDEX('Batch Dates'!$G:$G,MATCH(J109,'Batch Dates'!$C:$C,0)),IFERROR(INDEX('Batch Dates'!$G:$G,MATCH(I109,'Batch Dates'!$B:$B,0)),""))</f>
        <v/>
      </c>
      <c r="G109" s="129" t="inlineStr">
        <is>
          <t>—</t>
        </is>
      </c>
      <c r="H109" s="129" t="inlineStr">
        <is>
          <t>initial release</t>
        </is>
      </c>
      <c r="I109" s="130" t="inlineStr">
        <is>
          <t>JD112501＊</t>
        </is>
      </c>
      <c r="J109" s="129" t="inlineStr">
        <is>
          <t>N/A — no P batch assigned</t>
        </is>
      </c>
      <c r="K109" s="129" t="inlineStr">
        <is>
          <t>Jelly Donutz</t>
        </is>
      </c>
      <c r="L109" s="129" t="inlineStr">
        <is>
          <t>Ident A + Ident B + Foreign matter</t>
        </is>
      </c>
      <c r="M109" s="141" t="inlineStr">
        <is>
          <t>—</t>
        </is>
      </c>
      <c r="N109" s="129">
        <f>IFERROR(INDEX('CoQ Register'!$B:$B,MATCH("JD112501|I",'CoQ Register'!$S:$S,0)),"—")</f>
        <v/>
      </c>
      <c r="O109" s="129" t="inlineStr">
        <is>
          <t>iCoA-PP-2026-0015</t>
        </is>
      </c>
      <c r="P109" s="129" t="inlineStr">
        <is>
          <t>JD112501|I</t>
        </is>
      </c>
      <c r="Q109" s="135" t="inlineStr">
        <is>
          <t>not yet issuable — no packaging date on the list</t>
        </is>
      </c>
    </row>
    <row r="110">
      <c r="A110" s="129" t="inlineStr"/>
      <c r="B110" s="130" t="inlineStr">
        <is>
          <t>— at issue —</t>
        </is>
      </c>
      <c r="C110" s="141" t="inlineStr">
        <is>
          <t>no</t>
        </is>
      </c>
      <c r="D110" s="274">
        <f>IF(A110="","",IF(ISNUMBER(E110),MAX(DATE(2026,6,3),E110),DATE(2026,6,3)))</f>
        <v/>
      </c>
      <c r="E110" s="274">
        <f>IFERROR(INDEX('Batch Dates'!$F:$F,MATCH(J110,'Batch Dates'!$C:$C,0)),IFERROR(INDEX('Batch Dates'!$F:$F,MATCH(I110,'Batch Dates'!$B:$B,0)),""))</f>
        <v/>
      </c>
      <c r="F110" s="274">
        <f>IFERROR(INDEX('Batch Dates'!$G:$G,MATCH(J110,'Batch Dates'!$C:$C,0)),IFERROR(INDEX('Batch Dates'!$G:$G,MATCH(I110,'Batch Dates'!$B:$B,0)),""))</f>
        <v/>
      </c>
      <c r="G110" s="129" t="inlineStr">
        <is>
          <t>post-SOP</t>
        </is>
      </c>
      <c r="H110" s="129" t="inlineStr">
        <is>
          <t>initial release</t>
        </is>
      </c>
      <c r="I110" s="130" t="inlineStr">
        <is>
          <t>SCR012601*</t>
        </is>
      </c>
      <c r="J110" s="129" t="inlineStr">
        <is>
          <t>P060342</t>
        </is>
      </c>
      <c r="K110" s="129" t="inlineStr">
        <is>
          <t>Scrambler</t>
        </is>
      </c>
      <c r="L110" s="129" t="inlineStr">
        <is>
          <t>Ident A + Ident B + Foreign matter</t>
        </is>
      </c>
      <c r="M110" s="141" t="inlineStr">
        <is>
          <t>—</t>
        </is>
      </c>
      <c r="N110" s="129">
        <f>IFERROR(INDEX('CoQ Register'!$B:$B,MATCH("P060342|I",'CoQ Register'!$S:$S,0)),"—")</f>
        <v/>
      </c>
      <c r="O110" s="141" t="inlineStr">
        <is>
          <t>—</t>
        </is>
      </c>
      <c r="P110" s="129" t="inlineStr">
        <is>
          <t>P060342|I</t>
        </is>
      </c>
      <c r="Q110" s="135" t="inlineStr">
        <is>
          <t>not yet issuable — not in icoa_register.py — the register numbers the series and does not carry this round</t>
        </is>
      </c>
    </row>
    <row r="111">
      <c r="A111" s="129" t="inlineStr"/>
      <c r="B111" s="130" t="inlineStr">
        <is>
          <t>— at issue —</t>
        </is>
      </c>
      <c r="C111" s="141" t="inlineStr">
        <is>
          <t>no</t>
        </is>
      </c>
      <c r="D111" s="274">
        <f>IF(A111="","",IF(ISNUMBER(E111),MAX(DATE(2026,6,3),E111),DATE(2026,6,3)))</f>
        <v/>
      </c>
      <c r="E111" s="274" t="inlineStr">
        <is>
          <t>at retest sampling</t>
        </is>
      </c>
      <c r="F111" s="274">
        <f>IFERROR(INDEX('Batch Dates'!$G:$G,MATCH(J111,'Batch Dates'!$C:$C,0)),IFERROR(INDEX('Batch Dates'!$G:$G,MATCH(I111,'Batch Dates'!$B:$B,0)),""))</f>
        <v/>
      </c>
      <c r="G111" s="129" t="inlineStr">
        <is>
          <t>legacy</t>
        </is>
      </c>
      <c r="H111" s="129" t="inlineStr">
        <is>
          <t>retest — Tranche 1 (sampled July 2026)</t>
        </is>
      </c>
      <c r="I111" s="130" t="inlineStr">
        <is>
          <t>J31102501</t>
        </is>
      </c>
      <c r="J111" s="129" t="inlineStr">
        <is>
          <t>P060152</t>
        </is>
      </c>
      <c r="K111" s="129" t="inlineStr">
        <is>
          <t>Jokerz 31</t>
        </is>
      </c>
      <c r="L111" s="129" t="inlineStr">
        <is>
          <t>Ident A + Ident B + Foreign matter</t>
        </is>
      </c>
      <c r="M111" s="141" t="inlineStr">
        <is>
          <t>—</t>
        </is>
      </c>
      <c r="N111" s="129">
        <f>IFERROR(INDEX('CoQ Register'!$B:$B,MATCH("P060152|R",'CoQ Register'!$S:$S,0)),"—")</f>
        <v/>
      </c>
      <c r="O111" s="141" t="inlineStr">
        <is>
          <t>—</t>
        </is>
      </c>
      <c r="P111" s="129" t="inlineStr">
        <is>
          <t>P060152|R</t>
        </is>
      </c>
      <c r="Q111" s="135" t="inlineStr">
        <is>
          <t>not yet issuable — retest assay on file; identification A, B and foreign matter to test at the retest sampling</t>
        </is>
      </c>
    </row>
    <row r="112">
      <c r="A112" s="129" t="inlineStr"/>
      <c r="B112" s="130" t="inlineStr">
        <is>
          <t>— at issue —</t>
        </is>
      </c>
      <c r="C112" s="141" t="inlineStr">
        <is>
          <t>no</t>
        </is>
      </c>
      <c r="D112" s="274">
        <f>IF(A112="","",IF(ISNUMBER(E112),MAX(DATE(2026,6,3),E112),DATE(2026,6,3)))</f>
        <v/>
      </c>
      <c r="E112" s="274" t="inlineStr">
        <is>
          <t>at retest sampling</t>
        </is>
      </c>
      <c r="F112" s="274">
        <f>IFERROR(INDEX('Batch Dates'!$G:$G,MATCH(J112,'Batch Dates'!$C:$C,0)),IFERROR(INDEX('Batch Dates'!$G:$G,MATCH(I112,'Batch Dates'!$B:$B,0)),""))</f>
        <v/>
      </c>
      <c r="G112" s="129" t="inlineStr">
        <is>
          <t>legacy</t>
        </is>
      </c>
      <c r="H112" s="129" t="inlineStr">
        <is>
          <t>retest — Tranche 1 (sampled July 2026)</t>
        </is>
      </c>
      <c r="I112" s="130" t="inlineStr">
        <is>
          <t>JD112501</t>
        </is>
      </c>
      <c r="J112" s="129" t="inlineStr">
        <is>
          <t>P060212</t>
        </is>
      </c>
      <c r="K112" s="129" t="inlineStr">
        <is>
          <t>Jelly Donutz</t>
        </is>
      </c>
      <c r="L112" s="129" t="inlineStr">
        <is>
          <t>Ident A + Ident B + Foreign matter</t>
        </is>
      </c>
      <c r="M112" s="141" t="inlineStr">
        <is>
          <t>—</t>
        </is>
      </c>
      <c r="N112" s="129">
        <f>IFERROR(INDEX('CoQ Register'!$B:$B,MATCH("P060212|R",'CoQ Register'!$S:$S,0)),"—")</f>
        <v/>
      </c>
      <c r="O112" s="141" t="inlineStr">
        <is>
          <t>—</t>
        </is>
      </c>
      <c r="P112" s="129" t="inlineStr">
        <is>
          <t>P060212|R</t>
        </is>
      </c>
      <c r="Q112" s="135" t="inlineStr">
        <is>
          <t>not yet issuable — retest assay on file; identification A, B and foreign matter to test at the retest sampling</t>
        </is>
      </c>
    </row>
    <row r="113">
      <c r="A113" s="129" t="inlineStr"/>
      <c r="B113" s="130" t="inlineStr">
        <is>
          <t>— at issue —</t>
        </is>
      </c>
      <c r="C113" s="141" t="inlineStr">
        <is>
          <t>no</t>
        </is>
      </c>
      <c r="D113" s="274">
        <f>IF(A113="","",IF(ISNUMBER(E113),MAX(DATE(2026,6,3),E113),DATE(2026,6,3)))</f>
        <v/>
      </c>
      <c r="E113" s="274" t="inlineStr">
        <is>
          <t>at retest sampling</t>
        </is>
      </c>
      <c r="F113" s="274">
        <f>IFERROR(INDEX('Batch Dates'!$G:$G,MATCH(J113,'Batch Dates'!$C:$C,0)),IFERROR(INDEX('Batch Dates'!$G:$G,MATCH(I113,'Batch Dates'!$B:$B,0)),""))</f>
        <v/>
      </c>
      <c r="G113" s="129" t="inlineStr">
        <is>
          <t>post-SOP</t>
        </is>
      </c>
      <c r="H113" s="129" t="inlineStr">
        <is>
          <t>retest — re-analysed</t>
        </is>
      </c>
      <c r="I113" s="130" t="inlineStr">
        <is>
          <t>J31122501</t>
        </is>
      </c>
      <c r="J113" s="129" t="inlineStr">
        <is>
          <t>P060262</t>
        </is>
      </c>
      <c r="K113" s="129" t="inlineStr">
        <is>
          <t>Jokerz 31</t>
        </is>
      </c>
      <c r="L113" s="129" t="inlineStr">
        <is>
          <t>Ident A + Ident B + Foreign matter</t>
        </is>
      </c>
      <c r="M113" s="141" t="inlineStr">
        <is>
          <t>—</t>
        </is>
      </c>
      <c r="N113" s="129">
        <f>IFERROR(INDEX('CoQ Register'!$B:$B,MATCH("P060262|R",'CoQ Register'!$S:$S,0)),"—")</f>
        <v/>
      </c>
      <c r="O113" s="141" t="inlineStr">
        <is>
          <t>—</t>
        </is>
      </c>
      <c r="P113" s="129" t="inlineStr">
        <is>
          <t>P060262|R</t>
        </is>
      </c>
      <c r="Q113" s="135" t="inlineStr">
        <is>
          <t>not yet issuable — retest assay on file; identification A, B and foreign matter to test at the retest sampling</t>
        </is>
      </c>
    </row>
    <row r="114">
      <c r="A114" s="129" t="inlineStr"/>
      <c r="B114" s="130" t="inlineStr">
        <is>
          <t>— at issue —</t>
        </is>
      </c>
      <c r="C114" s="141" t="inlineStr">
        <is>
          <t>no</t>
        </is>
      </c>
      <c r="D114" s="274">
        <f>IF(A114="","",IF(ISNUMBER(E114),MAX(DATE(2026,6,3),E114),DATE(2026,6,3)))</f>
        <v/>
      </c>
      <c r="E114" s="274" t="inlineStr">
        <is>
          <t>at retest sampling</t>
        </is>
      </c>
      <c r="F114" s="274">
        <f>IFERROR(INDEX('Batch Dates'!$G:$G,MATCH(J114,'Batch Dates'!$C:$C,0)),IFERROR(INDEX('Batch Dates'!$G:$G,MATCH(I114,'Batch Dates'!$B:$B,0)),""))</f>
        <v/>
      </c>
      <c r="G114" s="129" t="inlineStr">
        <is>
          <t>legacy</t>
        </is>
      </c>
      <c r="H114" s="129" t="inlineStr">
        <is>
          <t>retest — Tranche 1 (sampled July 2026)</t>
        </is>
      </c>
      <c r="I114" s="130" t="inlineStr">
        <is>
          <t>OPM122501</t>
        </is>
      </c>
      <c r="J114" s="129" t="inlineStr">
        <is>
          <t>P060242</t>
        </is>
      </c>
      <c r="K114" s="129" t="inlineStr">
        <is>
          <t>Orange Punch Mimosa</t>
        </is>
      </c>
      <c r="L114" s="129" t="inlineStr">
        <is>
          <t>Ident A + Ident B + Foreign matter</t>
        </is>
      </c>
      <c r="M114" s="141" t="inlineStr">
        <is>
          <t>—</t>
        </is>
      </c>
      <c r="N114" s="129">
        <f>IFERROR(INDEX('CoQ Register'!$B:$B,MATCH("P060242|R",'CoQ Register'!$S:$S,0)),"—")</f>
        <v/>
      </c>
      <c r="O114" s="141" t="inlineStr">
        <is>
          <t>—</t>
        </is>
      </c>
      <c r="P114" s="129" t="inlineStr">
        <is>
          <t>P060242|R</t>
        </is>
      </c>
      <c r="Q114" s="135" t="inlineStr">
        <is>
          <t>not yet issuable — retest assay on file; identification A, B and foreign matter to test at the retest sampling</t>
        </is>
      </c>
    </row>
    <row r="115">
      <c r="A115" s="129" t="inlineStr"/>
      <c r="B115" s="130" t="inlineStr">
        <is>
          <t>— at issue —</t>
        </is>
      </c>
      <c r="C115" s="141" t="inlineStr">
        <is>
          <t>no</t>
        </is>
      </c>
      <c r="D115" s="274">
        <f>IF(A115="","",IF(ISNUMBER(E115),MAX(DATE(2026,6,3),E115),DATE(2026,6,3)))</f>
        <v/>
      </c>
      <c r="E115" s="274" t="inlineStr">
        <is>
          <t>at retest sampling</t>
        </is>
      </c>
      <c r="F115" s="274">
        <f>IFERROR(INDEX('Batch Dates'!$G:$G,MATCH(J115,'Batch Dates'!$C:$C,0)),IFERROR(INDEX('Batch Dates'!$G:$G,MATCH(I115,'Batch Dates'!$B:$B,0)),""))</f>
        <v/>
      </c>
      <c r="G115" s="129" t="inlineStr">
        <is>
          <t>post-SOP</t>
        </is>
      </c>
      <c r="H115" s="129" t="inlineStr">
        <is>
          <t>retest — re-analysed</t>
        </is>
      </c>
      <c r="I115" s="130" t="inlineStr">
        <is>
          <t>FB012602*</t>
        </is>
      </c>
      <c r="J115" s="129" t="inlineStr">
        <is>
          <t>P060352</t>
        </is>
      </c>
      <c r="K115" s="129" t="inlineStr">
        <is>
          <t>Fat Bastard</t>
        </is>
      </c>
      <c r="L115" s="129" t="inlineStr">
        <is>
          <t>Ident A + Ident B + Foreign matter</t>
        </is>
      </c>
      <c r="M115" s="141" t="inlineStr">
        <is>
          <t>—</t>
        </is>
      </c>
      <c r="N115" s="129">
        <f>IFERROR(INDEX('CoQ Register'!$B:$B,MATCH("P060352|R",'CoQ Register'!$S:$S,0)),"—")</f>
        <v/>
      </c>
      <c r="O115" s="141" t="inlineStr">
        <is>
          <t>—</t>
        </is>
      </c>
      <c r="P115" s="129" t="inlineStr">
        <is>
          <t>P060352|R</t>
        </is>
      </c>
      <c r="Q115" s="135" t="inlineStr">
        <is>
          <t>not yet issuable — retest assay on file; identification A, B and foreign matter to test at the retest sampling</t>
        </is>
      </c>
    </row>
    <row r="116">
      <c r="A116" s="129" t="inlineStr"/>
      <c r="B116" s="130" t="inlineStr">
        <is>
          <t>— at issue —</t>
        </is>
      </c>
      <c r="C116" s="141" t="inlineStr">
        <is>
          <t>no</t>
        </is>
      </c>
      <c r="D116" s="274">
        <f>IF(A116="","",IF(ISNUMBER(E116),MAX(DATE(2026,6,3),E116),DATE(2026,6,3)))</f>
        <v/>
      </c>
      <c r="E116" s="274" t="inlineStr">
        <is>
          <t>at retest sampling</t>
        </is>
      </c>
      <c r="F116" s="274">
        <f>IFERROR(INDEX('Batch Dates'!$G:$G,MATCH(J116,'Batch Dates'!$C:$C,0)),IFERROR(INDEX('Batch Dates'!$G:$G,MATCH(I116,'Batch Dates'!$B:$B,0)),""))</f>
        <v/>
      </c>
      <c r="G116" s="129" t="inlineStr">
        <is>
          <t>post-SOP</t>
        </is>
      </c>
      <c r="H116" s="129" t="inlineStr">
        <is>
          <t>retest — re-analysed</t>
        </is>
      </c>
      <c r="I116" s="130" t="inlineStr">
        <is>
          <t>JD012603</t>
        </is>
      </c>
      <c r="J116" s="129" t="inlineStr">
        <is>
          <t>P060362</t>
        </is>
      </c>
      <c r="K116" s="129" t="inlineStr"/>
      <c r="L116" s="129" t="inlineStr">
        <is>
          <t>Ident A + Ident B + Foreign matter</t>
        </is>
      </c>
      <c r="M116" s="141" t="inlineStr">
        <is>
          <t>—</t>
        </is>
      </c>
      <c r="N116" s="129">
        <f>IFERROR(INDEX('CoQ Register'!$B:$B,MATCH("P060362|R",'CoQ Register'!$S:$S,0)),"—")</f>
        <v/>
      </c>
      <c r="O116" s="141" t="inlineStr">
        <is>
          <t>—</t>
        </is>
      </c>
      <c r="P116" s="129" t="inlineStr">
        <is>
          <t>P060362|R</t>
        </is>
      </c>
      <c r="Q116" s="135" t="inlineStr">
        <is>
          <t>not yet issuable — retest assay on file; identification A, B and foreign matter to test at the retest sampling</t>
        </is>
      </c>
    </row>
    <row r="117">
      <c r="A117" s="129" t="inlineStr"/>
      <c r="B117" s="130" t="inlineStr">
        <is>
          <t>— at issue —</t>
        </is>
      </c>
      <c r="C117" s="141" t="inlineStr">
        <is>
          <t>no</t>
        </is>
      </c>
      <c r="D117" s="274">
        <f>IF(A117="","",IF(ISNUMBER(E117),MAX(DATE(2026,6,3),E117),DATE(2026,6,3)))</f>
        <v/>
      </c>
      <c r="E117" s="274" t="inlineStr">
        <is>
          <t>at retest sampling</t>
        </is>
      </c>
      <c r="F117" s="274">
        <f>IFERROR(INDEX('Batch Dates'!$G:$G,MATCH(J117,'Batch Dates'!$C:$C,0)),IFERROR(INDEX('Batch Dates'!$G:$G,MATCH(I117,'Batch Dates'!$B:$B,0)),""))</f>
        <v/>
      </c>
      <c r="G117" s="129" t="inlineStr">
        <is>
          <t>post-SOP</t>
        </is>
      </c>
      <c r="H117" s="129" t="inlineStr">
        <is>
          <t>retest — re-analysed</t>
        </is>
      </c>
      <c r="I117" s="130" t="inlineStr">
        <is>
          <t>JD012603</t>
        </is>
      </c>
      <c r="J117" s="129" t="inlineStr">
        <is>
          <t>P060422</t>
        </is>
      </c>
      <c r="K117" s="129" t="inlineStr"/>
      <c r="L117" s="129" t="inlineStr">
        <is>
          <t>Ident A + Ident B + Foreign matter</t>
        </is>
      </c>
      <c r="M117" s="141" t="inlineStr">
        <is>
          <t>—</t>
        </is>
      </c>
      <c r="N117" s="129">
        <f>IFERROR(INDEX('CoQ Register'!$B:$B,MATCH("P060422|R",'CoQ Register'!$S:$S,0)),"—")</f>
        <v/>
      </c>
      <c r="O117" s="141" t="inlineStr">
        <is>
          <t>—</t>
        </is>
      </c>
      <c r="P117" s="129" t="inlineStr">
        <is>
          <t>P060422|R</t>
        </is>
      </c>
      <c r="Q117" s="135" t="inlineStr">
        <is>
          <t>not yet issuable — retest assay on file; identification A, B and foreign matter to test at the retest sampling</t>
        </is>
      </c>
    </row>
    <row r="118">
      <c r="A118" s="129" t="inlineStr"/>
      <c r="B118" s="130" t="inlineStr">
        <is>
          <t>— at issue —</t>
        </is>
      </c>
      <c r="C118" s="141" t="inlineStr">
        <is>
          <t>no</t>
        </is>
      </c>
      <c r="D118" s="274">
        <f>IF(A118="","",IF(ISNUMBER(E118),MAX(DATE(2026,6,3),E118),DATE(2026,6,3)))</f>
        <v/>
      </c>
      <c r="E118" s="274" t="inlineStr">
        <is>
          <t>at retest sampling</t>
        </is>
      </c>
      <c r="F118" s="274">
        <f>IFERROR(INDEX('Batch Dates'!$G:$G,MATCH(J118,'Batch Dates'!$C:$C,0)),IFERROR(INDEX('Batch Dates'!$G:$G,MATCH(I118,'Batch Dates'!$B:$B,0)),""))</f>
        <v/>
      </c>
      <c r="G118" s="129" t="inlineStr">
        <is>
          <t>post-SOP</t>
        </is>
      </c>
      <c r="H118" s="129" t="inlineStr">
        <is>
          <t>retest — re-analysed</t>
        </is>
      </c>
      <c r="I118" s="130" t="inlineStr">
        <is>
          <t>GG012603</t>
        </is>
      </c>
      <c r="J118" s="129" t="inlineStr">
        <is>
          <t>P060402</t>
        </is>
      </c>
      <c r="K118" s="129" t="inlineStr">
        <is>
          <t>GorillaGlue</t>
        </is>
      </c>
      <c r="L118" s="129" t="inlineStr">
        <is>
          <t>Ident A + Ident B + Foreign matter</t>
        </is>
      </c>
      <c r="M118" s="141" t="inlineStr">
        <is>
          <t>—</t>
        </is>
      </c>
      <c r="N118" s="129">
        <f>IFERROR(INDEX('CoQ Register'!$B:$B,MATCH("P060402|R",'CoQ Register'!$S:$S,0)),"—")</f>
        <v/>
      </c>
      <c r="O118" s="141" t="inlineStr">
        <is>
          <t>—</t>
        </is>
      </c>
      <c r="P118" s="129" t="inlineStr">
        <is>
          <t>P060402|R</t>
        </is>
      </c>
      <c r="Q118" s="135" t="inlineStr">
        <is>
          <t>not yet issuable — retest assay on file; identification A, B and foreign matter to test at the retest sampling</t>
        </is>
      </c>
    </row>
    <row r="119">
      <c r="A119" s="129" t="inlineStr"/>
      <c r="B119" s="130" t="inlineStr">
        <is>
          <t>— at issue —</t>
        </is>
      </c>
      <c r="C119" s="141" t="inlineStr">
        <is>
          <t>no</t>
        </is>
      </c>
      <c r="D119" s="274">
        <f>IF(A119="","",IF(ISNUMBER(E119),MAX(DATE(2026,6,3),E119),DATE(2026,6,3)))</f>
        <v/>
      </c>
      <c r="E119" s="274" t="inlineStr">
        <is>
          <t>at retest sampling</t>
        </is>
      </c>
      <c r="F119" s="274">
        <f>IFERROR(INDEX('Batch Dates'!$G:$G,MATCH(J119,'Batch Dates'!$C:$C,0)),IFERROR(INDEX('Batch Dates'!$G:$G,MATCH(I119,'Batch Dates'!$B:$B,0)),""))</f>
        <v/>
      </c>
      <c r="G119" s="129" t="inlineStr">
        <is>
          <t>post-SOP</t>
        </is>
      </c>
      <c r="H119" s="129" t="inlineStr">
        <is>
          <t>retest — re-analysed</t>
        </is>
      </c>
      <c r="I119" s="130" t="inlineStr">
        <is>
          <t>JD012603</t>
        </is>
      </c>
      <c r="J119" s="129" t="inlineStr">
        <is>
          <t>P060412</t>
        </is>
      </c>
      <c r="K119" s="129" t="inlineStr"/>
      <c r="L119" s="129" t="inlineStr">
        <is>
          <t>Ident A + Ident B + Foreign matter</t>
        </is>
      </c>
      <c r="M119" s="141" t="inlineStr">
        <is>
          <t>—</t>
        </is>
      </c>
      <c r="N119" s="129">
        <f>IFERROR(INDEX('CoQ Register'!$B:$B,MATCH("P060412|R",'CoQ Register'!$S:$S,0)),"—")</f>
        <v/>
      </c>
      <c r="O119" s="141" t="inlineStr">
        <is>
          <t>—</t>
        </is>
      </c>
      <c r="P119" s="129" t="inlineStr">
        <is>
          <t>P060412|R</t>
        </is>
      </c>
      <c r="Q119" s="135" t="inlineStr">
        <is>
          <t>not yet issuable — retest assay on file; identification A, B and foreign matter to test at the retest sampling</t>
        </is>
      </c>
    </row>
    <row r="120">
      <c r="A120" s="129" t="inlineStr"/>
      <c r="B120" s="130" t="inlineStr">
        <is>
          <t>— at issue —</t>
        </is>
      </c>
      <c r="C120" s="141" t="inlineStr">
        <is>
          <t>no</t>
        </is>
      </c>
      <c r="D120" s="274">
        <f>IF(A120="","",IF(ISNUMBER(E120),MAX(DATE(2026,6,3),E120),DATE(2026,6,3)))</f>
        <v/>
      </c>
      <c r="E120" s="274" t="inlineStr">
        <is>
          <t>at retest sampling</t>
        </is>
      </c>
      <c r="F120" s="274">
        <f>IFERROR(INDEX('Batch Dates'!$G:$G,MATCH(J120,'Batch Dates'!$C:$C,0)),IFERROR(INDEX('Batch Dates'!$G:$G,MATCH(I120,'Batch Dates'!$B:$B,0)),""))</f>
        <v/>
      </c>
      <c r="G120" s="129" t="inlineStr">
        <is>
          <t>post-SOP</t>
        </is>
      </c>
      <c r="H120" s="129" t="inlineStr">
        <is>
          <t>retest — re-analysed</t>
        </is>
      </c>
      <c r="I120" s="130" t="inlineStr">
        <is>
          <t>SCR012603</t>
        </is>
      </c>
      <c r="J120" s="129" t="inlineStr">
        <is>
          <t>P060382</t>
        </is>
      </c>
      <c r="K120" s="129" t="inlineStr">
        <is>
          <t>Scrambler</t>
        </is>
      </c>
      <c r="L120" s="129" t="inlineStr">
        <is>
          <t>Ident A + Ident B + Foreign matter</t>
        </is>
      </c>
      <c r="M120" s="141" t="inlineStr">
        <is>
          <t>—</t>
        </is>
      </c>
      <c r="N120" s="129">
        <f>IFERROR(INDEX('CoQ Register'!$B:$B,MATCH("P060382|R",'CoQ Register'!$S:$S,0)),"—")</f>
        <v/>
      </c>
      <c r="O120" s="141" t="inlineStr">
        <is>
          <t>—</t>
        </is>
      </c>
      <c r="P120" s="129" t="inlineStr">
        <is>
          <t>P060382|R</t>
        </is>
      </c>
      <c r="Q120" s="135" t="inlineStr">
        <is>
          <t>not yet issuable — retest assay on file; identification A, B and foreign matter to test at the retest sampling</t>
        </is>
      </c>
    </row>
    <row r="121">
      <c r="A121" s="129" t="inlineStr"/>
      <c r="B121" s="130" t="inlineStr">
        <is>
          <t>— at issue —</t>
        </is>
      </c>
      <c r="C121" s="141" t="inlineStr">
        <is>
          <t>no</t>
        </is>
      </c>
      <c r="D121" s="274">
        <f>IF(A121="","",IF(ISNUMBER(E121),MAX(DATE(2026,6,3),E121),DATE(2026,6,3)))</f>
        <v/>
      </c>
      <c r="E121" s="274" t="inlineStr">
        <is>
          <t>at retest sampling</t>
        </is>
      </c>
      <c r="F121" s="274">
        <f>IFERROR(INDEX('Batch Dates'!$G:$G,MATCH(J121,'Batch Dates'!$C:$C,0)),IFERROR(INDEX('Batch Dates'!$G:$G,MATCH(I121,'Batch Dates'!$B:$B,0)),""))</f>
        <v/>
      </c>
      <c r="G121" s="129" t="inlineStr">
        <is>
          <t>legacy</t>
        </is>
      </c>
      <c r="H121" s="129" t="inlineStr">
        <is>
          <t>retest — sampled — Tranche 2/3 (potency and mycotoxins pending)</t>
        </is>
      </c>
      <c r="I121" s="130" t="inlineStr">
        <is>
          <t>CJ1024</t>
        </is>
      </c>
      <c r="J121" s="129" t="inlineStr">
        <is>
          <t>N/A — no P batch assigned</t>
        </is>
      </c>
      <c r="K121" s="129" t="inlineStr">
        <is>
          <t>Cap Junky</t>
        </is>
      </c>
      <c r="L121" s="129" t="inlineStr">
        <is>
          <t>Ident A + Ident B + Foreign matter</t>
        </is>
      </c>
      <c r="M121" s="141" t="inlineStr">
        <is>
          <t>—</t>
        </is>
      </c>
      <c r="N121" s="129">
        <f>IFERROR(INDEX('CoQ Register'!$B:$B,MATCH("CJ1024|R",'CoQ Register'!$S:$S,0)),"—")</f>
        <v/>
      </c>
      <c r="O121" s="141" t="inlineStr">
        <is>
          <t>—</t>
        </is>
      </c>
      <c r="P121" s="129" t="inlineStr">
        <is>
          <t>CJ1024|R</t>
        </is>
      </c>
      <c r="Q121" s="135" t="inlineStr">
        <is>
          <t>not yet issuable — retest assay not yet on file</t>
        </is>
      </c>
    </row>
    <row r="122">
      <c r="A122" s="129" t="inlineStr"/>
      <c r="B122" s="130" t="inlineStr">
        <is>
          <t>— at issue —</t>
        </is>
      </c>
      <c r="C122" s="141" t="inlineStr">
        <is>
          <t>no</t>
        </is>
      </c>
      <c r="D122" s="274">
        <f>IF(A122="","",IF(ISNUMBER(E122),MAX(DATE(2026,6,3),E122),DATE(2026,6,3)))</f>
        <v/>
      </c>
      <c r="E122" s="274" t="inlineStr">
        <is>
          <t>at retest sampling</t>
        </is>
      </c>
      <c r="F122" s="274">
        <f>IFERROR(INDEX('Batch Dates'!$G:$G,MATCH(J122,'Batch Dates'!$C:$C,0)),IFERROR(INDEX('Batch Dates'!$G:$G,MATCH(I122,'Batch Dates'!$B:$B,0)),""))</f>
        <v/>
      </c>
      <c r="G122" s="129" t="inlineStr">
        <is>
          <t>legacy</t>
        </is>
      </c>
      <c r="H122" s="129" t="inlineStr">
        <is>
          <t>retest — not yet sampled</t>
        </is>
      </c>
      <c r="I122" s="130" t="inlineStr">
        <is>
          <t>GG1024</t>
        </is>
      </c>
      <c r="J122" s="129" t="inlineStr">
        <is>
          <t>N/A — no P batch assigned</t>
        </is>
      </c>
      <c r="K122" s="129" t="inlineStr">
        <is>
          <t>Gorilla Glue</t>
        </is>
      </c>
      <c r="L122" s="129" t="inlineStr">
        <is>
          <t>Ident A + Ident B + Foreign matter</t>
        </is>
      </c>
      <c r="M122" s="141" t="inlineStr">
        <is>
          <t>—</t>
        </is>
      </c>
      <c r="N122" s="129">
        <f>IFERROR(INDEX('CoQ Register'!$B:$B,MATCH("GG1024|R",'CoQ Register'!$S:$S,0)),"—")</f>
        <v/>
      </c>
      <c r="O122" s="141" t="inlineStr">
        <is>
          <t>—</t>
        </is>
      </c>
      <c r="P122" s="129" t="inlineStr">
        <is>
          <t>GG1024|R</t>
        </is>
      </c>
      <c r="Q122" s="135" t="inlineStr">
        <is>
          <t>not yet issuable — retest assay not yet on file</t>
        </is>
      </c>
    </row>
    <row r="123">
      <c r="A123" s="129" t="inlineStr"/>
      <c r="B123" s="130" t="inlineStr">
        <is>
          <t>— at issue —</t>
        </is>
      </c>
      <c r="C123" s="141" t="inlineStr">
        <is>
          <t>no</t>
        </is>
      </c>
      <c r="D123" s="274">
        <f>IF(A123="","",IF(ISNUMBER(E123),MAX(DATE(2026,6,3),E123),DATE(2026,6,3)))</f>
        <v/>
      </c>
      <c r="E123" s="274" t="inlineStr">
        <is>
          <t>at retest sampling</t>
        </is>
      </c>
      <c r="F123" s="274">
        <f>IFERROR(INDEX('Batch Dates'!$G:$G,MATCH(J123,'Batch Dates'!$C:$C,0)),IFERROR(INDEX('Batch Dates'!$G:$G,MATCH(I123,'Batch Dates'!$B:$B,0)),""))</f>
        <v/>
      </c>
      <c r="G123" s="129" t="inlineStr">
        <is>
          <t>legacy</t>
        </is>
      </c>
      <c r="H123" s="129" t="inlineStr">
        <is>
          <t>retest — sampled — Tranche 2/3 (potency and mycotoxins pending)</t>
        </is>
      </c>
      <c r="I123" s="130" t="inlineStr">
        <is>
          <t>GP0824_01</t>
        </is>
      </c>
      <c r="J123" s="129" t="inlineStr">
        <is>
          <t>P050102</t>
        </is>
      </c>
      <c r="K123" s="129" t="inlineStr">
        <is>
          <t>Grape Pie</t>
        </is>
      </c>
      <c r="L123" s="129" t="inlineStr">
        <is>
          <t>Ident A + Ident B + Foreign matter</t>
        </is>
      </c>
      <c r="M123" s="141" t="inlineStr">
        <is>
          <t>—</t>
        </is>
      </c>
      <c r="N123" s="129">
        <f>IFERROR(INDEX('CoQ Register'!$B:$B,MATCH("P050102|R",'CoQ Register'!$S:$S,0)),"—")</f>
        <v/>
      </c>
      <c r="O123" s="141" t="inlineStr">
        <is>
          <t>—</t>
        </is>
      </c>
      <c r="P123" s="129" t="inlineStr">
        <is>
          <t>P050102|R</t>
        </is>
      </c>
      <c r="Q123" s="135" t="inlineStr">
        <is>
          <t>not yet issuable — retest assay not yet on file</t>
        </is>
      </c>
    </row>
    <row r="124">
      <c r="A124" s="129" t="inlineStr"/>
      <c r="B124" s="130" t="inlineStr">
        <is>
          <t>— at issue —</t>
        </is>
      </c>
      <c r="C124" s="141" t="inlineStr">
        <is>
          <t>no</t>
        </is>
      </c>
      <c r="D124" s="274">
        <f>IF(A124="","",IF(ISNUMBER(E124),MAX(DATE(2026,6,3),E124),DATE(2026,6,3)))</f>
        <v/>
      </c>
      <c r="E124" s="274" t="inlineStr">
        <is>
          <t>at retest sampling</t>
        </is>
      </c>
      <c r="F124" s="274">
        <f>IFERROR(INDEX('Batch Dates'!$G:$G,MATCH(J124,'Batch Dates'!$C:$C,0)),IFERROR(INDEX('Batch Dates'!$G:$G,MATCH(I124,'Batch Dates'!$B:$B,0)),""))</f>
        <v/>
      </c>
      <c r="G124" s="129" t="inlineStr">
        <is>
          <t>legacy</t>
        </is>
      </c>
      <c r="H124" s="129" t="inlineStr">
        <is>
          <t>retest — sampled — Tranche 2/3 (potency and mycotoxins pending)</t>
        </is>
      </c>
      <c r="I124" s="130" t="inlineStr">
        <is>
          <t>MB0824_04</t>
        </is>
      </c>
      <c r="J124" s="129" t="inlineStr">
        <is>
          <t>P050032</t>
        </is>
      </c>
      <c r="K124" s="129" t="inlineStr">
        <is>
          <t>Motor Breath</t>
        </is>
      </c>
      <c r="L124" s="129" t="inlineStr">
        <is>
          <t>Ident A + Ident B + Foreign matter</t>
        </is>
      </c>
      <c r="M124" s="141" t="inlineStr">
        <is>
          <t>—</t>
        </is>
      </c>
      <c r="N124" s="129">
        <f>IFERROR(INDEX('CoQ Register'!$B:$B,MATCH("P050032|R",'CoQ Register'!$S:$S,0)),"—")</f>
        <v/>
      </c>
      <c r="O124" s="141" t="inlineStr">
        <is>
          <t>—</t>
        </is>
      </c>
      <c r="P124" s="129" t="inlineStr">
        <is>
          <t>P050032|R</t>
        </is>
      </c>
      <c r="Q124" s="135" t="inlineStr">
        <is>
          <t>not yet issuable — retest assay not yet on file</t>
        </is>
      </c>
    </row>
    <row r="125">
      <c r="A125" s="129" t="inlineStr"/>
      <c r="B125" s="130" t="inlineStr">
        <is>
          <t>— at issue —</t>
        </is>
      </c>
      <c r="C125" s="141" t="inlineStr">
        <is>
          <t>no</t>
        </is>
      </c>
      <c r="D125" s="274">
        <f>IF(A125="","",IF(ISNUMBER(E125),MAX(DATE(2026,6,3),E125),DATE(2026,6,3)))</f>
        <v/>
      </c>
      <c r="E125" s="274" t="inlineStr">
        <is>
          <t>at retest sampling</t>
        </is>
      </c>
      <c r="F125" s="274">
        <f>IFERROR(INDEX('Batch Dates'!$G:$G,MATCH(J125,'Batch Dates'!$C:$C,0)),IFERROR(INDEX('Batch Dates'!$G:$G,MATCH(I125,'Batch Dates'!$B:$B,0)),""))</f>
        <v/>
      </c>
      <c r="G125" s="129" t="inlineStr">
        <is>
          <t>legacy</t>
        </is>
      </c>
      <c r="H125" s="129" t="inlineStr">
        <is>
          <t>retest — sampled — Tranche 2/3 (potency and mycotoxins pending)</t>
        </is>
      </c>
      <c r="I125" s="130" t="inlineStr">
        <is>
          <t>GG1024_02</t>
        </is>
      </c>
      <c r="J125" s="129" t="inlineStr">
        <is>
          <t>P050012</t>
        </is>
      </c>
      <c r="K125" s="129" t="inlineStr">
        <is>
          <t>Gorilla Glue</t>
        </is>
      </c>
      <c r="L125" s="129" t="inlineStr">
        <is>
          <t>Ident A + Ident B + Foreign matter</t>
        </is>
      </c>
      <c r="M125" s="141" t="inlineStr">
        <is>
          <t>—</t>
        </is>
      </c>
      <c r="N125" s="129">
        <f>IFERROR(INDEX('CoQ Register'!$B:$B,MATCH("P050012|R",'CoQ Register'!$S:$S,0)),"—")</f>
        <v/>
      </c>
      <c r="O125" s="141" t="inlineStr">
        <is>
          <t>—</t>
        </is>
      </c>
      <c r="P125" s="129" t="inlineStr">
        <is>
          <t>P050012|R</t>
        </is>
      </c>
      <c r="Q125" s="135" t="inlineStr">
        <is>
          <t>not yet issuable — retest assay not yet on file</t>
        </is>
      </c>
    </row>
    <row r="126">
      <c r="A126" s="129" t="inlineStr"/>
      <c r="B126" s="130" t="inlineStr">
        <is>
          <t>— at issue —</t>
        </is>
      </c>
      <c r="C126" s="141" t="inlineStr">
        <is>
          <t>no</t>
        </is>
      </c>
      <c r="D126" s="274">
        <f>IF(A126="","",IF(ISNUMBER(E126),MAX(DATE(2026,6,3),E126),DATE(2026,6,3)))</f>
        <v/>
      </c>
      <c r="E126" s="274" t="inlineStr">
        <is>
          <t>at retest sampling</t>
        </is>
      </c>
      <c r="F126" s="274">
        <f>IFERROR(INDEX('Batch Dates'!$G:$G,MATCH(J126,'Batch Dates'!$C:$C,0)),IFERROR(INDEX('Batch Dates'!$G:$G,MATCH(I126,'Batch Dates'!$B:$B,0)),""))</f>
        <v/>
      </c>
      <c r="G126" s="129" t="inlineStr">
        <is>
          <t>legacy</t>
        </is>
      </c>
      <c r="H126" s="129" t="inlineStr">
        <is>
          <t>retest — not yet sampled</t>
        </is>
      </c>
      <c r="I126" s="130" t="inlineStr">
        <is>
          <t>OMP1024_01</t>
        </is>
      </c>
      <c r="J126" s="129" t="inlineStr">
        <is>
          <t>P050042</t>
        </is>
      </c>
      <c r="K126" s="129" t="inlineStr">
        <is>
          <t>Orange Punch Mimosa</t>
        </is>
      </c>
      <c r="L126" s="129" t="inlineStr">
        <is>
          <t>Ident A + Ident B + Foreign matter</t>
        </is>
      </c>
      <c r="M126" s="141" t="inlineStr">
        <is>
          <t>—</t>
        </is>
      </c>
      <c r="N126" s="129">
        <f>IFERROR(INDEX('CoQ Register'!$B:$B,MATCH("P050042|R",'CoQ Register'!$S:$S,0)),"—")</f>
        <v/>
      </c>
      <c r="O126" s="141" t="inlineStr">
        <is>
          <t>—</t>
        </is>
      </c>
      <c r="P126" s="129" t="inlineStr">
        <is>
          <t>P050042|R</t>
        </is>
      </c>
      <c r="Q126" s="135" t="inlineStr">
        <is>
          <t>not yet issuable — retest assay not yet on file</t>
        </is>
      </c>
    </row>
    <row r="127">
      <c r="A127" s="129" t="inlineStr"/>
      <c r="B127" s="130" t="inlineStr">
        <is>
          <t>— at issue —</t>
        </is>
      </c>
      <c r="C127" s="141" t="inlineStr">
        <is>
          <t>no</t>
        </is>
      </c>
      <c r="D127" s="274">
        <f>IF(A127="","",IF(ISNUMBER(E127),MAX(DATE(2026,6,3),E127),DATE(2026,6,3)))</f>
        <v/>
      </c>
      <c r="E127" s="274" t="inlineStr">
        <is>
          <t>at retest sampling</t>
        </is>
      </c>
      <c r="F127" s="274">
        <f>IFERROR(INDEX('Batch Dates'!$G:$G,MATCH(J127,'Batch Dates'!$C:$C,0)),IFERROR(INDEX('Batch Dates'!$G:$G,MATCH(I127,'Batch Dates'!$B:$B,0)),""))</f>
        <v/>
      </c>
      <c r="G127" s="129" t="inlineStr">
        <is>
          <t>legacy</t>
        </is>
      </c>
      <c r="H127" s="129" t="inlineStr">
        <is>
          <t>retest — not yet sampled</t>
        </is>
      </c>
      <c r="I127" s="130" t="inlineStr">
        <is>
          <t>OPM1024_03</t>
        </is>
      </c>
      <c r="J127" s="129" t="inlineStr">
        <is>
          <t>P050082</t>
        </is>
      </c>
      <c r="K127" s="129" t="inlineStr">
        <is>
          <t>Orange Punch Mimosa</t>
        </is>
      </c>
      <c r="L127" s="129" t="inlineStr">
        <is>
          <t>Ident A + Ident B + Foreign matter</t>
        </is>
      </c>
      <c r="M127" s="141" t="inlineStr">
        <is>
          <t>—</t>
        </is>
      </c>
      <c r="N127" s="129">
        <f>IFERROR(INDEX('CoQ Register'!$B:$B,MATCH("P050082|R",'CoQ Register'!$S:$S,0)),"—")</f>
        <v/>
      </c>
      <c r="O127" s="141" t="inlineStr">
        <is>
          <t>—</t>
        </is>
      </c>
      <c r="P127" s="129" t="inlineStr">
        <is>
          <t>P050082|R</t>
        </is>
      </c>
      <c r="Q127" s="135" t="inlineStr">
        <is>
          <t>not yet issuable — retest assay not yet on file</t>
        </is>
      </c>
    </row>
    <row r="128">
      <c r="A128" s="129" t="inlineStr"/>
      <c r="B128" s="130" t="inlineStr">
        <is>
          <t>— at issue —</t>
        </is>
      </c>
      <c r="C128" s="141" t="inlineStr">
        <is>
          <t>no</t>
        </is>
      </c>
      <c r="D128" s="274">
        <f>IF(A128="","",IF(ISNUMBER(E128),MAX(DATE(2026,6,3),E128),DATE(2026,6,3)))</f>
        <v/>
      </c>
      <c r="E128" s="274" t="inlineStr">
        <is>
          <t>at retest sampling</t>
        </is>
      </c>
      <c r="F128" s="274">
        <f>IFERROR(INDEX('Batch Dates'!$G:$G,MATCH(J128,'Batch Dates'!$C:$C,0)),IFERROR(INDEX('Batch Dates'!$G:$G,MATCH(I128,'Batch Dates'!$B:$B,0)),""))</f>
        <v/>
      </c>
      <c r="G128" s="129" t="inlineStr">
        <is>
          <t>legacy</t>
        </is>
      </c>
      <c r="H128" s="129" t="inlineStr">
        <is>
          <t>retest — not yet sampled</t>
        </is>
      </c>
      <c r="I128" s="130" t="inlineStr">
        <is>
          <t>MB0824_05</t>
        </is>
      </c>
      <c r="J128" s="129" t="inlineStr">
        <is>
          <t>P050112</t>
        </is>
      </c>
      <c r="K128" s="129" t="inlineStr">
        <is>
          <t>Motor Breath</t>
        </is>
      </c>
      <c r="L128" s="129" t="inlineStr">
        <is>
          <t>Ident A + Ident B + Foreign matter</t>
        </is>
      </c>
      <c r="M128" s="141" t="inlineStr">
        <is>
          <t>—</t>
        </is>
      </c>
      <c r="N128" s="129">
        <f>IFERROR(INDEX('CoQ Register'!$B:$B,MATCH("P050112|R",'CoQ Register'!$S:$S,0)),"—")</f>
        <v/>
      </c>
      <c r="O128" s="141" t="inlineStr">
        <is>
          <t>—</t>
        </is>
      </c>
      <c r="P128" s="129" t="inlineStr">
        <is>
          <t>P050112|R</t>
        </is>
      </c>
      <c r="Q128" s="135" t="inlineStr">
        <is>
          <t>not yet issuable — retest assay not yet on file</t>
        </is>
      </c>
    </row>
    <row r="129">
      <c r="A129" s="129" t="inlineStr"/>
      <c r="B129" s="130" t="inlineStr">
        <is>
          <t>— at issue —</t>
        </is>
      </c>
      <c r="C129" s="141" t="inlineStr">
        <is>
          <t>no</t>
        </is>
      </c>
      <c r="D129" s="274">
        <f>IF(A129="","",IF(ISNUMBER(E129),MAX(DATE(2026,6,3),E129),DATE(2026,6,3)))</f>
        <v/>
      </c>
      <c r="E129" s="274" t="inlineStr">
        <is>
          <t>at retest sampling</t>
        </is>
      </c>
      <c r="F129" s="274">
        <f>IFERROR(INDEX('Batch Dates'!$G:$G,MATCH(J129,'Batch Dates'!$C:$C,0)),IFERROR(INDEX('Batch Dates'!$G:$G,MATCH(I129,'Batch Dates'!$B:$B,0)),""))</f>
        <v/>
      </c>
      <c r="G129" s="129" t="inlineStr">
        <is>
          <t>legacy</t>
        </is>
      </c>
      <c r="H129" s="129" t="inlineStr">
        <is>
          <t>retest — sampled — Tranche 2/3 (potency and mycotoxins pending)</t>
        </is>
      </c>
      <c r="I129" s="130" t="inlineStr">
        <is>
          <t>OPM052501</t>
        </is>
      </c>
      <c r="J129" s="129" t="inlineStr">
        <is>
          <t>P050132</t>
        </is>
      </c>
      <c r="K129" s="129" t="inlineStr">
        <is>
          <t>Orange Punch Mimosa</t>
        </is>
      </c>
      <c r="L129" s="129" t="inlineStr">
        <is>
          <t>Ident A + Ident B + Foreign matter</t>
        </is>
      </c>
      <c r="M129" s="141" t="inlineStr">
        <is>
          <t>—</t>
        </is>
      </c>
      <c r="N129" s="129">
        <f>IFERROR(INDEX('CoQ Register'!$B:$B,MATCH("P050132|R",'CoQ Register'!$S:$S,0)),"—")</f>
        <v/>
      </c>
      <c r="O129" s="141" t="inlineStr">
        <is>
          <t>—</t>
        </is>
      </c>
      <c r="P129" s="129" t="inlineStr">
        <is>
          <t>P050132|R</t>
        </is>
      </c>
      <c r="Q129" s="135" t="inlineStr">
        <is>
          <t>not yet issuable — retest assay not yet on file</t>
        </is>
      </c>
    </row>
    <row r="130">
      <c r="A130" s="129" t="inlineStr"/>
      <c r="B130" s="130" t="inlineStr">
        <is>
          <t>— at issue —</t>
        </is>
      </c>
      <c r="C130" s="141" t="inlineStr">
        <is>
          <t>no</t>
        </is>
      </c>
      <c r="D130" s="274">
        <f>IF(A130="","",IF(ISNUMBER(E130),MAX(DATE(2026,6,3),E130),DATE(2026,6,3)))</f>
        <v/>
      </c>
      <c r="E130" s="274" t="inlineStr">
        <is>
          <t>at retest sampling</t>
        </is>
      </c>
      <c r="F130" s="274">
        <f>IFERROR(INDEX('Batch Dates'!$G:$G,MATCH(J130,'Batch Dates'!$C:$C,0)),IFERROR(INDEX('Batch Dates'!$G:$G,MATCH(I130,'Batch Dates'!$B:$B,0)),""))</f>
        <v/>
      </c>
      <c r="G130" s="129" t="inlineStr">
        <is>
          <t>legacy</t>
        </is>
      </c>
      <c r="H130" s="129" t="inlineStr">
        <is>
          <t>retest — sampled — Tranche 2/3 (potency and mycotoxins pending)</t>
        </is>
      </c>
      <c r="I130" s="130" t="inlineStr">
        <is>
          <t>CJ052501/02</t>
        </is>
      </c>
      <c r="J130" s="129" t="inlineStr">
        <is>
          <t>P050172</t>
        </is>
      </c>
      <c r="K130" s="129" t="inlineStr">
        <is>
          <t>Cap Junky</t>
        </is>
      </c>
      <c r="L130" s="129" t="inlineStr">
        <is>
          <t>Ident A + Ident B + Foreign matter</t>
        </is>
      </c>
      <c r="M130" s="141" t="inlineStr">
        <is>
          <t>—</t>
        </is>
      </c>
      <c r="N130" s="129">
        <f>IFERROR(INDEX('CoQ Register'!$B:$B,MATCH("P050172|R",'CoQ Register'!$S:$S,0)),"—")</f>
        <v/>
      </c>
      <c r="O130" s="141" t="inlineStr">
        <is>
          <t>—</t>
        </is>
      </c>
      <c r="P130" s="129" t="inlineStr">
        <is>
          <t>P050172|R</t>
        </is>
      </c>
      <c r="Q130" s="135" t="inlineStr">
        <is>
          <t>not yet issuable — retest assay not yet on file</t>
        </is>
      </c>
    </row>
    <row r="131">
      <c r="A131" s="129" t="inlineStr"/>
      <c r="B131" s="130" t="inlineStr">
        <is>
          <t>— at issue —</t>
        </is>
      </c>
      <c r="C131" s="141" t="inlineStr">
        <is>
          <t>no</t>
        </is>
      </c>
      <c r="D131" s="274">
        <f>IF(A131="","",IF(ISNUMBER(E131),MAX(DATE(2026,6,3),E131),DATE(2026,6,3)))</f>
        <v/>
      </c>
      <c r="E131" s="274" t="inlineStr">
        <is>
          <t>at retest sampling</t>
        </is>
      </c>
      <c r="F131" s="274">
        <f>IFERROR(INDEX('Batch Dates'!$G:$G,MATCH(J131,'Batch Dates'!$C:$C,0)),IFERROR(INDEX('Batch Dates'!$G:$G,MATCH(I131,'Batch Dates'!$B:$B,0)),""))</f>
        <v/>
      </c>
      <c r="G131" s="129" t="inlineStr">
        <is>
          <t>legacy</t>
        </is>
      </c>
      <c r="H131" s="129" t="inlineStr">
        <is>
          <t>retest — not yet sampled</t>
        </is>
      </c>
      <c r="I131" s="130" t="inlineStr">
        <is>
          <t>HPA052501</t>
        </is>
      </c>
      <c r="J131" s="129" t="inlineStr">
        <is>
          <t>P050182</t>
        </is>
      </c>
      <c r="K131" s="129" t="inlineStr">
        <is>
          <t>High Pro Amnesia</t>
        </is>
      </c>
      <c r="L131" s="129" t="inlineStr">
        <is>
          <t>Ident A + Ident B + Foreign matter</t>
        </is>
      </c>
      <c r="M131" s="141" t="inlineStr">
        <is>
          <t>—</t>
        </is>
      </c>
      <c r="N131" s="129">
        <f>IFERROR(INDEX('CoQ Register'!$B:$B,MATCH("P050182|R",'CoQ Register'!$S:$S,0)),"—")</f>
        <v/>
      </c>
      <c r="O131" s="141" t="inlineStr">
        <is>
          <t>—</t>
        </is>
      </c>
      <c r="P131" s="129" t="inlineStr">
        <is>
          <t>P050182|R</t>
        </is>
      </c>
      <c r="Q131" s="135" t="inlineStr">
        <is>
          <t>not yet issuable — retest assay not yet on file</t>
        </is>
      </c>
    </row>
    <row r="132">
      <c r="A132" s="129" t="inlineStr"/>
      <c r="B132" s="130" t="inlineStr">
        <is>
          <t>— at issue —</t>
        </is>
      </c>
      <c r="C132" s="141" t="inlineStr">
        <is>
          <t>no</t>
        </is>
      </c>
      <c r="D132" s="274">
        <f>IF(A132="","",IF(ISNUMBER(E132),MAX(DATE(2026,6,3),E132),DATE(2026,6,3)))</f>
        <v/>
      </c>
      <c r="E132" s="274" t="inlineStr">
        <is>
          <t>at retest sampling</t>
        </is>
      </c>
      <c r="F132" s="274">
        <f>IFERROR(INDEX('Batch Dates'!$G:$G,MATCH(J132,'Batch Dates'!$C:$C,0)),IFERROR(INDEX('Batch Dates'!$G:$G,MATCH(I132,'Batch Dates'!$B:$B,0)),""))</f>
        <v/>
      </c>
      <c r="G132" s="129" t="inlineStr">
        <is>
          <t>legacy</t>
        </is>
      </c>
      <c r="H132" s="129" t="inlineStr">
        <is>
          <t>retest — sampled — Tranche 2/3 (potency and mycotoxins pending)</t>
        </is>
      </c>
      <c r="I132" s="130" t="inlineStr">
        <is>
          <t>BSS052501</t>
        </is>
      </c>
      <c r="J132" s="129" t="inlineStr">
        <is>
          <t>P050192</t>
        </is>
      </c>
      <c r="K132" s="129" t="inlineStr">
        <is>
          <t>Sleepy Joe</t>
        </is>
      </c>
      <c r="L132" s="129" t="inlineStr">
        <is>
          <t>Ident A + Ident B + Foreign matter</t>
        </is>
      </c>
      <c r="M132" s="141" t="inlineStr">
        <is>
          <t>—</t>
        </is>
      </c>
      <c r="N132" s="129">
        <f>IFERROR(INDEX('CoQ Register'!$B:$B,MATCH("P050192|R",'CoQ Register'!$S:$S,0)),"—")</f>
        <v/>
      </c>
      <c r="O132" s="141" t="inlineStr">
        <is>
          <t>—</t>
        </is>
      </c>
      <c r="P132" s="129" t="inlineStr">
        <is>
          <t>P050192|R</t>
        </is>
      </c>
      <c r="Q132" s="135" t="inlineStr">
        <is>
          <t>not yet issuable — retest assay not yet on file</t>
        </is>
      </c>
    </row>
    <row r="133">
      <c r="A133" s="129" t="inlineStr"/>
      <c r="B133" s="130" t="inlineStr">
        <is>
          <t>— at issue —</t>
        </is>
      </c>
      <c r="C133" s="141" t="inlineStr">
        <is>
          <t>no</t>
        </is>
      </c>
      <c r="D133" s="274">
        <f>IF(A133="","",IF(ISNUMBER(E133),MAX(DATE(2026,6,3),E133),DATE(2026,6,3)))</f>
        <v/>
      </c>
      <c r="E133" s="274" t="inlineStr">
        <is>
          <t>at retest sampling</t>
        </is>
      </c>
      <c r="F133" s="274">
        <f>IFERROR(INDEX('Batch Dates'!$G:$G,MATCH(J133,'Batch Dates'!$C:$C,0)),IFERROR(INDEX('Batch Dates'!$G:$G,MATCH(I133,'Batch Dates'!$B:$B,0)),""))</f>
        <v/>
      </c>
      <c r="G133" s="129" t="inlineStr">
        <is>
          <t>legacy</t>
        </is>
      </c>
      <c r="H133" s="129" t="inlineStr">
        <is>
          <t>retest — not yet sampled</t>
        </is>
      </c>
      <c r="I133" s="130" t="inlineStr">
        <is>
          <t>CJ062501/1</t>
        </is>
      </c>
      <c r="J133" s="129" t="inlineStr">
        <is>
          <t>P050222</t>
        </is>
      </c>
      <c r="K133" s="129" t="inlineStr">
        <is>
          <t>Cap Junkie</t>
        </is>
      </c>
      <c r="L133" s="129" t="inlineStr">
        <is>
          <t>Ident A + Ident B + Foreign matter</t>
        </is>
      </c>
      <c r="M133" s="141" t="inlineStr">
        <is>
          <t>—</t>
        </is>
      </c>
      <c r="N133" s="129">
        <f>IFERROR(INDEX('CoQ Register'!$B:$B,MATCH("P050222|R",'CoQ Register'!$S:$S,0)),"—")</f>
        <v/>
      </c>
      <c r="O133" s="141" t="inlineStr">
        <is>
          <t>—</t>
        </is>
      </c>
      <c r="P133" s="129" t="inlineStr">
        <is>
          <t>P050222|R</t>
        </is>
      </c>
      <c r="Q133" s="135" t="inlineStr">
        <is>
          <t>not yet issuable — retest assay not yet on file</t>
        </is>
      </c>
    </row>
    <row r="134">
      <c r="A134" s="129" t="inlineStr"/>
      <c r="B134" s="130" t="inlineStr">
        <is>
          <t>— at issue —</t>
        </is>
      </c>
      <c r="C134" s="141" t="inlineStr">
        <is>
          <t>no</t>
        </is>
      </c>
      <c r="D134" s="274">
        <f>IF(A134="","",IF(ISNUMBER(E134),MAX(DATE(2026,6,3),E134),DATE(2026,6,3)))</f>
        <v/>
      </c>
      <c r="E134" s="274" t="inlineStr">
        <is>
          <t>at retest sampling</t>
        </is>
      </c>
      <c r="F134" s="274">
        <f>IFERROR(INDEX('Batch Dates'!$G:$G,MATCH(J134,'Batch Dates'!$C:$C,0)),IFERROR(INDEX('Batch Dates'!$G:$G,MATCH(I134,'Batch Dates'!$B:$B,0)),""))</f>
        <v/>
      </c>
      <c r="G134" s="129" t="inlineStr">
        <is>
          <t>legacy</t>
        </is>
      </c>
      <c r="H134" s="129" t="inlineStr">
        <is>
          <t>retest — sampled — Tranche 2/3 (potency and mycotoxins pending)</t>
        </is>
      </c>
      <c r="I134" s="130" t="inlineStr">
        <is>
          <t>CJ072501</t>
        </is>
      </c>
      <c r="J134" s="129" t="inlineStr">
        <is>
          <t>P050252</t>
        </is>
      </c>
      <c r="K134" s="129" t="inlineStr">
        <is>
          <t>Cap Junky</t>
        </is>
      </c>
      <c r="L134" s="129" t="inlineStr">
        <is>
          <t>Ident A + Ident B + Foreign matter</t>
        </is>
      </c>
      <c r="M134" s="141" t="inlineStr">
        <is>
          <t>—</t>
        </is>
      </c>
      <c r="N134" s="129">
        <f>IFERROR(INDEX('CoQ Register'!$B:$B,MATCH("P050252|R",'CoQ Register'!$S:$S,0)),"—")</f>
        <v/>
      </c>
      <c r="O134" s="141" t="inlineStr">
        <is>
          <t>—</t>
        </is>
      </c>
      <c r="P134" s="129" t="inlineStr">
        <is>
          <t>P050252|R</t>
        </is>
      </c>
      <c r="Q134" s="135" t="inlineStr">
        <is>
          <t>not yet issuable — retest assay not yet on file</t>
        </is>
      </c>
    </row>
    <row r="135">
      <c r="A135" s="129" t="inlineStr"/>
      <c r="B135" s="130" t="inlineStr">
        <is>
          <t>— at issue —</t>
        </is>
      </c>
      <c r="C135" s="141" t="inlineStr">
        <is>
          <t>no</t>
        </is>
      </c>
      <c r="D135" s="274">
        <f>IF(A135="","",IF(ISNUMBER(E135),MAX(DATE(2026,6,3),E135),DATE(2026,6,3)))</f>
        <v/>
      </c>
      <c r="E135" s="274" t="inlineStr">
        <is>
          <t>at retest sampling</t>
        </is>
      </c>
      <c r="F135" s="274">
        <f>IFERROR(INDEX('Batch Dates'!$G:$G,MATCH(J135,'Batch Dates'!$C:$C,0)),IFERROR(INDEX('Batch Dates'!$G:$G,MATCH(I135,'Batch Dates'!$B:$B,0)),""))</f>
        <v/>
      </c>
      <c r="G135" s="129" t="inlineStr">
        <is>
          <t>legacy</t>
        </is>
      </c>
      <c r="H135" s="129" t="inlineStr">
        <is>
          <t>retest — sampled — Tranche 2/3 (potency and mycotoxins pending)</t>
        </is>
      </c>
      <c r="I135" s="130" t="inlineStr">
        <is>
          <t>WC072501</t>
        </is>
      </c>
      <c r="J135" s="129" t="inlineStr">
        <is>
          <t>P050262</t>
        </is>
      </c>
      <c r="K135" s="129" t="inlineStr">
        <is>
          <t>Wedding Crusher</t>
        </is>
      </c>
      <c r="L135" s="129" t="inlineStr">
        <is>
          <t>Ident A + Ident B + Foreign matter</t>
        </is>
      </c>
      <c r="M135" s="141" t="inlineStr">
        <is>
          <t>—</t>
        </is>
      </c>
      <c r="N135" s="129">
        <f>IFERROR(INDEX('CoQ Register'!$B:$B,MATCH("P050262|R",'CoQ Register'!$S:$S,0)),"—")</f>
        <v/>
      </c>
      <c r="O135" s="141" t="inlineStr">
        <is>
          <t>—</t>
        </is>
      </c>
      <c r="P135" s="129" t="inlineStr">
        <is>
          <t>P050262|R</t>
        </is>
      </c>
      <c r="Q135" s="135" t="inlineStr">
        <is>
          <t>not yet issuable — retest assay not yet on file</t>
        </is>
      </c>
    </row>
    <row r="136">
      <c r="A136" s="129" t="inlineStr"/>
      <c r="B136" s="130" t="inlineStr">
        <is>
          <t>— at issue —</t>
        </is>
      </c>
      <c r="C136" s="141" t="inlineStr">
        <is>
          <t>no</t>
        </is>
      </c>
      <c r="D136" s="274">
        <f>IF(A136="","",IF(ISNUMBER(E136),MAX(DATE(2026,6,3),E136),DATE(2026,6,3)))</f>
        <v/>
      </c>
      <c r="E136" s="274" t="inlineStr">
        <is>
          <t>at retest sampling</t>
        </is>
      </c>
      <c r="F136" s="274">
        <f>IFERROR(INDEX('Batch Dates'!$G:$G,MATCH(J136,'Batch Dates'!$C:$C,0)),IFERROR(INDEX('Batch Dates'!$G:$G,MATCH(I136,'Batch Dates'!$B:$B,0)),""))</f>
        <v/>
      </c>
      <c r="G136" s="129" t="inlineStr">
        <is>
          <t>legacy</t>
        </is>
      </c>
      <c r="H136" s="129" t="inlineStr">
        <is>
          <t>retest — not yet sampled</t>
        </is>
      </c>
      <c r="I136" s="130" t="inlineStr">
        <is>
          <t>CLE072501</t>
        </is>
      </c>
      <c r="J136" s="129" t="inlineStr">
        <is>
          <t>P050282</t>
        </is>
      </c>
      <c r="K136" s="129" t="inlineStr">
        <is>
          <t>Clemosa a bud</t>
        </is>
      </c>
      <c r="L136" s="129" t="inlineStr">
        <is>
          <t>Ident A + Ident B + Foreign matter</t>
        </is>
      </c>
      <c r="M136" s="141" t="inlineStr">
        <is>
          <t>—</t>
        </is>
      </c>
      <c r="N136" s="129">
        <f>IFERROR(INDEX('CoQ Register'!$B:$B,MATCH("P050282|R",'CoQ Register'!$S:$S,0)),"—")</f>
        <v/>
      </c>
      <c r="O136" s="141" t="inlineStr">
        <is>
          <t>—</t>
        </is>
      </c>
      <c r="P136" s="129" t="inlineStr">
        <is>
          <t>P050282|R</t>
        </is>
      </c>
      <c r="Q136" s="135" t="inlineStr">
        <is>
          <t>not yet issuable — retest assay not yet on file</t>
        </is>
      </c>
    </row>
    <row r="137">
      <c r="A137" s="129" t="inlineStr"/>
      <c r="B137" s="130" t="inlineStr">
        <is>
          <t>— at issue —</t>
        </is>
      </c>
      <c r="C137" s="141" t="inlineStr">
        <is>
          <t>no</t>
        </is>
      </c>
      <c r="D137" s="274">
        <f>IF(A137="","",IF(ISNUMBER(E137),MAX(DATE(2026,6,3),E137),DATE(2026,6,3)))</f>
        <v/>
      </c>
      <c r="E137" s="274" t="inlineStr">
        <is>
          <t>at retest sampling</t>
        </is>
      </c>
      <c r="F137" s="274">
        <f>IFERROR(INDEX('Batch Dates'!$G:$G,MATCH(J137,'Batch Dates'!$C:$C,0)),IFERROR(INDEX('Batch Dates'!$G:$G,MATCH(I137,'Batch Dates'!$B:$B,0)),""))</f>
        <v/>
      </c>
      <c r="G137" s="129" t="inlineStr">
        <is>
          <t>legacy</t>
        </is>
      </c>
      <c r="H137" s="129" t="inlineStr">
        <is>
          <t>retest — not yet sampled</t>
        </is>
      </c>
      <c r="I137" s="130" t="inlineStr">
        <is>
          <t>GP072501/2</t>
        </is>
      </c>
      <c r="J137" s="129" t="inlineStr">
        <is>
          <t>P050302</t>
        </is>
      </c>
      <c r="K137" s="129" t="inlineStr">
        <is>
          <t>Grape Pie</t>
        </is>
      </c>
      <c r="L137" s="129" t="inlineStr">
        <is>
          <t>Ident A + Ident B + Foreign matter</t>
        </is>
      </c>
      <c r="M137" s="141" t="inlineStr">
        <is>
          <t>—</t>
        </is>
      </c>
      <c r="N137" s="129">
        <f>IFERROR(INDEX('CoQ Register'!$B:$B,MATCH("P050302|R",'CoQ Register'!$S:$S,0)),"—")</f>
        <v/>
      </c>
      <c r="O137" s="141" t="inlineStr">
        <is>
          <t>—</t>
        </is>
      </c>
      <c r="P137" s="129" t="inlineStr">
        <is>
          <t>P050302|R</t>
        </is>
      </c>
      <c r="Q137" s="135" t="inlineStr">
        <is>
          <t>not yet issuable — retest assay not yet on file</t>
        </is>
      </c>
    </row>
    <row r="138">
      <c r="A138" s="129" t="inlineStr"/>
      <c r="B138" s="130" t="inlineStr">
        <is>
          <t>— at issue —</t>
        </is>
      </c>
      <c r="C138" s="141" t="inlineStr">
        <is>
          <t>no</t>
        </is>
      </c>
      <c r="D138" s="274">
        <f>IF(A138="","",IF(ISNUMBER(E138),MAX(DATE(2026,6,3),E138),DATE(2026,6,3)))</f>
        <v/>
      </c>
      <c r="E138" s="274" t="inlineStr">
        <is>
          <t>at retest sampling</t>
        </is>
      </c>
      <c r="F138" s="274">
        <f>IFERROR(INDEX('Batch Dates'!$G:$G,MATCH(J138,'Batch Dates'!$C:$C,0)),IFERROR(INDEX('Batch Dates'!$G:$G,MATCH(I138,'Batch Dates'!$B:$B,0)),""))</f>
        <v/>
      </c>
      <c r="G138" s="129" t="inlineStr">
        <is>
          <t>legacy</t>
        </is>
      </c>
      <c r="H138" s="129" t="inlineStr">
        <is>
          <t>retest — not yet sampled</t>
        </is>
      </c>
      <c r="I138" s="130" t="inlineStr">
        <is>
          <t>GP082501/1</t>
        </is>
      </c>
      <c r="J138" s="129" t="inlineStr">
        <is>
          <t>P050312</t>
        </is>
      </c>
      <c r="K138" s="129" t="inlineStr">
        <is>
          <t>Grape Pie</t>
        </is>
      </c>
      <c r="L138" s="129" t="inlineStr">
        <is>
          <t>Ident A + Ident B + Foreign matter</t>
        </is>
      </c>
      <c r="M138" s="141" t="inlineStr">
        <is>
          <t>—</t>
        </is>
      </c>
      <c r="N138" s="129">
        <f>IFERROR(INDEX('CoQ Register'!$B:$B,MATCH("P050312|R",'CoQ Register'!$S:$S,0)),"—")</f>
        <v/>
      </c>
      <c r="O138" s="141" t="inlineStr">
        <is>
          <t>—</t>
        </is>
      </c>
      <c r="P138" s="129" t="inlineStr">
        <is>
          <t>P050312|R</t>
        </is>
      </c>
      <c r="Q138" s="135" t="inlineStr">
        <is>
          <t>not yet issuable — retest assay not yet on file</t>
        </is>
      </c>
    </row>
    <row r="139">
      <c r="A139" s="129" t="inlineStr"/>
      <c r="B139" s="130" t="inlineStr">
        <is>
          <t>— at issue —</t>
        </is>
      </c>
      <c r="C139" s="141" t="inlineStr">
        <is>
          <t>no</t>
        </is>
      </c>
      <c r="D139" s="274">
        <f>IF(A139="","",IF(ISNUMBER(E139),MAX(DATE(2026,6,3),E139),DATE(2026,6,3)))</f>
        <v/>
      </c>
      <c r="E139" s="274" t="inlineStr">
        <is>
          <t>at retest sampling</t>
        </is>
      </c>
      <c r="F139" s="274">
        <f>IFERROR(INDEX('Batch Dates'!$G:$G,MATCH(J139,'Batch Dates'!$C:$C,0)),IFERROR(INDEX('Batch Dates'!$G:$G,MATCH(I139,'Batch Dates'!$B:$B,0)),""))</f>
        <v/>
      </c>
      <c r="G139" s="129" t="inlineStr">
        <is>
          <t>legacy</t>
        </is>
      </c>
      <c r="H139" s="129" t="inlineStr">
        <is>
          <t>retest — not yet sampled</t>
        </is>
      </c>
      <c r="I139" s="130" t="inlineStr">
        <is>
          <t>WC082501</t>
        </is>
      </c>
      <c r="J139" s="129" t="inlineStr">
        <is>
          <t>P060012</t>
        </is>
      </c>
      <c r="K139" s="129" t="inlineStr">
        <is>
          <t>Wedding Crasher</t>
        </is>
      </c>
      <c r="L139" s="129" t="inlineStr">
        <is>
          <t>Ident A + Ident B + Foreign matter</t>
        </is>
      </c>
      <c r="M139" s="141" t="inlineStr">
        <is>
          <t>—</t>
        </is>
      </c>
      <c r="N139" s="129">
        <f>IFERROR(INDEX('CoQ Register'!$B:$B,MATCH("P060012|R",'CoQ Register'!$S:$S,0)),"—")</f>
        <v/>
      </c>
      <c r="O139" s="141" t="inlineStr">
        <is>
          <t>—</t>
        </is>
      </c>
      <c r="P139" s="129" t="inlineStr">
        <is>
          <t>P060012|R</t>
        </is>
      </c>
      <c r="Q139" s="135" t="inlineStr">
        <is>
          <t>not yet issuable — retest assay not yet on file</t>
        </is>
      </c>
    </row>
    <row r="140">
      <c r="A140" s="129" t="inlineStr"/>
      <c r="B140" s="130" t="inlineStr">
        <is>
          <t>— at issue —</t>
        </is>
      </c>
      <c r="C140" s="141" t="inlineStr">
        <is>
          <t>no</t>
        </is>
      </c>
      <c r="D140" s="274">
        <f>IF(A140="","",IF(ISNUMBER(E140),MAX(DATE(2026,6,3),E140),DATE(2026,6,3)))</f>
        <v/>
      </c>
      <c r="E140" s="274" t="inlineStr">
        <is>
          <t>at retest sampling</t>
        </is>
      </c>
      <c r="F140" s="274">
        <f>IFERROR(INDEX('Batch Dates'!$G:$G,MATCH(J140,'Batch Dates'!$C:$C,0)),IFERROR(INDEX('Batch Dates'!$G:$G,MATCH(I140,'Batch Dates'!$B:$B,0)),""))</f>
        <v/>
      </c>
      <c r="G140" s="129" t="inlineStr">
        <is>
          <t>legacy</t>
        </is>
      </c>
      <c r="H140" s="129" t="inlineStr">
        <is>
          <t>retest — not yet sampled</t>
        </is>
      </c>
      <c r="I140" s="130" t="inlineStr">
        <is>
          <t>CJ082501/1</t>
        </is>
      </c>
      <c r="J140" s="129" t="inlineStr">
        <is>
          <t>P060022</t>
        </is>
      </c>
      <c r="K140" s="129" t="inlineStr">
        <is>
          <t>Cap Junky</t>
        </is>
      </c>
      <c r="L140" s="129" t="inlineStr">
        <is>
          <t>Ident A + Ident B + Foreign matter</t>
        </is>
      </c>
      <c r="M140" s="141" t="inlineStr">
        <is>
          <t>—</t>
        </is>
      </c>
      <c r="N140" s="129">
        <f>IFERROR(INDEX('CoQ Register'!$B:$B,MATCH("P060022|R",'CoQ Register'!$S:$S,0)),"—")</f>
        <v/>
      </c>
      <c r="O140" s="141" t="inlineStr">
        <is>
          <t>—</t>
        </is>
      </c>
      <c r="P140" s="129" t="inlineStr">
        <is>
          <t>P060022|R</t>
        </is>
      </c>
      <c r="Q140" s="135" t="inlineStr">
        <is>
          <t>not yet issuable — retest assay not yet on file</t>
        </is>
      </c>
    </row>
    <row r="141">
      <c r="A141" s="129" t="inlineStr"/>
      <c r="B141" s="130" t="inlineStr">
        <is>
          <t>— at issue —</t>
        </is>
      </c>
      <c r="C141" s="141" t="inlineStr">
        <is>
          <t>no</t>
        </is>
      </c>
      <c r="D141" s="274">
        <f>IF(A141="","",IF(ISNUMBER(E141),MAX(DATE(2026,6,3),E141),DATE(2026,6,3)))</f>
        <v/>
      </c>
      <c r="E141" s="274" t="inlineStr">
        <is>
          <t>at retest sampling</t>
        </is>
      </c>
      <c r="F141" s="274">
        <f>IFERROR(INDEX('Batch Dates'!$G:$G,MATCH(J141,'Batch Dates'!$C:$C,0)),IFERROR(INDEX('Batch Dates'!$G:$G,MATCH(I141,'Batch Dates'!$B:$B,0)),""))</f>
        <v/>
      </c>
      <c r="G141" s="129" t="inlineStr">
        <is>
          <t>legacy</t>
        </is>
      </c>
      <c r="H141" s="129" t="inlineStr">
        <is>
          <t>retest — sampled — Tranche 2/3 (potency and mycotoxins pending)</t>
        </is>
      </c>
      <c r="I141" s="130" t="inlineStr">
        <is>
          <t>GP072501/1</t>
        </is>
      </c>
      <c r="J141" s="129" t="inlineStr">
        <is>
          <t>P050292</t>
        </is>
      </c>
      <c r="K141" s="129" t="inlineStr">
        <is>
          <t>Grape Pie</t>
        </is>
      </c>
      <c r="L141" s="129" t="inlineStr">
        <is>
          <t>Ident A + Ident B + Foreign matter</t>
        </is>
      </c>
      <c r="M141" s="141" t="inlineStr">
        <is>
          <t>—</t>
        </is>
      </c>
      <c r="N141" s="129">
        <f>IFERROR(INDEX('CoQ Register'!$B:$B,MATCH("P050292|R",'CoQ Register'!$S:$S,0)),"—")</f>
        <v/>
      </c>
      <c r="O141" s="141" t="inlineStr">
        <is>
          <t>—</t>
        </is>
      </c>
      <c r="P141" s="129" t="inlineStr">
        <is>
          <t>P050292|R</t>
        </is>
      </c>
      <c r="Q141" s="135" t="inlineStr">
        <is>
          <t>not yet issuable — retest assay not yet on file</t>
        </is>
      </c>
    </row>
    <row r="142">
      <c r="A142" s="129" t="inlineStr"/>
      <c r="B142" s="130" t="inlineStr">
        <is>
          <t>— at issue —</t>
        </is>
      </c>
      <c r="C142" s="141" t="inlineStr">
        <is>
          <t>no</t>
        </is>
      </c>
      <c r="D142" s="274">
        <f>IF(A142="","",IF(ISNUMBER(E142),MAX(DATE(2026,6,3),E142),DATE(2026,6,3)))</f>
        <v/>
      </c>
      <c r="E142" s="274" t="inlineStr">
        <is>
          <t>at retest sampling</t>
        </is>
      </c>
      <c r="F142" s="274">
        <f>IFERROR(INDEX('Batch Dates'!$G:$G,MATCH(J142,'Batch Dates'!$C:$C,0)),IFERROR(INDEX('Batch Dates'!$G:$G,MATCH(I142,'Batch Dates'!$B:$B,0)),""))</f>
        <v/>
      </c>
      <c r="G142" s="129" t="inlineStr">
        <is>
          <t>legacy</t>
        </is>
      </c>
      <c r="H142" s="129" t="inlineStr">
        <is>
          <t>retest — sampled — Tranche 2/3 (potency and mycotoxins pending)</t>
        </is>
      </c>
      <c r="I142" s="130" t="inlineStr">
        <is>
          <t>PM072501</t>
        </is>
      </c>
      <c r="J142" s="129" t="inlineStr">
        <is>
          <t>P050272</t>
        </is>
      </c>
      <c r="K142" s="129" t="inlineStr">
        <is>
          <t>Permanent Marker</t>
        </is>
      </c>
      <c r="L142" s="129" t="inlineStr">
        <is>
          <t>Ident A + Ident B + Foreign matter</t>
        </is>
      </c>
      <c r="M142" s="141" t="inlineStr">
        <is>
          <t>—</t>
        </is>
      </c>
      <c r="N142" s="129">
        <f>IFERROR(INDEX('CoQ Register'!$B:$B,MATCH("P050272|R",'CoQ Register'!$S:$S,0)),"—")</f>
        <v/>
      </c>
      <c r="O142" s="141" t="inlineStr">
        <is>
          <t>—</t>
        </is>
      </c>
      <c r="P142" s="129" t="inlineStr">
        <is>
          <t>P050272|R</t>
        </is>
      </c>
      <c r="Q142" s="135" t="inlineStr">
        <is>
          <t>not yet issuable — retest assay not yet on file</t>
        </is>
      </c>
    </row>
    <row r="143">
      <c r="A143" s="129" t="inlineStr"/>
      <c r="B143" s="130" t="inlineStr">
        <is>
          <t>— at issue —</t>
        </is>
      </c>
      <c r="C143" s="141" t="inlineStr">
        <is>
          <t>no</t>
        </is>
      </c>
      <c r="D143" s="274">
        <f>IF(A143="","",IF(ISNUMBER(E143),MAX(DATE(2026,6,3),E143),DATE(2026,6,3)))</f>
        <v/>
      </c>
      <c r="E143" s="274" t="inlineStr">
        <is>
          <t>at retest sampling</t>
        </is>
      </c>
      <c r="F143" s="274">
        <f>IFERROR(INDEX('Batch Dates'!$G:$G,MATCH(J143,'Batch Dates'!$C:$C,0)),IFERROR(INDEX('Batch Dates'!$G:$G,MATCH(I143,'Batch Dates'!$B:$B,0)),""))</f>
        <v/>
      </c>
      <c r="G143" s="129" t="inlineStr">
        <is>
          <t>legacy</t>
        </is>
      </c>
      <c r="H143" s="129" t="inlineStr">
        <is>
          <t>retest — not yet sampled</t>
        </is>
      </c>
      <c r="I143" s="130" t="inlineStr">
        <is>
          <t>OPM092501</t>
        </is>
      </c>
      <c r="J143" s="129" t="inlineStr">
        <is>
          <t>P060042</t>
        </is>
      </c>
      <c r="K143" s="129" t="inlineStr">
        <is>
          <t>Orange Punch Mimosa</t>
        </is>
      </c>
      <c r="L143" s="129" t="inlineStr">
        <is>
          <t>Ident A + Ident B + Foreign matter</t>
        </is>
      </c>
      <c r="M143" s="141" t="inlineStr">
        <is>
          <t>—</t>
        </is>
      </c>
      <c r="N143" s="129">
        <f>IFERROR(INDEX('CoQ Register'!$B:$B,MATCH("P060042|R",'CoQ Register'!$S:$S,0)),"—")</f>
        <v/>
      </c>
      <c r="O143" s="141" t="inlineStr">
        <is>
          <t>—</t>
        </is>
      </c>
      <c r="P143" s="129" t="inlineStr">
        <is>
          <t>P060042|R</t>
        </is>
      </c>
      <c r="Q143" s="135" t="inlineStr">
        <is>
          <t>not yet issuable — retest assay not yet on file</t>
        </is>
      </c>
    </row>
    <row r="144">
      <c r="A144" s="129" t="inlineStr"/>
      <c r="B144" s="130" t="inlineStr">
        <is>
          <t>— at issue —</t>
        </is>
      </c>
      <c r="C144" s="141" t="inlineStr">
        <is>
          <t>no</t>
        </is>
      </c>
      <c r="D144" s="274">
        <f>IF(A144="","",IF(ISNUMBER(E144),MAX(DATE(2026,6,3),E144),DATE(2026,6,3)))</f>
        <v/>
      </c>
      <c r="E144" s="274" t="inlineStr">
        <is>
          <t>at retest sampling</t>
        </is>
      </c>
      <c r="F144" s="274">
        <f>IFERROR(INDEX('Batch Dates'!$G:$G,MATCH(J144,'Batch Dates'!$C:$C,0)),IFERROR(INDEX('Batch Dates'!$G:$G,MATCH(I144,'Batch Dates'!$B:$B,0)),""))</f>
        <v/>
      </c>
      <c r="G144" s="129" t="inlineStr">
        <is>
          <t>legacy</t>
        </is>
      </c>
      <c r="H144" s="129" t="inlineStr">
        <is>
          <t>retest — not yet sampled</t>
        </is>
      </c>
      <c r="I144" s="130" t="inlineStr">
        <is>
          <t>CJ092501</t>
        </is>
      </c>
      <c r="J144" s="129" t="inlineStr">
        <is>
          <t>P060072</t>
        </is>
      </c>
      <c r="K144" s="129" t="inlineStr">
        <is>
          <t>Cap Junky</t>
        </is>
      </c>
      <c r="L144" s="129" t="inlineStr">
        <is>
          <t>Ident A + Ident B + Foreign matter</t>
        </is>
      </c>
      <c r="M144" s="141" t="inlineStr">
        <is>
          <t>—</t>
        </is>
      </c>
      <c r="N144" s="129">
        <f>IFERROR(INDEX('CoQ Register'!$B:$B,MATCH("P060072|R",'CoQ Register'!$S:$S,0)),"—")</f>
        <v/>
      </c>
      <c r="O144" s="141" t="inlineStr">
        <is>
          <t>—</t>
        </is>
      </c>
      <c r="P144" s="129" t="inlineStr">
        <is>
          <t>P060072|R</t>
        </is>
      </c>
      <c r="Q144" s="135" t="inlineStr">
        <is>
          <t>not yet issuable — retest assay not yet on file</t>
        </is>
      </c>
    </row>
    <row r="145">
      <c r="A145" s="129" t="inlineStr"/>
      <c r="B145" s="130" t="inlineStr">
        <is>
          <t>— at issue —</t>
        </is>
      </c>
      <c r="C145" s="141" t="inlineStr">
        <is>
          <t>no</t>
        </is>
      </c>
      <c r="D145" s="274">
        <f>IF(A145="","",IF(ISNUMBER(E145),MAX(DATE(2026,6,3),E145),DATE(2026,6,3)))</f>
        <v/>
      </c>
      <c r="E145" s="274" t="inlineStr">
        <is>
          <t>at retest sampling</t>
        </is>
      </c>
      <c r="F145" s="274">
        <f>IFERROR(INDEX('Batch Dates'!$G:$G,MATCH(J145,'Batch Dates'!$C:$C,0)),IFERROR(INDEX('Batch Dates'!$G:$G,MATCH(I145,'Batch Dates'!$B:$B,0)),""))</f>
        <v/>
      </c>
      <c r="G145" s="129" t="inlineStr">
        <is>
          <t>legacy</t>
        </is>
      </c>
      <c r="H145" s="129" t="inlineStr">
        <is>
          <t>retest — not yet sampled</t>
        </is>
      </c>
      <c r="I145" s="130" t="inlineStr">
        <is>
          <t>SJ0925021</t>
        </is>
      </c>
      <c r="J145" s="129" t="inlineStr">
        <is>
          <t>P060082</t>
        </is>
      </c>
      <c r="K145" s="129" t="inlineStr"/>
      <c r="L145" s="129" t="inlineStr">
        <is>
          <t>Ident A + Ident B + Foreign matter</t>
        </is>
      </c>
      <c r="M145" s="141" t="inlineStr">
        <is>
          <t>—</t>
        </is>
      </c>
      <c r="N145" s="129">
        <f>IFERROR(INDEX('CoQ Register'!$B:$B,MATCH("P060082|R",'CoQ Register'!$S:$S,0)),"—")</f>
        <v/>
      </c>
      <c r="O145" s="141" t="inlineStr">
        <is>
          <t>—</t>
        </is>
      </c>
      <c r="P145" s="129" t="inlineStr">
        <is>
          <t>P060082|R</t>
        </is>
      </c>
      <c r="Q145" s="135" t="inlineStr">
        <is>
          <t>not yet issuable — retest assay not yet on file</t>
        </is>
      </c>
    </row>
    <row r="146">
      <c r="A146" s="129" t="inlineStr"/>
      <c r="B146" s="130" t="inlineStr">
        <is>
          <t>— at issue —</t>
        </is>
      </c>
      <c r="C146" s="141" t="inlineStr">
        <is>
          <t>no</t>
        </is>
      </c>
      <c r="D146" s="274">
        <f>IF(A146="","",IF(ISNUMBER(E146),MAX(DATE(2026,6,3),E146),DATE(2026,6,3)))</f>
        <v/>
      </c>
      <c r="E146" s="274" t="inlineStr">
        <is>
          <t>at retest sampling</t>
        </is>
      </c>
      <c r="F146" s="274">
        <f>IFERROR(INDEX('Batch Dates'!$G:$G,MATCH(J146,'Batch Dates'!$C:$C,0)),IFERROR(INDEX('Batch Dates'!$G:$G,MATCH(I146,'Batch Dates'!$B:$B,0)),""))</f>
        <v/>
      </c>
      <c r="G146" s="129" t="inlineStr">
        <is>
          <t>legacy</t>
        </is>
      </c>
      <c r="H146" s="129" t="inlineStr">
        <is>
          <t>retest — not yet sampled</t>
        </is>
      </c>
      <c r="I146" s="130" t="inlineStr">
        <is>
          <t>GP092501</t>
        </is>
      </c>
      <c r="J146" s="129" t="inlineStr">
        <is>
          <t>P060092</t>
        </is>
      </c>
      <c r="K146" s="129" t="inlineStr">
        <is>
          <t>Grape Pie</t>
        </is>
      </c>
      <c r="L146" s="129" t="inlineStr">
        <is>
          <t>Ident A + Ident B + Foreign matter</t>
        </is>
      </c>
      <c r="M146" s="141" t="inlineStr">
        <is>
          <t>—</t>
        </is>
      </c>
      <c r="N146" s="129">
        <f>IFERROR(INDEX('CoQ Register'!$B:$B,MATCH("P060092|R",'CoQ Register'!$S:$S,0)),"—")</f>
        <v/>
      </c>
      <c r="O146" s="141" t="inlineStr">
        <is>
          <t>—</t>
        </is>
      </c>
      <c r="P146" s="129" t="inlineStr">
        <is>
          <t>P060092|R</t>
        </is>
      </c>
      <c r="Q146" s="135" t="inlineStr">
        <is>
          <t>not yet issuable — retest assay not yet on file</t>
        </is>
      </c>
    </row>
    <row r="147">
      <c r="A147" s="129" t="inlineStr"/>
      <c r="B147" s="130" t="inlineStr">
        <is>
          <t>— at issue —</t>
        </is>
      </c>
      <c r="C147" s="141" t="inlineStr">
        <is>
          <t>no</t>
        </is>
      </c>
      <c r="D147" s="274">
        <f>IF(A147="","",IF(ISNUMBER(E147),MAX(DATE(2026,6,3),E147),DATE(2026,6,3)))</f>
        <v/>
      </c>
      <c r="E147" s="274" t="inlineStr">
        <is>
          <t>at retest sampling</t>
        </is>
      </c>
      <c r="F147" s="274">
        <f>IFERROR(INDEX('Batch Dates'!$G:$G,MATCH(J147,'Batch Dates'!$C:$C,0)),IFERROR(INDEX('Batch Dates'!$G:$G,MATCH(I147,'Batch Dates'!$B:$B,0)),""))</f>
        <v/>
      </c>
      <c r="G147" s="129" t="inlineStr">
        <is>
          <t>legacy</t>
        </is>
      </c>
      <c r="H147" s="129" t="inlineStr">
        <is>
          <t>retest — sampled — Tranche 2/3 (potency and mycotoxins pending)</t>
        </is>
      </c>
      <c r="I147" s="130" t="inlineStr">
        <is>
          <t>AB092501</t>
        </is>
      </c>
      <c r="J147" s="129" t="inlineStr">
        <is>
          <t>P060052</t>
        </is>
      </c>
      <c r="K147" s="129" t="inlineStr">
        <is>
          <t>Apple and Banana</t>
        </is>
      </c>
      <c r="L147" s="129" t="inlineStr">
        <is>
          <t>Ident A + Ident B + Foreign matter</t>
        </is>
      </c>
      <c r="M147" s="141" t="inlineStr">
        <is>
          <t>—</t>
        </is>
      </c>
      <c r="N147" s="129">
        <f>IFERROR(INDEX('CoQ Register'!$B:$B,MATCH("P060052|R",'CoQ Register'!$S:$S,0)),"—")</f>
        <v/>
      </c>
      <c r="O147" s="141" t="inlineStr">
        <is>
          <t>—</t>
        </is>
      </c>
      <c r="P147" s="129" t="inlineStr">
        <is>
          <t>P060052|R</t>
        </is>
      </c>
      <c r="Q147" s="135" t="inlineStr">
        <is>
          <t>not yet issuable — retest assay not yet on file</t>
        </is>
      </c>
    </row>
    <row r="148">
      <c r="A148" s="129" t="inlineStr"/>
      <c r="B148" s="130" t="inlineStr">
        <is>
          <t>— at issue —</t>
        </is>
      </c>
      <c r="C148" s="141" t="inlineStr">
        <is>
          <t>no</t>
        </is>
      </c>
      <c r="D148" s="274">
        <f>IF(A148="","",IF(ISNUMBER(E148),MAX(DATE(2026,6,3),E148),DATE(2026,6,3)))</f>
        <v/>
      </c>
      <c r="E148" s="274" t="inlineStr">
        <is>
          <t>at retest sampling</t>
        </is>
      </c>
      <c r="F148" s="274">
        <f>IFERROR(INDEX('Batch Dates'!$G:$G,MATCH(J148,'Batch Dates'!$C:$C,0)),IFERROR(INDEX('Batch Dates'!$G:$G,MATCH(I148,'Batch Dates'!$B:$B,0)),""))</f>
        <v/>
      </c>
      <c r="G148" s="129" t="inlineStr">
        <is>
          <t>legacy</t>
        </is>
      </c>
      <c r="H148" s="129" t="inlineStr">
        <is>
          <t>retest — sampled — Tranche 2/3 (potency and mycotoxins pending)</t>
        </is>
      </c>
      <c r="I148" s="130" t="inlineStr">
        <is>
          <t>SJ102501</t>
        </is>
      </c>
      <c r="J148" s="129" t="inlineStr">
        <is>
          <t>P060162</t>
        </is>
      </c>
      <c r="K148" s="129" t="inlineStr">
        <is>
          <t>Sleepy Joe</t>
        </is>
      </c>
      <c r="L148" s="129" t="inlineStr">
        <is>
          <t>Ident A + Ident B + Foreign matter</t>
        </is>
      </c>
      <c r="M148" s="141" t="inlineStr">
        <is>
          <t>—</t>
        </is>
      </c>
      <c r="N148" s="129">
        <f>IFERROR(INDEX('CoQ Register'!$B:$B,MATCH("P060162|R",'CoQ Register'!$S:$S,0)),"—")</f>
        <v/>
      </c>
      <c r="O148" s="141" t="inlineStr">
        <is>
          <t>—</t>
        </is>
      </c>
      <c r="P148" s="129" t="inlineStr">
        <is>
          <t>P060162|R</t>
        </is>
      </c>
      <c r="Q148" s="135" t="inlineStr">
        <is>
          <t>not yet issuable — retest assay not yet on file</t>
        </is>
      </c>
    </row>
    <row r="149">
      <c r="A149" s="129" t="inlineStr"/>
      <c r="B149" s="130" t="inlineStr">
        <is>
          <t>— at issue —</t>
        </is>
      </c>
      <c r="C149" s="141" t="inlineStr">
        <is>
          <t>no</t>
        </is>
      </c>
      <c r="D149" s="274">
        <f>IF(A149="","",IF(ISNUMBER(E149),MAX(DATE(2026,6,3),E149),DATE(2026,6,3)))</f>
        <v/>
      </c>
      <c r="E149" s="274" t="inlineStr">
        <is>
          <t>at retest sampling</t>
        </is>
      </c>
      <c r="F149" s="274">
        <f>IFERROR(INDEX('Batch Dates'!$G:$G,MATCH(J149,'Batch Dates'!$C:$C,0)),IFERROR(INDEX('Batch Dates'!$G:$G,MATCH(I149,'Batch Dates'!$B:$B,0)),""))</f>
        <v/>
      </c>
      <c r="G149" s="129" t="inlineStr">
        <is>
          <t>legacy</t>
        </is>
      </c>
      <c r="H149" s="129" t="inlineStr">
        <is>
          <t>retest — not yet sampled</t>
        </is>
      </c>
      <c r="I149" s="130" t="inlineStr">
        <is>
          <t>SJ112501</t>
        </is>
      </c>
      <c r="J149" s="129" t="inlineStr">
        <is>
          <t>P060192</t>
        </is>
      </c>
      <c r="K149" s="129" t="inlineStr">
        <is>
          <t>Sleepy Joy</t>
        </is>
      </c>
      <c r="L149" s="129" t="inlineStr">
        <is>
          <t>Ident A + Ident B + Foreign matter</t>
        </is>
      </c>
      <c r="M149" s="141" t="inlineStr">
        <is>
          <t>—</t>
        </is>
      </c>
      <c r="N149" s="129">
        <f>IFERROR(INDEX('CoQ Register'!$B:$B,MATCH("P060192|R",'CoQ Register'!$S:$S,0)),"—")</f>
        <v/>
      </c>
      <c r="O149" s="141" t="inlineStr">
        <is>
          <t>—</t>
        </is>
      </c>
      <c r="P149" s="129" t="inlineStr">
        <is>
          <t>P060192|R</t>
        </is>
      </c>
      <c r="Q149" s="135" t="inlineStr">
        <is>
          <t>not yet issuable — retest assay not yet on file</t>
        </is>
      </c>
    </row>
    <row r="150">
      <c r="A150" s="129" t="inlineStr"/>
      <c r="B150" s="130" t="inlineStr">
        <is>
          <t>— at issue —</t>
        </is>
      </c>
      <c r="C150" s="141" t="inlineStr">
        <is>
          <t>no</t>
        </is>
      </c>
      <c r="D150" s="274">
        <f>IF(A150="","",IF(ISNUMBER(E150),MAX(DATE(2026,6,3),E150),DATE(2026,6,3)))</f>
        <v/>
      </c>
      <c r="E150" s="274" t="inlineStr">
        <is>
          <t>at retest sampling</t>
        </is>
      </c>
      <c r="F150" s="274">
        <f>IFERROR(INDEX('Batch Dates'!$G:$G,MATCH(J150,'Batch Dates'!$C:$C,0)),IFERROR(INDEX('Batch Dates'!$G:$G,MATCH(I150,'Batch Dates'!$B:$B,0)),""))</f>
        <v/>
      </c>
      <c r="G150" s="129" t="inlineStr">
        <is>
          <t>legacy</t>
        </is>
      </c>
      <c r="H150" s="129" t="inlineStr">
        <is>
          <t>retest — sampled — Tranche 2/3 (potency and mycotoxins pending)</t>
        </is>
      </c>
      <c r="I150" s="130" t="inlineStr">
        <is>
          <t>OPM112501</t>
        </is>
      </c>
      <c r="J150" s="129" t="inlineStr">
        <is>
          <t>P060222</t>
        </is>
      </c>
      <c r="K150" s="129" t="inlineStr">
        <is>
          <t>Orange Punch Mimosa</t>
        </is>
      </c>
      <c r="L150" s="129" t="inlineStr">
        <is>
          <t>Ident A + Ident B + Foreign matter</t>
        </is>
      </c>
      <c r="M150" s="141" t="inlineStr">
        <is>
          <t>—</t>
        </is>
      </c>
      <c r="N150" s="129">
        <f>IFERROR(INDEX('CoQ Register'!$B:$B,MATCH("P060222|R",'CoQ Register'!$S:$S,0)),"—")</f>
        <v/>
      </c>
      <c r="O150" s="141" t="inlineStr">
        <is>
          <t>—</t>
        </is>
      </c>
      <c r="P150" s="129" t="inlineStr">
        <is>
          <t>P060222|R</t>
        </is>
      </c>
      <c r="Q150" s="135" t="inlineStr">
        <is>
          <t>not yet issuable — retest assay not yet on file</t>
        </is>
      </c>
    </row>
    <row r="151">
      <c r="A151" s="129" t="inlineStr"/>
      <c r="B151" s="130" t="inlineStr">
        <is>
          <t>— at issue —</t>
        </is>
      </c>
      <c r="C151" s="141" t="inlineStr">
        <is>
          <t>no</t>
        </is>
      </c>
      <c r="D151" s="274">
        <f>IF(A151="","",IF(ISNUMBER(E151),MAX(DATE(2026,6,3),E151),DATE(2026,6,3)))</f>
        <v/>
      </c>
      <c r="E151" s="274" t="inlineStr">
        <is>
          <t>at retest sampling</t>
        </is>
      </c>
      <c r="F151" s="274">
        <f>IFERROR(INDEX('Batch Dates'!$G:$G,MATCH(J151,'Batch Dates'!$C:$C,0)),IFERROR(INDEX('Batch Dates'!$G:$G,MATCH(I151,'Batch Dates'!$B:$B,0)),""))</f>
        <v/>
      </c>
      <c r="G151" s="129" t="inlineStr">
        <is>
          <t>legacy</t>
        </is>
      </c>
      <c r="H151" s="129" t="inlineStr">
        <is>
          <t>retest — not yet sampled</t>
        </is>
      </c>
      <c r="I151" s="130" t="inlineStr">
        <is>
          <t>KC102501</t>
        </is>
      </c>
      <c r="J151" s="129" t="inlineStr">
        <is>
          <t>P060172</t>
        </is>
      </c>
      <c r="K151" s="129" t="inlineStr">
        <is>
          <t>Kush Crasher</t>
        </is>
      </c>
      <c r="L151" s="129" t="inlineStr">
        <is>
          <t>Ident A + Ident B + Foreign matter</t>
        </is>
      </c>
      <c r="M151" s="141" t="inlineStr">
        <is>
          <t>—</t>
        </is>
      </c>
      <c r="N151" s="129">
        <f>IFERROR(INDEX('CoQ Register'!$B:$B,MATCH("P060172|R",'CoQ Register'!$S:$S,0)),"—")</f>
        <v/>
      </c>
      <c r="O151" s="141" t="inlineStr">
        <is>
          <t>—</t>
        </is>
      </c>
      <c r="P151" s="129" t="inlineStr">
        <is>
          <t>P060172|R</t>
        </is>
      </c>
      <c r="Q151" s="135" t="inlineStr">
        <is>
          <t>not yet issuable — retest assay not yet on file</t>
        </is>
      </c>
    </row>
    <row r="152">
      <c r="A152" s="129" t="inlineStr"/>
      <c r="B152" s="130" t="inlineStr">
        <is>
          <t>— at issue —</t>
        </is>
      </c>
      <c r="C152" s="141" t="inlineStr">
        <is>
          <t>no</t>
        </is>
      </c>
      <c r="D152" s="274">
        <f>IF(A152="","",IF(ISNUMBER(E152),MAX(DATE(2026,6,3),E152),DATE(2026,6,3)))</f>
        <v/>
      </c>
      <c r="E152" s="274" t="inlineStr">
        <is>
          <t>at retest sampling</t>
        </is>
      </c>
      <c r="F152" s="274">
        <f>IFERROR(INDEX('Batch Dates'!$G:$G,MATCH(J152,'Batch Dates'!$C:$C,0)),IFERROR(INDEX('Batch Dates'!$G:$G,MATCH(I152,'Batch Dates'!$B:$B,0)),""))</f>
        <v/>
      </c>
      <c r="G152" s="129" t="inlineStr">
        <is>
          <t>legacy</t>
        </is>
      </c>
      <c r="H152" s="129" t="inlineStr">
        <is>
          <t>retest — sampled — Tranche 2/3 (potency and mycotoxins pending)</t>
        </is>
      </c>
      <c r="I152" s="130" t="inlineStr">
        <is>
          <t>GRC102501</t>
        </is>
      </c>
      <c r="J152" s="129" t="inlineStr">
        <is>
          <t>P060182</t>
        </is>
      </c>
      <c r="K152" s="129" t="inlineStr">
        <is>
          <t>Graps &amp; Creme</t>
        </is>
      </c>
      <c r="L152" s="129" t="inlineStr">
        <is>
          <t>Ident A + Ident B + Foreign matter</t>
        </is>
      </c>
      <c r="M152" s="141" t="inlineStr">
        <is>
          <t>—</t>
        </is>
      </c>
      <c r="N152" s="129">
        <f>IFERROR(INDEX('CoQ Register'!$B:$B,MATCH("P060182|R",'CoQ Register'!$S:$S,0)),"—")</f>
        <v/>
      </c>
      <c r="O152" s="141" t="inlineStr">
        <is>
          <t>—</t>
        </is>
      </c>
      <c r="P152" s="129" t="inlineStr">
        <is>
          <t>P060182|R</t>
        </is>
      </c>
      <c r="Q152" s="135" t="inlineStr">
        <is>
          <t>not yet issuable — retest assay not yet on file</t>
        </is>
      </c>
    </row>
    <row r="153">
      <c r="A153" s="129" t="inlineStr"/>
      <c r="B153" s="130" t="inlineStr">
        <is>
          <t>— at issue —</t>
        </is>
      </c>
      <c r="C153" s="141" t="inlineStr">
        <is>
          <t>no</t>
        </is>
      </c>
      <c r="D153" s="274">
        <f>IF(A153="","",IF(ISNUMBER(E153),MAX(DATE(2026,6,3),E153),DATE(2026,6,3)))</f>
        <v/>
      </c>
      <c r="E153" s="274" t="inlineStr">
        <is>
          <t>at retest sampling</t>
        </is>
      </c>
      <c r="F153" s="274">
        <f>IFERROR(INDEX('Batch Dates'!$G:$G,MATCH(J153,'Batch Dates'!$C:$C,0)),IFERROR(INDEX('Batch Dates'!$G:$G,MATCH(I153,'Batch Dates'!$B:$B,0)),""))</f>
        <v/>
      </c>
      <c r="G153" s="129" t="inlineStr">
        <is>
          <t>—</t>
        </is>
      </c>
      <c r="H153" s="129" t="inlineStr">
        <is>
          <t>retest — not yet sampled</t>
        </is>
      </c>
      <c r="I153" s="130" t="inlineStr">
        <is>
          <t>JD112501＊</t>
        </is>
      </c>
      <c r="J153" s="129" t="inlineStr">
        <is>
          <t>N/A — no P batch assigned</t>
        </is>
      </c>
      <c r="K153" s="129" t="inlineStr">
        <is>
          <t>Jelly Donutz</t>
        </is>
      </c>
      <c r="L153" s="129" t="inlineStr">
        <is>
          <t>Ident A + Ident B + Foreign matter</t>
        </is>
      </c>
      <c r="M153" s="141" t="inlineStr">
        <is>
          <t>—</t>
        </is>
      </c>
      <c r="N153" s="129">
        <f>IFERROR(INDEX('CoQ Register'!$B:$B,MATCH("JD112501|R",'CoQ Register'!$S:$S,0)),"—")</f>
        <v/>
      </c>
      <c r="O153" s="141" t="inlineStr">
        <is>
          <t>—</t>
        </is>
      </c>
      <c r="P153" s="129" t="inlineStr">
        <is>
          <t>JD112501|R</t>
        </is>
      </c>
      <c r="Q153" s="135" t="inlineStr">
        <is>
          <t>not yet issuable — retest assay not yet on file</t>
        </is>
      </c>
    </row>
    <row r="154">
      <c r="A154" s="129" t="inlineStr"/>
      <c r="B154" s="130" t="inlineStr">
        <is>
          <t>— at issue —</t>
        </is>
      </c>
      <c r="C154" s="141" t="inlineStr">
        <is>
          <t>no</t>
        </is>
      </c>
      <c r="D154" s="274">
        <f>IF(A154="","",IF(ISNUMBER(E154),MAX(DATE(2026,6,3),E154),DATE(2026,6,3)))</f>
        <v/>
      </c>
      <c r="E154" s="274" t="inlineStr">
        <is>
          <t>at retest sampling</t>
        </is>
      </c>
      <c r="F154" s="274">
        <f>IFERROR(INDEX('Batch Dates'!$G:$G,MATCH(J154,'Batch Dates'!$C:$C,0)),IFERROR(INDEX('Batch Dates'!$G:$G,MATCH(I154,'Batch Dates'!$B:$B,0)),""))</f>
        <v/>
      </c>
      <c r="G154" s="129" t="inlineStr">
        <is>
          <t>legacy</t>
        </is>
      </c>
      <c r="H154" s="129" t="inlineStr">
        <is>
          <t>retest — not yet sampled</t>
        </is>
      </c>
      <c r="I154" s="130" t="inlineStr">
        <is>
          <t>PM112501</t>
        </is>
      </c>
      <c r="J154" s="129" t="inlineStr">
        <is>
          <t>P060232</t>
        </is>
      </c>
      <c r="K154" s="129" t="inlineStr">
        <is>
          <t>Permanent Market</t>
        </is>
      </c>
      <c r="L154" s="129" t="inlineStr">
        <is>
          <t>Ident A + Ident B + Foreign matter</t>
        </is>
      </c>
      <c r="M154" s="141" t="inlineStr">
        <is>
          <t>—</t>
        </is>
      </c>
      <c r="N154" s="129">
        <f>IFERROR(INDEX('CoQ Register'!$B:$B,MATCH("P060232|R",'CoQ Register'!$S:$S,0)),"—")</f>
        <v/>
      </c>
      <c r="O154" s="141" t="inlineStr">
        <is>
          <t>—</t>
        </is>
      </c>
      <c r="P154" s="129" t="inlineStr">
        <is>
          <t>P060232|R</t>
        </is>
      </c>
      <c r="Q154" s="135" t="inlineStr">
        <is>
          <t>not yet issuable — retest assay not yet on file</t>
        </is>
      </c>
    </row>
    <row r="155">
      <c r="A155" s="129" t="inlineStr"/>
      <c r="B155" s="130" t="inlineStr">
        <is>
          <t>— at issue —</t>
        </is>
      </c>
      <c r="C155" s="141" t="inlineStr">
        <is>
          <t>no</t>
        </is>
      </c>
      <c r="D155" s="274">
        <f>IF(A155="","",IF(ISNUMBER(E155),MAX(DATE(2026,6,3),E155),DATE(2026,6,3)))</f>
        <v/>
      </c>
      <c r="E155" s="274" t="inlineStr">
        <is>
          <t>at retest sampling</t>
        </is>
      </c>
      <c r="F155" s="274">
        <f>IFERROR(INDEX('Batch Dates'!$G:$G,MATCH(J155,'Batch Dates'!$C:$C,0)),IFERROR(INDEX('Batch Dates'!$G:$G,MATCH(I155,'Batch Dates'!$B:$B,0)),""))</f>
        <v/>
      </c>
      <c r="G155" s="129" t="inlineStr">
        <is>
          <t>post-SOP</t>
        </is>
      </c>
      <c r="H155" s="129" t="inlineStr">
        <is>
          <t>retest — sampled — Tranche 2/3 (potency and mycotoxins pending)</t>
        </is>
      </c>
      <c r="I155" s="130" t="inlineStr">
        <is>
          <t>CC112501</t>
        </is>
      </c>
      <c r="J155" s="129" t="inlineStr">
        <is>
          <t>P060272</t>
        </is>
      </c>
      <c r="K155" s="129" t="inlineStr">
        <is>
          <t>Cash Cow</t>
        </is>
      </c>
      <c r="L155" s="129" t="inlineStr">
        <is>
          <t>Ident A + Ident B + Foreign matter</t>
        </is>
      </c>
      <c r="M155" s="141" t="inlineStr">
        <is>
          <t>—</t>
        </is>
      </c>
      <c r="N155" s="129">
        <f>IFERROR(INDEX('CoQ Register'!$B:$B,MATCH("P060272|R",'CoQ Register'!$S:$S,0)),"—")</f>
        <v/>
      </c>
      <c r="O155" s="141" t="inlineStr">
        <is>
          <t>—</t>
        </is>
      </c>
      <c r="P155" s="129" t="inlineStr">
        <is>
          <t>P060272|R</t>
        </is>
      </c>
      <c r="Q155" s="135" t="inlineStr">
        <is>
          <t>not yet issuable — retest assay not yet on file</t>
        </is>
      </c>
    </row>
    <row r="156">
      <c r="A156" s="129" t="inlineStr"/>
      <c r="B156" s="130" t="inlineStr">
        <is>
          <t>— at issue —</t>
        </is>
      </c>
      <c r="C156" s="141" t="inlineStr">
        <is>
          <t>no</t>
        </is>
      </c>
      <c r="D156" s="274">
        <f>IF(A156="","",IF(ISNUMBER(E156),MAX(DATE(2026,6,3),E156),DATE(2026,6,3)))</f>
        <v/>
      </c>
      <c r="E156" s="274" t="inlineStr">
        <is>
          <t>at retest sampling</t>
        </is>
      </c>
      <c r="F156" s="274">
        <f>IFERROR(INDEX('Batch Dates'!$G:$G,MATCH(J156,'Batch Dates'!$C:$C,0)),IFERROR(INDEX('Batch Dates'!$G:$G,MATCH(I156,'Batch Dates'!$B:$B,0)),""))</f>
        <v/>
      </c>
      <c r="G156" s="129" t="inlineStr">
        <is>
          <t>post-SOP</t>
        </is>
      </c>
      <c r="H156" s="129" t="inlineStr">
        <is>
          <t>retest — sampled — Tranche 2/3 (potency and mycotoxins pending)</t>
        </is>
      </c>
      <c r="I156" s="130" t="inlineStr">
        <is>
          <t>FB112501</t>
        </is>
      </c>
      <c r="J156" s="129" t="inlineStr">
        <is>
          <t>P060292</t>
        </is>
      </c>
      <c r="K156" s="129" t="inlineStr">
        <is>
          <t>Fat Bastard</t>
        </is>
      </c>
      <c r="L156" s="129" t="inlineStr">
        <is>
          <t>Ident A + Ident B + Foreign matter</t>
        </is>
      </c>
      <c r="M156" s="141" t="inlineStr">
        <is>
          <t>—</t>
        </is>
      </c>
      <c r="N156" s="129">
        <f>IFERROR(INDEX('CoQ Register'!$B:$B,MATCH("P060292|R",'CoQ Register'!$S:$S,0)),"—")</f>
        <v/>
      </c>
      <c r="O156" s="141" t="inlineStr">
        <is>
          <t>—</t>
        </is>
      </c>
      <c r="P156" s="129" t="inlineStr">
        <is>
          <t>P060292|R</t>
        </is>
      </c>
      <c r="Q156" s="135" t="inlineStr">
        <is>
          <t>not yet issuable — retest assay not yet on file</t>
        </is>
      </c>
    </row>
    <row r="157">
      <c r="A157" s="129" t="inlineStr"/>
      <c r="B157" s="130" t="inlineStr">
        <is>
          <t>— at issue —</t>
        </is>
      </c>
      <c r="C157" s="141" t="inlineStr">
        <is>
          <t>no</t>
        </is>
      </c>
      <c r="D157" s="274">
        <f>IF(A157="","",IF(ISNUMBER(E157),MAX(DATE(2026,6,3),E157),DATE(2026,6,3)))</f>
        <v/>
      </c>
      <c r="E157" s="274" t="inlineStr">
        <is>
          <t>at retest sampling</t>
        </is>
      </c>
      <c r="F157" s="274">
        <f>IFERROR(INDEX('Batch Dates'!$G:$G,MATCH(J157,'Batch Dates'!$C:$C,0)),IFERROR(INDEX('Batch Dates'!$G:$G,MATCH(I157,'Batch Dates'!$B:$B,0)),""))</f>
        <v/>
      </c>
      <c r="G157" s="129" t="inlineStr">
        <is>
          <t>post-SOP</t>
        </is>
      </c>
      <c r="H157" s="129" t="inlineStr">
        <is>
          <t>retest — sampled — Tranche 2/3 (potency and mycotoxins pending)</t>
        </is>
      </c>
      <c r="I157" s="130" t="inlineStr">
        <is>
          <t>GG012601＊</t>
        </is>
      </c>
      <c r="J157" s="129" t="inlineStr">
        <is>
          <t>P060302</t>
        </is>
      </c>
      <c r="K157" s="129" t="inlineStr">
        <is>
          <t>Gorilla Glue</t>
        </is>
      </c>
      <c r="L157" s="129" t="inlineStr">
        <is>
          <t>Ident A + Ident B + Foreign matter</t>
        </is>
      </c>
      <c r="M157" s="141" t="inlineStr">
        <is>
          <t>—</t>
        </is>
      </c>
      <c r="N157" s="129">
        <f>IFERROR(INDEX('CoQ Register'!$B:$B,MATCH("P060302|R",'CoQ Register'!$S:$S,0)),"—")</f>
        <v/>
      </c>
      <c r="O157" s="141" t="inlineStr">
        <is>
          <t>—</t>
        </is>
      </c>
      <c r="P157" s="129" t="inlineStr">
        <is>
          <t>P060302|R</t>
        </is>
      </c>
      <c r="Q157" s="135" t="inlineStr">
        <is>
          <t>not yet issuable — retest assay not yet on file</t>
        </is>
      </c>
    </row>
    <row r="158">
      <c r="A158" s="129" t="inlineStr"/>
      <c r="B158" s="130" t="inlineStr">
        <is>
          <t>— at issue —</t>
        </is>
      </c>
      <c r="C158" s="141" t="inlineStr">
        <is>
          <t>no</t>
        </is>
      </c>
      <c r="D158" s="274">
        <f>IF(A158="","",IF(ISNUMBER(E158),MAX(DATE(2026,6,3),E158),DATE(2026,6,3)))</f>
        <v/>
      </c>
      <c r="E158" s="274" t="inlineStr">
        <is>
          <t>at retest sampling</t>
        </is>
      </c>
      <c r="F158" s="274">
        <f>IFERROR(INDEX('Batch Dates'!$G:$G,MATCH(J158,'Batch Dates'!$C:$C,0)),IFERROR(INDEX('Batch Dates'!$G:$G,MATCH(I158,'Batch Dates'!$B:$B,0)),""))</f>
        <v/>
      </c>
      <c r="G158" s="129" t="inlineStr">
        <is>
          <t>legacy</t>
        </is>
      </c>
      <c r="H158" s="129" t="inlineStr">
        <is>
          <t>retest — sampled — Tranche 2/3 (potency and mycotoxins pending)</t>
        </is>
      </c>
      <c r="I158" s="130" t="inlineStr">
        <is>
          <t>GG112501</t>
        </is>
      </c>
      <c r="J158" s="129" t="inlineStr">
        <is>
          <t>P060252</t>
        </is>
      </c>
      <c r="K158" s="129" t="inlineStr">
        <is>
          <t>Gorilla Glue</t>
        </is>
      </c>
      <c r="L158" s="129" t="inlineStr">
        <is>
          <t>Ident A + Ident B + Foreign matter</t>
        </is>
      </c>
      <c r="M158" s="141" t="inlineStr">
        <is>
          <t>—</t>
        </is>
      </c>
      <c r="N158" s="129">
        <f>IFERROR(INDEX('CoQ Register'!$B:$B,MATCH("P060252|R",'CoQ Register'!$S:$S,0)),"—")</f>
        <v/>
      </c>
      <c r="O158" s="141" t="inlineStr">
        <is>
          <t>—</t>
        </is>
      </c>
      <c r="P158" s="129" t="inlineStr">
        <is>
          <t>P060252|R</t>
        </is>
      </c>
      <c r="Q158" s="135" t="inlineStr">
        <is>
          <t>not yet issuable — retest assay not yet on file</t>
        </is>
      </c>
    </row>
    <row r="159">
      <c r="A159" s="129" t="inlineStr"/>
      <c r="B159" s="130" t="inlineStr">
        <is>
          <t>— at issue —</t>
        </is>
      </c>
      <c r="C159" s="141" t="inlineStr">
        <is>
          <t>no</t>
        </is>
      </c>
      <c r="D159" s="274">
        <f>IF(A159="","",IF(ISNUMBER(E159),MAX(DATE(2026,6,3),E159),DATE(2026,6,3)))</f>
        <v/>
      </c>
      <c r="E159" s="274" t="inlineStr">
        <is>
          <t>at retest sampling</t>
        </is>
      </c>
      <c r="F159" s="274">
        <f>IFERROR(INDEX('Batch Dates'!$G:$G,MATCH(J159,'Batch Dates'!$C:$C,0)),IFERROR(INDEX('Batch Dates'!$G:$G,MATCH(I159,'Batch Dates'!$B:$B,0)),""))</f>
        <v/>
      </c>
      <c r="G159" s="129" t="inlineStr">
        <is>
          <t>post-SOP</t>
        </is>
      </c>
      <c r="H159" s="129" t="inlineStr">
        <is>
          <t>retest — sampled — Tranche 2/3 (potency and mycotoxins pending)</t>
        </is>
      </c>
      <c r="I159" s="130" t="inlineStr">
        <is>
          <t>JD012601＊</t>
        </is>
      </c>
      <c r="J159" s="129" t="inlineStr">
        <is>
          <t>P060312</t>
        </is>
      </c>
      <c r="K159" s="129" t="inlineStr">
        <is>
          <t>Jelly Donutz</t>
        </is>
      </c>
      <c r="L159" s="129" t="inlineStr">
        <is>
          <t>Ident A + Ident B + Foreign matter</t>
        </is>
      </c>
      <c r="M159" s="141" t="inlineStr">
        <is>
          <t>—</t>
        </is>
      </c>
      <c r="N159" s="129">
        <f>IFERROR(INDEX('CoQ Register'!$B:$B,MATCH("P060312|R",'CoQ Register'!$S:$S,0)),"—")</f>
        <v/>
      </c>
      <c r="O159" s="141" t="inlineStr">
        <is>
          <t>—</t>
        </is>
      </c>
      <c r="P159" s="129" t="inlineStr">
        <is>
          <t>P060312|R</t>
        </is>
      </c>
      <c r="Q159" s="135" t="inlineStr">
        <is>
          <t>not yet issuable — retest assay not yet on file</t>
        </is>
      </c>
    </row>
    <row r="160">
      <c r="A160" s="129" t="inlineStr"/>
      <c r="B160" s="130" t="inlineStr">
        <is>
          <t>— at issue —</t>
        </is>
      </c>
      <c r="C160" s="141" t="inlineStr">
        <is>
          <t>no</t>
        </is>
      </c>
      <c r="D160" s="274">
        <f>IF(A160="","",IF(ISNUMBER(E160),MAX(DATE(2026,6,3),E160),DATE(2026,6,3)))</f>
        <v/>
      </c>
      <c r="E160" s="274" t="inlineStr">
        <is>
          <t>at retest sampling</t>
        </is>
      </c>
      <c r="F160" s="274">
        <f>IFERROR(INDEX('Batch Dates'!$G:$G,MATCH(J160,'Batch Dates'!$C:$C,0)),IFERROR(INDEX('Batch Dates'!$G:$G,MATCH(I160,'Batch Dates'!$B:$B,0)),""))</f>
        <v/>
      </c>
      <c r="G160" s="129" t="inlineStr">
        <is>
          <t>post-SOP</t>
        </is>
      </c>
      <c r="H160" s="129" t="inlineStr">
        <is>
          <t>retest — not yet sampled</t>
        </is>
      </c>
      <c r="I160" s="130" t="inlineStr">
        <is>
          <t>SCR112501</t>
        </is>
      </c>
      <c r="J160" s="129" t="inlineStr">
        <is>
          <t>P060282</t>
        </is>
      </c>
      <c r="K160" s="129" t="inlineStr">
        <is>
          <t>Scrambler</t>
        </is>
      </c>
      <c r="L160" s="129" t="inlineStr">
        <is>
          <t>Ident A + Ident B + Foreign matter</t>
        </is>
      </c>
      <c r="M160" s="141" t="inlineStr">
        <is>
          <t>—</t>
        </is>
      </c>
      <c r="N160" s="129">
        <f>IFERROR(INDEX('CoQ Register'!$B:$B,MATCH("P060282|R",'CoQ Register'!$S:$S,0)),"—")</f>
        <v/>
      </c>
      <c r="O160" s="141" t="inlineStr">
        <is>
          <t>—</t>
        </is>
      </c>
      <c r="P160" s="129" t="inlineStr">
        <is>
          <t>P060282|R</t>
        </is>
      </c>
      <c r="Q160" s="135" t="inlineStr">
        <is>
          <t>not yet issuable — retest assay not yet on file</t>
        </is>
      </c>
    </row>
    <row r="161">
      <c r="A161" s="129" t="inlineStr"/>
      <c r="B161" s="130" t="inlineStr">
        <is>
          <t>— at issue —</t>
        </is>
      </c>
      <c r="C161" s="141" t="inlineStr">
        <is>
          <t>no</t>
        </is>
      </c>
      <c r="D161" s="274">
        <f>IF(A161="","",IF(ISNUMBER(E161),MAX(DATE(2026,6,3),E161),DATE(2026,6,3)))</f>
        <v/>
      </c>
      <c r="E161" s="274" t="inlineStr">
        <is>
          <t>at retest sampling</t>
        </is>
      </c>
      <c r="F161" s="274">
        <f>IFERROR(INDEX('Batch Dates'!$G:$G,MATCH(J161,'Batch Dates'!$C:$C,0)),IFERROR(INDEX('Batch Dates'!$G:$G,MATCH(I161,'Batch Dates'!$B:$B,0)),""))</f>
        <v/>
      </c>
      <c r="G161" s="129" t="inlineStr">
        <is>
          <t>post-SOP</t>
        </is>
      </c>
      <c r="H161" s="129" t="inlineStr">
        <is>
          <t>retest — not yet sampled</t>
        </is>
      </c>
      <c r="I161" s="130" t="inlineStr">
        <is>
          <t>FB012601_1</t>
        </is>
      </c>
      <c r="J161" s="129" t="inlineStr">
        <is>
          <t>P060322</t>
        </is>
      </c>
      <c r="K161" s="129" t="inlineStr">
        <is>
          <t>Fat Bastard</t>
        </is>
      </c>
      <c r="L161" s="129" t="inlineStr">
        <is>
          <t>Ident A + Ident B + Foreign matter</t>
        </is>
      </c>
      <c r="M161" s="141" t="inlineStr">
        <is>
          <t>—</t>
        </is>
      </c>
      <c r="N161" s="129">
        <f>IFERROR(INDEX('CoQ Register'!$B:$B,MATCH("P060322|R",'CoQ Register'!$S:$S,0)),"—")</f>
        <v/>
      </c>
      <c r="O161" s="141" t="inlineStr">
        <is>
          <t>—</t>
        </is>
      </c>
      <c r="P161" s="129" t="inlineStr">
        <is>
          <t>P060322|R</t>
        </is>
      </c>
      <c r="Q161" s="135" t="inlineStr">
        <is>
          <t>not yet issuable — retest assay not yet on file</t>
        </is>
      </c>
    </row>
    <row r="162">
      <c r="A162" s="129" t="inlineStr"/>
      <c r="B162" s="130" t="inlineStr">
        <is>
          <t>— at issue —</t>
        </is>
      </c>
      <c r="C162" s="141" t="inlineStr">
        <is>
          <t>no</t>
        </is>
      </c>
      <c r="D162" s="274">
        <f>IF(A162="","",IF(ISNUMBER(E162),MAX(DATE(2026,6,3),E162),DATE(2026,6,3)))</f>
        <v/>
      </c>
      <c r="E162" s="274" t="inlineStr">
        <is>
          <t>at retest sampling</t>
        </is>
      </c>
      <c r="F162" s="274">
        <f>IFERROR(INDEX('Batch Dates'!$G:$G,MATCH(J162,'Batch Dates'!$C:$C,0)),IFERROR(INDEX('Batch Dates'!$G:$G,MATCH(I162,'Batch Dates'!$B:$B,0)),""))</f>
        <v/>
      </c>
      <c r="G162" s="129" t="inlineStr">
        <is>
          <t>post-SOP</t>
        </is>
      </c>
      <c r="H162" s="129" t="inlineStr">
        <is>
          <t>retest — sampled — Tranche 2/3 (potency and mycotoxins pending)</t>
        </is>
      </c>
      <c r="I162" s="130" t="inlineStr">
        <is>
          <t>FB012603</t>
        </is>
      </c>
      <c r="J162" s="129" t="inlineStr">
        <is>
          <t>P060432</t>
        </is>
      </c>
      <c r="K162" s="129" t="inlineStr">
        <is>
          <t>Fat Bastard</t>
        </is>
      </c>
      <c r="L162" s="129" t="inlineStr">
        <is>
          <t>Ident A + Ident B + Foreign matter</t>
        </is>
      </c>
      <c r="M162" s="141" t="inlineStr">
        <is>
          <t>—</t>
        </is>
      </c>
      <c r="N162" s="129">
        <f>IFERROR(INDEX('CoQ Register'!$B:$B,MATCH("P060432|R",'CoQ Register'!$S:$S,0)),"—")</f>
        <v/>
      </c>
      <c r="O162" s="141" t="inlineStr">
        <is>
          <t>—</t>
        </is>
      </c>
      <c r="P162" s="129" t="inlineStr">
        <is>
          <t>P060432|R</t>
        </is>
      </c>
      <c r="Q162" s="135" t="inlineStr">
        <is>
          <t>not yet issuable — retest assay not yet on file</t>
        </is>
      </c>
    </row>
    <row r="163">
      <c r="A163" s="129" t="inlineStr"/>
      <c r="B163" s="130" t="inlineStr">
        <is>
          <t>— at issue —</t>
        </is>
      </c>
      <c r="C163" s="141" t="inlineStr">
        <is>
          <t>no</t>
        </is>
      </c>
      <c r="D163" s="274">
        <f>IF(A163="","",IF(ISNUMBER(E163),MAX(DATE(2026,6,3),E163),DATE(2026,6,3)))</f>
        <v/>
      </c>
      <c r="E163" s="274" t="inlineStr">
        <is>
          <t>at retest sampling</t>
        </is>
      </c>
      <c r="F163" s="274">
        <f>IFERROR(INDEX('Batch Dates'!$G:$G,MATCH(J163,'Batch Dates'!$C:$C,0)),IFERROR(INDEX('Batch Dates'!$G:$G,MATCH(I163,'Batch Dates'!$B:$B,0)),""))</f>
        <v/>
      </c>
      <c r="G163" s="129" t="inlineStr">
        <is>
          <t>post-SOP</t>
        </is>
      </c>
      <c r="H163" s="129" t="inlineStr">
        <is>
          <t>retest — sampled — Tranche 2/3 (potency and mycotoxins pending)</t>
        </is>
      </c>
      <c r="I163" s="130" t="inlineStr">
        <is>
          <t>FB012603V</t>
        </is>
      </c>
      <c r="J163" s="129" t="inlineStr">
        <is>
          <t>P060392</t>
        </is>
      </c>
      <c r="K163" s="129" t="inlineStr">
        <is>
          <t>Fat Bastard</t>
        </is>
      </c>
      <c r="L163" s="129" t="inlineStr">
        <is>
          <t>Ident A + Ident B + Foreign matter</t>
        </is>
      </c>
      <c r="M163" s="141" t="inlineStr">
        <is>
          <t>—</t>
        </is>
      </c>
      <c r="N163" s="129">
        <f>IFERROR(INDEX('CoQ Register'!$B:$B,MATCH("P060392|R",'CoQ Register'!$S:$S,0)),"—")</f>
        <v/>
      </c>
      <c r="O163" s="141" t="inlineStr">
        <is>
          <t>—</t>
        </is>
      </c>
      <c r="P163" s="129" t="inlineStr">
        <is>
          <t>P060392|R</t>
        </is>
      </c>
      <c r="Q163" s="135" t="inlineStr">
        <is>
          <t>not yet issuable — retest assay not yet on file</t>
        </is>
      </c>
    </row>
    <row r="164">
      <c r="A164" s="129" t="inlineStr"/>
      <c r="B164" s="130" t="inlineStr">
        <is>
          <t>— at issue —</t>
        </is>
      </c>
      <c r="C164" s="141" t="inlineStr">
        <is>
          <t>no</t>
        </is>
      </c>
      <c r="D164" s="274">
        <f>IF(A164="","",IF(ISNUMBER(E164),MAX(DATE(2026,6,3),E164),DATE(2026,6,3)))</f>
        <v/>
      </c>
      <c r="E164" s="274" t="inlineStr">
        <is>
          <t>at retest sampling</t>
        </is>
      </c>
      <c r="F164" s="274">
        <f>IFERROR(INDEX('Batch Dates'!$G:$G,MATCH(J164,'Batch Dates'!$C:$C,0)),IFERROR(INDEX('Batch Dates'!$G:$G,MATCH(I164,'Batch Dates'!$B:$B,0)),""))</f>
        <v/>
      </c>
      <c r="G164" s="129" t="inlineStr">
        <is>
          <t>post-SOP</t>
        </is>
      </c>
      <c r="H164" s="129" t="inlineStr">
        <is>
          <t>retest — not yet sampled</t>
        </is>
      </c>
      <c r="I164" s="130" t="inlineStr">
        <is>
          <t>JD022601</t>
        </is>
      </c>
      <c r="J164" s="129" t="inlineStr">
        <is>
          <t>P060482</t>
        </is>
      </c>
      <c r="K164" s="129" t="inlineStr">
        <is>
          <t>JellyDonutz</t>
        </is>
      </c>
      <c r="L164" s="129" t="inlineStr">
        <is>
          <t>Ident A + Ident B + Foreign matter</t>
        </is>
      </c>
      <c r="M164" s="141" t="inlineStr">
        <is>
          <t>—</t>
        </is>
      </c>
      <c r="N164" s="129">
        <f>IFERROR(INDEX('CoQ Register'!$B:$B,MATCH("P060482|R",'CoQ Register'!$S:$S,0)),"—")</f>
        <v/>
      </c>
      <c r="O164" s="141" t="inlineStr">
        <is>
          <t>—</t>
        </is>
      </c>
      <c r="P164" s="129" t="inlineStr">
        <is>
          <t>P060482|R</t>
        </is>
      </c>
      <c r="Q164" s="135" t="inlineStr">
        <is>
          <t>not yet issuable — retest assay not yet on file</t>
        </is>
      </c>
    </row>
    <row r="165">
      <c r="A165" s="129" t="inlineStr"/>
      <c r="B165" s="130" t="inlineStr">
        <is>
          <t>— at issue —</t>
        </is>
      </c>
      <c r="C165" s="141" t="inlineStr">
        <is>
          <t>no</t>
        </is>
      </c>
      <c r="D165" s="274">
        <f>IF(A165="","",IF(ISNUMBER(E165),MAX(DATE(2026,6,3),E165),DATE(2026,6,3)))</f>
        <v/>
      </c>
      <c r="E165" s="274" t="inlineStr">
        <is>
          <t>at retest sampling</t>
        </is>
      </c>
      <c r="F165" s="274">
        <f>IFERROR(INDEX('Batch Dates'!$G:$G,MATCH(J165,'Batch Dates'!$C:$C,0)),IFERROR(INDEX('Batch Dates'!$G:$G,MATCH(I165,'Batch Dates'!$B:$B,0)),""))</f>
        <v/>
      </c>
      <c r="G165" s="129" t="inlineStr">
        <is>
          <t>post-SOP</t>
        </is>
      </c>
      <c r="H165" s="129" t="inlineStr">
        <is>
          <t>retest — sampled — Tranche 2/3 (potency and mycotoxins pending)</t>
        </is>
      </c>
      <c r="I165" s="130" t="inlineStr">
        <is>
          <t>SCR022601</t>
        </is>
      </c>
      <c r="J165" s="129" t="inlineStr">
        <is>
          <t>P060442</t>
        </is>
      </c>
      <c r="K165" s="129" t="inlineStr">
        <is>
          <t>Scrambler</t>
        </is>
      </c>
      <c r="L165" s="129" t="inlineStr">
        <is>
          <t>Ident A + Ident B + Foreign matter</t>
        </is>
      </c>
      <c r="M165" s="141" t="inlineStr">
        <is>
          <t>—</t>
        </is>
      </c>
      <c r="N165" s="129">
        <f>IFERROR(INDEX('CoQ Register'!$B:$B,MATCH("P060442|R",'CoQ Register'!$S:$S,0)),"—")</f>
        <v/>
      </c>
      <c r="O165" s="141" t="inlineStr">
        <is>
          <t>—</t>
        </is>
      </c>
      <c r="P165" s="129" t="inlineStr">
        <is>
          <t>P060442|R</t>
        </is>
      </c>
      <c r="Q165" s="135" t="inlineStr">
        <is>
          <t>not yet issuable — retest assay not yet on file</t>
        </is>
      </c>
    </row>
    <row r="166">
      <c r="A166" s="129" t="inlineStr"/>
      <c r="B166" s="130" t="inlineStr">
        <is>
          <t>— at issue —</t>
        </is>
      </c>
      <c r="C166" s="141" t="inlineStr">
        <is>
          <t>no</t>
        </is>
      </c>
      <c r="D166" s="274">
        <f>IF(A166="","",IF(ISNUMBER(E166),MAX(DATE(2026,6,3),E166),DATE(2026,6,3)))</f>
        <v/>
      </c>
      <c r="E166" s="274" t="inlineStr">
        <is>
          <t>at retest sampling</t>
        </is>
      </c>
      <c r="F166" s="274">
        <f>IFERROR(INDEX('Batch Dates'!$G:$G,MATCH(J166,'Batch Dates'!$C:$C,0)),IFERROR(INDEX('Batch Dates'!$G:$G,MATCH(I166,'Batch Dates'!$B:$B,0)),""))</f>
        <v/>
      </c>
      <c r="G166" s="129" t="inlineStr">
        <is>
          <t>post-SOP</t>
        </is>
      </c>
      <c r="H166" s="129" t="inlineStr">
        <is>
          <t>retest — not yet sampled</t>
        </is>
      </c>
      <c r="I166" s="130" t="inlineStr">
        <is>
          <t>FB032601</t>
        </is>
      </c>
      <c r="J166" s="129" t="inlineStr">
        <is>
          <t>P060452</t>
        </is>
      </c>
      <c r="K166" s="129" t="inlineStr">
        <is>
          <t>FatBastard</t>
        </is>
      </c>
      <c r="L166" s="129" t="inlineStr">
        <is>
          <t>Ident A + Ident B + Foreign matter</t>
        </is>
      </c>
      <c r="M166" s="141" t="inlineStr">
        <is>
          <t>—</t>
        </is>
      </c>
      <c r="N166" s="129">
        <f>IFERROR(INDEX('CoQ Register'!$B:$B,MATCH("P060452|R",'CoQ Register'!$S:$S,0)),"—")</f>
        <v/>
      </c>
      <c r="O166" s="141" t="inlineStr">
        <is>
          <t>—</t>
        </is>
      </c>
      <c r="P166" s="129" t="inlineStr">
        <is>
          <t>P060452|R</t>
        </is>
      </c>
      <c r="Q166" s="135" t="inlineStr">
        <is>
          <t>not yet issuable — retest assay not yet on file</t>
        </is>
      </c>
    </row>
    <row r="167">
      <c r="A167" s="129" t="inlineStr"/>
      <c r="B167" s="130" t="inlineStr">
        <is>
          <t>— at issue —</t>
        </is>
      </c>
      <c r="C167" s="141" t="inlineStr">
        <is>
          <t>no</t>
        </is>
      </c>
      <c r="D167" s="274">
        <f>IF(A167="","",IF(ISNUMBER(E167),MAX(DATE(2026,6,3),E167),DATE(2026,6,3)))</f>
        <v/>
      </c>
      <c r="E167" s="274" t="inlineStr">
        <is>
          <t>at retest sampling</t>
        </is>
      </c>
      <c r="F167" s="274">
        <f>IFERROR(INDEX('Batch Dates'!$G:$G,MATCH(J167,'Batch Dates'!$C:$C,0)),IFERROR(INDEX('Batch Dates'!$G:$G,MATCH(I167,'Batch Dates'!$B:$B,0)),""))</f>
        <v/>
      </c>
      <c r="G167" s="129" t="inlineStr">
        <is>
          <t>post-SOP</t>
        </is>
      </c>
      <c r="H167" s="129" t="inlineStr">
        <is>
          <t>retest — not yet sampled</t>
        </is>
      </c>
      <c r="I167" s="130" t="inlineStr">
        <is>
          <t>GG032601</t>
        </is>
      </c>
      <c r="J167" s="129" t="inlineStr">
        <is>
          <t>P060462</t>
        </is>
      </c>
      <c r="K167" s="129" t="inlineStr">
        <is>
          <t>GorillaGlue</t>
        </is>
      </c>
      <c r="L167" s="129" t="inlineStr">
        <is>
          <t>Ident A + Ident B + Foreign matter</t>
        </is>
      </c>
      <c r="M167" s="141" t="inlineStr">
        <is>
          <t>—</t>
        </is>
      </c>
      <c r="N167" s="129">
        <f>IFERROR(INDEX('CoQ Register'!$B:$B,MATCH("P060462|R",'CoQ Register'!$S:$S,0)),"—")</f>
        <v/>
      </c>
      <c r="O167" s="141" t="inlineStr">
        <is>
          <t>—</t>
        </is>
      </c>
      <c r="P167" s="129" t="inlineStr">
        <is>
          <t>P060462|R</t>
        </is>
      </c>
      <c r="Q167" s="135" t="inlineStr">
        <is>
          <t>not yet issuable — retest assay not yet on file</t>
        </is>
      </c>
    </row>
    <row r="169" ht="110" customHeight="1" s="70">
      <c r="A169" s="139"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which no sheet holds, so the series' dates are written as literals rather than guessed by a formula. CoQ (register) is looked up on the CoQ Register by Key — the iCoA Issuance sheet and the tracker's in-house cells cite this register by Key, so they follow it. Working days are Monday to Friday; public holidays are not applied.</t>
        </is>
      </c>
    </row>
  </sheetData>
  <mergeCells count="1">
    <mergeCell ref="A169:Q169"/>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T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s>
  <sheetData>
    <row r="1" ht="22" customHeight="1" s="70">
      <c r="A1" s="128" t="inlineStr">
        <is>
          <t>No.</t>
        </is>
      </c>
      <c r="B1" s="128" t="inlineStr">
        <is>
          <t>CoQ code</t>
        </is>
      </c>
      <c r="C1" s="128" t="inlineStr">
        <is>
          <t>Issuable</t>
        </is>
      </c>
      <c r="D1" s="128" t="inlineStr">
        <is>
          <t>Issue date (planned)</t>
        </is>
      </c>
      <c r="E1" s="128" t="inlineStr">
        <is>
          <t>Rule date</t>
        </is>
      </c>
      <c r="F1" s="128" t="inlineStr">
        <is>
          <t>Latest eCoA cited (date)</t>
        </is>
      </c>
      <c r="G1" s="128" t="inlineStr">
        <is>
          <t>Latest eCoA cited (code)</t>
        </is>
      </c>
      <c r="H1" s="128" t="inlineStr">
        <is>
          <t>iCoA (register)</t>
        </is>
      </c>
      <c r="I1" s="128" t="inlineStr">
        <is>
          <t>iCoA issue date</t>
        </is>
      </c>
      <c r="J1" s="128" t="inlineStr">
        <is>
          <t>Group</t>
        </is>
      </c>
      <c r="K1" s="128" t="inlineStr">
        <is>
          <t>Series</t>
        </is>
      </c>
      <c r="L1" s="128" t="inlineStr">
        <is>
          <t>CU Batch</t>
        </is>
      </c>
      <c r="M1" s="128" t="inlineStr">
        <is>
          <t>P Batch</t>
        </is>
      </c>
      <c r="N1" s="128" t="inlineStr">
        <is>
          <t>Strain</t>
        </is>
      </c>
      <c r="O1" s="128" t="inlineStr">
        <is>
          <t>Ident C — eCoA (Total THC)</t>
        </is>
      </c>
      <c r="P1" s="128" t="inlineStr">
        <is>
          <t>CNP references</t>
        </is>
      </c>
      <c r="Q1" s="128" t="inlineStr">
        <is>
          <t>Supersedes (old in-house CoA)</t>
        </is>
      </c>
      <c r="R1" s="128" t="inlineStr">
        <is>
          <t>Plan reference (31.08.2026)</t>
        </is>
      </c>
      <c r="S1" s="128" t="inlineStr">
        <is>
          <t>Key</t>
        </is>
      </c>
      <c r="T1" s="128" t="inlineStr">
        <is>
          <t>Status</t>
        </is>
      </c>
    </row>
    <row r="2">
      <c r="A2" s="129">
        <f>IF(C2="yes",COUNT(A$1:A1)+1,"")</f>
        <v/>
      </c>
      <c r="B2" s="130">
        <f>IF(A2&lt;&gt;"","CoQ-PP_26-"&amp;TEXT(A2,"000"),"— at issue —")</f>
        <v/>
      </c>
      <c r="C2" s="140" t="inlineStr">
        <is>
          <t>yes</t>
        </is>
      </c>
      <c r="D2" s="274">
        <f>IF(A2="","",MAX(E2,IF(ISNUMBER(I2),I2,0),IFERROR(IF(ISNUMBER(INDEX('iCoA Register'!$F:$F,MATCH(S2,'iCoA Register'!$P:$P,0))),INDEX('iCoA Register'!$F:$F,MATCH(S2,'iCoA Register'!$P:$P,0)),0),0)))</f>
        <v/>
      </c>
      <c r="E2" s="274">
        <f>IF(ISNUMBER(F2),MAX(DATE(2026,6,6),F2+7),DATE(2026,6,6))</f>
        <v/>
      </c>
      <c r="F2" s="274" t="n">
        <v>45715</v>
      </c>
      <c r="G2" s="129" t="inlineStr">
        <is>
          <t>750-2025</t>
        </is>
      </c>
      <c r="H2" s="129">
        <f>IFERROR(INDEX('iCoA Register'!$B:$B,MATCH("CJ1024|I",'iCoA Register'!$P:$P,0)),"—")</f>
        <v/>
      </c>
      <c r="I2" s="274">
        <f>IFERROR(INDEX('iCoA Register'!$D:$D,MATCH("CJ1024|I",'iCoA Register'!$P:$P,0)),"")</f>
        <v/>
      </c>
      <c r="J2" s="129" t="inlineStr">
        <is>
          <t>legacy</t>
        </is>
      </c>
      <c r="K2" s="129" t="inlineStr">
        <is>
          <t>initial release</t>
        </is>
      </c>
      <c r="L2" s="130" t="inlineStr">
        <is>
          <t>CJ1024</t>
        </is>
      </c>
      <c r="M2" s="129" t="inlineStr">
        <is>
          <t>N/A — no P batch assigned</t>
        </is>
      </c>
      <c r="N2" s="129" t="inlineStr">
        <is>
          <t>Cap Junky</t>
        </is>
      </c>
      <c r="O2" s="129" t="inlineStr">
        <is>
          <t>ППК25052, (26.02.2025) [CNP]</t>
        </is>
      </c>
      <c r="P2" s="141" t="inlineStr">
        <is>
          <t>—</t>
        </is>
      </c>
      <c r="Q2" s="129" t="inlineStr">
        <is>
          <t>—</t>
        </is>
      </c>
      <c r="R2" s="129" t="inlineStr">
        <is>
          <t>(assigned on issue)</t>
        </is>
      </c>
      <c r="S2" s="129" t="inlineStr">
        <is>
          <t>CJ1024|I</t>
        </is>
      </c>
      <c r="T2" s="134" t="inlineStr">
        <is>
          <t>registered — legacy series, issued 27.05.2026</t>
        </is>
      </c>
    </row>
    <row r="3">
      <c r="A3" s="129">
        <f>IF(C3="yes",COUNT(A$1:A2)+1,"")</f>
        <v/>
      </c>
      <c r="B3" s="130">
        <f>IF(A3&lt;&gt;"","CoQ-PP_26-"&amp;TEXT(A3,"000"),"— at issue —")</f>
        <v/>
      </c>
      <c r="C3" s="140" t="inlineStr">
        <is>
          <t>yes</t>
        </is>
      </c>
      <c r="D3" s="274">
        <f>IF(A3="","",MAX(E3,IF(ISNUMBER(I3),I3,0),IFERROR(IF(ISNUMBER(INDEX('iCoA Register'!$F:$F,MATCH(S3,'iCoA Register'!$P:$P,0))),INDEX('iCoA Register'!$F:$F,MATCH(S3,'iCoA Register'!$P:$P,0)),0),0)))</f>
        <v/>
      </c>
      <c r="E3" s="274">
        <f>IF(ISNUMBER(F3),MAX(DATE(2026,6,6),F3+7),DATE(2026,6,6))</f>
        <v/>
      </c>
      <c r="F3" s="274" t="n">
        <v>45715</v>
      </c>
      <c r="G3" s="129" t="inlineStr">
        <is>
          <t>751-2025</t>
        </is>
      </c>
      <c r="H3" s="129">
        <f>IFERROR(INDEX('iCoA Register'!$B:$B,MATCH("BSS1024|I",'iCoA Register'!$P:$P,0)),"—")</f>
        <v/>
      </c>
      <c r="I3" s="274">
        <f>IFERROR(INDEX('iCoA Register'!$D:$D,MATCH("BSS1024|I",'iCoA Register'!$P:$P,0)),"")</f>
        <v/>
      </c>
      <c r="J3" s="129" t="inlineStr">
        <is>
          <t>legacy</t>
        </is>
      </c>
      <c r="K3" s="129" t="inlineStr">
        <is>
          <t>initial release</t>
        </is>
      </c>
      <c r="L3" s="130" t="inlineStr">
        <is>
          <t>BSS1024</t>
        </is>
      </c>
      <c r="M3" s="129" t="inlineStr">
        <is>
          <t>N/A — no P batch assigned</t>
        </is>
      </c>
      <c r="N3" s="129" t="inlineStr">
        <is>
          <t>Blue Sunset Sherbet</t>
        </is>
      </c>
      <c r="O3" s="129" t="inlineStr">
        <is>
          <t>ППК25051, (26.02.2025) [CNP]</t>
        </is>
      </c>
      <c r="P3" s="141" t="inlineStr">
        <is>
          <t>—</t>
        </is>
      </c>
      <c r="Q3" s="129" t="inlineStr">
        <is>
          <t>—</t>
        </is>
      </c>
      <c r="R3" s="129" t="inlineStr">
        <is>
          <t>CoQ-PP-2025-0001</t>
        </is>
      </c>
      <c r="S3" s="129" t="inlineStr">
        <is>
          <t>BSS1024|I</t>
        </is>
      </c>
      <c r="T3" s="134" t="inlineStr">
        <is>
          <t>registered — legacy series, issued 27.05.2026</t>
        </is>
      </c>
    </row>
    <row r="4">
      <c r="A4" s="129">
        <f>IF(C4="yes",COUNT(A$1:A3)+1,"")</f>
        <v/>
      </c>
      <c r="B4" s="130">
        <f>IF(A4&lt;&gt;"","CoQ-PP_26-"&amp;TEXT(A4,"000"),"— at issue —")</f>
        <v/>
      </c>
      <c r="C4" s="140" t="inlineStr">
        <is>
          <t>yes</t>
        </is>
      </c>
      <c r="D4" s="274">
        <f>IF(A4="","",MAX(E4,IF(ISNUMBER(I4),I4,0),IFERROR(IF(ISNUMBER(INDEX('iCoA Register'!$F:$F,MATCH(S4,'iCoA Register'!$P:$P,0))),INDEX('iCoA Register'!$F:$F,MATCH(S4,'iCoA Register'!$P:$P,0)),0),0)))</f>
        <v/>
      </c>
      <c r="E4" s="274">
        <f>IF(ISNUMBER(F4),MAX(DATE(2026,6,6),F4+7),DATE(2026,6,6))</f>
        <v/>
      </c>
      <c r="F4" s="274" t="n">
        <v>45715</v>
      </c>
      <c r="G4" s="129" t="inlineStr">
        <is>
          <t>752-2025</t>
        </is>
      </c>
      <c r="H4" s="129">
        <f>IFERROR(INDEX('iCoA Register'!$B:$B,MATCH("BG1024|I",'iCoA Register'!$P:$P,0)),"—")</f>
        <v/>
      </c>
      <c r="I4" s="274">
        <f>IFERROR(INDEX('iCoA Register'!$D:$D,MATCH("BG1024|I",'iCoA Register'!$P:$P,0)),"")</f>
        <v/>
      </c>
      <c r="J4" s="129" t="inlineStr">
        <is>
          <t>legacy</t>
        </is>
      </c>
      <c r="K4" s="129" t="inlineStr">
        <is>
          <t>initial release</t>
        </is>
      </c>
      <c r="L4" s="130" t="inlineStr">
        <is>
          <t>BG1024</t>
        </is>
      </c>
      <c r="M4" s="129" t="inlineStr">
        <is>
          <t>N/A — no P batch assigned</t>
        </is>
      </c>
      <c r="N4" s="129" t="inlineStr">
        <is>
          <t>Blue Gelato</t>
        </is>
      </c>
      <c r="O4" s="129" t="inlineStr">
        <is>
          <t>ППК25050, (26.02.2025) [CNP]</t>
        </is>
      </c>
      <c r="P4" s="141" t="inlineStr">
        <is>
          <t>—</t>
        </is>
      </c>
      <c r="Q4" s="129" t="inlineStr">
        <is>
          <t>—</t>
        </is>
      </c>
      <c r="R4" s="129" t="inlineStr">
        <is>
          <t>CoQ-PP-2025-0002</t>
        </is>
      </c>
      <c r="S4" s="129" t="inlineStr">
        <is>
          <t>BG1024|I</t>
        </is>
      </c>
      <c r="T4" s="134" t="inlineStr">
        <is>
          <t>registered — legacy series, issued 27.05.2026</t>
        </is>
      </c>
    </row>
    <row r="5">
      <c r="A5" s="129">
        <f>IF(C5="yes",COUNT(A$1:A4)+1,"")</f>
        <v/>
      </c>
      <c r="B5" s="130">
        <f>IF(A5&lt;&gt;"","CoQ-PP_26-"&amp;TEXT(A5,"000"),"— at issue —")</f>
        <v/>
      </c>
      <c r="C5" s="140" t="inlineStr">
        <is>
          <t>yes</t>
        </is>
      </c>
      <c r="D5" s="274">
        <f>IF(A5="","",MAX(E5,IF(ISNUMBER(I5),I5,0),IFERROR(IF(ISNUMBER(INDEX('iCoA Register'!$F:$F,MATCH(S5,'iCoA Register'!$P:$P,0))),INDEX('iCoA Register'!$F:$F,MATCH(S5,'iCoA Register'!$P:$P,0)),0),0)))</f>
        <v/>
      </c>
      <c r="E5" s="274">
        <f>IF(ISNUMBER(F5),MAX(DATE(2026,6,6),F5+7),DATE(2026,6,6))</f>
        <v/>
      </c>
      <c r="F5" s="274" t="inlineStr">
        <is>
          <t>—</t>
        </is>
      </c>
      <c r="G5" s="129" t="inlineStr">
        <is>
          <t>—</t>
        </is>
      </c>
      <c r="H5" s="129">
        <f>IFERROR(INDEX('iCoA Register'!$B:$B,MATCH("HPA1024|I",'iCoA Register'!$P:$P,0)),"—")</f>
        <v/>
      </c>
      <c r="I5" s="274">
        <f>IFERROR(INDEX('iCoA Register'!$D:$D,MATCH("HPA1024|I",'iCoA Register'!$P:$P,0)),"")</f>
        <v/>
      </c>
      <c r="J5" s="129" t="inlineStr">
        <is>
          <t>legacy</t>
        </is>
      </c>
      <c r="K5" s="129" t="inlineStr">
        <is>
          <t>initial release</t>
        </is>
      </c>
      <c r="L5" s="130" t="inlineStr">
        <is>
          <t>HPA1024</t>
        </is>
      </c>
      <c r="M5" s="129" t="inlineStr">
        <is>
          <t>N/A — no P batch assigned</t>
        </is>
      </c>
      <c r="N5" s="129" t="inlineStr">
        <is>
          <t>HighProAmnesia</t>
        </is>
      </c>
      <c r="O5" s="141" t="inlineStr">
        <is>
          <t>— no cannabinoid certificate from the initial testing —</t>
        </is>
      </c>
      <c r="P5" s="141" t="inlineStr">
        <is>
          <t>—</t>
        </is>
      </c>
      <c r="Q5" s="129" t="inlineStr">
        <is>
          <t>—</t>
        </is>
      </c>
      <c r="R5" s="129" t="inlineStr">
        <is>
          <t>CoQ-PP-2025-0004</t>
        </is>
      </c>
      <c r="S5" s="129" t="inlineStr">
        <is>
          <t>HPA1024|I</t>
        </is>
      </c>
      <c r="T5" s="134" t="inlineStr">
        <is>
          <t>registered — legacy series, issued 27.05.2026 · initial certificate to locate: #3 (CNP), #4 (CNP), #5 (CNP), #6 (CNP), #8 (CNP), #9 (IJZ), #10 (CNP), #11 (CNP), #12 (CNP)</t>
        </is>
      </c>
    </row>
    <row r="6">
      <c r="A6" s="129">
        <f>IF(C6="yes",COUNT(A$1:A5)+1,"")</f>
        <v/>
      </c>
      <c r="B6" s="130">
        <f>IF(A6&lt;&gt;"","CoQ-PP_26-"&amp;TEXT(A6,"000"),"— at issue —")</f>
        <v/>
      </c>
      <c r="C6" s="140" t="inlineStr">
        <is>
          <t>yes</t>
        </is>
      </c>
      <c r="D6" s="274">
        <f>IF(A6="","",MAX(E6,IF(ISNUMBER(I6),I6,0),IFERROR(IF(ISNUMBER(INDEX('iCoA Register'!$F:$F,MATCH(S6,'iCoA Register'!$P:$P,0))),INDEX('iCoA Register'!$F:$F,MATCH(S6,'iCoA Register'!$P:$P,0)),0),0)))</f>
        <v/>
      </c>
      <c r="E6" s="274">
        <f>IF(ISNUMBER(F6),MAX(DATE(2026,6,6),F6+7),DATE(2026,6,6))</f>
        <v/>
      </c>
      <c r="F6" s="274" t="inlineStr">
        <is>
          <t>—</t>
        </is>
      </c>
      <c r="G6" s="129" t="inlineStr">
        <is>
          <t>—</t>
        </is>
      </c>
      <c r="H6" s="129">
        <f>IFERROR(INDEX('iCoA Register'!$B:$B,MATCH("OPM1024|I",'iCoA Register'!$P:$P,0)),"—")</f>
        <v/>
      </c>
      <c r="I6" s="274">
        <f>IFERROR(INDEX('iCoA Register'!$D:$D,MATCH("OPM1024|I",'iCoA Register'!$P:$P,0)),"")</f>
        <v/>
      </c>
      <c r="J6" s="129" t="inlineStr">
        <is>
          <t>legacy</t>
        </is>
      </c>
      <c r="K6" s="129" t="inlineStr">
        <is>
          <t>initial release</t>
        </is>
      </c>
      <c r="L6" s="130" t="inlineStr">
        <is>
          <t>OPM1024</t>
        </is>
      </c>
      <c r="M6" s="129" t="inlineStr">
        <is>
          <t>N/A — no P batch assigned</t>
        </is>
      </c>
      <c r="N6" s="129" t="inlineStr">
        <is>
          <t>OrangePunchMimosa</t>
        </is>
      </c>
      <c r="O6" s="141" t="inlineStr">
        <is>
          <t>— no cannabinoid certificate from the initial testing —</t>
        </is>
      </c>
      <c r="P6" s="141" t="inlineStr">
        <is>
          <t>—</t>
        </is>
      </c>
      <c r="Q6" s="129" t="inlineStr">
        <is>
          <t>—</t>
        </is>
      </c>
      <c r="R6" s="129" t="inlineStr">
        <is>
          <t>CoQ-PP-2025-0005</t>
        </is>
      </c>
      <c r="S6" s="129" t="inlineStr">
        <is>
          <t>OPM1024|I</t>
        </is>
      </c>
      <c r="T6" s="134" t="inlineStr">
        <is>
          <t>registered — legacy series, issued 27.05.2026 · initial certificate to locate: #3 (CNP), #4 (CNP), #5 (CNP), #6 (CNP), #8 (CNP), #9 (IJZ), #10 (CNP), #11 (CNP), #12 (CNP)</t>
        </is>
      </c>
    </row>
    <row r="7">
      <c r="A7" s="129">
        <f>IF(C7="yes",COUNT(A$1:A6)+1,"")</f>
        <v/>
      </c>
      <c r="B7" s="130">
        <f>IF(A7&lt;&gt;"","CoQ-PP_26-"&amp;TEXT(A7,"000"),"— at issue —")</f>
        <v/>
      </c>
      <c r="C7" s="140" t="inlineStr">
        <is>
          <t>yes</t>
        </is>
      </c>
      <c r="D7" s="274">
        <f>IF(A7="","",MAX(E7,IF(ISNUMBER(I7),I7,0),IFERROR(IF(ISNUMBER(INDEX('iCoA Register'!$F:$F,MATCH(S7,'iCoA Register'!$P:$P,0))),INDEX('iCoA Register'!$F:$F,MATCH(S7,'iCoA Register'!$P:$P,0)),0),0)))</f>
        <v/>
      </c>
      <c r="E7" s="274">
        <f>IF(ISNUMBER(F7),MAX(DATE(2026,6,6),F7+7),DATE(2026,6,6))</f>
        <v/>
      </c>
      <c r="F7" s="274" t="n">
        <v>45807</v>
      </c>
      <c r="G7" s="129" t="inlineStr">
        <is>
          <t>2471-2025</t>
        </is>
      </c>
      <c r="H7" s="129">
        <f>IFERROR(INDEX('iCoA Register'!$B:$B,MATCH("P050022|I",'iCoA Register'!$P:$P,0)),"—")</f>
        <v/>
      </c>
      <c r="I7" s="274">
        <f>IFERROR(INDEX('iCoA Register'!$D:$D,MATCH("P050022|I",'iCoA Register'!$P:$P,0)),"")</f>
        <v/>
      </c>
      <c r="J7" s="129" t="inlineStr">
        <is>
          <t>legacy</t>
        </is>
      </c>
      <c r="K7" s="129" t="inlineStr">
        <is>
          <t>initial release</t>
        </is>
      </c>
      <c r="L7" s="130" t="inlineStr">
        <is>
          <t>GP0824_02</t>
        </is>
      </c>
      <c r="M7" s="129" t="inlineStr">
        <is>
          <t>P050022</t>
        </is>
      </c>
      <c r="N7" s="129" t="inlineStr">
        <is>
          <t>Grape Pie</t>
        </is>
      </c>
      <c r="O7" s="129" t="inlineStr">
        <is>
          <t>ППК25139, (22.05.2025) [CNP]</t>
        </is>
      </c>
      <c r="P7" s="141" t="inlineStr">
        <is>
          <t>—</t>
        </is>
      </c>
      <c r="Q7" s="129" t="inlineStr">
        <is>
          <t>—</t>
        </is>
      </c>
      <c r="R7" s="129" t="inlineStr">
        <is>
          <t>CoQ-PP-2025-0006</t>
        </is>
      </c>
      <c r="S7" s="129" t="inlineStr">
        <is>
          <t>P050022|I</t>
        </is>
      </c>
      <c r="T7" s="134" t="inlineStr">
        <is>
          <t>registered — legacy series, issued 27.05.2026</t>
        </is>
      </c>
    </row>
    <row r="8">
      <c r="A8" s="129">
        <f>IF(C8="yes",COUNT(A$1:A7)+1,"")</f>
        <v/>
      </c>
      <c r="B8" s="130">
        <f>IF(A8&lt;&gt;"","CoQ-PP_26-"&amp;TEXT(A8,"000"),"— at issue —")</f>
        <v/>
      </c>
      <c r="C8" s="140" t="inlineStr">
        <is>
          <t>yes</t>
        </is>
      </c>
      <c r="D8" s="274">
        <f>IF(A8="","",MAX(E8,IF(ISNUMBER(I8),I8,0),IFERROR(IF(ISNUMBER(INDEX('iCoA Register'!$F:$F,MATCH(S8,'iCoA Register'!$P:$P,0))),INDEX('iCoA Register'!$F:$F,MATCH(S8,'iCoA Register'!$P:$P,0)),0),0)))</f>
        <v/>
      </c>
      <c r="E8" s="274">
        <f>IF(ISNUMBER(F8),MAX(DATE(2026,6,6),F8+7),DATE(2026,6,6))</f>
        <v/>
      </c>
      <c r="F8" s="274" t="n">
        <v>45807</v>
      </c>
      <c r="G8" s="129" t="inlineStr">
        <is>
          <t>2472-2025</t>
        </is>
      </c>
      <c r="H8" s="129">
        <f>IFERROR(INDEX('iCoA Register'!$B:$B,MATCH("P050012|I",'iCoA Register'!$P:$P,0)),"—")</f>
        <v/>
      </c>
      <c r="I8" s="274">
        <f>IFERROR(INDEX('iCoA Register'!$D:$D,MATCH("P050012|I",'iCoA Register'!$P:$P,0)),"")</f>
        <v/>
      </c>
      <c r="J8" s="129" t="inlineStr">
        <is>
          <t>legacy</t>
        </is>
      </c>
      <c r="K8" s="129" t="inlineStr">
        <is>
          <t>initial release</t>
        </is>
      </c>
      <c r="L8" s="130" t="inlineStr">
        <is>
          <t>GG1024_02</t>
        </is>
      </c>
      <c r="M8" s="129" t="inlineStr">
        <is>
          <t>P050012</t>
        </is>
      </c>
      <c r="N8" s="129" t="inlineStr">
        <is>
          <t>Gorilla Glue</t>
        </is>
      </c>
      <c r="O8" s="129" t="inlineStr">
        <is>
          <t>ППК25140, (22.05.2025) [CNP]</t>
        </is>
      </c>
      <c r="P8" s="141" t="inlineStr">
        <is>
          <t>—</t>
        </is>
      </c>
      <c r="Q8" s="129" t="inlineStr">
        <is>
          <t>—</t>
        </is>
      </c>
      <c r="R8" s="129" t="inlineStr">
        <is>
          <t>(assigned on issue)</t>
        </is>
      </c>
      <c r="S8" s="129" t="inlineStr">
        <is>
          <t>P050012|I</t>
        </is>
      </c>
      <c r="T8" s="134" t="inlineStr">
        <is>
          <t>registered — legacy series, issued 27.05.2026</t>
        </is>
      </c>
    </row>
    <row r="9">
      <c r="A9" s="129">
        <f>IF(C9="yes",COUNT(A$1:A8)+1,"")</f>
        <v/>
      </c>
      <c r="B9" s="130">
        <f>IF(A9&lt;&gt;"","CoQ-PP_26-"&amp;TEXT(A9,"000"),"— at issue —")</f>
        <v/>
      </c>
      <c r="C9" s="140" t="inlineStr">
        <is>
          <t>yes</t>
        </is>
      </c>
      <c r="D9" s="274">
        <f>IF(A9="","",MAX(E9,IF(ISNUMBER(I9),I9,0),IFERROR(IF(ISNUMBER(INDEX('iCoA Register'!$F:$F,MATCH(S9,'iCoA Register'!$P:$P,0))),INDEX('iCoA Register'!$F:$F,MATCH(S9,'iCoA Register'!$P:$P,0)),0),0)))</f>
        <v/>
      </c>
      <c r="E9" s="274">
        <f>IF(ISNUMBER(F9),MAX(DATE(2026,6,6),F9+7),DATE(2026,6,6))</f>
        <v/>
      </c>
      <c r="F9" s="274" t="n">
        <v>45784</v>
      </c>
      <c r="G9" s="129" t="inlineStr">
        <is>
          <t>2157-2025</t>
        </is>
      </c>
      <c r="H9" s="129">
        <f>IFERROR(INDEX('iCoA Register'!$B:$B,MATCH("P050032|I",'iCoA Register'!$P:$P,0)),"—")</f>
        <v/>
      </c>
      <c r="I9" s="274">
        <f>IFERROR(INDEX('iCoA Register'!$D:$D,MATCH("P050032|I",'iCoA Register'!$P:$P,0)),"")</f>
        <v/>
      </c>
      <c r="J9" s="129" t="inlineStr">
        <is>
          <t>legacy</t>
        </is>
      </c>
      <c r="K9" s="129" t="inlineStr">
        <is>
          <t>initial release</t>
        </is>
      </c>
      <c r="L9" s="130" t="inlineStr">
        <is>
          <t>MB0824_04</t>
        </is>
      </c>
      <c r="M9" s="129" t="inlineStr">
        <is>
          <t>P050032</t>
        </is>
      </c>
      <c r="N9" s="129" t="inlineStr">
        <is>
          <t>Motor Breath</t>
        </is>
      </c>
      <c r="O9" s="129" t="inlineStr">
        <is>
          <t>ППК25118, (06.05.2025) [CNP]</t>
        </is>
      </c>
      <c r="P9" s="141" t="inlineStr">
        <is>
          <t>—</t>
        </is>
      </c>
      <c r="Q9" s="129" t="inlineStr">
        <is>
          <t>—</t>
        </is>
      </c>
      <c r="R9" s="129" t="inlineStr">
        <is>
          <t>(assigned on issue)</t>
        </is>
      </c>
      <c r="S9" s="129" t="inlineStr">
        <is>
          <t>P050032|I</t>
        </is>
      </c>
      <c r="T9" s="134" t="inlineStr">
        <is>
          <t>registered — legacy series, issued 27.05.2026</t>
        </is>
      </c>
    </row>
    <row r="10">
      <c r="A10" s="129">
        <f>IF(C10="yes",COUNT(A$1:A9)+1,"")</f>
        <v/>
      </c>
      <c r="B10" s="130">
        <f>IF(A10&lt;&gt;"","CoQ-PP_26-"&amp;TEXT(A10,"000"),"— at issue —")</f>
        <v/>
      </c>
      <c r="C10" s="140" t="inlineStr">
        <is>
          <t>yes</t>
        </is>
      </c>
      <c r="D10" s="274">
        <f>IF(A10="","",MAX(E10,IF(ISNUMBER(I10),I10,0),IFERROR(IF(ISNUMBER(INDEX('iCoA Register'!$F:$F,MATCH(S10,'iCoA Register'!$P:$P,0))),INDEX('iCoA Register'!$F:$F,MATCH(S10,'iCoA Register'!$P:$P,0)),0),0)))</f>
        <v/>
      </c>
      <c r="E10" s="274">
        <f>IF(ISNUMBER(F10),MAX(DATE(2026,6,6),F10+7),DATE(2026,6,6))</f>
        <v/>
      </c>
      <c r="F10" s="274" t="n">
        <v>45832</v>
      </c>
      <c r="G10" s="129" t="inlineStr">
        <is>
          <t>ППК25155</t>
        </is>
      </c>
      <c r="H10" s="129">
        <f>IFERROR(INDEX('iCoA Register'!$B:$B,MATCH("P050052|I",'iCoA Register'!$P:$P,0)),"—")</f>
        <v/>
      </c>
      <c r="I10" s="274">
        <f>IFERROR(INDEX('iCoA Register'!$D:$D,MATCH("P050052|I",'iCoA Register'!$P:$P,0)),"")</f>
        <v/>
      </c>
      <c r="J10" s="129" t="inlineStr">
        <is>
          <t>legacy</t>
        </is>
      </c>
      <c r="K10" s="129" t="inlineStr">
        <is>
          <t>initial release</t>
        </is>
      </c>
      <c r="L10" s="130" t="inlineStr">
        <is>
          <t>HPA1024_01</t>
        </is>
      </c>
      <c r="M10" s="129" t="inlineStr">
        <is>
          <t>P050052</t>
        </is>
      </c>
      <c r="N10" s="129" t="inlineStr">
        <is>
          <t>High Pro Amnesia</t>
        </is>
      </c>
      <c r="O10" s="129" t="inlineStr">
        <is>
          <t>ППК25155, (24.06.2025) [CNP]</t>
        </is>
      </c>
      <c r="P10" s="141" t="inlineStr">
        <is>
          <t>—</t>
        </is>
      </c>
      <c r="Q10" s="129" t="inlineStr">
        <is>
          <t>—</t>
        </is>
      </c>
      <c r="R10" s="129" t="inlineStr">
        <is>
          <t>CoQ-PP-2025-0008</t>
        </is>
      </c>
      <c r="S10" s="129" t="inlineStr">
        <is>
          <t>P050052|I</t>
        </is>
      </c>
      <c r="T10" s="134" t="inlineStr">
        <is>
          <t>registered — legacy series, issued 27.05.2026</t>
        </is>
      </c>
    </row>
    <row r="11">
      <c r="A11" s="129">
        <f>IF(C11="yes",COUNT(A$1:A10)+1,"")</f>
        <v/>
      </c>
      <c r="B11" s="130">
        <f>IF(A11&lt;&gt;"","CoQ-PP_26-"&amp;TEXT(A11,"000"),"— at issue —")</f>
        <v/>
      </c>
      <c r="C11" s="140" t="inlineStr">
        <is>
          <t>yes</t>
        </is>
      </c>
      <c r="D11" s="274">
        <f>IF(A11="","",MAX(E11,IF(ISNUMBER(I11),I11,0),IFERROR(IF(ISNUMBER(INDEX('iCoA Register'!$F:$F,MATCH(S11,'iCoA Register'!$P:$P,0))),INDEX('iCoA Register'!$F:$F,MATCH(S11,'iCoA Register'!$P:$P,0)),0),0)))</f>
        <v/>
      </c>
      <c r="E11" s="274">
        <f>IF(ISNUMBER(F11),MAX(DATE(2026,6,6),F11+7),DATE(2026,6,6))</f>
        <v/>
      </c>
      <c r="F11" s="274" t="n">
        <v>45832</v>
      </c>
      <c r="G11" s="129" t="inlineStr">
        <is>
          <t>ППК25154</t>
        </is>
      </c>
      <c r="H11" s="129">
        <f>IFERROR(INDEX('iCoA Register'!$B:$B,MATCH("P050062|I",'iCoA Register'!$P:$P,0)),"—")</f>
        <v/>
      </c>
      <c r="I11" s="274">
        <f>IFERROR(INDEX('iCoA Register'!$D:$D,MATCH("P050062|I",'iCoA Register'!$P:$P,0)),"")</f>
        <v/>
      </c>
      <c r="J11" s="129" t="inlineStr">
        <is>
          <t>legacy</t>
        </is>
      </c>
      <c r="K11" s="129" t="inlineStr">
        <is>
          <t>initial release</t>
        </is>
      </c>
      <c r="L11" s="130" t="inlineStr">
        <is>
          <t>OPM1024_02</t>
        </is>
      </c>
      <c r="M11" s="129" t="inlineStr">
        <is>
          <t>P050062</t>
        </is>
      </c>
      <c r="N11" s="129" t="inlineStr">
        <is>
          <t>Orange Punch Mimosa</t>
        </is>
      </c>
      <c r="O11" s="129" t="inlineStr">
        <is>
          <t>ППК25154, (24.06.2025) [CNP]</t>
        </is>
      </c>
      <c r="P11" s="141" t="inlineStr">
        <is>
          <t>—</t>
        </is>
      </c>
      <c r="Q11" s="129" t="inlineStr">
        <is>
          <t>—</t>
        </is>
      </c>
      <c r="R11" s="129" t="inlineStr">
        <is>
          <t>CoQ-PP-2025-0009</t>
        </is>
      </c>
      <c r="S11" s="129" t="inlineStr">
        <is>
          <t>P050062|I</t>
        </is>
      </c>
      <c r="T11" s="134" t="inlineStr">
        <is>
          <t>registered — legacy series, issued 27.05.2026</t>
        </is>
      </c>
    </row>
    <row r="12">
      <c r="A12" s="129">
        <f>IF(C12="yes",COUNT(A$1:A11)+1,"")</f>
        <v/>
      </c>
      <c r="B12" s="130">
        <f>IF(A12&lt;&gt;"","CoQ-PP_26-"&amp;TEXT(A12,"000"),"— at issue —")</f>
        <v/>
      </c>
      <c r="C12" s="140" t="inlineStr">
        <is>
          <t>yes</t>
        </is>
      </c>
      <c r="D12" s="274">
        <f>IF(A12="","",MAX(E12,IF(ISNUMBER(I12),I12,0),IFERROR(IF(ISNUMBER(INDEX('iCoA Register'!$F:$F,MATCH(S12,'iCoA Register'!$P:$P,0))),INDEX('iCoA Register'!$F:$F,MATCH(S12,'iCoA Register'!$P:$P,0)),0),0)))</f>
        <v/>
      </c>
      <c r="E12" s="274">
        <f>IF(ISNUMBER(F12),MAX(DATE(2026,6,6),F12+7),DATE(2026,6,6))</f>
        <v/>
      </c>
      <c r="F12" s="274" t="n">
        <v>45848</v>
      </c>
      <c r="G12" s="129" t="inlineStr">
        <is>
          <t>ППК25175</t>
        </is>
      </c>
      <c r="H12" s="129">
        <f>IFERROR(INDEX('iCoA Register'!$B:$B,MATCH("P050072|I",'iCoA Register'!$P:$P,0)),"—")</f>
        <v/>
      </c>
      <c r="I12" s="274">
        <f>IFERROR(INDEX('iCoA Register'!$D:$D,MATCH("P050072|I",'iCoA Register'!$P:$P,0)),"")</f>
        <v/>
      </c>
      <c r="J12" s="129" t="inlineStr">
        <is>
          <t>legacy</t>
        </is>
      </c>
      <c r="K12" s="129" t="inlineStr">
        <is>
          <t>initial release</t>
        </is>
      </c>
      <c r="L12" s="130" t="inlineStr">
        <is>
          <t>GP0824_03</t>
        </is>
      </c>
      <c r="M12" s="129" t="inlineStr">
        <is>
          <t>P050072</t>
        </is>
      </c>
      <c r="N12" s="129" t="inlineStr">
        <is>
          <t>Grape Pie</t>
        </is>
      </c>
      <c r="O12" s="129" t="inlineStr">
        <is>
          <t>ППК25175, (10.07.2025) [CNP]</t>
        </is>
      </c>
      <c r="P12" s="141" t="inlineStr">
        <is>
          <t>—</t>
        </is>
      </c>
      <c r="Q12" s="129" t="inlineStr">
        <is>
          <t>—</t>
        </is>
      </c>
      <c r="R12" s="129" t="inlineStr">
        <is>
          <t>CoQ-PP-2025-0010</t>
        </is>
      </c>
      <c r="S12" s="129" t="inlineStr">
        <is>
          <t>P050072|I</t>
        </is>
      </c>
      <c r="T12" s="134" t="inlineStr">
        <is>
          <t>registered — legacy series, issued 27.05.2026</t>
        </is>
      </c>
    </row>
    <row r="13">
      <c r="A13" s="129">
        <f>IF(C13="yes",COUNT(A$1:A12)+1,"")</f>
        <v/>
      </c>
      <c r="B13" s="130">
        <f>IF(A13&lt;&gt;"","CoQ-PP_26-"&amp;TEXT(A13,"000"),"— at issue —")</f>
        <v/>
      </c>
      <c r="C13" s="140" t="inlineStr">
        <is>
          <t>yes</t>
        </is>
      </c>
      <c r="D13" s="274">
        <f>IF(A13="","",MAX(E13,IF(ISNUMBER(I13),I13,0),IFERROR(IF(ISNUMBER(INDEX('iCoA Register'!$F:$F,MATCH(S13,'iCoA Register'!$P:$P,0))),INDEX('iCoA Register'!$F:$F,MATCH(S13,'iCoA Register'!$P:$P,0)),0),0)))</f>
        <v/>
      </c>
      <c r="E13" s="274">
        <f>IF(ISNUMBER(F13),MAX(DATE(2026,6,6),F13+7),DATE(2026,6,6))</f>
        <v/>
      </c>
      <c r="F13" s="274" t="n">
        <v>45867</v>
      </c>
      <c r="G13" s="129" t="inlineStr">
        <is>
          <t>766-1375-25</t>
        </is>
      </c>
      <c r="H13" s="129">
        <f>IFERROR(INDEX('iCoA Register'!$B:$B,MATCH("P050082|I",'iCoA Register'!$P:$P,0)),"—")</f>
        <v/>
      </c>
      <c r="I13" s="274">
        <f>IFERROR(INDEX('iCoA Register'!$D:$D,MATCH("P050082|I",'iCoA Register'!$P:$P,0)),"")</f>
        <v/>
      </c>
      <c r="J13" s="129" t="inlineStr">
        <is>
          <t>legacy</t>
        </is>
      </c>
      <c r="K13" s="129" t="inlineStr">
        <is>
          <t>initial release</t>
        </is>
      </c>
      <c r="L13" s="130" t="inlineStr">
        <is>
          <t>OPM1024_03</t>
        </is>
      </c>
      <c r="M13" s="129" t="inlineStr">
        <is>
          <t>P050082</t>
        </is>
      </c>
      <c r="N13" s="129" t="inlineStr">
        <is>
          <t>Orange Punch Mimosa</t>
        </is>
      </c>
      <c r="O13" s="129" t="inlineStr">
        <is>
          <t>ППК25210, (28.07.2025) [CNP]</t>
        </is>
      </c>
      <c r="P13" s="141" t="inlineStr">
        <is>
          <t>—</t>
        </is>
      </c>
      <c r="Q13" s="129" t="inlineStr">
        <is>
          <t>—</t>
        </is>
      </c>
      <c r="R13" s="129" t="inlineStr">
        <is>
          <t>CoQ-PP-2025-0011</t>
        </is>
      </c>
      <c r="S13" s="129" t="inlineStr">
        <is>
          <t>P050082|I</t>
        </is>
      </c>
      <c r="T13" s="134" t="inlineStr">
        <is>
          <t>registered — legacy series, issued 27.05.2026</t>
        </is>
      </c>
    </row>
    <row r="14">
      <c r="A14" s="129">
        <f>IF(C14="yes",COUNT(A$1:A13)+1,"")</f>
        <v/>
      </c>
      <c r="B14" s="130">
        <f>IF(A14&lt;&gt;"","CoQ-PP_26-"&amp;TEXT(A14,"000"),"— at issue —")</f>
        <v/>
      </c>
      <c r="C14" s="140" t="inlineStr">
        <is>
          <t>yes</t>
        </is>
      </c>
      <c r="D14" s="274">
        <f>IF(A14="","",MAX(E14,IF(ISNUMBER(I14),I14,0),IFERROR(IF(ISNUMBER(INDEX('iCoA Register'!$F:$F,MATCH(S14,'iCoA Register'!$P:$P,0))),INDEX('iCoA Register'!$F:$F,MATCH(S14,'iCoA Register'!$P:$P,0)),0),0)))</f>
        <v/>
      </c>
      <c r="E14" s="274">
        <f>IF(ISNUMBER(F14),MAX(DATE(2026,6,6),F14+7),DATE(2026,6,6))</f>
        <v/>
      </c>
      <c r="F14" s="274" t="n">
        <v>45764</v>
      </c>
      <c r="G14" s="129" t="inlineStr">
        <is>
          <t>ППК25104</t>
        </is>
      </c>
      <c r="H14" s="129">
        <f>IFERROR(INDEX('iCoA Register'!$B:$B,MATCH("P050092|I",'iCoA Register'!$P:$P,0)),"—")</f>
        <v/>
      </c>
      <c r="I14" s="274">
        <f>IFERROR(INDEX('iCoA Register'!$D:$D,MATCH("P050092|I",'iCoA Register'!$P:$P,0)),"")</f>
        <v/>
      </c>
      <c r="J14" s="129" t="inlineStr">
        <is>
          <t>legacy</t>
        </is>
      </c>
      <c r="K14" s="129" t="inlineStr">
        <is>
          <t>initial release</t>
        </is>
      </c>
      <c r="L14" s="130" t="inlineStr">
        <is>
          <t>GG1024_01</t>
        </is>
      </c>
      <c r="M14" s="129" t="inlineStr">
        <is>
          <t>P050092</t>
        </is>
      </c>
      <c r="N14" s="129" t="inlineStr">
        <is>
          <t>Gorilla Glue</t>
        </is>
      </c>
      <c r="O14" s="129" t="inlineStr">
        <is>
          <t>ППК25104, (17.04.2025) [CNP]</t>
        </is>
      </c>
      <c r="P14" s="141" t="inlineStr">
        <is>
          <t>—</t>
        </is>
      </c>
      <c r="Q14" s="129" t="inlineStr">
        <is>
          <t>—</t>
        </is>
      </c>
      <c r="R14" s="129" t="inlineStr">
        <is>
          <t>CoQ-PP-2025-0012</t>
        </is>
      </c>
      <c r="S14" s="129" t="inlineStr">
        <is>
          <t>P050092|I</t>
        </is>
      </c>
      <c r="T14" s="134" t="inlineStr">
        <is>
          <t>registered — legacy series, issued 27.05.2026</t>
        </is>
      </c>
    </row>
    <row r="15">
      <c r="A15" s="129">
        <f>IF(C15="yes",COUNT(A$1:A14)+1,"")</f>
        <v/>
      </c>
      <c r="B15" s="130">
        <f>IF(A15&lt;&gt;"","CoQ-PP_26-"&amp;TEXT(A15,"000"),"— at issue —")</f>
        <v/>
      </c>
      <c r="C15" s="140" t="inlineStr">
        <is>
          <t>yes</t>
        </is>
      </c>
      <c r="D15" s="274">
        <f>IF(A15="","",MAX(E15,IF(ISNUMBER(I15),I15,0),IFERROR(IF(ISNUMBER(INDEX('iCoA Register'!$F:$F,MATCH(S15,'iCoA Register'!$P:$P,0))),INDEX('iCoA Register'!$F:$F,MATCH(S15,'iCoA Register'!$P:$P,0)),0),0)))</f>
        <v/>
      </c>
      <c r="E15" s="274">
        <f>IF(ISNUMBER(F15),MAX(DATE(2026,6,6),F15+7),DATE(2026,6,6))</f>
        <v/>
      </c>
      <c r="F15" s="274" t="n">
        <v>45764</v>
      </c>
      <c r="G15" s="129" t="inlineStr">
        <is>
          <t>ППК25105</t>
        </is>
      </c>
      <c r="H15" s="129">
        <f>IFERROR(INDEX('iCoA Register'!$B:$B,MATCH("P050102|I",'iCoA Register'!$P:$P,0)),"—")</f>
        <v/>
      </c>
      <c r="I15" s="274">
        <f>IFERROR(INDEX('iCoA Register'!$D:$D,MATCH("P050102|I",'iCoA Register'!$P:$P,0)),"")</f>
        <v/>
      </c>
      <c r="J15" s="129" t="inlineStr">
        <is>
          <t>legacy</t>
        </is>
      </c>
      <c r="K15" s="129" t="inlineStr">
        <is>
          <t>initial release</t>
        </is>
      </c>
      <c r="L15" s="130" t="inlineStr">
        <is>
          <t>GP0824_01</t>
        </is>
      </c>
      <c r="M15" s="129" t="inlineStr">
        <is>
          <t>P050102</t>
        </is>
      </c>
      <c r="N15" s="129" t="inlineStr">
        <is>
          <t>Grape Pie</t>
        </is>
      </c>
      <c r="O15" s="129" t="inlineStr">
        <is>
          <t>ППК25105, (17.04.2025) [CNP]</t>
        </is>
      </c>
      <c r="P15" s="141" t="inlineStr">
        <is>
          <t>—</t>
        </is>
      </c>
      <c r="Q15" s="129" t="inlineStr">
        <is>
          <t>—</t>
        </is>
      </c>
      <c r="R15" s="129" t="inlineStr">
        <is>
          <t>(assigned on issue)</t>
        </is>
      </c>
      <c r="S15" s="129" t="inlineStr">
        <is>
          <t>P050102|I</t>
        </is>
      </c>
      <c r="T15" s="134" t="inlineStr">
        <is>
          <t>registered — legacy series, issued 27.05.2026</t>
        </is>
      </c>
    </row>
    <row r="16">
      <c r="A16" s="129">
        <f>IF(C16="yes",COUNT(A$1:A15)+1,"")</f>
        <v/>
      </c>
      <c r="B16" s="130">
        <f>IF(A16&lt;&gt;"","CoQ-PP_26-"&amp;TEXT(A16,"000"),"— at issue —")</f>
        <v/>
      </c>
      <c r="C16" s="140" t="inlineStr">
        <is>
          <t>yes</t>
        </is>
      </c>
      <c r="D16" s="274">
        <f>IF(A16="","",MAX(E16,IF(ISNUMBER(I16),I16,0),IFERROR(IF(ISNUMBER(INDEX('iCoA Register'!$F:$F,MATCH(S16,'iCoA Register'!$P:$P,0))),INDEX('iCoA Register'!$F:$F,MATCH(S16,'iCoA Register'!$P:$P,0)),0),0)))</f>
        <v/>
      </c>
      <c r="E16" s="274">
        <f>IF(ISNUMBER(F16),MAX(DATE(2026,6,6),F16+7),DATE(2026,6,6))</f>
        <v/>
      </c>
      <c r="F16" s="274" t="n">
        <v>45867</v>
      </c>
      <c r="G16" s="129" t="inlineStr">
        <is>
          <t>767-1376-25</t>
        </is>
      </c>
      <c r="H16" s="129">
        <f>IFERROR(INDEX('iCoA Register'!$B:$B,MATCH("P050112|I",'iCoA Register'!$P:$P,0)),"—")</f>
        <v/>
      </c>
      <c r="I16" s="274">
        <f>IFERROR(INDEX('iCoA Register'!$D:$D,MATCH("P050112|I",'iCoA Register'!$P:$P,0)),"")</f>
        <v/>
      </c>
      <c r="J16" s="129" t="inlineStr">
        <is>
          <t>legacy</t>
        </is>
      </c>
      <c r="K16" s="129" t="inlineStr">
        <is>
          <t>initial release</t>
        </is>
      </c>
      <c r="L16" s="130" t="inlineStr">
        <is>
          <t>MB0824_05</t>
        </is>
      </c>
      <c r="M16" s="129" t="inlineStr">
        <is>
          <t>P050112</t>
        </is>
      </c>
      <c r="N16" s="129" t="inlineStr">
        <is>
          <t>Motor Breath</t>
        </is>
      </c>
      <c r="O16" s="129" t="inlineStr">
        <is>
          <t>ППК25211, (28.07.2025) [CNP]</t>
        </is>
      </c>
      <c r="P16" s="141" t="inlineStr">
        <is>
          <t>—</t>
        </is>
      </c>
      <c r="Q16" s="129" t="inlineStr">
        <is>
          <t>—</t>
        </is>
      </c>
      <c r="R16" s="129" t="inlineStr">
        <is>
          <t>CoQ-PP-2025-0013</t>
        </is>
      </c>
      <c r="S16" s="129" t="inlineStr">
        <is>
          <t>P050112|I</t>
        </is>
      </c>
      <c r="T16" s="134" t="inlineStr">
        <is>
          <t>registered — legacy series, issued 27.05.2026</t>
        </is>
      </c>
    </row>
    <row r="17">
      <c r="A17" s="129">
        <f>IF(C17="yes",COUNT(A$1:A16)+1,"")</f>
        <v/>
      </c>
      <c r="B17" s="130">
        <f>IF(A17&lt;&gt;"","CoQ-PP_26-"&amp;TEXT(A17,"000"),"— at issue —")</f>
        <v/>
      </c>
      <c r="C17" s="140" t="inlineStr">
        <is>
          <t>yes</t>
        </is>
      </c>
      <c r="D17" s="274">
        <f>IF(A17="","",MAX(E17,IF(ISNUMBER(I17),I17,0),IFERROR(IF(ISNUMBER(INDEX('iCoA Register'!$F:$F,MATCH(S17,'iCoA Register'!$P:$P,0))),INDEX('iCoA Register'!$F:$F,MATCH(S17,'iCoA Register'!$P:$P,0)),0),0)))</f>
        <v/>
      </c>
      <c r="E17" s="274">
        <f>IF(ISNUMBER(F17),MAX(DATE(2026,6,6),F17+7),DATE(2026,6,6))</f>
        <v/>
      </c>
      <c r="F17" s="274" t="n">
        <v>45905</v>
      </c>
      <c r="G17" s="129" t="inlineStr">
        <is>
          <t>ППК25257</t>
        </is>
      </c>
      <c r="H17" s="129">
        <f>IFERROR(INDEX('iCoA Register'!$B:$B,MATCH("P050132|I",'iCoA Register'!$P:$P,0)),"—")</f>
        <v/>
      </c>
      <c r="I17" s="274">
        <f>IFERROR(INDEX('iCoA Register'!$D:$D,MATCH("P050132|I",'iCoA Register'!$P:$P,0)),"")</f>
        <v/>
      </c>
      <c r="J17" s="129" t="inlineStr">
        <is>
          <t>legacy</t>
        </is>
      </c>
      <c r="K17" s="129" t="inlineStr">
        <is>
          <t>initial release</t>
        </is>
      </c>
      <c r="L17" s="130" t="inlineStr">
        <is>
          <t>OPM052501</t>
        </is>
      </c>
      <c r="M17" s="129" t="inlineStr">
        <is>
          <t>P050132</t>
        </is>
      </c>
      <c r="N17" s="129" t="inlineStr">
        <is>
          <t>Orange Punch Mimosa</t>
        </is>
      </c>
      <c r="O17" s="129" t="inlineStr">
        <is>
          <t>ППК25257, (05.09.2025) [CNP]</t>
        </is>
      </c>
      <c r="P17" s="141" t="inlineStr">
        <is>
          <t>—</t>
        </is>
      </c>
      <c r="Q17" s="129" t="inlineStr">
        <is>
          <t>—</t>
        </is>
      </c>
      <c r="R17" s="129" t="inlineStr">
        <is>
          <t>(assigned on issue)</t>
        </is>
      </c>
      <c r="S17" s="129" t="inlineStr">
        <is>
          <t>P050132|I</t>
        </is>
      </c>
      <c r="T17" s="134" t="inlineStr">
        <is>
          <t>registered — legacy series, issued 27.05.2026</t>
        </is>
      </c>
    </row>
    <row r="18">
      <c r="A18" s="129">
        <f>IF(C18="yes",COUNT(A$1:A17)+1,"")</f>
        <v/>
      </c>
      <c r="B18" s="130">
        <f>IF(A18&lt;&gt;"","CoQ-PP_26-"&amp;TEXT(A18,"000"),"— at issue —")</f>
        <v/>
      </c>
      <c r="C18" s="140" t="inlineStr">
        <is>
          <t>yes</t>
        </is>
      </c>
      <c r="D18" s="274">
        <f>IF(A18="","",MAX(E18,IF(ISNUMBER(I18),I18,0),IFERROR(IF(ISNUMBER(INDEX('iCoA Register'!$F:$F,MATCH(S18,'iCoA Register'!$P:$P,0))),INDEX('iCoA Register'!$F:$F,MATCH(S18,'iCoA Register'!$P:$P,0)),0),0)))</f>
        <v/>
      </c>
      <c r="E18" s="274">
        <f>IF(ISNUMBER(F18),MAX(DATE(2026,6,6),F18+7),DATE(2026,6,6))</f>
        <v/>
      </c>
      <c r="F18" s="274" t="n">
        <v>45919</v>
      </c>
      <c r="G18" s="129" t="inlineStr">
        <is>
          <t>ППК25279</t>
        </is>
      </c>
      <c r="H18" s="129">
        <f>IFERROR(INDEX('iCoA Register'!$B:$B,MATCH("P050152|I",'iCoA Register'!$P:$P,0)),"—")</f>
        <v/>
      </c>
      <c r="I18" s="274">
        <f>IFERROR(INDEX('iCoA Register'!$D:$D,MATCH("P050152|I",'iCoA Register'!$P:$P,0)),"")</f>
        <v/>
      </c>
      <c r="J18" s="129" t="inlineStr">
        <is>
          <t>legacy</t>
        </is>
      </c>
      <c r="K18" s="129" t="inlineStr">
        <is>
          <t>initial release</t>
        </is>
      </c>
      <c r="L18" s="130" t="inlineStr">
        <is>
          <t>GP052501</t>
        </is>
      </c>
      <c r="M18" s="129" t="inlineStr">
        <is>
          <t>P050152</t>
        </is>
      </c>
      <c r="N18" s="129" t="inlineStr">
        <is>
          <t>Grape Pie</t>
        </is>
      </c>
      <c r="O18" s="129" t="inlineStr">
        <is>
          <t>ППК25279, (19.09.2025) [CNP]</t>
        </is>
      </c>
      <c r="P18" s="141" t="inlineStr">
        <is>
          <t>—</t>
        </is>
      </c>
      <c r="Q18" s="129" t="inlineStr">
        <is>
          <t>—</t>
        </is>
      </c>
      <c r="R18" s="129" t="inlineStr">
        <is>
          <t>CoQ-PP-2025-0014</t>
        </is>
      </c>
      <c r="S18" s="129" t="inlineStr">
        <is>
          <t>P050152|I</t>
        </is>
      </c>
      <c r="T18" s="134" t="inlineStr">
        <is>
          <t>registered — legacy series, issued 27.05.2026</t>
        </is>
      </c>
    </row>
    <row r="19">
      <c r="A19" s="129">
        <f>IF(C19="yes",COUNT(A$1:A18)+1,"")</f>
        <v/>
      </c>
      <c r="B19" s="130">
        <f>IF(A19&lt;&gt;"","CoQ-PP_26-"&amp;TEXT(A19,"000"),"— at issue —")</f>
        <v/>
      </c>
      <c r="C19" s="140" t="inlineStr">
        <is>
          <t>yes</t>
        </is>
      </c>
      <c r="D19" s="274">
        <f>IF(A19="","",MAX(E19,IF(ISNUMBER(I19),I19,0),IFERROR(IF(ISNUMBER(INDEX('iCoA Register'!$F:$F,MATCH(S19,'iCoA Register'!$P:$P,0))),INDEX('iCoA Register'!$F:$F,MATCH(S19,'iCoA Register'!$P:$P,0)),0),0)))</f>
        <v/>
      </c>
      <c r="E19" s="274">
        <f>IF(ISNUMBER(F19),MAX(DATE(2026,6,6),F19+7),DATE(2026,6,6))</f>
        <v/>
      </c>
      <c r="F19" s="274" t="n">
        <v>45917</v>
      </c>
      <c r="G19" s="129" t="inlineStr">
        <is>
          <t>ППК25280</t>
        </is>
      </c>
      <c r="H19" s="129">
        <f>IFERROR(INDEX('iCoA Register'!$B:$B,MATCH("P050162|I",'iCoA Register'!$P:$P,0)),"—")</f>
        <v/>
      </c>
      <c r="I19" s="274">
        <f>IFERROR(INDEX('iCoA Register'!$D:$D,MATCH("P050162|I",'iCoA Register'!$P:$P,0)),"")</f>
        <v/>
      </c>
      <c r="J19" s="129" t="inlineStr">
        <is>
          <t>legacy</t>
        </is>
      </c>
      <c r="K19" s="129" t="inlineStr">
        <is>
          <t>initial release</t>
        </is>
      </c>
      <c r="L19" s="130" t="inlineStr">
        <is>
          <t>CJ052501/01</t>
        </is>
      </c>
      <c r="M19" s="129" t="inlineStr">
        <is>
          <t>P050162</t>
        </is>
      </c>
      <c r="N19" s="129" t="inlineStr">
        <is>
          <t>Cup Junky</t>
        </is>
      </c>
      <c r="O19" s="129" t="inlineStr">
        <is>
          <t>ППК25280, (17.09.2025) [CNP]</t>
        </is>
      </c>
      <c r="P19" s="141" t="inlineStr">
        <is>
          <t>—</t>
        </is>
      </c>
      <c r="Q19" s="129" t="inlineStr">
        <is>
          <t>—</t>
        </is>
      </c>
      <c r="R19" s="129" t="inlineStr">
        <is>
          <t>CoQ-PP-2025-0015</t>
        </is>
      </c>
      <c r="S19" s="129" t="inlineStr">
        <is>
          <t>P050162|I</t>
        </is>
      </c>
      <c r="T19" s="134" t="inlineStr">
        <is>
          <t>registered — legacy series, issued 27.05.2026</t>
        </is>
      </c>
    </row>
    <row r="20">
      <c r="A20" s="129">
        <f>IF(C20="yes",COUNT(A$1:A19)+1,"")</f>
        <v/>
      </c>
      <c r="B20" s="130">
        <f>IF(A20&lt;&gt;"","CoQ-PP_26-"&amp;TEXT(A20,"000"),"— at issue —")</f>
        <v/>
      </c>
      <c r="C20" s="140" t="inlineStr">
        <is>
          <t>yes</t>
        </is>
      </c>
      <c r="D20" s="274">
        <f>IF(A20="","",MAX(E20,IF(ISNUMBER(I20),I20,0),IFERROR(IF(ISNUMBER(INDEX('iCoA Register'!$F:$F,MATCH(S20,'iCoA Register'!$P:$P,0))),INDEX('iCoA Register'!$F:$F,MATCH(S20,'iCoA Register'!$P:$P,0)),0),0)))</f>
        <v/>
      </c>
      <c r="E20" s="274">
        <f>IF(ISNUMBER(F20),MAX(DATE(2026,6,6),F20+7),DATE(2026,6,6))</f>
        <v/>
      </c>
      <c r="F20" s="274" t="n">
        <v>45917</v>
      </c>
      <c r="G20" s="129" t="inlineStr">
        <is>
          <t>ППК25281</t>
        </is>
      </c>
      <c r="H20" s="129">
        <f>IFERROR(INDEX('iCoA Register'!$B:$B,MATCH("P050172|I",'iCoA Register'!$P:$P,0)),"—")</f>
        <v/>
      </c>
      <c r="I20" s="274">
        <f>IFERROR(INDEX('iCoA Register'!$D:$D,MATCH("P050172|I",'iCoA Register'!$P:$P,0)),"")</f>
        <v/>
      </c>
      <c r="J20" s="129" t="inlineStr">
        <is>
          <t>legacy</t>
        </is>
      </c>
      <c r="K20" s="129" t="inlineStr">
        <is>
          <t>initial release</t>
        </is>
      </c>
      <c r="L20" s="130" t="inlineStr">
        <is>
          <t>CJ052501/02</t>
        </is>
      </c>
      <c r="M20" s="129" t="inlineStr">
        <is>
          <t>P050172</t>
        </is>
      </c>
      <c r="N20" s="129" t="inlineStr">
        <is>
          <t>Cap Junky</t>
        </is>
      </c>
      <c r="O20" s="129" t="inlineStr">
        <is>
          <t>ППК25281, (17.09.2025) [CNP]</t>
        </is>
      </c>
      <c r="P20" s="141" t="inlineStr">
        <is>
          <t>—</t>
        </is>
      </c>
      <c r="Q20" s="129" t="inlineStr">
        <is>
          <t>—</t>
        </is>
      </c>
      <c r="R20" s="129" t="inlineStr">
        <is>
          <t>(assigned on issue)</t>
        </is>
      </c>
      <c r="S20" s="129" t="inlineStr">
        <is>
          <t>P050172|I</t>
        </is>
      </c>
      <c r="T20" s="134" t="inlineStr">
        <is>
          <t>registered — legacy series, issued 27.05.2026</t>
        </is>
      </c>
    </row>
    <row r="21">
      <c r="A21" s="129">
        <f>IF(C21="yes",COUNT(A$1:A20)+1,"")</f>
        <v/>
      </c>
      <c r="B21" s="130">
        <f>IF(A21&lt;&gt;"","CoQ-PP_26-"&amp;TEXT(A21,"000"),"— at issue —")</f>
        <v/>
      </c>
      <c r="C21" s="140" t="inlineStr">
        <is>
          <t>yes</t>
        </is>
      </c>
      <c r="D21" s="274">
        <f>IF(A21="","",MAX(E21,IF(ISNUMBER(I21),I21,0),IFERROR(IF(ISNUMBER(INDEX('iCoA Register'!$F:$F,MATCH(S21,'iCoA Register'!$P:$P,0))),INDEX('iCoA Register'!$F:$F,MATCH(S21,'iCoA Register'!$P:$P,0)),0),0)))</f>
        <v/>
      </c>
      <c r="E21" s="274">
        <f>IF(ISNUMBER(F21),MAX(DATE(2026,6,6),F21+7),DATE(2026,6,6))</f>
        <v/>
      </c>
      <c r="F21" s="274" t="n">
        <v>45919</v>
      </c>
      <c r="G21" s="129" t="inlineStr">
        <is>
          <t>ППК25278</t>
        </is>
      </c>
      <c r="H21" s="129">
        <f>IFERROR(INDEX('iCoA Register'!$B:$B,MATCH("P050182|I",'iCoA Register'!$P:$P,0)),"—")</f>
        <v/>
      </c>
      <c r="I21" s="274">
        <f>IFERROR(INDEX('iCoA Register'!$D:$D,MATCH("P050182|I",'iCoA Register'!$P:$P,0)),"")</f>
        <v/>
      </c>
      <c r="J21" s="129" t="inlineStr">
        <is>
          <t>legacy</t>
        </is>
      </c>
      <c r="K21" s="129" t="inlineStr">
        <is>
          <t>initial release</t>
        </is>
      </c>
      <c r="L21" s="130" t="inlineStr">
        <is>
          <t>HPA052501</t>
        </is>
      </c>
      <c r="M21" s="129" t="inlineStr">
        <is>
          <t>P050182</t>
        </is>
      </c>
      <c r="N21" s="129" t="inlineStr">
        <is>
          <t>High Pro Amnesia</t>
        </is>
      </c>
      <c r="O21" s="129" t="inlineStr">
        <is>
          <t>ППК25278, (19.09.2025) [CNP]</t>
        </is>
      </c>
      <c r="P21" s="141" t="inlineStr">
        <is>
          <t>—</t>
        </is>
      </c>
      <c r="Q21" s="129" t="inlineStr">
        <is>
          <t>—</t>
        </is>
      </c>
      <c r="R21" s="129" t="inlineStr">
        <is>
          <t>CoQ-PP-2025-0016</t>
        </is>
      </c>
      <c r="S21" s="129" t="inlineStr">
        <is>
          <t>P050182|I</t>
        </is>
      </c>
      <c r="T21" s="134" t="inlineStr">
        <is>
          <t>registered — legacy series, issued 27.05.2026</t>
        </is>
      </c>
    </row>
    <row r="22">
      <c r="A22" s="129">
        <f>IF(C22="yes",COUNT(A$1:A21)+1,"")</f>
        <v/>
      </c>
      <c r="B22" s="130">
        <f>IF(A22&lt;&gt;"","CoQ-PP_26-"&amp;TEXT(A22,"000"),"— at issue —")</f>
        <v/>
      </c>
      <c r="C22" s="140" t="inlineStr">
        <is>
          <t>yes</t>
        </is>
      </c>
      <c r="D22" s="274">
        <f>IF(A22="","",MAX(E22,IF(ISNUMBER(I22),I22,0),IFERROR(IF(ISNUMBER(INDEX('iCoA Register'!$F:$F,MATCH(S22,'iCoA Register'!$P:$P,0))),INDEX('iCoA Register'!$F:$F,MATCH(S22,'iCoA Register'!$P:$P,0)),0),0)))</f>
        <v/>
      </c>
      <c r="E22" s="274">
        <f>IF(ISNUMBER(F22),MAX(DATE(2026,6,6),F22+7),DATE(2026,6,6))</f>
        <v/>
      </c>
      <c r="F22" s="274" t="n">
        <v>45992</v>
      </c>
      <c r="G22" s="129" t="inlineStr">
        <is>
          <t>5661-2025</t>
        </is>
      </c>
      <c r="H22" s="129">
        <f>IFERROR(INDEX('iCoA Register'!$B:$B,MATCH("P050192|I",'iCoA Register'!$P:$P,0)),"—")</f>
        <v/>
      </c>
      <c r="I22" s="274">
        <f>IFERROR(INDEX('iCoA Register'!$D:$D,MATCH("P050192|I",'iCoA Register'!$P:$P,0)),"")</f>
        <v/>
      </c>
      <c r="J22" s="129" t="inlineStr">
        <is>
          <t>legacy</t>
        </is>
      </c>
      <c r="K22" s="129" t="inlineStr">
        <is>
          <t>initial release</t>
        </is>
      </c>
      <c r="L22" s="130" t="inlineStr">
        <is>
          <t>BSS052501</t>
        </is>
      </c>
      <c r="M22" s="129" t="inlineStr">
        <is>
          <t>P050192</t>
        </is>
      </c>
      <c r="N22" s="129" t="inlineStr">
        <is>
          <t>Sleepy Joe</t>
        </is>
      </c>
      <c r="O22" s="129" t="inlineStr">
        <is>
          <t>NGP-QCG-SOP-024 F3, (28.11.2025) [NGP]</t>
        </is>
      </c>
      <c r="P22" s="141" t="inlineStr">
        <is>
          <t>—</t>
        </is>
      </c>
      <c r="Q22" s="129" t="inlineStr">
        <is>
          <t>PP CoA #017 of 04.12.2025</t>
        </is>
      </c>
      <c r="R22" s="129" t="inlineStr">
        <is>
          <t>CoQ-PP-2025-0017</t>
        </is>
      </c>
      <c r="S22" s="129" t="inlineStr">
        <is>
          <t>P050192|I</t>
        </is>
      </c>
      <c r="T22" s="134" t="inlineStr">
        <is>
          <t>registered — legacy series, issued 27.05.2026</t>
        </is>
      </c>
    </row>
    <row r="23">
      <c r="A23" s="129">
        <f>IF(C23="yes",COUNT(A$1:A22)+1,"")</f>
        <v/>
      </c>
      <c r="B23" s="130">
        <f>IF(A23&lt;&gt;"","CoQ-PP_26-"&amp;TEXT(A23,"000"),"— at issue —")</f>
        <v/>
      </c>
      <c r="C23" s="140" t="inlineStr">
        <is>
          <t>yes</t>
        </is>
      </c>
      <c r="D23" s="274">
        <f>IF(A23="","",MAX(E23,IF(ISNUMBER(I23),I23,0),IFERROR(IF(ISNUMBER(INDEX('iCoA Register'!$F:$F,MATCH(S23,'iCoA Register'!$P:$P,0))),INDEX('iCoA Register'!$F:$F,MATCH(S23,'iCoA Register'!$P:$P,0)),0),0)))</f>
        <v/>
      </c>
      <c r="E23" s="274">
        <f>IF(ISNUMBER(F23),MAX(DATE(2026,6,6),F23+7),DATE(2026,6,6))</f>
        <v/>
      </c>
      <c r="F23" s="274" t="n">
        <v>46086</v>
      </c>
      <c r="G23" s="129" t="inlineStr">
        <is>
          <t>ППК26036</t>
        </is>
      </c>
      <c r="H23" s="129">
        <f>IFERROR(INDEX('iCoA Register'!$B:$B,MATCH("P050202|I",'iCoA Register'!$P:$P,0)),"—")</f>
        <v/>
      </c>
      <c r="I23" s="274">
        <f>IFERROR(INDEX('iCoA Register'!$D:$D,MATCH("P050202|I",'iCoA Register'!$P:$P,0)),"")</f>
        <v/>
      </c>
      <c r="J23" s="129" t="inlineStr">
        <is>
          <t>legacy</t>
        </is>
      </c>
      <c r="K23" s="129" t="inlineStr">
        <is>
          <t>initial release</t>
        </is>
      </c>
      <c r="L23" s="130" t="inlineStr">
        <is>
          <t>GP062501</t>
        </is>
      </c>
      <c r="M23" s="129" t="inlineStr">
        <is>
          <t>P050202</t>
        </is>
      </c>
      <c r="N23" s="129" t="inlineStr">
        <is>
          <t>Grape Pie</t>
        </is>
      </c>
      <c r="O23" s="129" t="inlineStr">
        <is>
          <t>NGP-QCG-SOP-024 F3, (28.11.2025) [NGP]</t>
        </is>
      </c>
      <c r="P23" s="141" t="inlineStr">
        <is>
          <t>—</t>
        </is>
      </c>
      <c r="Q23" s="129" t="inlineStr">
        <is>
          <t>PP CoA #016 of 04.10.2025</t>
        </is>
      </c>
      <c r="R23" s="129" t="inlineStr">
        <is>
          <t>(assigned on issue)</t>
        </is>
      </c>
      <c r="S23" s="129" t="inlineStr">
        <is>
          <t>P050202|I</t>
        </is>
      </c>
      <c r="T23" s="134" t="inlineStr">
        <is>
          <t>registered — legacy series, issued 27.05.2026</t>
        </is>
      </c>
    </row>
    <row r="24">
      <c r="A24" s="129">
        <f>IF(C24="yes",COUNT(A$1:A23)+1,"")</f>
        <v/>
      </c>
      <c r="B24" s="130">
        <f>IF(A24&lt;&gt;"","CoQ-PP_26-"&amp;TEXT(A24,"000"),"— at issue —")</f>
        <v/>
      </c>
      <c r="C24" s="140" t="inlineStr">
        <is>
          <t>yes</t>
        </is>
      </c>
      <c r="D24" s="274">
        <f>IF(A24="","",MAX(E24,IF(ISNUMBER(I24),I24,0),IFERROR(IF(ISNUMBER(INDEX('iCoA Register'!$F:$F,MATCH(S24,'iCoA Register'!$P:$P,0))),INDEX('iCoA Register'!$F:$F,MATCH(S24,'iCoA Register'!$P:$P,0)),0),0)))</f>
        <v/>
      </c>
      <c r="E24" s="274">
        <f>IF(ISNUMBER(F24),MAX(DATE(2026,6,6),F24+7),DATE(2026,6,6))</f>
        <v/>
      </c>
      <c r="F24" s="274" t="n">
        <v>45954</v>
      </c>
      <c r="G24" s="129" t="inlineStr">
        <is>
          <t>4908-2025</t>
        </is>
      </c>
      <c r="H24" s="129">
        <f>IFERROR(INDEX('iCoA Register'!$B:$B,MATCH("P050212|I",'iCoA Register'!$P:$P,0)),"—")</f>
        <v/>
      </c>
      <c r="I24" s="274">
        <f>IFERROR(INDEX('iCoA Register'!$D:$D,MATCH("P050212|I",'iCoA Register'!$P:$P,0)),"")</f>
        <v/>
      </c>
      <c r="J24" s="129" t="inlineStr">
        <is>
          <t>legacy</t>
        </is>
      </c>
      <c r="K24" s="129" t="inlineStr">
        <is>
          <t>initial release</t>
        </is>
      </c>
      <c r="L24" s="130" t="inlineStr">
        <is>
          <t>CJ062501/2</t>
        </is>
      </c>
      <c r="M24" s="129" t="inlineStr">
        <is>
          <t>P050212</t>
        </is>
      </c>
      <c r="N24" s="129" t="inlineStr">
        <is>
          <t>Cap Junkie</t>
        </is>
      </c>
      <c r="O24" s="129" t="inlineStr">
        <is>
          <t>ППК25322, (23.10.2025) [CNP]</t>
        </is>
      </c>
      <c r="P24" s="141" t="inlineStr">
        <is>
          <t>—</t>
        </is>
      </c>
      <c r="Q24" s="129" t="inlineStr">
        <is>
          <t>PP CoA #028 of 24.01.2026</t>
        </is>
      </c>
      <c r="R24" s="129" t="inlineStr">
        <is>
          <t>(assigned on issue)</t>
        </is>
      </c>
      <c r="S24" s="129" t="inlineStr">
        <is>
          <t>P050212|I</t>
        </is>
      </c>
      <c r="T24" s="134" t="inlineStr">
        <is>
          <t>registered — legacy series, issued 27.05.2026</t>
        </is>
      </c>
    </row>
    <row r="25">
      <c r="A25" s="129">
        <f>IF(C25="yes",COUNT(A$1:A24)+1,"")</f>
        <v/>
      </c>
      <c r="B25" s="130">
        <f>IF(A25&lt;&gt;"","CoQ-PP_26-"&amp;TEXT(A25,"000"),"— at issue —")</f>
        <v/>
      </c>
      <c r="C25" s="140" t="inlineStr">
        <is>
          <t>yes</t>
        </is>
      </c>
      <c r="D25" s="274">
        <f>IF(A25="","",MAX(E25,IF(ISNUMBER(I25),I25,0),IFERROR(IF(ISNUMBER(INDEX('iCoA Register'!$F:$F,MATCH(S25,'iCoA Register'!$P:$P,0))),INDEX('iCoA Register'!$F:$F,MATCH(S25,'iCoA Register'!$P:$P,0)),0),0)))</f>
        <v/>
      </c>
      <c r="E25" s="274">
        <f>IF(ISNUMBER(F25),MAX(DATE(2026,6,6),F25+7),DATE(2026,6,6))</f>
        <v/>
      </c>
      <c r="F25" s="274" t="n">
        <v>45992</v>
      </c>
      <c r="G25" s="129" t="inlineStr">
        <is>
          <t>1217-2168-25</t>
        </is>
      </c>
      <c r="H25" s="129">
        <f>IFERROR(INDEX('iCoA Register'!$B:$B,MATCH("P050222|I",'iCoA Register'!$P:$P,0)),"—")</f>
        <v/>
      </c>
      <c r="I25" s="274">
        <f>IFERROR(INDEX('iCoA Register'!$D:$D,MATCH("P050222|I",'iCoA Register'!$P:$P,0)),"")</f>
        <v/>
      </c>
      <c r="J25" s="129" t="inlineStr">
        <is>
          <t>legacy</t>
        </is>
      </c>
      <c r="K25" s="129" t="inlineStr">
        <is>
          <t>initial release</t>
        </is>
      </c>
      <c r="L25" s="130" t="inlineStr">
        <is>
          <t>CJ062501/1</t>
        </is>
      </c>
      <c r="M25" s="129" t="inlineStr">
        <is>
          <t>P050222</t>
        </is>
      </c>
      <c r="N25" s="129" t="inlineStr">
        <is>
          <t>Cap Junkie</t>
        </is>
      </c>
      <c r="O25" s="129" t="inlineStr">
        <is>
          <t>ППК25321, (23.10.2025) [CNP]</t>
        </is>
      </c>
      <c r="P25" s="141" t="inlineStr">
        <is>
          <t>—</t>
        </is>
      </c>
      <c r="Q25" s="129" t="inlineStr">
        <is>
          <t>—</t>
        </is>
      </c>
      <c r="R25" s="129" t="inlineStr">
        <is>
          <t>CoQ-PP-2025-0018</t>
        </is>
      </c>
      <c r="S25" s="129" t="inlineStr">
        <is>
          <t>P050222|I</t>
        </is>
      </c>
      <c r="T25" s="134" t="inlineStr">
        <is>
          <t>registered — legacy series, issued 27.05.2026</t>
        </is>
      </c>
    </row>
    <row r="26">
      <c r="A26" s="129">
        <f>IF(C26="yes",COUNT(A$1:A25)+1,"")</f>
        <v/>
      </c>
      <c r="B26" s="130">
        <f>IF(A26&lt;&gt;"","CoQ-PP_26-"&amp;TEXT(A26,"000"),"— at issue —")</f>
        <v/>
      </c>
      <c r="C26" s="140" t="inlineStr">
        <is>
          <t>yes</t>
        </is>
      </c>
      <c r="D26" s="274">
        <f>IF(A26="","",MAX(E26,IF(ISNUMBER(I26),I26,0),IFERROR(IF(ISNUMBER(INDEX('iCoA Register'!$F:$F,MATCH(S26,'iCoA Register'!$P:$P,0))),INDEX('iCoA Register'!$F:$F,MATCH(S26,'iCoA Register'!$P:$P,0)),0),0)))</f>
        <v/>
      </c>
      <c r="E26" s="274">
        <f>IF(ISNUMBER(F26),MAX(DATE(2026,6,6),F26+7),DATE(2026,6,6))</f>
        <v/>
      </c>
      <c r="F26" s="274" t="n">
        <v>45993</v>
      </c>
      <c r="G26" s="129" t="inlineStr">
        <is>
          <t>5697-2025</t>
        </is>
      </c>
      <c r="H26" s="129">
        <f>IFERROR(INDEX('iCoA Register'!$B:$B,MATCH("P050252|I",'iCoA Register'!$P:$P,0)),"—")</f>
        <v/>
      </c>
      <c r="I26" s="274">
        <f>IFERROR(INDEX('iCoA Register'!$D:$D,MATCH("P050252|I",'iCoA Register'!$P:$P,0)),"")</f>
        <v/>
      </c>
      <c r="J26" s="129" t="inlineStr">
        <is>
          <t>legacy</t>
        </is>
      </c>
      <c r="K26" s="129" t="inlineStr">
        <is>
          <t>initial release</t>
        </is>
      </c>
      <c r="L26" s="130" t="inlineStr">
        <is>
          <t>CJ072501</t>
        </is>
      </c>
      <c r="M26" s="129" t="inlineStr">
        <is>
          <t>P050252</t>
        </is>
      </c>
      <c r="N26" s="129" t="inlineStr">
        <is>
          <t>Cap Junky</t>
        </is>
      </c>
      <c r="O26" s="129" t="inlineStr">
        <is>
          <t>ППК25367, (28.11.2025) [CNP]</t>
        </is>
      </c>
      <c r="P26" s="141" t="inlineStr">
        <is>
          <t>—</t>
        </is>
      </c>
      <c r="Q26" s="129" t="inlineStr">
        <is>
          <t>—</t>
        </is>
      </c>
      <c r="R26" s="129" t="inlineStr">
        <is>
          <t>(assigned on issue)</t>
        </is>
      </c>
      <c r="S26" s="129" t="inlineStr">
        <is>
          <t>P050252|I</t>
        </is>
      </c>
      <c r="T26" s="134" t="inlineStr">
        <is>
          <t>registered — legacy series, issued 27.05.2026</t>
        </is>
      </c>
    </row>
    <row r="27">
      <c r="A27" s="129">
        <f>IF(C27="yes",COUNT(A$1:A26)+1,"")</f>
        <v/>
      </c>
      <c r="B27" s="130">
        <f>IF(A27&lt;&gt;"","CoQ-PP_26-"&amp;TEXT(A27,"000"),"— at issue —")</f>
        <v/>
      </c>
      <c r="C27" s="140" t="inlineStr">
        <is>
          <t>yes</t>
        </is>
      </c>
      <c r="D27" s="274">
        <f>IF(A27="","",MAX(E27,IF(ISNUMBER(I27),I27,0),IFERROR(IF(ISNUMBER(INDEX('iCoA Register'!$F:$F,MATCH(S27,'iCoA Register'!$P:$P,0))),INDEX('iCoA Register'!$F:$F,MATCH(S27,'iCoA Register'!$P:$P,0)),0),0)))</f>
        <v/>
      </c>
      <c r="E27" s="274">
        <f>IF(ISNUMBER(F27),MAX(DATE(2026,6,6),F27+7),DATE(2026,6,6))</f>
        <v/>
      </c>
      <c r="F27" s="274" t="n">
        <v>45993</v>
      </c>
      <c r="G27" s="129" t="inlineStr">
        <is>
          <t>5699-2025</t>
        </is>
      </c>
      <c r="H27" s="129">
        <f>IFERROR(INDEX('iCoA Register'!$B:$B,MATCH("P050262|I",'iCoA Register'!$P:$P,0)),"—")</f>
        <v/>
      </c>
      <c r="I27" s="274">
        <f>IFERROR(INDEX('iCoA Register'!$D:$D,MATCH("P050262|I",'iCoA Register'!$P:$P,0)),"")</f>
        <v/>
      </c>
      <c r="J27" s="129" t="inlineStr">
        <is>
          <t>legacy</t>
        </is>
      </c>
      <c r="K27" s="129" t="inlineStr">
        <is>
          <t>initial release</t>
        </is>
      </c>
      <c r="L27" s="130" t="inlineStr">
        <is>
          <t>WC072501</t>
        </is>
      </c>
      <c r="M27" s="129" t="inlineStr">
        <is>
          <t>P050262</t>
        </is>
      </c>
      <c r="N27" s="129" t="inlineStr">
        <is>
          <t>Wedding Crusher</t>
        </is>
      </c>
      <c r="O27" s="129" t="inlineStr">
        <is>
          <t>ППК25369, (28.11.2025) [CNP]</t>
        </is>
      </c>
      <c r="P27" s="141" t="inlineStr">
        <is>
          <t>—</t>
        </is>
      </c>
      <c r="Q27" s="129" t="inlineStr">
        <is>
          <t>—</t>
        </is>
      </c>
      <c r="R27" s="129" t="inlineStr">
        <is>
          <t>(assigned on issue)</t>
        </is>
      </c>
      <c r="S27" s="129" t="inlineStr">
        <is>
          <t>P050262|I</t>
        </is>
      </c>
      <c r="T27" s="134" t="inlineStr">
        <is>
          <t>registered — legacy series, issued 27.05.2026</t>
        </is>
      </c>
    </row>
    <row r="28">
      <c r="A28" s="129">
        <f>IF(C28="yes",COUNT(A$1:A27)+1,"")</f>
        <v/>
      </c>
      <c r="B28" s="130">
        <f>IF(A28&lt;&gt;"","CoQ-PP_26-"&amp;TEXT(A28,"000"),"— at issue —")</f>
        <v/>
      </c>
      <c r="C28" s="140" t="inlineStr">
        <is>
          <t>yes</t>
        </is>
      </c>
      <c r="D28" s="274">
        <f>IF(A28="","",MAX(E28,IF(ISNUMBER(I28),I28,0),IFERROR(IF(ISNUMBER(INDEX('iCoA Register'!$F:$F,MATCH(S28,'iCoA Register'!$P:$P,0))),INDEX('iCoA Register'!$F:$F,MATCH(S28,'iCoA Register'!$P:$P,0)),0),0)))</f>
        <v/>
      </c>
      <c r="E28" s="274">
        <f>IF(ISNUMBER(F28),MAX(DATE(2026,6,6),F28+7),DATE(2026,6,6))</f>
        <v/>
      </c>
      <c r="F28" s="274" t="n">
        <v>45993</v>
      </c>
      <c r="G28" s="129" t="inlineStr">
        <is>
          <t>5698-2025</t>
        </is>
      </c>
      <c r="H28" s="129">
        <f>IFERROR(INDEX('iCoA Register'!$B:$B,MATCH("P050272|I",'iCoA Register'!$P:$P,0)),"—")</f>
        <v/>
      </c>
      <c r="I28" s="274">
        <f>IFERROR(INDEX('iCoA Register'!$D:$D,MATCH("P050272|I",'iCoA Register'!$P:$P,0)),"")</f>
        <v/>
      </c>
      <c r="J28" s="129" t="inlineStr">
        <is>
          <t>legacy</t>
        </is>
      </c>
      <c r="K28" s="129" t="inlineStr">
        <is>
          <t>initial release</t>
        </is>
      </c>
      <c r="L28" s="130" t="inlineStr">
        <is>
          <t>PM072501</t>
        </is>
      </c>
      <c r="M28" s="129" t="inlineStr">
        <is>
          <t>P050272</t>
        </is>
      </c>
      <c r="N28" s="129" t="inlineStr">
        <is>
          <t>Permanent Marker</t>
        </is>
      </c>
      <c r="O28" s="129" t="inlineStr">
        <is>
          <t>ППК25368, (28.11.2025) [CNP]</t>
        </is>
      </c>
      <c r="P28" s="141" t="inlineStr">
        <is>
          <t>—</t>
        </is>
      </c>
      <c r="Q28" s="129" t="inlineStr">
        <is>
          <t>PP CoA #026 of 21.01.2026</t>
        </is>
      </c>
      <c r="R28" s="129" t="inlineStr">
        <is>
          <t>(assigned on issue)</t>
        </is>
      </c>
      <c r="S28" s="129" t="inlineStr">
        <is>
          <t>P050272|I</t>
        </is>
      </c>
      <c r="T28" s="134" t="inlineStr">
        <is>
          <t>registered — legacy series, issued 27.05.2026</t>
        </is>
      </c>
    </row>
    <row r="29">
      <c r="A29" s="129">
        <f>IF(C29="yes",COUNT(A$1:A28)+1,"")</f>
        <v/>
      </c>
      <c r="B29" s="130">
        <f>IF(A29&lt;&gt;"","CoQ-PP_26-"&amp;TEXT(A29,"000"),"— at issue —")</f>
        <v/>
      </c>
      <c r="C29" s="140" t="inlineStr">
        <is>
          <t>yes</t>
        </is>
      </c>
      <c r="D29" s="274">
        <f>IF(A29="","",MAX(E29,IF(ISNUMBER(I29),I29,0),IFERROR(IF(ISNUMBER(INDEX('iCoA Register'!$F:$F,MATCH(S29,'iCoA Register'!$P:$P,0))),INDEX('iCoA Register'!$F:$F,MATCH(S29,'iCoA Register'!$P:$P,0)),0),0)))</f>
        <v/>
      </c>
      <c r="E29" s="274">
        <f>IF(ISNUMBER(F29),MAX(DATE(2026,6,6),F29+7),DATE(2026,6,6))</f>
        <v/>
      </c>
      <c r="F29" s="274" t="n">
        <v>45993</v>
      </c>
      <c r="G29" s="129" t="inlineStr">
        <is>
          <t>5700-2025</t>
        </is>
      </c>
      <c r="H29" s="129">
        <f>IFERROR(INDEX('iCoA Register'!$B:$B,MATCH("P050282|I",'iCoA Register'!$P:$P,0)),"—")</f>
        <v/>
      </c>
      <c r="I29" s="274">
        <f>IFERROR(INDEX('iCoA Register'!$D:$D,MATCH("P050282|I",'iCoA Register'!$P:$P,0)),"")</f>
        <v/>
      </c>
      <c r="J29" s="129" t="inlineStr">
        <is>
          <t>legacy</t>
        </is>
      </c>
      <c r="K29" s="129" t="inlineStr">
        <is>
          <t>initial release</t>
        </is>
      </c>
      <c r="L29" s="130" t="inlineStr">
        <is>
          <t>CLE072501</t>
        </is>
      </c>
      <c r="M29" s="129" t="inlineStr">
        <is>
          <t>P050282</t>
        </is>
      </c>
      <c r="N29" s="129" t="inlineStr">
        <is>
          <t>Clemosa a bud</t>
        </is>
      </c>
      <c r="O29" s="129" t="inlineStr">
        <is>
          <t>ППК25370, (28.11.2025) [CNP]</t>
        </is>
      </c>
      <c r="P29" s="141" t="inlineStr">
        <is>
          <t>—</t>
        </is>
      </c>
      <c r="Q29" s="129" t="inlineStr">
        <is>
          <t>—</t>
        </is>
      </c>
      <c r="R29" s="129" t="inlineStr">
        <is>
          <t>CoQ-PP-2025-0019</t>
        </is>
      </c>
      <c r="S29" s="129" t="inlineStr">
        <is>
          <t>P050282|I</t>
        </is>
      </c>
      <c r="T29" s="134" t="inlineStr">
        <is>
          <t>registered — legacy series, issued 27.05.2026</t>
        </is>
      </c>
    </row>
    <row r="30">
      <c r="A30" s="129">
        <f>IF(C30="yes",COUNT(A$1:A29)+1,"")</f>
        <v/>
      </c>
      <c r="B30" s="130">
        <f>IF(A30&lt;&gt;"","CoQ-PP_26-"&amp;TEXT(A30,"000"),"— at issue —")</f>
        <v/>
      </c>
      <c r="C30" s="140" t="inlineStr">
        <is>
          <t>yes</t>
        </is>
      </c>
      <c r="D30" s="274">
        <f>IF(A30="","",MAX(E30,IF(ISNUMBER(I30),I30,0),IFERROR(IF(ISNUMBER(INDEX('iCoA Register'!$F:$F,MATCH(S30,'iCoA Register'!$P:$P,0))),INDEX('iCoA Register'!$F:$F,MATCH(S30,'iCoA Register'!$P:$P,0)),0),0)))</f>
        <v/>
      </c>
      <c r="E30" s="274">
        <f>IF(ISNUMBER(F30),MAX(DATE(2026,6,6),F30+7),DATE(2026,6,6))</f>
        <v/>
      </c>
      <c r="F30" s="274" t="n">
        <v>46003</v>
      </c>
      <c r="G30" s="129" t="inlineStr">
        <is>
          <t>ППК25378</t>
        </is>
      </c>
      <c r="H30" s="129">
        <f>IFERROR(INDEX('iCoA Register'!$B:$B,MATCH("P050292|I",'iCoA Register'!$P:$P,0)),"—")</f>
        <v/>
      </c>
      <c r="I30" s="274">
        <f>IFERROR(INDEX('iCoA Register'!$D:$D,MATCH("P050292|I",'iCoA Register'!$P:$P,0)),"")</f>
        <v/>
      </c>
      <c r="J30" s="129" t="inlineStr">
        <is>
          <t>legacy</t>
        </is>
      </c>
      <c r="K30" s="129" t="inlineStr">
        <is>
          <t>initial release</t>
        </is>
      </c>
      <c r="L30" s="130" t="inlineStr">
        <is>
          <t>GP072501/1</t>
        </is>
      </c>
      <c r="M30" s="129" t="inlineStr">
        <is>
          <t>P050292</t>
        </is>
      </c>
      <c r="N30" s="129" t="inlineStr">
        <is>
          <t>Grape Pie</t>
        </is>
      </c>
      <c r="O30" s="129" t="inlineStr">
        <is>
          <t>ППК25378, (12.12.2025) [CNP]</t>
        </is>
      </c>
      <c r="P30" s="141" t="inlineStr">
        <is>
          <t>—</t>
        </is>
      </c>
      <c r="Q30" s="129" t="inlineStr">
        <is>
          <t>—</t>
        </is>
      </c>
      <c r="R30" s="129" t="inlineStr">
        <is>
          <t>(assigned on issue)</t>
        </is>
      </c>
      <c r="S30" s="129" t="inlineStr">
        <is>
          <t>P050292|I</t>
        </is>
      </c>
      <c r="T30" s="134" t="inlineStr">
        <is>
          <t>registered — legacy series, issued 27.05.2026</t>
        </is>
      </c>
    </row>
    <row r="31">
      <c r="A31" s="129">
        <f>IF(C31="yes",COUNT(A$1:A30)+1,"")</f>
        <v/>
      </c>
      <c r="B31" s="130">
        <f>IF(A31&lt;&gt;"","CoQ-PP_26-"&amp;TEXT(A31,"000"),"— at issue —")</f>
        <v/>
      </c>
      <c r="C31" s="140" t="inlineStr">
        <is>
          <t>yes</t>
        </is>
      </c>
      <c r="D31" s="274">
        <f>IF(A31="","",MAX(E31,IF(ISNUMBER(I31),I31,0),IFERROR(IF(ISNUMBER(INDEX('iCoA Register'!$F:$F,MATCH(S31,'iCoA Register'!$P:$P,0))),INDEX('iCoA Register'!$F:$F,MATCH(S31,'iCoA Register'!$P:$P,0)),0),0)))</f>
        <v/>
      </c>
      <c r="E31" s="274">
        <f>IF(ISNUMBER(F31),MAX(DATE(2026,6,6),F31+7),DATE(2026,6,6))</f>
        <v/>
      </c>
      <c r="F31" s="274" t="n">
        <v>46003</v>
      </c>
      <c r="G31" s="129" t="inlineStr">
        <is>
          <t>ППК25379</t>
        </is>
      </c>
      <c r="H31" s="129">
        <f>IFERROR(INDEX('iCoA Register'!$B:$B,MATCH("P050302|I",'iCoA Register'!$P:$P,0)),"—")</f>
        <v/>
      </c>
      <c r="I31" s="274">
        <f>IFERROR(INDEX('iCoA Register'!$D:$D,MATCH("P050302|I",'iCoA Register'!$P:$P,0)),"")</f>
        <v/>
      </c>
      <c r="J31" s="129" t="inlineStr">
        <is>
          <t>legacy</t>
        </is>
      </c>
      <c r="K31" s="129" t="inlineStr">
        <is>
          <t>initial release</t>
        </is>
      </c>
      <c r="L31" s="130" t="inlineStr">
        <is>
          <t>GP072501/2</t>
        </is>
      </c>
      <c r="M31" s="129" t="inlineStr">
        <is>
          <t>P050302</t>
        </is>
      </c>
      <c r="N31" s="129" t="inlineStr">
        <is>
          <t>Grape Pie</t>
        </is>
      </c>
      <c r="O31" s="129" t="inlineStr">
        <is>
          <t>ППК25379, (12.12.2025) [CNP]</t>
        </is>
      </c>
      <c r="P31" s="141" t="inlineStr">
        <is>
          <t>—</t>
        </is>
      </c>
      <c r="Q31" s="129" t="inlineStr">
        <is>
          <t>—</t>
        </is>
      </c>
      <c r="R31" s="129" t="inlineStr">
        <is>
          <t>CoQ-PP-2025-0020</t>
        </is>
      </c>
      <c r="S31" s="129" t="inlineStr">
        <is>
          <t>P050302|I</t>
        </is>
      </c>
      <c r="T31" s="134" t="inlineStr">
        <is>
          <t>registered — legacy series, issued 27.05.2026</t>
        </is>
      </c>
    </row>
    <row r="32">
      <c r="A32" s="129">
        <f>IF(C32="yes",COUNT(A$1:A31)+1,"")</f>
        <v/>
      </c>
      <c r="B32" s="130">
        <f>IF(A32&lt;&gt;"","CoQ-PP_26-"&amp;TEXT(A32,"000"),"— at issue —")</f>
        <v/>
      </c>
      <c r="C32" s="140" t="inlineStr">
        <is>
          <t>yes</t>
        </is>
      </c>
      <c r="D32" s="274">
        <f>IF(A32="","",MAX(E32,IF(ISNUMBER(I32),I32,0),IFERROR(IF(ISNUMBER(INDEX('iCoA Register'!$F:$F,MATCH(S32,'iCoA Register'!$P:$P,0))),INDEX('iCoA Register'!$F:$F,MATCH(S32,'iCoA Register'!$P:$P,0)),0),0)))</f>
        <v/>
      </c>
      <c r="E32" s="274">
        <f>IF(ISNUMBER(F32),MAX(DATE(2026,6,6),F32+7),DATE(2026,6,6))</f>
        <v/>
      </c>
      <c r="F32" s="274" t="n">
        <v>46003</v>
      </c>
      <c r="G32" s="129" t="inlineStr">
        <is>
          <t>ППК25380</t>
        </is>
      </c>
      <c r="H32" s="129">
        <f>IFERROR(INDEX('iCoA Register'!$B:$B,MATCH("P050312|I",'iCoA Register'!$P:$P,0)),"—")</f>
        <v/>
      </c>
      <c r="I32" s="274">
        <f>IFERROR(INDEX('iCoA Register'!$D:$D,MATCH("P050312|I",'iCoA Register'!$P:$P,0)),"")</f>
        <v/>
      </c>
      <c r="J32" s="129" t="inlineStr">
        <is>
          <t>legacy</t>
        </is>
      </c>
      <c r="K32" s="129" t="inlineStr">
        <is>
          <t>initial release</t>
        </is>
      </c>
      <c r="L32" s="130" t="inlineStr">
        <is>
          <t>GP082501/1</t>
        </is>
      </c>
      <c r="M32" s="129" t="inlineStr">
        <is>
          <t>P050312</t>
        </is>
      </c>
      <c r="N32" s="129" t="inlineStr">
        <is>
          <t>Grape Pie</t>
        </is>
      </c>
      <c r="O32" s="129" t="inlineStr">
        <is>
          <t>ППК25380, (12.12.2025) [CNP]</t>
        </is>
      </c>
      <c r="P32" s="141" t="inlineStr">
        <is>
          <t>—</t>
        </is>
      </c>
      <c r="Q32" s="129" t="inlineStr">
        <is>
          <t>—</t>
        </is>
      </c>
      <c r="R32" s="129" t="inlineStr">
        <is>
          <t>CoQ-PP-2025-0021</t>
        </is>
      </c>
      <c r="S32" s="129" t="inlineStr">
        <is>
          <t>P050312|I</t>
        </is>
      </c>
      <c r="T32" s="134" t="inlineStr">
        <is>
          <t>registered — legacy series, issued 27.05.2026</t>
        </is>
      </c>
    </row>
    <row r="33">
      <c r="A33" s="129">
        <f>IF(C33="yes",COUNT(A$1:A32)+1,"")</f>
        <v/>
      </c>
      <c r="B33" s="130">
        <f>IF(A33&lt;&gt;"","CoQ-PP_26-"&amp;TEXT(A33,"000"),"— at issue —")</f>
        <v/>
      </c>
      <c r="C33" s="140" t="inlineStr">
        <is>
          <t>yes</t>
        </is>
      </c>
      <c r="D33" s="274">
        <f>IF(A33="","",MAX(E33,IF(ISNUMBER(I33),I33,0),IFERROR(IF(ISNUMBER(INDEX('iCoA Register'!$F:$F,MATCH(S33,'iCoA Register'!$P:$P,0))),INDEX('iCoA Register'!$F:$F,MATCH(S33,'iCoA Register'!$P:$P,0)),0),0)))</f>
        <v/>
      </c>
      <c r="E33" s="274">
        <f>IF(ISNUMBER(F33),MAX(DATE(2026,6,6),F33+7),DATE(2026,6,6))</f>
        <v/>
      </c>
      <c r="F33" s="274" t="n">
        <v>46003</v>
      </c>
      <c r="G33" s="129" t="inlineStr">
        <is>
          <t>ППК25381</t>
        </is>
      </c>
      <c r="H33" s="129">
        <f>IFERROR(INDEX('iCoA Register'!$B:$B,MATCH("P050322|I",'iCoA Register'!$P:$P,0)),"—")</f>
        <v/>
      </c>
      <c r="I33" s="274">
        <f>IFERROR(INDEX('iCoA Register'!$D:$D,MATCH("P050322|I",'iCoA Register'!$P:$P,0)),"")</f>
        <v/>
      </c>
      <c r="J33" s="129" t="inlineStr">
        <is>
          <t>legacy</t>
        </is>
      </c>
      <c r="K33" s="129" t="inlineStr">
        <is>
          <t>initial release</t>
        </is>
      </c>
      <c r="L33" s="130" t="inlineStr">
        <is>
          <t>GP082501/2</t>
        </is>
      </c>
      <c r="M33" s="129" t="inlineStr">
        <is>
          <t>P050322</t>
        </is>
      </c>
      <c r="N33" s="129" t="inlineStr">
        <is>
          <t>Grape Pie</t>
        </is>
      </c>
      <c r="O33" s="129" t="inlineStr">
        <is>
          <t>ППК25381, (12.12.2025) [CNP]</t>
        </is>
      </c>
      <c r="P33" s="141" t="inlineStr">
        <is>
          <t>—</t>
        </is>
      </c>
      <c r="Q33" s="129" t="inlineStr">
        <is>
          <t>—</t>
        </is>
      </c>
      <c r="R33" s="129" t="inlineStr">
        <is>
          <t>CoQ-PP-2025-0022</t>
        </is>
      </c>
      <c r="S33" s="129" t="inlineStr">
        <is>
          <t>P050322|I</t>
        </is>
      </c>
      <c r="T33" s="134" t="inlineStr">
        <is>
          <t>registered — legacy series, issued 27.05.2026</t>
        </is>
      </c>
    </row>
    <row r="34">
      <c r="A34" s="129">
        <f>IF(C34="yes",COUNT(A$1:A33)+1,"")</f>
        <v/>
      </c>
      <c r="B34" s="130">
        <f>IF(A34&lt;&gt;"","CoQ-PP_26-"&amp;TEXT(A34,"000"),"— at issue —")</f>
        <v/>
      </c>
      <c r="C34" s="140" t="inlineStr">
        <is>
          <t>yes</t>
        </is>
      </c>
      <c r="D34" s="274">
        <f>IF(A34="","",MAX(E34,IF(ISNUMBER(I34),I34,0),IFERROR(IF(ISNUMBER(INDEX('iCoA Register'!$F:$F,MATCH(S34,'iCoA Register'!$P:$P,0))),INDEX('iCoA Register'!$F:$F,MATCH(S34,'iCoA Register'!$P:$P,0)),0),0)))</f>
        <v/>
      </c>
      <c r="E34" s="274">
        <f>IF(ISNUMBER(F34),MAX(DATE(2026,6,6),F34+7),DATE(2026,6,6))</f>
        <v/>
      </c>
      <c r="F34" s="274" t="n">
        <v>46055</v>
      </c>
      <c r="G34" s="129" t="inlineStr">
        <is>
          <t>80-2026</t>
        </is>
      </c>
      <c r="H34" s="129">
        <f>IFERROR(INDEX('iCoA Register'!$B:$B,MATCH("P060012|I",'iCoA Register'!$P:$P,0)),"—")</f>
        <v/>
      </c>
      <c r="I34" s="274">
        <f>IFERROR(INDEX('iCoA Register'!$D:$D,MATCH("P060012|I",'iCoA Register'!$P:$P,0)),"")</f>
        <v/>
      </c>
      <c r="J34" s="129" t="inlineStr">
        <is>
          <t>legacy</t>
        </is>
      </c>
      <c r="K34" s="129" t="inlineStr">
        <is>
          <t>initial release</t>
        </is>
      </c>
      <c r="L34" s="130" t="inlineStr">
        <is>
          <t>WC082501</t>
        </is>
      </c>
      <c r="M34" s="129" t="inlineStr">
        <is>
          <t>P060012</t>
        </is>
      </c>
      <c r="N34" s="129" t="inlineStr">
        <is>
          <t>Wedding Crasher</t>
        </is>
      </c>
      <c r="O34" s="129" t="inlineStr">
        <is>
          <t>ППК26001, (21.01.2026) [CNP]</t>
        </is>
      </c>
      <c r="P34" s="141" t="inlineStr">
        <is>
          <t>—</t>
        </is>
      </c>
      <c r="Q34" s="129" t="inlineStr">
        <is>
          <t>PP CoA #035 of 20.02.2026</t>
        </is>
      </c>
      <c r="R34" s="129" t="inlineStr">
        <is>
          <t>CoQ-PP-2026-0001</t>
        </is>
      </c>
      <c r="S34" s="129" t="inlineStr">
        <is>
          <t>P060012|I</t>
        </is>
      </c>
      <c r="T34" s="134" t="inlineStr">
        <is>
          <t>registered — legacy series, issued 27.05.2026</t>
        </is>
      </c>
    </row>
    <row r="35">
      <c r="A35" s="129">
        <f>IF(C35="yes",COUNT(A$1:A34)+1,"")</f>
        <v/>
      </c>
      <c r="B35" s="130">
        <f>IF(A35&lt;&gt;"","CoQ-PP_26-"&amp;TEXT(A35,"000"),"— at issue —")</f>
        <v/>
      </c>
      <c r="C35" s="140" t="inlineStr">
        <is>
          <t>yes</t>
        </is>
      </c>
      <c r="D35" s="274">
        <f>IF(A35="","",MAX(E35,IF(ISNUMBER(I35),I35,0),IFERROR(IF(ISNUMBER(INDEX('iCoA Register'!$F:$F,MATCH(S35,'iCoA Register'!$P:$P,0))),INDEX('iCoA Register'!$F:$F,MATCH(S35,'iCoA Register'!$P:$P,0)),0),0)))</f>
        <v/>
      </c>
      <c r="E35" s="274">
        <f>IF(ISNUMBER(F35),MAX(DATE(2026,6,6),F35+7),DATE(2026,6,6))</f>
        <v/>
      </c>
      <c r="F35" s="274" t="n">
        <v>46055</v>
      </c>
      <c r="G35" s="129" t="inlineStr">
        <is>
          <t>81-2026</t>
        </is>
      </c>
      <c r="H35" s="129">
        <f>IFERROR(INDEX('iCoA Register'!$B:$B,MATCH("P060022|I",'iCoA Register'!$P:$P,0)),"—")</f>
        <v/>
      </c>
      <c r="I35" s="274">
        <f>IFERROR(INDEX('iCoA Register'!$D:$D,MATCH("P060022|I",'iCoA Register'!$P:$P,0)),"")</f>
        <v/>
      </c>
      <c r="J35" s="129" t="inlineStr">
        <is>
          <t>legacy</t>
        </is>
      </c>
      <c r="K35" s="129" t="inlineStr">
        <is>
          <t>initial release</t>
        </is>
      </c>
      <c r="L35" s="130" t="inlineStr">
        <is>
          <t>CJ082501/1</t>
        </is>
      </c>
      <c r="M35" s="129" t="inlineStr">
        <is>
          <t>P060022</t>
        </is>
      </c>
      <c r="N35" s="129" t="inlineStr">
        <is>
          <t>Cap Junky</t>
        </is>
      </c>
      <c r="O35" s="129" t="inlineStr">
        <is>
          <t>ППК26002, (21.01.2026) [CNP]</t>
        </is>
      </c>
      <c r="P35" s="141" t="inlineStr">
        <is>
          <t>—</t>
        </is>
      </c>
      <c r="Q35" s="129" t="inlineStr">
        <is>
          <t>PP CoA #041 of 20.02.2026</t>
        </is>
      </c>
      <c r="R35" s="129" t="inlineStr">
        <is>
          <t>CoQ-PP-2026-0002</t>
        </is>
      </c>
      <c r="S35" s="129" t="inlineStr">
        <is>
          <t>P060022|I</t>
        </is>
      </c>
      <c r="T35" s="134" t="inlineStr">
        <is>
          <t>registered — legacy series, issued 27.05.2026</t>
        </is>
      </c>
    </row>
    <row r="36">
      <c r="A36" s="129">
        <f>IF(C36="yes",COUNT(A$1:A35)+1,"")</f>
        <v/>
      </c>
      <c r="B36" s="130">
        <f>IF(A36&lt;&gt;"","CoQ-PP_26-"&amp;TEXT(A36,"000"),"— at issue —")</f>
        <v/>
      </c>
      <c r="C36" s="140" t="inlineStr">
        <is>
          <t>yes</t>
        </is>
      </c>
      <c r="D36" s="274">
        <f>IF(A36="","",MAX(E36,IF(ISNUMBER(I36),I36,0),IFERROR(IF(ISNUMBER(INDEX('iCoA Register'!$F:$F,MATCH(S36,'iCoA Register'!$P:$P,0))),INDEX('iCoA Register'!$F:$F,MATCH(S36,'iCoA Register'!$P:$P,0)),0),0)))</f>
        <v/>
      </c>
      <c r="E36" s="274">
        <f>IF(ISNUMBER(F36),MAX(DATE(2026,6,6),F36+7),DATE(2026,6,6))</f>
        <v/>
      </c>
      <c r="F36" s="274" t="n">
        <v>46055</v>
      </c>
      <c r="G36" s="129" t="inlineStr">
        <is>
          <t>82-2026</t>
        </is>
      </c>
      <c r="H36" s="129">
        <f>IFERROR(INDEX('iCoA Register'!$B:$B,MATCH("P060032|I",'iCoA Register'!$P:$P,0)),"—")</f>
        <v/>
      </c>
      <c r="I36" s="274">
        <f>IFERROR(INDEX('iCoA Register'!$D:$D,MATCH("P060032|I",'iCoA Register'!$P:$P,0)),"")</f>
        <v/>
      </c>
      <c r="J36" s="129" t="inlineStr">
        <is>
          <t>legacy</t>
        </is>
      </c>
      <c r="K36" s="129" t="inlineStr">
        <is>
          <t>initial release</t>
        </is>
      </c>
      <c r="L36" s="130" t="inlineStr">
        <is>
          <t>CJ082501/2</t>
        </is>
      </c>
      <c r="M36" s="129" t="inlineStr">
        <is>
          <t>P060032</t>
        </is>
      </c>
      <c r="N36" s="129" t="inlineStr">
        <is>
          <t>Cap Junky</t>
        </is>
      </c>
      <c r="O36" s="129" t="inlineStr">
        <is>
          <t>ППК26003, (21.01.2026) [CNP]</t>
        </is>
      </c>
      <c r="P36" s="141" t="inlineStr">
        <is>
          <t>—</t>
        </is>
      </c>
      <c r="Q36" s="129" t="inlineStr">
        <is>
          <t>PP CoA #034 of 20.02.2026</t>
        </is>
      </c>
      <c r="R36" s="129" t="inlineStr">
        <is>
          <t>CoQ-PP-2026-0003</t>
        </is>
      </c>
      <c r="S36" s="129" t="inlineStr">
        <is>
          <t>P060032|I</t>
        </is>
      </c>
      <c r="T36" s="134" t="inlineStr">
        <is>
          <t>registered — legacy series, issued 27.05.2026</t>
        </is>
      </c>
    </row>
    <row r="37">
      <c r="A37" s="129">
        <f>IF(C37="yes",COUNT(A$1:A36)+1,"")</f>
        <v/>
      </c>
      <c r="B37" s="130">
        <f>IF(A37&lt;&gt;"","CoQ-PP_26-"&amp;TEXT(A37,"000"),"— at issue —")</f>
        <v/>
      </c>
      <c r="C37" s="140" t="inlineStr">
        <is>
          <t>yes</t>
        </is>
      </c>
      <c r="D37" s="274">
        <f>IF(A37="","",MAX(E37,IF(ISNUMBER(I37),I37,0),IFERROR(IF(ISNUMBER(INDEX('iCoA Register'!$F:$F,MATCH(S37,'iCoA Register'!$P:$P,0))),INDEX('iCoA Register'!$F:$F,MATCH(S37,'iCoA Register'!$P:$P,0)),0),0)))</f>
        <v/>
      </c>
      <c r="E37" s="274">
        <f>IF(ISNUMBER(F37),MAX(DATE(2026,6,6),F37+7),DATE(2026,6,6))</f>
        <v/>
      </c>
      <c r="F37" s="274" t="n">
        <v>46056</v>
      </c>
      <c r="G37" s="129" t="inlineStr">
        <is>
          <t>87-2026</t>
        </is>
      </c>
      <c r="H37" s="129">
        <f>IFERROR(INDEX('iCoA Register'!$B:$B,MATCH("P060042|I",'iCoA Register'!$P:$P,0)),"—")</f>
        <v/>
      </c>
      <c r="I37" s="274">
        <f>IFERROR(INDEX('iCoA Register'!$D:$D,MATCH("P060042|I",'iCoA Register'!$P:$P,0)),"")</f>
        <v/>
      </c>
      <c r="J37" s="129" t="inlineStr">
        <is>
          <t>legacy</t>
        </is>
      </c>
      <c r="K37" s="129" t="inlineStr">
        <is>
          <t>initial release</t>
        </is>
      </c>
      <c r="L37" s="130" t="inlineStr">
        <is>
          <t>OPM092501</t>
        </is>
      </c>
      <c r="M37" s="129" t="inlineStr">
        <is>
          <t>P060042</t>
        </is>
      </c>
      <c r="N37" s="129" t="inlineStr">
        <is>
          <t>Orange Punch Mimosa</t>
        </is>
      </c>
      <c r="O37" s="129" t="inlineStr">
        <is>
          <t>ППК26008, (21.01.2026) [CNP]</t>
        </is>
      </c>
      <c r="P37" s="141" t="inlineStr">
        <is>
          <t>—</t>
        </is>
      </c>
      <c r="Q37" s="129" t="inlineStr">
        <is>
          <t>PP CoA #040 of 20.02.2026</t>
        </is>
      </c>
      <c r="R37" s="129" t="inlineStr">
        <is>
          <t>CoQ-PP-2026-0004</t>
        </is>
      </c>
      <c r="S37" s="129" t="inlineStr">
        <is>
          <t>P060042|I</t>
        </is>
      </c>
      <c r="T37" s="134" t="inlineStr">
        <is>
          <t>registered — legacy series, issued 27.05.2026</t>
        </is>
      </c>
    </row>
    <row r="38">
      <c r="A38" s="129">
        <f>IF(C38="yes",COUNT(A$1:A37)+1,"")</f>
        <v/>
      </c>
      <c r="B38" s="130">
        <f>IF(A38&lt;&gt;"","CoQ-PP_26-"&amp;TEXT(A38,"000"),"— at issue —")</f>
        <v/>
      </c>
      <c r="C38" s="140" t="inlineStr">
        <is>
          <t>yes</t>
        </is>
      </c>
      <c r="D38" s="274">
        <f>IF(A38="","",MAX(E38,IF(ISNUMBER(I38),I38,0),IFERROR(IF(ISNUMBER(INDEX('iCoA Register'!$F:$F,MATCH(S38,'iCoA Register'!$P:$P,0))),INDEX('iCoA Register'!$F:$F,MATCH(S38,'iCoA Register'!$P:$P,0)),0),0)))</f>
        <v/>
      </c>
      <c r="E38" s="274">
        <f>IF(ISNUMBER(F38),MAX(DATE(2026,6,6),F38+7),DATE(2026,6,6))</f>
        <v/>
      </c>
      <c r="F38" s="274" t="n">
        <v>46055</v>
      </c>
      <c r="G38" s="129" t="inlineStr">
        <is>
          <t>84-2026</t>
        </is>
      </c>
      <c r="H38" s="129">
        <f>IFERROR(INDEX('iCoA Register'!$B:$B,MATCH("P060052|I",'iCoA Register'!$P:$P,0)),"—")</f>
        <v/>
      </c>
      <c r="I38" s="274">
        <f>IFERROR(INDEX('iCoA Register'!$D:$D,MATCH("P060052|I",'iCoA Register'!$P:$P,0)),"")</f>
        <v/>
      </c>
      <c r="J38" s="129" t="inlineStr">
        <is>
          <t>legacy</t>
        </is>
      </c>
      <c r="K38" s="129" t="inlineStr">
        <is>
          <t>initial release</t>
        </is>
      </c>
      <c r="L38" s="130" t="inlineStr">
        <is>
          <t>AB092501</t>
        </is>
      </c>
      <c r="M38" s="129" t="inlineStr">
        <is>
          <t>P060052</t>
        </is>
      </c>
      <c r="N38" s="129" t="inlineStr">
        <is>
          <t>Apple and Banana</t>
        </is>
      </c>
      <c r="O38" s="129" t="inlineStr">
        <is>
          <t>ППК26005, (21.01.2026) [CNP]</t>
        </is>
      </c>
      <c r="P38" s="141" t="inlineStr">
        <is>
          <t>—</t>
        </is>
      </c>
      <c r="Q38" s="129" t="inlineStr">
        <is>
          <t>PP CoA #037 of 20.02.2026</t>
        </is>
      </c>
      <c r="R38" s="129" t="inlineStr">
        <is>
          <t>(assigned on issue)</t>
        </is>
      </c>
      <c r="S38" s="129" t="inlineStr">
        <is>
          <t>P060052|I</t>
        </is>
      </c>
      <c r="T38" s="134" t="inlineStr">
        <is>
          <t>registered — legacy series, issued 27.05.2026</t>
        </is>
      </c>
    </row>
    <row r="39">
      <c r="A39" s="129">
        <f>IF(C39="yes",COUNT(A$1:A38)+1,"")</f>
        <v/>
      </c>
      <c r="B39" s="130">
        <f>IF(A39&lt;&gt;"","CoQ-PP_26-"&amp;TEXT(A39,"000"),"— at issue —")</f>
        <v/>
      </c>
      <c r="C39" s="140" t="inlineStr">
        <is>
          <t>yes</t>
        </is>
      </c>
      <c r="D39" s="274">
        <f>IF(A39="","",MAX(E39,IF(ISNUMBER(I39),I39,0),IFERROR(IF(ISNUMBER(INDEX('iCoA Register'!$F:$F,MATCH(S39,'iCoA Register'!$P:$P,0))),INDEX('iCoA Register'!$F:$F,MATCH(S39,'iCoA Register'!$P:$P,0)),0),0)))</f>
        <v/>
      </c>
      <c r="E39" s="274">
        <f>IF(ISNUMBER(F39),MAX(DATE(2026,6,6),F39+7),DATE(2026,6,6))</f>
        <v/>
      </c>
      <c r="F39" s="274" t="n">
        <v>46055</v>
      </c>
      <c r="G39" s="129" t="inlineStr">
        <is>
          <t>83-2026</t>
        </is>
      </c>
      <c r="H39" s="129">
        <f>IFERROR(INDEX('iCoA Register'!$B:$B,MATCH("P060062|I",'iCoA Register'!$P:$P,0)),"—")</f>
        <v/>
      </c>
      <c r="I39" s="274">
        <f>IFERROR(INDEX('iCoA Register'!$D:$D,MATCH("P060062|I",'iCoA Register'!$P:$P,0)),"")</f>
        <v/>
      </c>
      <c r="J39" s="129" t="inlineStr">
        <is>
          <t>legacy</t>
        </is>
      </c>
      <c r="K39" s="129" t="inlineStr">
        <is>
          <t>initial release</t>
        </is>
      </c>
      <c r="L39" s="130" t="inlineStr">
        <is>
          <t>PM092501</t>
        </is>
      </c>
      <c r="M39" s="129" t="inlineStr">
        <is>
          <t>P060062</t>
        </is>
      </c>
      <c r="N39" s="129" t="inlineStr">
        <is>
          <t>Permanent Market</t>
        </is>
      </c>
      <c r="O39" s="129" t="inlineStr">
        <is>
          <t>ППК26004, (21.01.2026) [CNP]</t>
        </is>
      </c>
      <c r="P39" s="141" t="inlineStr">
        <is>
          <t>—</t>
        </is>
      </c>
      <c r="Q39" s="129" t="inlineStr">
        <is>
          <t>PP CoA #036 of 20.02.2026</t>
        </is>
      </c>
      <c r="R39" s="129" t="inlineStr">
        <is>
          <t>CoQ-PP-2026-0005</t>
        </is>
      </c>
      <c r="S39" s="129" t="inlineStr">
        <is>
          <t>P060062|I</t>
        </is>
      </c>
      <c r="T39" s="134" t="inlineStr">
        <is>
          <t>registered — legacy series, issued 27.05.2026</t>
        </is>
      </c>
    </row>
    <row r="40">
      <c r="A40" s="129">
        <f>IF(C40="yes",COUNT(A$1:A39)+1,"")</f>
        <v/>
      </c>
      <c r="B40" s="130">
        <f>IF(A40&lt;&gt;"","CoQ-PP_26-"&amp;TEXT(A40,"000"),"— at issue —")</f>
        <v/>
      </c>
      <c r="C40" s="140" t="inlineStr">
        <is>
          <t>yes</t>
        </is>
      </c>
      <c r="D40" s="274">
        <f>IF(A40="","",MAX(E40,IF(ISNUMBER(I40),I40,0),IFERROR(IF(ISNUMBER(INDEX('iCoA Register'!$F:$F,MATCH(S40,'iCoA Register'!$P:$P,0))),INDEX('iCoA Register'!$F:$F,MATCH(S40,'iCoA Register'!$P:$P,0)),0),0)))</f>
        <v/>
      </c>
      <c r="E40" s="274">
        <f>IF(ISNUMBER(F40),MAX(DATE(2026,6,6),F40+7),DATE(2026,6,6))</f>
        <v/>
      </c>
      <c r="F40" s="274" t="n">
        <v>46055</v>
      </c>
      <c r="G40" s="129" t="inlineStr">
        <is>
          <t>86-2026</t>
        </is>
      </c>
      <c r="H40" s="129">
        <f>IFERROR(INDEX('iCoA Register'!$B:$B,MATCH("P060072|I",'iCoA Register'!$P:$P,0)),"—")</f>
        <v/>
      </c>
      <c r="I40" s="274">
        <f>IFERROR(INDEX('iCoA Register'!$D:$D,MATCH("P060072|I",'iCoA Register'!$P:$P,0)),"")</f>
        <v/>
      </c>
      <c r="J40" s="129" t="inlineStr">
        <is>
          <t>legacy</t>
        </is>
      </c>
      <c r="K40" s="129" t="inlineStr">
        <is>
          <t>initial release</t>
        </is>
      </c>
      <c r="L40" s="130" t="inlineStr">
        <is>
          <t>CJ092501</t>
        </is>
      </c>
      <c r="M40" s="129" t="inlineStr">
        <is>
          <t>P060072</t>
        </is>
      </c>
      <c r="N40" s="129" t="inlineStr">
        <is>
          <t>Cap Junky</t>
        </is>
      </c>
      <c r="O40" s="129" t="inlineStr">
        <is>
          <t>ППК26007, (21.01.2026) [CNP]</t>
        </is>
      </c>
      <c r="P40" s="141" t="inlineStr">
        <is>
          <t>—</t>
        </is>
      </c>
      <c r="Q40" s="129" t="inlineStr">
        <is>
          <t>PP CoA #039 of 20.02.2026</t>
        </is>
      </c>
      <c r="R40" s="129" t="inlineStr">
        <is>
          <t>CoQ-PP-2026-0006</t>
        </is>
      </c>
      <c r="S40" s="129" t="inlineStr">
        <is>
          <t>P060072|I</t>
        </is>
      </c>
      <c r="T40" s="134" t="inlineStr">
        <is>
          <t>registered — legacy series, issued 27.05.2026</t>
        </is>
      </c>
    </row>
    <row r="41">
      <c r="A41" s="129">
        <f>IF(C41="yes",COUNT(A$1:A40)+1,"")</f>
        <v/>
      </c>
      <c r="B41" s="130">
        <f>IF(A41&lt;&gt;"","CoQ-PP_26-"&amp;TEXT(A41,"000"),"— at issue —")</f>
        <v/>
      </c>
      <c r="C41" s="140" t="inlineStr">
        <is>
          <t>yes</t>
        </is>
      </c>
      <c r="D41" s="274">
        <f>IF(A41="","",MAX(E41,IF(ISNUMBER(I41),I41,0),IFERROR(IF(ISNUMBER(INDEX('iCoA Register'!$F:$F,MATCH(S41,'iCoA Register'!$P:$P,0))),INDEX('iCoA Register'!$F:$F,MATCH(S41,'iCoA Register'!$P:$P,0)),0),0)))</f>
        <v/>
      </c>
      <c r="E41" s="274">
        <f>IF(ISNUMBER(F41),MAX(DATE(2026,6,6),F41+7),DATE(2026,6,6))</f>
        <v/>
      </c>
      <c r="F41" s="274" t="n">
        <v>46055</v>
      </c>
      <c r="G41" s="129" t="inlineStr">
        <is>
          <t>85-2026</t>
        </is>
      </c>
      <c r="H41" s="129">
        <f>IFERROR(INDEX('iCoA Register'!$B:$B,MATCH("P060082|I",'iCoA Register'!$P:$P,0)),"—")</f>
        <v/>
      </c>
      <c r="I41" s="274">
        <f>IFERROR(INDEX('iCoA Register'!$D:$D,MATCH("P060082|I",'iCoA Register'!$P:$P,0)),"")</f>
        <v/>
      </c>
      <c r="J41" s="129" t="inlineStr">
        <is>
          <t>legacy</t>
        </is>
      </c>
      <c r="K41" s="129" t="inlineStr">
        <is>
          <t>initial release</t>
        </is>
      </c>
      <c r="L41" s="130" t="inlineStr">
        <is>
          <t>SJ0925021</t>
        </is>
      </c>
      <c r="M41" s="129" t="inlineStr">
        <is>
          <t>P060082</t>
        </is>
      </c>
      <c r="N41" s="129" t="inlineStr"/>
      <c r="O41" s="129" t="inlineStr">
        <is>
          <t>ППК26006, (21.01.2026) [CNP]</t>
        </is>
      </c>
      <c r="P41" s="141" t="inlineStr">
        <is>
          <t>—</t>
        </is>
      </c>
      <c r="Q41" s="129" t="inlineStr">
        <is>
          <t>PP CoA #038 of 20.02.2026</t>
        </is>
      </c>
      <c r="R41" s="129" t="inlineStr">
        <is>
          <t>CoQ-PP-2026-0007</t>
        </is>
      </c>
      <c r="S41" s="129" t="inlineStr">
        <is>
          <t>P060082|I</t>
        </is>
      </c>
      <c r="T41" s="134" t="inlineStr">
        <is>
          <t>registered — legacy series, issued 27.05.2026</t>
        </is>
      </c>
    </row>
    <row r="42">
      <c r="A42" s="129">
        <f>IF(C42="yes",COUNT(A$1:A41)+1,"")</f>
        <v/>
      </c>
      <c r="B42" s="130">
        <f>IF(A42&lt;&gt;"","CoQ-PP_26-"&amp;TEXT(A42,"000"),"— at issue —")</f>
        <v/>
      </c>
      <c r="C42" s="140" t="inlineStr">
        <is>
          <t>yes</t>
        </is>
      </c>
      <c r="D42" s="274">
        <f>IF(A42="","",MAX(E42,IF(ISNUMBER(I42),I42,0),IFERROR(IF(ISNUMBER(INDEX('iCoA Register'!$F:$F,MATCH(S42,'iCoA Register'!$P:$P,0))),INDEX('iCoA Register'!$F:$F,MATCH(S42,'iCoA Register'!$P:$P,0)),0),0)))</f>
        <v/>
      </c>
      <c r="E42" s="274">
        <f>IF(ISNUMBER(F42),MAX(DATE(2026,6,6),F42+7),DATE(2026,6,6))</f>
        <v/>
      </c>
      <c r="F42" s="274" t="n">
        <v>46056</v>
      </c>
      <c r="G42" s="129" t="inlineStr">
        <is>
          <t>88-2026</t>
        </is>
      </c>
      <c r="H42" s="129">
        <f>IFERROR(INDEX('iCoA Register'!$B:$B,MATCH("P060092|I",'iCoA Register'!$P:$P,0)),"—")</f>
        <v/>
      </c>
      <c r="I42" s="274">
        <f>IFERROR(INDEX('iCoA Register'!$D:$D,MATCH("P060092|I",'iCoA Register'!$P:$P,0)),"")</f>
        <v/>
      </c>
      <c r="J42" s="129" t="inlineStr">
        <is>
          <t>legacy</t>
        </is>
      </c>
      <c r="K42" s="129" t="inlineStr">
        <is>
          <t>initial release</t>
        </is>
      </c>
      <c r="L42" s="130" t="inlineStr">
        <is>
          <t>GP092501</t>
        </is>
      </c>
      <c r="M42" s="129" t="inlineStr">
        <is>
          <t>P060092</t>
        </is>
      </c>
      <c r="N42" s="129" t="inlineStr">
        <is>
          <t>Grape Pie</t>
        </is>
      </c>
      <c r="O42" s="129" t="inlineStr">
        <is>
          <t>ППК26009, (21.01.2026) [CNP]</t>
        </is>
      </c>
      <c r="P42" s="141" t="inlineStr">
        <is>
          <t>—</t>
        </is>
      </c>
      <c r="Q42" s="129" t="inlineStr">
        <is>
          <t>PP CoA #033 of 20.02.2026</t>
        </is>
      </c>
      <c r="R42" s="129" t="inlineStr">
        <is>
          <t>CoQ-PP-2026-0008</t>
        </is>
      </c>
      <c r="S42" s="129" t="inlineStr">
        <is>
          <t>P060092|I</t>
        </is>
      </c>
      <c r="T42" s="134" t="inlineStr">
        <is>
          <t>registered — legacy series, issued 27.05.2026</t>
        </is>
      </c>
    </row>
    <row r="43">
      <c r="A43" s="129">
        <f>IF(C43="yes",COUNT(A$1:A42)+1,"")</f>
        <v/>
      </c>
      <c r="B43" s="130">
        <f>IF(A43&lt;&gt;"","CoQ-PP_26-"&amp;TEXT(A43,"000"),"— at issue —")</f>
        <v/>
      </c>
      <c r="C43" s="140" t="inlineStr">
        <is>
          <t>yes</t>
        </is>
      </c>
      <c r="D43" s="274">
        <f>IF(A43="","",MAX(E43,IF(ISNUMBER(I43),I43,0),IFERROR(IF(ISNUMBER(INDEX('iCoA Register'!$F:$F,MATCH(S43,'iCoA Register'!$P:$P,0))),INDEX('iCoA Register'!$F:$F,MATCH(S43,'iCoA Register'!$P:$P,0)),0),0)))</f>
        <v/>
      </c>
      <c r="E43" s="274">
        <f>IF(ISNUMBER(F43),MAX(DATE(2026,6,6),F43+7),DATE(2026,6,6))</f>
        <v/>
      </c>
      <c r="F43" s="274" t="n">
        <v>46083</v>
      </c>
      <c r="G43" s="129" t="inlineStr">
        <is>
          <t>051-1-LoD-26</t>
        </is>
      </c>
      <c r="H43" s="129">
        <f>IFERROR(INDEX('iCoA Register'!$B:$B,MATCH("P060152|I",'iCoA Register'!$P:$P,0)),"—")</f>
        <v/>
      </c>
      <c r="I43" s="274">
        <f>IFERROR(INDEX('iCoA Register'!$D:$D,MATCH("P060152|I",'iCoA Register'!$P:$P,0)),"")</f>
        <v/>
      </c>
      <c r="J43" s="129" t="inlineStr">
        <is>
          <t>legacy</t>
        </is>
      </c>
      <c r="K43" s="129" t="inlineStr">
        <is>
          <t>initial release</t>
        </is>
      </c>
      <c r="L43" s="130" t="inlineStr">
        <is>
          <t>J31102501</t>
        </is>
      </c>
      <c r="M43" s="129" t="inlineStr">
        <is>
          <t>P060152</t>
        </is>
      </c>
      <c r="N43" s="129" t="inlineStr">
        <is>
          <t>Jokerz 31</t>
        </is>
      </c>
      <c r="O43" s="129" t="inlineStr">
        <is>
          <t>051-1-K-26, (04.03.2026) [FHM-K]</t>
        </is>
      </c>
      <c r="P43" s="141" t="inlineStr">
        <is>
          <t>—</t>
        </is>
      </c>
      <c r="Q43" s="129" t="inlineStr">
        <is>
          <t>—</t>
        </is>
      </c>
      <c r="R43" s="129" t="inlineStr">
        <is>
          <t>CoQ-PP-2026-0012</t>
        </is>
      </c>
      <c r="S43" s="129" t="inlineStr">
        <is>
          <t>P060152|I</t>
        </is>
      </c>
      <c r="T43" s="134" t="inlineStr">
        <is>
          <t>registered — legacy series, issued 27.05.2026 · initial certificate to locate: #9 (IJZ), #10 (CNP), #11 (CNP), #12 (CNP)</t>
        </is>
      </c>
    </row>
    <row r="44">
      <c r="A44" s="129">
        <f>IF(C44="yes",COUNT(A$1:A43)+1,"")</f>
        <v/>
      </c>
      <c r="B44" s="130">
        <f>IF(A44&lt;&gt;"","CoQ-PP_26-"&amp;TEXT(A44,"000"),"— at issue —")</f>
        <v/>
      </c>
      <c r="C44" s="140" t="inlineStr">
        <is>
          <t>yes</t>
        </is>
      </c>
      <c r="D44" s="274">
        <f>IF(A44="","",MAX(E44,IF(ISNUMBER(I44),I44,0),IFERROR(IF(ISNUMBER(INDEX('iCoA Register'!$F:$F,MATCH(S44,'iCoA Register'!$P:$P,0))),INDEX('iCoA Register'!$F:$F,MATCH(S44,'iCoA Register'!$P:$P,0)),0),0)))</f>
        <v/>
      </c>
      <c r="E44" s="274">
        <f>IF(ISNUMBER(F44),MAX(DATE(2026,6,6),F44+7),DATE(2026,6,6))</f>
        <v/>
      </c>
      <c r="F44" s="274" t="n">
        <v>46083</v>
      </c>
      <c r="G44" s="129" t="inlineStr">
        <is>
          <t>051-3-LoD-26</t>
        </is>
      </c>
      <c r="H44" s="129">
        <f>IFERROR(INDEX('iCoA Register'!$B:$B,MATCH("P060162|I",'iCoA Register'!$P:$P,0)),"—")</f>
        <v/>
      </c>
      <c r="I44" s="274">
        <f>IFERROR(INDEX('iCoA Register'!$D:$D,MATCH("P060162|I",'iCoA Register'!$P:$P,0)),"")</f>
        <v/>
      </c>
      <c r="J44" s="129" t="inlineStr">
        <is>
          <t>legacy</t>
        </is>
      </c>
      <c r="K44" s="129" t="inlineStr">
        <is>
          <t>initial release</t>
        </is>
      </c>
      <c r="L44" s="130" t="inlineStr">
        <is>
          <t>SJ102501</t>
        </is>
      </c>
      <c r="M44" s="129" t="inlineStr">
        <is>
          <t>P060162</t>
        </is>
      </c>
      <c r="N44" s="129" t="inlineStr">
        <is>
          <t>Sleepy Joe</t>
        </is>
      </c>
      <c r="O44" s="129" t="inlineStr">
        <is>
          <t>051-3-K-26, (04.03.2026) [FHM-K]</t>
        </is>
      </c>
      <c r="P44" s="141" t="inlineStr">
        <is>
          <t>—</t>
        </is>
      </c>
      <c r="Q44" s="129" t="inlineStr">
        <is>
          <t>—</t>
        </is>
      </c>
      <c r="R44" s="129" t="inlineStr">
        <is>
          <t>(assigned on issue)</t>
        </is>
      </c>
      <c r="S44" s="129" t="inlineStr">
        <is>
          <t>P060162|I</t>
        </is>
      </c>
      <c r="T44" s="134" t="inlineStr">
        <is>
          <t>registered — legacy series, issued 27.05.2026 · initial certificate to locate: #9 (IJZ), #10 (CNP), #11 (CNP), #12 (CNP)</t>
        </is>
      </c>
    </row>
    <row r="45">
      <c r="A45" s="129">
        <f>IF(C45="yes",COUNT(A$1:A44)+1,"")</f>
        <v/>
      </c>
      <c r="B45" s="130">
        <f>IF(A45&lt;&gt;"","CoQ-PP_26-"&amp;TEXT(A45,"000"),"— at issue —")</f>
        <v/>
      </c>
      <c r="C45" s="140" t="inlineStr">
        <is>
          <t>yes</t>
        </is>
      </c>
      <c r="D45" s="274">
        <f>IF(A45="","",MAX(E45,IF(ISNUMBER(I45),I45,0),IFERROR(IF(ISNUMBER(INDEX('iCoA Register'!$F:$F,MATCH(S45,'iCoA Register'!$P:$P,0))),INDEX('iCoA Register'!$F:$F,MATCH(S45,'iCoA Register'!$P:$P,0)),0),0)))</f>
        <v/>
      </c>
      <c r="E45" s="274">
        <f>IF(ISNUMBER(F45),MAX(DATE(2026,6,6),F45+7),DATE(2026,6,6))</f>
        <v/>
      </c>
      <c r="F45" s="274" t="n">
        <v>46083</v>
      </c>
      <c r="G45" s="129" t="inlineStr">
        <is>
          <t>051-4-LoD-26</t>
        </is>
      </c>
      <c r="H45" s="129">
        <f>IFERROR(INDEX('iCoA Register'!$B:$B,MATCH("P060172|I",'iCoA Register'!$P:$P,0)),"—")</f>
        <v/>
      </c>
      <c r="I45" s="274">
        <f>IFERROR(INDEX('iCoA Register'!$D:$D,MATCH("P060172|I",'iCoA Register'!$P:$P,0)),"")</f>
        <v/>
      </c>
      <c r="J45" s="129" t="inlineStr">
        <is>
          <t>legacy</t>
        </is>
      </c>
      <c r="K45" s="129" t="inlineStr">
        <is>
          <t>initial release</t>
        </is>
      </c>
      <c r="L45" s="130" t="inlineStr">
        <is>
          <t>KC102501</t>
        </is>
      </c>
      <c r="M45" s="129" t="inlineStr">
        <is>
          <t>P060172</t>
        </is>
      </c>
      <c r="N45" s="129" t="inlineStr">
        <is>
          <t>Kush Crasher</t>
        </is>
      </c>
      <c r="O45" s="129" t="inlineStr">
        <is>
          <t>051-4-K-26, (04.03.2026) [FHM-K]</t>
        </is>
      </c>
      <c r="P45" s="141" t="inlineStr">
        <is>
          <t>—</t>
        </is>
      </c>
      <c r="Q45" s="129" t="inlineStr">
        <is>
          <t>—</t>
        </is>
      </c>
      <c r="R45" s="129" t="inlineStr">
        <is>
          <t>CoQ-PP-2026-0013</t>
        </is>
      </c>
      <c r="S45" s="129" t="inlineStr">
        <is>
          <t>P060172|I</t>
        </is>
      </c>
      <c r="T45" s="134" t="inlineStr">
        <is>
          <t>registered — legacy series, issued 27.05.2026 · initial certificate to locate: #9 (IJZ), #10 (CNP), #11 (CNP), #12 (CNP)</t>
        </is>
      </c>
    </row>
    <row r="46">
      <c r="A46" s="129">
        <f>IF(C46="yes",COUNT(A$1:A45)+1,"")</f>
        <v/>
      </c>
      <c r="B46" s="130">
        <f>IF(A46&lt;&gt;"","CoQ-PP_26-"&amp;TEXT(A46,"000"),"— at issue —")</f>
        <v/>
      </c>
      <c r="C46" s="140" t="inlineStr">
        <is>
          <t>yes</t>
        </is>
      </c>
      <c r="D46" s="274">
        <f>IF(A46="","",MAX(E46,IF(ISNUMBER(I46),I46,0),IFERROR(IF(ISNUMBER(INDEX('iCoA Register'!$F:$F,MATCH(S46,'iCoA Register'!$P:$P,0))),INDEX('iCoA Register'!$F:$F,MATCH(S46,'iCoA Register'!$P:$P,0)),0),0)))</f>
        <v/>
      </c>
      <c r="E46" s="274">
        <f>IF(ISNUMBER(F46),MAX(DATE(2026,6,6),F46+7),DATE(2026,6,6))</f>
        <v/>
      </c>
      <c r="F46" s="274" t="n">
        <v>46083</v>
      </c>
      <c r="G46" s="129" t="inlineStr">
        <is>
          <t>051-6-LoD-26</t>
        </is>
      </c>
      <c r="H46" s="129">
        <f>IFERROR(INDEX('iCoA Register'!$B:$B,MATCH("P060182|I",'iCoA Register'!$P:$P,0)),"—")</f>
        <v/>
      </c>
      <c r="I46" s="274">
        <f>IFERROR(INDEX('iCoA Register'!$D:$D,MATCH("P060182|I",'iCoA Register'!$P:$P,0)),"")</f>
        <v/>
      </c>
      <c r="J46" s="129" t="inlineStr">
        <is>
          <t>legacy</t>
        </is>
      </c>
      <c r="K46" s="129" t="inlineStr">
        <is>
          <t>initial release</t>
        </is>
      </c>
      <c r="L46" s="130" t="inlineStr">
        <is>
          <t>GRC102501</t>
        </is>
      </c>
      <c r="M46" s="129" t="inlineStr">
        <is>
          <t>P060182</t>
        </is>
      </c>
      <c r="N46" s="129" t="inlineStr">
        <is>
          <t>Graps &amp; Creme</t>
        </is>
      </c>
      <c r="O46" s="129" t="inlineStr">
        <is>
          <t>051-6-K-26, (04.03.2026) [FHM-K]</t>
        </is>
      </c>
      <c r="P46" s="141" t="inlineStr">
        <is>
          <t>—</t>
        </is>
      </c>
      <c r="Q46" s="129" t="inlineStr">
        <is>
          <t>—</t>
        </is>
      </c>
      <c r="R46" s="129" t="inlineStr">
        <is>
          <t>CoQ-PP-2026-0014</t>
        </is>
      </c>
      <c r="S46" s="129" t="inlineStr">
        <is>
          <t>P060182|I</t>
        </is>
      </c>
      <c r="T46" s="134" t="inlineStr">
        <is>
          <t>registered — legacy series, issued 27.05.2026 · initial certificate to locate: #9 (IJZ), #10 (CNP), #11 (CNP), #12 (CNP)</t>
        </is>
      </c>
    </row>
    <row r="47">
      <c r="A47" s="129">
        <f>IF(C47="yes",COUNT(A$1:A46)+1,"")</f>
        <v/>
      </c>
      <c r="B47" s="130">
        <f>IF(A47&lt;&gt;"","CoQ-PP_26-"&amp;TEXT(A47,"000"),"— at issue —")</f>
        <v/>
      </c>
      <c r="C47" s="140" t="inlineStr">
        <is>
          <t>yes</t>
        </is>
      </c>
      <c r="D47" s="274">
        <f>IF(A47="","",MAX(E47,IF(ISNUMBER(I47),I47,0),IFERROR(IF(ISNUMBER(INDEX('iCoA Register'!$F:$F,MATCH(S47,'iCoA Register'!$P:$P,0))),INDEX('iCoA Register'!$F:$F,MATCH(S47,'iCoA Register'!$P:$P,0)),0),0)))</f>
        <v/>
      </c>
      <c r="E47" s="274">
        <f>IF(ISNUMBER(F47),MAX(DATE(2026,6,6),F47+7),DATE(2026,6,6))</f>
        <v/>
      </c>
      <c r="F47" s="274" t="n">
        <v>46083</v>
      </c>
      <c r="G47" s="129" t="inlineStr">
        <is>
          <t>051-2-LoD-26</t>
        </is>
      </c>
      <c r="H47" s="129">
        <f>IFERROR(INDEX('iCoA Register'!$B:$B,MATCH("P060192|I",'iCoA Register'!$P:$P,0)),"—")</f>
        <v/>
      </c>
      <c r="I47" s="274">
        <f>IFERROR(INDEX('iCoA Register'!$D:$D,MATCH("P060192|I",'iCoA Register'!$P:$P,0)),"")</f>
        <v/>
      </c>
      <c r="J47" s="129" t="inlineStr">
        <is>
          <t>legacy</t>
        </is>
      </c>
      <c r="K47" s="129" t="inlineStr">
        <is>
          <t>initial release</t>
        </is>
      </c>
      <c r="L47" s="130" t="inlineStr">
        <is>
          <t>SJ112501</t>
        </is>
      </c>
      <c r="M47" s="129" t="inlineStr">
        <is>
          <t>P060192</t>
        </is>
      </c>
      <c r="N47" s="129" t="inlineStr">
        <is>
          <t>Sleepy Joy</t>
        </is>
      </c>
      <c r="O47" s="129" t="inlineStr">
        <is>
          <t>051-2-K-26, (04.03.2026) [FHM-K]</t>
        </is>
      </c>
      <c r="P47" s="141" t="inlineStr">
        <is>
          <t>—</t>
        </is>
      </c>
      <c r="Q47" s="129" t="inlineStr">
        <is>
          <t>—</t>
        </is>
      </c>
      <c r="R47" s="129" t="inlineStr">
        <is>
          <t>(assigned on issue)</t>
        </is>
      </c>
      <c r="S47" s="129" t="inlineStr">
        <is>
          <t>P060192|I</t>
        </is>
      </c>
      <c r="T47" s="134" t="inlineStr">
        <is>
          <t>registered — legacy series, issued 27.05.2026 · initial certificate to locate: #9 (IJZ), #10 (CNP), #11 (CNP), #12 (CNP)</t>
        </is>
      </c>
    </row>
    <row r="48">
      <c r="A48" s="129">
        <f>IF(C48="yes",COUNT(A$1:A47)+1,"")</f>
        <v/>
      </c>
      <c r="B48" s="130">
        <f>IF(A48&lt;&gt;"","CoQ-PP_26-"&amp;TEXT(A48,"000"),"— at issue —")</f>
        <v/>
      </c>
      <c r="C48" s="140" t="inlineStr">
        <is>
          <t>yes</t>
        </is>
      </c>
      <c r="D48" s="274">
        <f>IF(A48="","",MAX(E48,IF(ISNUMBER(I48),I48,0),IFERROR(IF(ISNUMBER(INDEX('iCoA Register'!$F:$F,MATCH(S48,'iCoA Register'!$P:$P,0))),INDEX('iCoA Register'!$F:$F,MATCH(S48,'iCoA Register'!$P:$P,0)),0),0)))</f>
        <v/>
      </c>
      <c r="E48" s="274">
        <f>IF(ISNUMBER(F48),MAX(DATE(2026,6,6),F48+7),DATE(2026,6,6))</f>
        <v/>
      </c>
      <c r="F48" s="274" t="n">
        <v>46083</v>
      </c>
      <c r="G48" s="129" t="inlineStr">
        <is>
          <t>051-5-LoD-26</t>
        </is>
      </c>
      <c r="H48" s="129">
        <f>IFERROR(INDEX('iCoA Register'!$B:$B,MATCH("P060202|I",'iCoA Register'!$P:$P,0)),"—")</f>
        <v/>
      </c>
      <c r="I48" s="274">
        <f>IFERROR(INDEX('iCoA Register'!$D:$D,MATCH("P060202|I",'iCoA Register'!$P:$P,0)),"")</f>
        <v/>
      </c>
      <c r="J48" s="129" t="inlineStr">
        <is>
          <t>legacy</t>
        </is>
      </c>
      <c r="K48" s="129" t="inlineStr">
        <is>
          <t>initial release</t>
        </is>
      </c>
      <c r="L48" s="130" t="inlineStr">
        <is>
          <t>J31112501</t>
        </is>
      </c>
      <c r="M48" s="129" t="inlineStr">
        <is>
          <t>P060202</t>
        </is>
      </c>
      <c r="N48" s="129" t="inlineStr">
        <is>
          <t>Jokerz 31</t>
        </is>
      </c>
      <c r="O48" s="129" t="inlineStr">
        <is>
          <t>051-5-K-26, (04.03.2026) [FHM-K]</t>
        </is>
      </c>
      <c r="P48" s="141" t="inlineStr">
        <is>
          <t>—</t>
        </is>
      </c>
      <c r="Q48" s="129" t="inlineStr">
        <is>
          <t>—</t>
        </is>
      </c>
      <c r="R48" s="129" t="inlineStr">
        <is>
          <t>(assigned on issue)</t>
        </is>
      </c>
      <c r="S48" s="129" t="inlineStr">
        <is>
          <t>P060202|I</t>
        </is>
      </c>
      <c r="T48" s="134" t="inlineStr">
        <is>
          <t>registered — legacy series, issued 27.05.2026 · initial certificate to locate: #9 (IJZ), #10 (CNP), #11 (CNP), #12 (CNP)</t>
        </is>
      </c>
    </row>
    <row r="49">
      <c r="A49" s="129">
        <f>IF(C49="yes",COUNT(A$1:A48)+1,"")</f>
        <v/>
      </c>
      <c r="B49" s="130">
        <f>IF(A49&lt;&gt;"","CoQ-PP_26-"&amp;TEXT(A49,"000"),"— at issue —")</f>
        <v/>
      </c>
      <c r="C49" s="140" t="inlineStr">
        <is>
          <t>yes</t>
        </is>
      </c>
      <c r="D49" s="274">
        <f>IF(A49="","",MAX(E49,IF(ISNUMBER(I49),I49,0),IFERROR(IF(ISNUMBER(INDEX('iCoA Register'!$F:$F,MATCH(S49,'iCoA Register'!$P:$P,0))),INDEX('iCoA Register'!$F:$F,MATCH(S49,'iCoA Register'!$P:$P,0)),0),0)))</f>
        <v/>
      </c>
      <c r="E49" s="274">
        <f>IF(ISNUMBER(F49),MAX(DATE(2026,6,6),F49+7),DATE(2026,6,6))</f>
        <v/>
      </c>
      <c r="F49" s="274" t="n">
        <v>46153</v>
      </c>
      <c r="G49" s="129" t="inlineStr">
        <is>
          <t>ППК26063</t>
        </is>
      </c>
      <c r="H49" s="129">
        <f>IFERROR(INDEX('iCoA Register'!$B:$B,MATCH("P060212|I",'iCoA Register'!$P:$P,0)),"—")</f>
        <v/>
      </c>
      <c r="I49" s="274">
        <f>IFERROR(INDEX('iCoA Register'!$D:$D,MATCH("P060212|I",'iCoA Register'!$P:$P,0)),"")</f>
        <v/>
      </c>
      <c r="J49" s="129" t="inlineStr">
        <is>
          <t>legacy</t>
        </is>
      </c>
      <c r="K49" s="129" t="inlineStr">
        <is>
          <t>initial release</t>
        </is>
      </c>
      <c r="L49" s="130" t="inlineStr">
        <is>
          <t>JD112501</t>
        </is>
      </c>
      <c r="M49" s="129" t="inlineStr">
        <is>
          <t>P060212</t>
        </is>
      </c>
      <c r="N49" s="129" t="inlineStr">
        <is>
          <t>Jelly Donutz</t>
        </is>
      </c>
      <c r="O49" s="129" t="inlineStr">
        <is>
          <t>ППК26063, (11.05.2026) [CNP]</t>
        </is>
      </c>
      <c r="P49" s="141" t="inlineStr">
        <is>
          <t>—</t>
        </is>
      </c>
      <c r="Q49" s="129" t="inlineStr">
        <is>
          <t>—</t>
        </is>
      </c>
      <c r="R49" s="129" t="inlineStr">
        <is>
          <t>CoQ-PP-2026-0015</t>
        </is>
      </c>
      <c r="S49" s="129" t="inlineStr">
        <is>
          <t>P060212|I</t>
        </is>
      </c>
      <c r="T49" s="134" t="inlineStr">
        <is>
          <t>registered — legacy series, issued 27.05.2026</t>
        </is>
      </c>
    </row>
    <row r="50">
      <c r="A50" s="129">
        <f>IF(C50="yes",COUNT(A$1:A49)+1,"")</f>
        <v/>
      </c>
      <c r="B50" s="130">
        <f>IF(A50&lt;&gt;"","CoQ-PP_26-"&amp;TEXT(A50,"000"),"— at issue —")</f>
        <v/>
      </c>
      <c r="C50" s="140" t="inlineStr">
        <is>
          <t>yes</t>
        </is>
      </c>
      <c r="D50" s="274">
        <f>IF(A50="","",MAX(E50,IF(ISNUMBER(I50),I50,0),IFERROR(IF(ISNUMBER(INDEX('iCoA Register'!$F:$F,MATCH(S50,'iCoA Register'!$P:$P,0))),INDEX('iCoA Register'!$F:$F,MATCH(S50,'iCoA Register'!$P:$P,0)),0),0)))</f>
        <v/>
      </c>
      <c r="E50" s="274">
        <f>IF(ISNUMBER(F50),MAX(DATE(2026,6,6),F50+7),DATE(2026,6,6))</f>
        <v/>
      </c>
      <c r="F50" s="274" t="n">
        <v>46086</v>
      </c>
      <c r="G50" s="129" t="inlineStr">
        <is>
          <t>ППК26031</t>
        </is>
      </c>
      <c r="H50" s="129">
        <f>IFERROR(INDEX('iCoA Register'!$B:$B,MATCH("P060222|I",'iCoA Register'!$P:$P,0)),"—")</f>
        <v/>
      </c>
      <c r="I50" s="274">
        <f>IFERROR(INDEX('iCoA Register'!$D:$D,MATCH("P060222|I",'iCoA Register'!$P:$P,0)),"")</f>
        <v/>
      </c>
      <c r="J50" s="129" t="inlineStr">
        <is>
          <t>legacy</t>
        </is>
      </c>
      <c r="K50" s="129" t="inlineStr">
        <is>
          <t>initial release</t>
        </is>
      </c>
      <c r="L50" s="130" t="inlineStr">
        <is>
          <t>OPM112501</t>
        </is>
      </c>
      <c r="M50" s="129" t="inlineStr">
        <is>
          <t>P060222</t>
        </is>
      </c>
      <c r="N50" s="129" t="inlineStr">
        <is>
          <t>Orange Punch Mimosa</t>
        </is>
      </c>
      <c r="O50" s="129" t="inlineStr">
        <is>
          <t>ППК26031, (05.03.2026) [CNP]</t>
        </is>
      </c>
      <c r="P50" s="141" t="inlineStr">
        <is>
          <t>—</t>
        </is>
      </c>
      <c r="Q50" s="129" t="inlineStr">
        <is>
          <t>—</t>
        </is>
      </c>
      <c r="R50" s="129" t="inlineStr">
        <is>
          <t>(assigned on issue)</t>
        </is>
      </c>
      <c r="S50" s="129" t="inlineStr">
        <is>
          <t>P060222|I</t>
        </is>
      </c>
      <c r="T50" s="134" t="inlineStr">
        <is>
          <t>registered — legacy series, issued 27.05.2026 · initial certificate to locate: #9 (IJZ), #10 (CNP), #11 (CNP), #12 (CNP)</t>
        </is>
      </c>
    </row>
    <row r="51">
      <c r="A51" s="129">
        <f>IF(C51="yes",COUNT(A$1:A50)+1,"")</f>
        <v/>
      </c>
      <c r="B51" s="130">
        <f>IF(A51&lt;&gt;"","CoQ-PP_26-"&amp;TEXT(A51,"000"),"— at issue —")</f>
        <v/>
      </c>
      <c r="C51" s="140" t="inlineStr">
        <is>
          <t>yes</t>
        </is>
      </c>
      <c r="D51" s="274">
        <f>IF(A51="","",MAX(E51,IF(ISNUMBER(I51),I51,0),IFERROR(IF(ISNUMBER(INDEX('iCoA Register'!$F:$F,MATCH(S51,'iCoA Register'!$P:$P,0))),INDEX('iCoA Register'!$F:$F,MATCH(S51,'iCoA Register'!$P:$P,0)),0),0)))</f>
        <v/>
      </c>
      <c r="E51" s="274">
        <f>IF(ISNUMBER(F51),MAX(DATE(2026,6,6),F51+7),DATE(2026,6,6))</f>
        <v/>
      </c>
      <c r="F51" s="274" t="n">
        <v>46086</v>
      </c>
      <c r="G51" s="129" t="inlineStr">
        <is>
          <t>ППК26030</t>
        </is>
      </c>
      <c r="H51" s="129">
        <f>IFERROR(INDEX('iCoA Register'!$B:$B,MATCH("P060232|I",'iCoA Register'!$P:$P,0)),"—")</f>
        <v/>
      </c>
      <c r="I51" s="274">
        <f>IFERROR(INDEX('iCoA Register'!$D:$D,MATCH("P060232|I",'iCoA Register'!$P:$P,0)),"")</f>
        <v/>
      </c>
      <c r="J51" s="129" t="inlineStr">
        <is>
          <t>legacy</t>
        </is>
      </c>
      <c r="K51" s="129" t="inlineStr">
        <is>
          <t>initial release</t>
        </is>
      </c>
      <c r="L51" s="130" t="inlineStr">
        <is>
          <t>PM112501</t>
        </is>
      </c>
      <c r="M51" s="129" t="inlineStr">
        <is>
          <t>P060232</t>
        </is>
      </c>
      <c r="N51" s="129" t="inlineStr">
        <is>
          <t>Permanent Market</t>
        </is>
      </c>
      <c r="O51" s="129" t="inlineStr">
        <is>
          <t>ППК26030, (05.03.2026) [CNP]</t>
        </is>
      </c>
      <c r="P51" s="141" t="inlineStr">
        <is>
          <t>—</t>
        </is>
      </c>
      <c r="Q51" s="129" t="inlineStr">
        <is>
          <t>—</t>
        </is>
      </c>
      <c r="R51" s="129" t="inlineStr">
        <is>
          <t>CoQ-PP-2026-0016</t>
        </is>
      </c>
      <c r="S51" s="129" t="inlineStr">
        <is>
          <t>P060232|I</t>
        </is>
      </c>
      <c r="T51" s="134" t="inlineStr">
        <is>
          <t>registered — legacy series, issued 27.05.2026 · initial certificate to locate: #9 (IJZ), #10 (CNP), #11 (CNP), #12 (CNP)</t>
        </is>
      </c>
    </row>
    <row r="52">
      <c r="A52" s="129">
        <f>IF(C52="yes",COUNT(A$1:A51)+1,"")</f>
        <v/>
      </c>
      <c r="B52" s="130">
        <f>IF(A52&lt;&gt;"","CoQ-PP_26-"&amp;TEXT(A52,"000"),"— at issue —")</f>
        <v/>
      </c>
      <c r="C52" s="140" t="inlineStr">
        <is>
          <t>yes</t>
        </is>
      </c>
      <c r="D52" s="274">
        <f>IF(A52="","",MAX(E52,IF(ISNUMBER(I52),I52,0),IFERROR(IF(ISNUMBER(INDEX('iCoA Register'!$F:$F,MATCH(S52,'iCoA Register'!$P:$P,0))),INDEX('iCoA Register'!$F:$F,MATCH(S52,'iCoA Register'!$P:$P,0)),0),0)))</f>
        <v/>
      </c>
      <c r="E52" s="274">
        <f>IF(ISNUMBER(F52),MAX(DATE(2026,6,6),F52+7),DATE(2026,6,6))</f>
        <v/>
      </c>
      <c r="F52" s="274" t="n">
        <v>46135</v>
      </c>
      <c r="G52" s="129" t="inlineStr">
        <is>
          <t>1627-2026</t>
        </is>
      </c>
      <c r="H52" s="129">
        <f>IFERROR(INDEX('iCoA Register'!$B:$B,MATCH("P060242|I",'iCoA Register'!$P:$P,0)),"—")</f>
        <v/>
      </c>
      <c r="I52" s="274">
        <f>IFERROR(INDEX('iCoA Register'!$D:$D,MATCH("P060242|I",'iCoA Register'!$P:$P,0)),"")</f>
        <v/>
      </c>
      <c r="J52" s="129" t="inlineStr">
        <is>
          <t>legacy</t>
        </is>
      </c>
      <c r="K52" s="129" t="inlineStr">
        <is>
          <t>initial release</t>
        </is>
      </c>
      <c r="L52" s="130" t="inlineStr">
        <is>
          <t>OPM122501</t>
        </is>
      </c>
      <c r="M52" s="129" t="inlineStr">
        <is>
          <t>P060242</t>
        </is>
      </c>
      <c r="N52" s="129" t="inlineStr">
        <is>
          <t>Orange Punch Mimosa</t>
        </is>
      </c>
      <c r="O52" s="129" t="inlineStr">
        <is>
          <t>100-4-K-26, (09.04.2026) [FHM-K]</t>
        </is>
      </c>
      <c r="P52" s="141" t="inlineStr">
        <is>
          <t>—</t>
        </is>
      </c>
      <c r="Q52" s="129" t="inlineStr">
        <is>
          <t>—</t>
        </is>
      </c>
      <c r="R52" s="129" t="inlineStr">
        <is>
          <t>CoQ-PP-2026-0017</t>
        </is>
      </c>
      <c r="S52" s="129" t="inlineStr">
        <is>
          <t>P060242|I</t>
        </is>
      </c>
      <c r="T52" s="134" t="inlineStr">
        <is>
          <t>registered — legacy series, issued 27.05.2026</t>
        </is>
      </c>
    </row>
    <row r="53">
      <c r="A53" s="129">
        <f>IF(C53="yes",COUNT(A$1:A52)+1,"")</f>
        <v/>
      </c>
      <c r="B53" s="130">
        <f>IF(A53&lt;&gt;"","CoQ-PP_26-"&amp;TEXT(A53,"000"),"— at issue —")</f>
        <v/>
      </c>
      <c r="C53" s="140" t="inlineStr">
        <is>
          <t>yes</t>
        </is>
      </c>
      <c r="D53" s="274">
        <f>IF(A53="","",MAX(E53,IF(ISNUMBER(I53),I53,0),IFERROR(IF(ISNUMBER(INDEX('iCoA Register'!$F:$F,MATCH(S53,'iCoA Register'!$P:$P,0))),INDEX('iCoA Register'!$F:$F,MATCH(S53,'iCoA Register'!$P:$P,0)),0),0)))</f>
        <v/>
      </c>
      <c r="E53" s="274">
        <f>IF(ISNUMBER(F53),MAX(DATE(2026,6,6),F53+7),DATE(2026,6,6))</f>
        <v/>
      </c>
      <c r="F53" s="274" t="n">
        <v>46153</v>
      </c>
      <c r="G53" s="129" t="inlineStr">
        <is>
          <t>ППК26061</t>
        </is>
      </c>
      <c r="H53" s="129">
        <f>IFERROR(INDEX('iCoA Register'!$B:$B,MATCH("P060252|I",'iCoA Register'!$P:$P,0)),"—")</f>
        <v/>
      </c>
      <c r="I53" s="274">
        <f>IFERROR(INDEX('iCoA Register'!$D:$D,MATCH("P060252|I",'iCoA Register'!$P:$P,0)),"")</f>
        <v/>
      </c>
      <c r="J53" s="129" t="inlineStr">
        <is>
          <t>legacy</t>
        </is>
      </c>
      <c r="K53" s="129" t="inlineStr">
        <is>
          <t>initial release</t>
        </is>
      </c>
      <c r="L53" s="130" t="inlineStr">
        <is>
          <t>GG112501</t>
        </is>
      </c>
      <c r="M53" s="129" t="inlineStr">
        <is>
          <t>P060252</t>
        </is>
      </c>
      <c r="N53" s="129" t="inlineStr">
        <is>
          <t>Gorilla Glue</t>
        </is>
      </c>
      <c r="O53" s="129" t="inlineStr">
        <is>
          <t>ППК26061, (11.05.2026) [CNP]</t>
        </is>
      </c>
      <c r="P53" s="141" t="inlineStr">
        <is>
          <t>—</t>
        </is>
      </c>
      <c r="Q53" s="129" t="inlineStr">
        <is>
          <t>—</t>
        </is>
      </c>
      <c r="R53" s="129" t="inlineStr">
        <is>
          <t>(assigned on issue)</t>
        </is>
      </c>
      <c r="S53" s="129" t="inlineStr">
        <is>
          <t>P060252|I</t>
        </is>
      </c>
      <c r="T53" s="134" t="inlineStr">
        <is>
          <t>registered — legacy series, issued 27.05.2026</t>
        </is>
      </c>
    </row>
    <row r="54">
      <c r="A54" s="129">
        <f>IF(C54="yes",COUNT(A$1:A53)+1,"")</f>
        <v/>
      </c>
      <c r="B54" s="130">
        <f>IF(A54&lt;&gt;"","CoQ-PP_26-"&amp;TEXT(A54,"000"),"— at issue —")</f>
        <v/>
      </c>
      <c r="C54" s="140" t="inlineStr">
        <is>
          <t>yes</t>
        </is>
      </c>
      <c r="D54" s="274">
        <f>IF(A54="","",MAX(E54,IF(ISNUMBER(I54),I54,0),IFERROR(IF(ISNUMBER(INDEX('iCoA Register'!$F:$F,MATCH(S54,'iCoA Register'!$P:$P,0))),INDEX('iCoA Register'!$F:$F,MATCH(S54,'iCoA Register'!$P:$P,0)),0),0)))</f>
        <v/>
      </c>
      <c r="E54" s="274">
        <f>IF(ISNUMBER(F54),MAX(DATE(2026,6,6),F54+7),DATE(2026,6,6))</f>
        <v/>
      </c>
      <c r="F54" s="274" t="n">
        <v>46135</v>
      </c>
      <c r="G54" s="129" t="inlineStr">
        <is>
          <t>1625-2026</t>
        </is>
      </c>
      <c r="H54" s="129">
        <f>IFERROR(INDEX('iCoA Register'!$B:$B,MATCH("P060262|I",'iCoA Register'!$P:$P,0)),"—")</f>
        <v/>
      </c>
      <c r="I54" s="274">
        <f>IFERROR(INDEX('iCoA Register'!$D:$D,MATCH("P060262|I",'iCoA Register'!$P:$P,0)),"")</f>
        <v/>
      </c>
      <c r="J54" s="129" t="inlineStr">
        <is>
          <t>post-SOP</t>
        </is>
      </c>
      <c r="K54" s="129" t="inlineStr">
        <is>
          <t>initial release</t>
        </is>
      </c>
      <c r="L54" s="130" t="inlineStr">
        <is>
          <t>J31122501</t>
        </is>
      </c>
      <c r="M54" s="129" t="inlineStr">
        <is>
          <t>P060262</t>
        </is>
      </c>
      <c r="N54" s="129" t="inlineStr">
        <is>
          <t>Jokerz 31</t>
        </is>
      </c>
      <c r="O54" s="129" t="inlineStr">
        <is>
          <t>100-2-K-26, (09.04.2026) [FHM-K]</t>
        </is>
      </c>
      <c r="P54" s="141" t="inlineStr">
        <is>
          <t>—</t>
        </is>
      </c>
      <c r="Q54" s="129" t="inlineStr">
        <is>
          <t>—</t>
        </is>
      </c>
      <c r="R54" s="129" t="inlineStr">
        <is>
          <t>(assigned on issue)</t>
        </is>
      </c>
      <c r="S54" s="129" t="inlineStr">
        <is>
          <t>P060262|I</t>
        </is>
      </c>
      <c r="T54" s="134" t="inlineStr">
        <is>
          <t>registered — rule date 30.04.2026 held to the legacy series day</t>
        </is>
      </c>
    </row>
    <row r="55">
      <c r="A55" s="129">
        <f>IF(C55="yes",COUNT(A$1:A54)+1,"")</f>
        <v/>
      </c>
      <c r="B55" s="130">
        <f>IF(A55&lt;&gt;"","CoQ-PP_26-"&amp;TEXT(A55,"000"),"— at issue —")</f>
        <v/>
      </c>
      <c r="C55" s="140" t="inlineStr">
        <is>
          <t>yes</t>
        </is>
      </c>
      <c r="D55" s="274">
        <f>IF(A55="","",MAX(E55,IF(ISNUMBER(I55),I55,0),IFERROR(IF(ISNUMBER(INDEX('iCoA Register'!$F:$F,MATCH(S55,'iCoA Register'!$P:$P,0))),INDEX('iCoA Register'!$F:$F,MATCH(S55,'iCoA Register'!$P:$P,0)),0),0)))</f>
        <v/>
      </c>
      <c r="E55" s="274">
        <f>IF(ISNUMBER(F55),MAX(DATE(2026,6,6),F55+7),DATE(2026,6,6))</f>
        <v/>
      </c>
      <c r="F55" s="274" t="n">
        <v>46153</v>
      </c>
      <c r="G55" s="129" t="inlineStr">
        <is>
          <t>ППК26068</t>
        </is>
      </c>
      <c r="H55" s="129">
        <f>IFERROR(INDEX('iCoA Register'!$B:$B,MATCH("P060272|I",'iCoA Register'!$P:$P,0)),"—")</f>
        <v/>
      </c>
      <c r="I55" s="274">
        <f>IFERROR(INDEX('iCoA Register'!$D:$D,MATCH("P060272|I",'iCoA Register'!$P:$P,0)),"")</f>
        <v/>
      </c>
      <c r="J55" s="129" t="inlineStr">
        <is>
          <t>post-SOP</t>
        </is>
      </c>
      <c r="K55" s="129" t="inlineStr">
        <is>
          <t>initial release</t>
        </is>
      </c>
      <c r="L55" s="130" t="inlineStr">
        <is>
          <t>CC112501</t>
        </is>
      </c>
      <c r="M55" s="129" t="inlineStr">
        <is>
          <t>P060272</t>
        </is>
      </c>
      <c r="N55" s="129" t="inlineStr">
        <is>
          <t>Cash Cow</t>
        </is>
      </c>
      <c r="O55" s="129" t="inlineStr">
        <is>
          <t>ППК26068, (11.05.2026) [CNP]</t>
        </is>
      </c>
      <c r="P55" s="141" t="inlineStr">
        <is>
          <t>—</t>
        </is>
      </c>
      <c r="Q55" s="129" t="inlineStr">
        <is>
          <t>—</t>
        </is>
      </c>
      <c r="R55" s="129" t="inlineStr">
        <is>
          <t>(assigned on issue)</t>
        </is>
      </c>
      <c r="S55" s="129" t="inlineStr">
        <is>
          <t>P060272|I</t>
        </is>
      </c>
      <c r="T55" s="134" t="inlineStr">
        <is>
          <t>registered — rule date 18.05.2026 held to the legacy series day</t>
        </is>
      </c>
    </row>
    <row r="56">
      <c r="A56" s="129">
        <f>IF(C56="yes",COUNT(A$1:A55)+1,"")</f>
        <v/>
      </c>
      <c r="B56" s="130">
        <f>IF(A56&lt;&gt;"","CoQ-PP_26-"&amp;TEXT(A56,"000"),"— at issue —")</f>
        <v/>
      </c>
      <c r="C56" s="140" t="inlineStr">
        <is>
          <t>yes</t>
        </is>
      </c>
      <c r="D56" s="274">
        <f>IF(A56="","",MAX(E56,IF(ISNUMBER(I56),I56,0),IFERROR(IF(ISNUMBER(INDEX('iCoA Register'!$F:$F,MATCH(S56,'iCoA Register'!$P:$P,0))),INDEX('iCoA Register'!$F:$F,MATCH(S56,'iCoA Register'!$P:$P,0)),0),0)))</f>
        <v/>
      </c>
      <c r="E56" s="274">
        <f>IF(ISNUMBER(F56),MAX(DATE(2026,6,6),F56+7),DATE(2026,6,6))</f>
        <v/>
      </c>
      <c r="F56" s="274" t="n">
        <v>46153</v>
      </c>
      <c r="G56" s="129" t="inlineStr">
        <is>
          <t>ППК26069</t>
        </is>
      </c>
      <c r="H56" s="129">
        <f>IFERROR(INDEX('iCoA Register'!$B:$B,MATCH("P060282|I",'iCoA Register'!$P:$P,0)),"—")</f>
        <v/>
      </c>
      <c r="I56" s="274">
        <f>IFERROR(INDEX('iCoA Register'!$D:$D,MATCH("P060282|I",'iCoA Register'!$P:$P,0)),"")</f>
        <v/>
      </c>
      <c r="J56" s="129" t="inlineStr">
        <is>
          <t>post-SOP</t>
        </is>
      </c>
      <c r="K56" s="129" t="inlineStr">
        <is>
          <t>initial release</t>
        </is>
      </c>
      <c r="L56" s="130" t="inlineStr">
        <is>
          <t>SCR112501</t>
        </is>
      </c>
      <c r="M56" s="129" t="inlineStr">
        <is>
          <t>P060282</t>
        </is>
      </c>
      <c r="N56" s="129" t="inlineStr">
        <is>
          <t>Scrambler</t>
        </is>
      </c>
      <c r="O56" s="129" t="inlineStr">
        <is>
          <t>ППК26069, (11.05.2026) [CNP]</t>
        </is>
      </c>
      <c r="P56" s="141" t="inlineStr">
        <is>
          <t>—</t>
        </is>
      </c>
      <c r="Q56" s="129" t="inlineStr">
        <is>
          <t>—</t>
        </is>
      </c>
      <c r="R56" s="129" t="inlineStr">
        <is>
          <t>CoQ-PP-2026-0018</t>
        </is>
      </c>
      <c r="S56" s="129" t="inlineStr">
        <is>
          <t>P060282|I</t>
        </is>
      </c>
      <c r="T56" s="134" t="inlineStr">
        <is>
          <t>registered — rule date 18.05.2026 held to the legacy series day</t>
        </is>
      </c>
    </row>
    <row r="57">
      <c r="A57" s="129">
        <f>IF(C57="yes",COUNT(A$1:A56)+1,"")</f>
        <v/>
      </c>
      <c r="B57" s="130">
        <f>IF(A57&lt;&gt;"","CoQ-PP_26-"&amp;TEXT(A57,"000"),"— at issue —")</f>
        <v/>
      </c>
      <c r="C57" s="140" t="inlineStr">
        <is>
          <t>yes</t>
        </is>
      </c>
      <c r="D57" s="274">
        <f>IF(A57="","",MAX(E57,IF(ISNUMBER(I57),I57,0),IFERROR(IF(ISNUMBER(INDEX('iCoA Register'!$F:$F,MATCH(S57,'iCoA Register'!$P:$P,0))),INDEX('iCoA Register'!$F:$F,MATCH(S57,'iCoA Register'!$P:$P,0)),0),0)))</f>
        <v/>
      </c>
      <c r="E57" s="274">
        <f>IF(ISNUMBER(F57),MAX(DATE(2026,6,6),F57+7),DATE(2026,6,6))</f>
        <v/>
      </c>
      <c r="F57" s="274" t="n">
        <v>46153</v>
      </c>
      <c r="G57" s="129" t="inlineStr">
        <is>
          <t>ППК26066</t>
        </is>
      </c>
      <c r="H57" s="129">
        <f>IFERROR(INDEX('iCoA Register'!$B:$B,MATCH("P060292|I",'iCoA Register'!$P:$P,0)),"—")</f>
        <v/>
      </c>
      <c r="I57" s="274">
        <f>IFERROR(INDEX('iCoA Register'!$D:$D,MATCH("P060292|I",'iCoA Register'!$P:$P,0)),"")</f>
        <v/>
      </c>
      <c r="J57" s="129" t="inlineStr">
        <is>
          <t>post-SOP</t>
        </is>
      </c>
      <c r="K57" s="129" t="inlineStr">
        <is>
          <t>initial release</t>
        </is>
      </c>
      <c r="L57" s="130" t="inlineStr">
        <is>
          <t>FB112501</t>
        </is>
      </c>
      <c r="M57" s="129" t="inlineStr">
        <is>
          <t>P060292</t>
        </is>
      </c>
      <c r="N57" s="129" t="inlineStr">
        <is>
          <t>Fat Bastard</t>
        </is>
      </c>
      <c r="O57" s="129" t="inlineStr">
        <is>
          <t>ППК26066, (11.05.2026) [CNP]</t>
        </is>
      </c>
      <c r="P57" s="141" t="inlineStr">
        <is>
          <t>—</t>
        </is>
      </c>
      <c r="Q57" s="129" t="inlineStr">
        <is>
          <t>—</t>
        </is>
      </c>
      <c r="R57" s="129" t="inlineStr">
        <is>
          <t>(assigned on issue)</t>
        </is>
      </c>
      <c r="S57" s="129" t="inlineStr">
        <is>
          <t>P060292|I</t>
        </is>
      </c>
      <c r="T57" s="134" t="inlineStr">
        <is>
          <t>registered — rule date 18.05.2026 held to the legacy series day</t>
        </is>
      </c>
    </row>
    <row r="58">
      <c r="A58" s="129">
        <f>IF(C58="yes",COUNT(A$1:A57)+1,"")</f>
        <v/>
      </c>
      <c r="B58" s="130">
        <f>IF(A58&lt;&gt;"","CoQ-PP_26-"&amp;TEXT(A58,"000"),"— at issue —")</f>
        <v/>
      </c>
      <c r="C58" s="140" t="inlineStr">
        <is>
          <t>yes</t>
        </is>
      </c>
      <c r="D58" s="274">
        <f>IF(A58="","",MAX(E58,IF(ISNUMBER(I58),I58,0),IFERROR(IF(ISNUMBER(INDEX('iCoA Register'!$F:$F,MATCH(S58,'iCoA Register'!$P:$P,0))),INDEX('iCoA Register'!$F:$F,MATCH(S58,'iCoA Register'!$P:$P,0)),0),0)))</f>
        <v/>
      </c>
      <c r="E58" s="274">
        <f>IF(ISNUMBER(F58),MAX(DATE(2026,6,6),F58+7),DATE(2026,6,6))</f>
        <v/>
      </c>
      <c r="F58" s="274" t="inlineStr">
        <is>
          <t>—</t>
        </is>
      </c>
      <c r="G58" s="129" t="inlineStr">
        <is>
          <t>—</t>
        </is>
      </c>
      <c r="H58" s="129">
        <f>IFERROR(INDEX('iCoA Register'!$B:$B,MATCH("P060332|I",'iCoA Register'!$P:$P,0)),"—")</f>
        <v/>
      </c>
      <c r="I58" s="274">
        <f>IFERROR(INDEX('iCoA Register'!$D:$D,MATCH("P060332|I",'iCoA Register'!$P:$P,0)),"")</f>
        <v/>
      </c>
      <c r="J58" s="129" t="inlineStr">
        <is>
          <t>post-SOP</t>
        </is>
      </c>
      <c r="K58" s="129" t="inlineStr">
        <is>
          <t>initial release</t>
        </is>
      </c>
      <c r="L58" s="130" t="inlineStr">
        <is>
          <t>CC012601/1</t>
        </is>
      </c>
      <c r="M58" s="129" t="inlineStr">
        <is>
          <t>P060332</t>
        </is>
      </c>
      <c r="N58" s="129" t="inlineStr"/>
      <c r="O58" s="141" t="inlineStr">
        <is>
          <t>— no cannabinoid certificate from the initial testing —</t>
        </is>
      </c>
      <c r="P58" s="141" t="inlineStr">
        <is>
          <t>—</t>
        </is>
      </c>
      <c r="Q58" s="129" t="inlineStr">
        <is>
          <t>—</t>
        </is>
      </c>
      <c r="R58" s="129" t="inlineStr">
        <is>
          <t>— not in the issuance plan —</t>
        </is>
      </c>
      <c r="S58" s="129" t="inlineStr">
        <is>
          <t>P060332|I</t>
        </is>
      </c>
      <c r="T58" s="134" t="inlineStr">
        <is>
          <t>registered — provisional date: no initial certificate on file yet — the date follows the latest eCoA once located · initial certificate to locate: #3 (CNP), #4 (CNP), #5 (CNP), #6 (CNP), #8 (CNP), #9 (IJZ), #10 (CNP), #11 (CNP), #12 (CNP)</t>
        </is>
      </c>
    </row>
    <row r="59">
      <c r="A59" s="129">
        <f>IF(C59="yes",COUNT(A$1:A58)+1,"")</f>
        <v/>
      </c>
      <c r="B59" s="130">
        <f>IF(A59&lt;&gt;"","CoQ-PP_26-"&amp;TEXT(A59,"000"),"— at issue —")</f>
        <v/>
      </c>
      <c r="C59" s="140" t="inlineStr">
        <is>
          <t>yes</t>
        </is>
      </c>
      <c r="D59" s="274">
        <f>IF(A59="","",MAX(E59,IF(ISNUMBER(I59),I59,0),IFERROR(IF(ISNUMBER(INDEX('iCoA Register'!$F:$F,MATCH(S59,'iCoA Register'!$P:$P,0))),INDEX('iCoA Register'!$F:$F,MATCH(S59,'iCoA Register'!$P:$P,0)),0),0)))</f>
        <v/>
      </c>
      <c r="E59" s="274">
        <f>IF(ISNUMBER(F59),MAX(DATE(2026,6,6),F59+7),DATE(2026,6,6))</f>
        <v/>
      </c>
      <c r="F59" s="274" t="n">
        <v>46153</v>
      </c>
      <c r="G59" s="129" t="inlineStr">
        <is>
          <t>ППК26067</t>
        </is>
      </c>
      <c r="H59" s="129">
        <f>IFERROR(INDEX('iCoA Register'!$B:$B,MATCH("P060322|I",'iCoA Register'!$P:$P,0)),"—")</f>
        <v/>
      </c>
      <c r="I59" s="274">
        <f>IFERROR(INDEX('iCoA Register'!$D:$D,MATCH("P060322|I",'iCoA Register'!$P:$P,0)),"")</f>
        <v/>
      </c>
      <c r="J59" s="129" t="inlineStr">
        <is>
          <t>post-SOP</t>
        </is>
      </c>
      <c r="K59" s="129" t="inlineStr">
        <is>
          <t>initial release</t>
        </is>
      </c>
      <c r="L59" s="130" t="inlineStr">
        <is>
          <t>FB012601_1</t>
        </is>
      </c>
      <c r="M59" s="129" t="inlineStr">
        <is>
          <t>P060322</t>
        </is>
      </c>
      <c r="N59" s="129" t="inlineStr">
        <is>
          <t>Fat Bastard</t>
        </is>
      </c>
      <c r="O59" s="129" t="inlineStr">
        <is>
          <t>ППК26067, (11.05.2026) [CNP]</t>
        </is>
      </c>
      <c r="P59" s="141" t="inlineStr">
        <is>
          <t>—</t>
        </is>
      </c>
      <c r="Q59" s="129" t="inlineStr">
        <is>
          <t>—</t>
        </is>
      </c>
      <c r="R59" s="129" t="inlineStr">
        <is>
          <t>CoQ-PP-2026-0019</t>
        </is>
      </c>
      <c r="S59" s="129" t="inlineStr">
        <is>
          <t>P060322|I</t>
        </is>
      </c>
      <c r="T59" s="134" t="inlineStr">
        <is>
          <t>registered — rule date 18.05.2026 held to the legacy series day</t>
        </is>
      </c>
    </row>
    <row r="60">
      <c r="A60" s="129">
        <f>IF(C60="yes",COUNT(A$1:A59)+1,"")</f>
        <v/>
      </c>
      <c r="B60" s="130">
        <f>IF(A60&lt;&gt;"","CoQ-PP_26-"&amp;TEXT(A60,"000"),"— at issue —")</f>
        <v/>
      </c>
      <c r="C60" s="140" t="inlineStr">
        <is>
          <t>yes</t>
        </is>
      </c>
      <c r="D60" s="274">
        <f>IF(A60="","",MAX(E60,IF(ISNUMBER(I60),I60,0),IFERROR(IF(ISNUMBER(INDEX('iCoA Register'!$F:$F,MATCH(S60,'iCoA Register'!$P:$P,0))),INDEX('iCoA Register'!$F:$F,MATCH(S60,'iCoA Register'!$P:$P,0)),0),0)))</f>
        <v/>
      </c>
      <c r="E60" s="274">
        <f>IF(ISNUMBER(F60),MAX(DATE(2026,6,6),F60+7),DATE(2026,6,6))</f>
        <v/>
      </c>
      <c r="F60" s="274" t="inlineStr">
        <is>
          <t>—</t>
        </is>
      </c>
      <c r="G60" s="129" t="inlineStr">
        <is>
          <t>—</t>
        </is>
      </c>
      <c r="H60" s="129">
        <f>IFERROR(INDEX('iCoA Register'!$B:$B,MATCH("P060352|I",'iCoA Register'!$P:$P,0)),"—")</f>
        <v/>
      </c>
      <c r="I60" s="274">
        <f>IFERROR(INDEX('iCoA Register'!$D:$D,MATCH("P060352|I",'iCoA Register'!$P:$P,0)),"")</f>
        <v/>
      </c>
      <c r="J60" s="129" t="inlineStr">
        <is>
          <t>post-SOP</t>
        </is>
      </c>
      <c r="K60" s="129" t="inlineStr">
        <is>
          <t>initial release</t>
        </is>
      </c>
      <c r="L60" s="130" t="inlineStr">
        <is>
          <t>FB012602*</t>
        </is>
      </c>
      <c r="M60" s="129" t="inlineStr">
        <is>
          <t>P060352</t>
        </is>
      </c>
      <c r="N60" s="129" t="inlineStr">
        <is>
          <t>Fat Bastard</t>
        </is>
      </c>
      <c r="O60" s="141" t="inlineStr">
        <is>
          <t>— no cannabinoid certificate from the initial testing —</t>
        </is>
      </c>
      <c r="P60" s="141" t="inlineStr">
        <is>
          <t>—</t>
        </is>
      </c>
      <c r="Q60" s="129" t="inlineStr">
        <is>
          <t>—</t>
        </is>
      </c>
      <c r="R60" s="129" t="inlineStr">
        <is>
          <t>CoQ-PP-2026-0021</t>
        </is>
      </c>
      <c r="S60" s="129" t="inlineStr">
        <is>
          <t>P060352|I</t>
        </is>
      </c>
      <c r="T60" s="134" t="inlineStr">
        <is>
          <t>registered — provisional date: no initial certificate on file yet — the date follows the latest eCoA once located · initial certificate to locate: #3 (CNP), #4 (CNP), #5 (CNP), #6 (CNP), #8 (CNP), #9 (IJZ), #10 (CNP), #11 (CNP), #12 (CNP)</t>
        </is>
      </c>
    </row>
    <row r="61">
      <c r="A61" s="129">
        <f>IF(C61="yes",COUNT(A$1:A60)+1,"")</f>
        <v/>
      </c>
      <c r="B61" s="130">
        <f>IF(A61&lt;&gt;"","CoQ-PP_26-"&amp;TEXT(A61,"000"),"— at issue —")</f>
        <v/>
      </c>
      <c r="C61" s="140" t="inlineStr">
        <is>
          <t>yes</t>
        </is>
      </c>
      <c r="D61" s="274">
        <f>IF(A61="","",MAX(E61,IF(ISNUMBER(I61),I61,0),IFERROR(IF(ISNUMBER(INDEX('iCoA Register'!$F:$F,MATCH(S61,'iCoA Register'!$P:$P,0))),INDEX('iCoA Register'!$F:$F,MATCH(S61,'iCoA Register'!$P:$P,0)),0),0)))</f>
        <v/>
      </c>
      <c r="E61" s="274">
        <f>IF(ISNUMBER(F61),MAX(DATE(2026,6,6),F61+7),DATE(2026,6,6))</f>
        <v/>
      </c>
      <c r="F61" s="274" t="inlineStr">
        <is>
          <t>—</t>
        </is>
      </c>
      <c r="G61" s="129" t="inlineStr">
        <is>
          <t>—</t>
        </is>
      </c>
      <c r="H61" s="129">
        <f>IFERROR(INDEX('iCoA Register'!$B:$B,MATCH("P060382|I",'iCoA Register'!$P:$P,0)),"—")</f>
        <v/>
      </c>
      <c r="I61" s="274">
        <f>IFERROR(INDEX('iCoA Register'!$D:$D,MATCH("P060382|I",'iCoA Register'!$P:$P,0)),"")</f>
        <v/>
      </c>
      <c r="J61" s="129" t="inlineStr">
        <is>
          <t>post-SOP</t>
        </is>
      </c>
      <c r="K61" s="129" t="inlineStr">
        <is>
          <t>initial release</t>
        </is>
      </c>
      <c r="L61" s="130" t="inlineStr">
        <is>
          <t>SCR012603</t>
        </is>
      </c>
      <c r="M61" s="129" t="inlineStr">
        <is>
          <t>P060382</t>
        </is>
      </c>
      <c r="N61" s="129" t="inlineStr">
        <is>
          <t>Scrambler</t>
        </is>
      </c>
      <c r="O61" s="141" t="inlineStr">
        <is>
          <t>— no cannabinoid certificate from the initial testing —</t>
        </is>
      </c>
      <c r="P61" s="141" t="inlineStr">
        <is>
          <t>—</t>
        </is>
      </c>
      <c r="Q61" s="129" t="inlineStr">
        <is>
          <t>—</t>
        </is>
      </c>
      <c r="R61" s="129" t="inlineStr">
        <is>
          <t>CoQ-PP-2026-0026</t>
        </is>
      </c>
      <c r="S61" s="129" t="inlineStr">
        <is>
          <t>P060382|I</t>
        </is>
      </c>
      <c r="T61" s="134" t="inlineStr">
        <is>
          <t>registered — provisional date: no initial certificate on file yet — the date follows the latest eCoA once located · initial certificate to locate: #3 (CNP), #4 (CNP), #5 (CNP), #6 (CNP), #8 (CNP), #9 (IJZ), #10 (CNP), #11 (CNP), #12 (CNP)</t>
        </is>
      </c>
    </row>
    <row r="62">
      <c r="A62" s="129">
        <f>IF(C62="yes",COUNT(A$1:A61)+1,"")</f>
        <v/>
      </c>
      <c r="B62" s="130">
        <f>IF(A62&lt;&gt;"","CoQ-PP_26-"&amp;TEXT(A62,"000"),"— at issue —")</f>
        <v/>
      </c>
      <c r="C62" s="140" t="inlineStr">
        <is>
          <t>yes</t>
        </is>
      </c>
      <c r="D62" s="274">
        <f>IF(A62="","",MAX(E62,IF(ISNUMBER(I62),I62,0),IFERROR(IF(ISNUMBER(INDEX('iCoA Register'!$F:$F,MATCH(S62,'iCoA Register'!$P:$P,0))),INDEX('iCoA Register'!$F:$F,MATCH(S62,'iCoA Register'!$P:$P,0)),0),0)))</f>
        <v/>
      </c>
      <c r="E62" s="274">
        <f>IF(ISNUMBER(F62),MAX(DATE(2026,6,6),F62+7),DATE(2026,6,6))</f>
        <v/>
      </c>
      <c r="F62" s="274" t="n">
        <v>46203</v>
      </c>
      <c r="G62" s="129" t="inlineStr">
        <is>
          <t>ППК26110</t>
        </is>
      </c>
      <c r="H62" s="129">
        <f>IFERROR(INDEX('iCoA Register'!$B:$B,MATCH("P060392|I",'iCoA Register'!$P:$P,0)),"—")</f>
        <v/>
      </c>
      <c r="I62" s="274">
        <f>IFERROR(INDEX('iCoA Register'!$D:$D,MATCH("P060392|I",'iCoA Register'!$P:$P,0)),"")</f>
        <v/>
      </c>
      <c r="J62" s="129" t="inlineStr">
        <is>
          <t>post-SOP</t>
        </is>
      </c>
      <c r="K62" s="129" t="inlineStr">
        <is>
          <t>initial release</t>
        </is>
      </c>
      <c r="L62" s="130" t="inlineStr">
        <is>
          <t>FB012603V</t>
        </is>
      </c>
      <c r="M62" s="129" t="inlineStr">
        <is>
          <t>P060392</t>
        </is>
      </c>
      <c r="N62" s="129" t="inlineStr">
        <is>
          <t>Fat Bastard</t>
        </is>
      </c>
      <c r="O62" s="129" t="inlineStr">
        <is>
          <t>ППК26110, (30.06.2026) [CNP]</t>
        </is>
      </c>
      <c r="P62" s="129" t="inlineStr">
        <is>
          <t>A: ППК26110 / B: ППК26110 / FM: ППК26110</t>
        </is>
      </c>
      <c r="Q62" s="129" t="inlineStr">
        <is>
          <t>—</t>
        </is>
      </c>
      <c r="R62" s="129" t="inlineStr">
        <is>
          <t>(assigned on issue)</t>
        </is>
      </c>
      <c r="S62" s="129" t="inlineStr">
        <is>
          <t>P060392|I</t>
        </is>
      </c>
      <c r="T62" s="134" t="inlineStr">
        <is>
          <t>registered — first working day 7 days after the latest eCoA · initial certificate to locate: #9 (IJZ), #10 (CNP), #11 (CNP), #12 (CNP)</t>
        </is>
      </c>
    </row>
    <row r="63">
      <c r="A63" s="129">
        <f>IF(C63="yes",COUNT(A$1:A62)+1,"")</f>
        <v/>
      </c>
      <c r="B63" s="130">
        <f>IF(A63&lt;&gt;"","CoQ-PP_26-"&amp;TEXT(A63,"000"),"— at issue —")</f>
        <v/>
      </c>
      <c r="C63" s="140" t="inlineStr">
        <is>
          <t>yes</t>
        </is>
      </c>
      <c r="D63" s="274">
        <f>IF(A63="","",MAX(E63,IF(ISNUMBER(I63),I63,0),IFERROR(IF(ISNUMBER(INDEX('iCoA Register'!$F:$F,MATCH(S63,'iCoA Register'!$P:$P,0))),INDEX('iCoA Register'!$F:$F,MATCH(S63,'iCoA Register'!$P:$P,0)),0),0)))</f>
        <v/>
      </c>
      <c r="E63" s="274">
        <f>IF(ISNUMBER(F63),MAX(DATE(2026,6,6),F63+7),DATE(2026,6,6))</f>
        <v/>
      </c>
      <c r="F63" s="274" t="n">
        <v>46203</v>
      </c>
      <c r="G63" s="129" t="inlineStr">
        <is>
          <t>ППК26111</t>
        </is>
      </c>
      <c r="H63" s="129">
        <f>IFERROR(INDEX('iCoA Register'!$B:$B,MATCH("P060362|I",'iCoA Register'!$P:$P,0)),"—")</f>
        <v/>
      </c>
      <c r="I63" s="274">
        <f>IFERROR(INDEX('iCoA Register'!$D:$D,MATCH("P060362|I",'iCoA Register'!$P:$P,0)),"")</f>
        <v/>
      </c>
      <c r="J63" s="129" t="inlineStr">
        <is>
          <t>post-SOP</t>
        </is>
      </c>
      <c r="K63" s="129" t="inlineStr">
        <is>
          <t>initial release</t>
        </is>
      </c>
      <c r="L63" s="130" t="inlineStr">
        <is>
          <t>JD012603</t>
        </is>
      </c>
      <c r="M63" s="129" t="inlineStr">
        <is>
          <t>P060362</t>
        </is>
      </c>
      <c r="N63" s="129" t="inlineStr"/>
      <c r="O63" s="129" t="inlineStr">
        <is>
          <t>ППК26111, (30.06.2026) [CNP]</t>
        </is>
      </c>
      <c r="P63" s="129" t="inlineStr">
        <is>
          <t>A: ППК26111 / B: ППК26111 / FM: ППК26111</t>
        </is>
      </c>
      <c r="Q63" s="129" t="inlineStr">
        <is>
          <t>—</t>
        </is>
      </c>
      <c r="R63" s="129" t="inlineStr">
        <is>
          <t>CoQ-PP-2026-0020</t>
        </is>
      </c>
      <c r="S63" s="129" t="inlineStr">
        <is>
          <t>P060362|I</t>
        </is>
      </c>
      <c r="T63" s="134" t="inlineStr">
        <is>
          <t>registered — first working day 7 days after the latest eCoA · initial certificate to locate: #9 (IJZ), #10 (CNP), #11 (CNP), #12 (CNP)</t>
        </is>
      </c>
    </row>
    <row r="64">
      <c r="A64" s="129">
        <f>IF(C64="yes",COUNT(A$1:A63)+1,"")</f>
        <v/>
      </c>
      <c r="B64" s="130">
        <f>IF(A64&lt;&gt;"","CoQ-PP_26-"&amp;TEXT(A64,"000"),"— at issue —")</f>
        <v/>
      </c>
      <c r="C64" s="140" t="inlineStr">
        <is>
          <t>yes</t>
        </is>
      </c>
      <c r="D64" s="274">
        <f>IF(A64="","",MAX(E64,IF(ISNUMBER(I64),I64,0),IFERROR(IF(ISNUMBER(INDEX('iCoA Register'!$F:$F,MATCH(S64,'iCoA Register'!$P:$P,0))),INDEX('iCoA Register'!$F:$F,MATCH(S64,'iCoA Register'!$P:$P,0)),0),0)))</f>
        <v/>
      </c>
      <c r="E64" s="274">
        <f>IF(ISNUMBER(F64),MAX(DATE(2026,6,6),F64+7),DATE(2026,6,6))</f>
        <v/>
      </c>
      <c r="F64" s="274" t="n">
        <v>46203</v>
      </c>
      <c r="G64" s="129" t="inlineStr">
        <is>
          <t>ППК26111</t>
        </is>
      </c>
      <c r="H64" s="129">
        <f>IFERROR(INDEX('iCoA Register'!$B:$B,MATCH("P060422|I",'iCoA Register'!$P:$P,0)),"—")</f>
        <v/>
      </c>
      <c r="I64" s="274">
        <f>IFERROR(INDEX('iCoA Register'!$D:$D,MATCH("P060422|I",'iCoA Register'!$P:$P,0)),"")</f>
        <v/>
      </c>
      <c r="J64" s="129" t="inlineStr">
        <is>
          <t>post-SOP</t>
        </is>
      </c>
      <c r="K64" s="129" t="inlineStr">
        <is>
          <t>initial release</t>
        </is>
      </c>
      <c r="L64" s="130" t="inlineStr">
        <is>
          <t>JD012603</t>
        </is>
      </c>
      <c r="M64" s="129" t="inlineStr">
        <is>
          <t>P060422</t>
        </is>
      </c>
      <c r="N64" s="129" t="inlineStr"/>
      <c r="O64" s="129" t="inlineStr">
        <is>
          <t>ППК26111, (30.06.2026) [CNP]</t>
        </is>
      </c>
      <c r="P64" s="129" t="inlineStr">
        <is>
          <t>A: ППК26111 / B: ППК26111 / FM: ППК26111</t>
        </is>
      </c>
      <c r="Q64" s="129" t="inlineStr">
        <is>
          <t>—</t>
        </is>
      </c>
      <c r="R64" s="129" t="inlineStr">
        <is>
          <t>CoQ-PP-2026-0022</t>
        </is>
      </c>
      <c r="S64" s="129" t="inlineStr">
        <is>
          <t>P060422|I</t>
        </is>
      </c>
      <c r="T64" s="134" t="inlineStr">
        <is>
          <t>registered — first working day 7 days after the latest eCoA · initial certificate to locate: #9 (IJZ), #10 (CNP), #11 (CNP), #12 (CNP)</t>
        </is>
      </c>
    </row>
    <row r="65">
      <c r="A65" s="129">
        <f>IF(C65="yes",COUNT(A$1:A64)+1,"")</f>
        <v/>
      </c>
      <c r="B65" s="130">
        <f>IF(A65&lt;&gt;"","CoQ-PP_26-"&amp;TEXT(A65,"000"),"— at issue —")</f>
        <v/>
      </c>
      <c r="C65" s="140" t="inlineStr">
        <is>
          <t>yes</t>
        </is>
      </c>
      <c r="D65" s="274">
        <f>IF(A65="","",MAX(E65,IF(ISNUMBER(I65),I65,0),IFERROR(IF(ISNUMBER(INDEX('iCoA Register'!$F:$F,MATCH(S65,'iCoA Register'!$P:$P,0))),INDEX('iCoA Register'!$F:$F,MATCH(S65,'iCoA Register'!$P:$P,0)),0),0)))</f>
        <v/>
      </c>
      <c r="E65" s="274">
        <f>IF(ISNUMBER(F65),MAX(DATE(2026,6,6),F65+7),DATE(2026,6,6))</f>
        <v/>
      </c>
      <c r="F65" s="274" t="n">
        <v>46203</v>
      </c>
      <c r="G65" s="129" t="inlineStr">
        <is>
          <t>ППК26114</t>
        </is>
      </c>
      <c r="H65" s="129">
        <f>IFERROR(INDEX('iCoA Register'!$B:$B,MATCH("P060402|I",'iCoA Register'!$P:$P,0)),"—")</f>
        <v/>
      </c>
      <c r="I65" s="274">
        <f>IFERROR(INDEX('iCoA Register'!$D:$D,MATCH("P060402|I",'iCoA Register'!$P:$P,0)),"")</f>
        <v/>
      </c>
      <c r="J65" s="129" t="inlineStr">
        <is>
          <t>post-SOP</t>
        </is>
      </c>
      <c r="K65" s="129" t="inlineStr">
        <is>
          <t>initial release</t>
        </is>
      </c>
      <c r="L65" s="130" t="inlineStr">
        <is>
          <t>GG012603</t>
        </is>
      </c>
      <c r="M65" s="129" t="inlineStr">
        <is>
          <t>P060402</t>
        </is>
      </c>
      <c r="N65" s="129" t="inlineStr">
        <is>
          <t>GorillaGlue</t>
        </is>
      </c>
      <c r="O65" s="129" t="inlineStr">
        <is>
          <t>ППК26114, (30.06.2026) [CNP]</t>
        </is>
      </c>
      <c r="P65" s="129" t="inlineStr">
        <is>
          <t>A: ППК26114 / B: ППК26114 / FM: ППК26114</t>
        </is>
      </c>
      <c r="Q65" s="129" t="inlineStr">
        <is>
          <t>—</t>
        </is>
      </c>
      <c r="R65" s="129" t="inlineStr">
        <is>
          <t>CoQ-PP-2026-0023</t>
        </is>
      </c>
      <c r="S65" s="129" t="inlineStr">
        <is>
          <t>P060402|I</t>
        </is>
      </c>
      <c r="T65" s="134" t="inlineStr">
        <is>
          <t>registered — first working day 7 days after the latest eCoA · initial certificate to locate: #9 (IJZ), #10 (CNP), #11 (CNP), #12 (CNP)</t>
        </is>
      </c>
    </row>
    <row r="66">
      <c r="A66" s="129">
        <f>IF(C66="yes",COUNT(A$1:A65)+1,"")</f>
        <v/>
      </c>
      <c r="B66" s="130">
        <f>IF(A66&lt;&gt;"","CoQ-PP_26-"&amp;TEXT(A66,"000"),"— at issue —")</f>
        <v/>
      </c>
      <c r="C66" s="140" t="inlineStr">
        <is>
          <t>yes</t>
        </is>
      </c>
      <c r="D66" s="274">
        <f>IF(A66="","",MAX(E66,IF(ISNUMBER(I66),I66,0),IFERROR(IF(ISNUMBER(INDEX('iCoA Register'!$F:$F,MATCH(S66,'iCoA Register'!$P:$P,0))),INDEX('iCoA Register'!$F:$F,MATCH(S66,'iCoA Register'!$P:$P,0)),0),0)))</f>
        <v/>
      </c>
      <c r="E66" s="274">
        <f>IF(ISNUMBER(F66),MAX(DATE(2026,6,6),F66+7),DATE(2026,6,6))</f>
        <v/>
      </c>
      <c r="F66" s="274" t="n">
        <v>46203</v>
      </c>
      <c r="G66" s="129" t="inlineStr">
        <is>
          <t>ППК26111</t>
        </is>
      </c>
      <c r="H66" s="129">
        <f>IFERROR(INDEX('iCoA Register'!$B:$B,MATCH("P060412|I",'iCoA Register'!$P:$P,0)),"—")</f>
        <v/>
      </c>
      <c r="I66" s="274">
        <f>IFERROR(INDEX('iCoA Register'!$D:$D,MATCH("P060412|I",'iCoA Register'!$P:$P,0)),"")</f>
        <v/>
      </c>
      <c r="J66" s="129" t="inlineStr">
        <is>
          <t>post-SOP</t>
        </is>
      </c>
      <c r="K66" s="129" t="inlineStr">
        <is>
          <t>initial release</t>
        </is>
      </c>
      <c r="L66" s="130" t="inlineStr">
        <is>
          <t>JD012603</t>
        </is>
      </c>
      <c r="M66" s="129" t="inlineStr">
        <is>
          <t>P060412</t>
        </is>
      </c>
      <c r="N66" s="129" t="inlineStr"/>
      <c r="O66" s="129" t="inlineStr">
        <is>
          <t>ППК26111, (30.06.2026) [CNP]</t>
        </is>
      </c>
      <c r="P66" s="129" t="inlineStr">
        <is>
          <t>A: ППК26111 / B: ППК26111 / FM: ППК26111</t>
        </is>
      </c>
      <c r="Q66" s="129" t="inlineStr">
        <is>
          <t>—</t>
        </is>
      </c>
      <c r="R66" s="129" t="inlineStr">
        <is>
          <t>CoQ-PP-2026-0025</t>
        </is>
      </c>
      <c r="S66" s="129" t="inlineStr">
        <is>
          <t>P060412|I</t>
        </is>
      </c>
      <c r="T66" s="134" t="inlineStr">
        <is>
          <t>registered — first working day 7 days after the latest eCoA · initial certificate to locate: #9 (IJZ), #10 (CNP), #11 (CNP), #12 (CNP)</t>
        </is>
      </c>
    </row>
    <row r="67">
      <c r="A67" s="129">
        <f>IF(C67="yes",COUNT(A$1:A66)+1,"")</f>
        <v/>
      </c>
      <c r="B67" s="130">
        <f>IF(A67&lt;&gt;"","CoQ-PP_26-"&amp;TEXT(A67,"000"),"— at issue —")</f>
        <v/>
      </c>
      <c r="C67" s="140" t="inlineStr">
        <is>
          <t>yes</t>
        </is>
      </c>
      <c r="D67" s="274">
        <f>IF(A67="","",MAX(E67,IF(ISNUMBER(I67),I67,0),IFERROR(IF(ISNUMBER(INDEX('iCoA Register'!$F:$F,MATCH(S67,'iCoA Register'!$P:$P,0))),INDEX('iCoA Register'!$F:$F,MATCH(S67,'iCoA Register'!$P:$P,0)),0),0)))</f>
        <v/>
      </c>
      <c r="E67" s="274">
        <f>IF(ISNUMBER(F67),MAX(DATE(2026,6,6),F67+7),DATE(2026,6,6))</f>
        <v/>
      </c>
      <c r="F67" s="274" t="n">
        <v>46203</v>
      </c>
      <c r="G67" s="129" t="inlineStr">
        <is>
          <t>ППК26112</t>
        </is>
      </c>
      <c r="H67" s="129">
        <f>IFERROR(INDEX('iCoA Register'!$B:$B,MATCH("P060432|I",'iCoA Register'!$P:$P,0)),"—")</f>
        <v/>
      </c>
      <c r="I67" s="274">
        <f>IFERROR(INDEX('iCoA Register'!$D:$D,MATCH("P060432|I",'iCoA Register'!$P:$P,0)),"")</f>
        <v/>
      </c>
      <c r="J67" s="129" t="inlineStr">
        <is>
          <t>post-SOP</t>
        </is>
      </c>
      <c r="K67" s="129" t="inlineStr">
        <is>
          <t>initial release</t>
        </is>
      </c>
      <c r="L67" s="130" t="inlineStr">
        <is>
          <t>FB012603</t>
        </is>
      </c>
      <c r="M67" s="129" t="inlineStr">
        <is>
          <t>P060432</t>
        </is>
      </c>
      <c r="N67" s="129" t="inlineStr">
        <is>
          <t>Fat Bastard</t>
        </is>
      </c>
      <c r="O67" s="129" t="inlineStr">
        <is>
          <t>ППК26112, (30.06.2026) [CNP]</t>
        </is>
      </c>
      <c r="P67" s="129" t="inlineStr">
        <is>
          <t>A: ППК26112 / B: ППК26112 / FM: ППК26112</t>
        </is>
      </c>
      <c r="Q67" s="129" t="inlineStr">
        <is>
          <t>—</t>
        </is>
      </c>
      <c r="R67" s="129" t="inlineStr">
        <is>
          <t>(assigned on issue)</t>
        </is>
      </c>
      <c r="S67" s="129" t="inlineStr">
        <is>
          <t>P060432|I</t>
        </is>
      </c>
      <c r="T67" s="134" t="inlineStr">
        <is>
          <t>registered — first working day 7 days after the latest eCoA · initial certificate to locate: #9 (IJZ), #10 (CNP), #11 (CNP), #12 (CNP)</t>
        </is>
      </c>
    </row>
    <row r="68">
      <c r="A68" s="129">
        <f>IF(C68="yes",COUNT(A$1:A67)+1,"")</f>
        <v/>
      </c>
      <c r="B68" s="130">
        <f>IF(A68&lt;&gt;"","CoQ-PP_26-"&amp;TEXT(A68,"000"),"— at issue —")</f>
        <v/>
      </c>
      <c r="C68" s="140" t="inlineStr">
        <is>
          <t>yes</t>
        </is>
      </c>
      <c r="D68" s="274">
        <f>IF(A68="","",MAX(E68,IF(ISNUMBER(I68),I68,0),IFERROR(IF(ISNUMBER(INDEX('iCoA Register'!$F:$F,MATCH(S68,'iCoA Register'!$P:$P,0))),INDEX('iCoA Register'!$F:$F,MATCH(S68,'iCoA Register'!$P:$P,0)),0),0)))</f>
        <v/>
      </c>
      <c r="E68" s="274">
        <f>IF(ISNUMBER(F68),MAX(DATE(2026,6,6),F68+7),DATE(2026,6,6))</f>
        <v/>
      </c>
      <c r="F68" s="274" t="n">
        <v>46209</v>
      </c>
      <c r="G68" s="129" t="inlineStr">
        <is>
          <t>ППК26116</t>
        </is>
      </c>
      <c r="H68" s="129">
        <f>IFERROR(INDEX('iCoA Register'!$B:$B,MATCH("P060442|I",'iCoA Register'!$P:$P,0)),"—")</f>
        <v/>
      </c>
      <c r="I68" s="274">
        <f>IFERROR(INDEX('iCoA Register'!$D:$D,MATCH("P060442|I",'iCoA Register'!$P:$P,0)),"")</f>
        <v/>
      </c>
      <c r="J68" s="129" t="inlineStr">
        <is>
          <t>post-SOP</t>
        </is>
      </c>
      <c r="K68" s="129" t="inlineStr">
        <is>
          <t>initial release</t>
        </is>
      </c>
      <c r="L68" s="130" t="inlineStr">
        <is>
          <t>SCR022601</t>
        </is>
      </c>
      <c r="M68" s="129" t="inlineStr">
        <is>
          <t>P060442</t>
        </is>
      </c>
      <c r="N68" s="129" t="inlineStr">
        <is>
          <t>Scrambler</t>
        </is>
      </c>
      <c r="O68" s="129" t="inlineStr">
        <is>
          <t>ППК26116, (06.07.2026) [CNP]</t>
        </is>
      </c>
      <c r="P68" s="129" t="inlineStr">
        <is>
          <t>A: ППК26116 / B: ППК26116 / FM: ППК26116</t>
        </is>
      </c>
      <c r="Q68" s="129" t="inlineStr">
        <is>
          <t>—</t>
        </is>
      </c>
      <c r="R68" s="129" t="inlineStr">
        <is>
          <t>(assigned on issue)</t>
        </is>
      </c>
      <c r="S68" s="129" t="inlineStr">
        <is>
          <t>P060442|I</t>
        </is>
      </c>
      <c r="T68" s="134" t="inlineStr">
        <is>
          <t>registered — first working day 7 days after the latest eCoA · initial certificate to locate: #9 (IJZ), #10 (CNP), #11 (CNP), #12 (CNP)</t>
        </is>
      </c>
    </row>
    <row r="69">
      <c r="A69" s="129">
        <f>IF(C69="yes",COUNT(A$1:A68)+1,"")</f>
        <v/>
      </c>
      <c r="B69" s="130">
        <f>IF(A69&lt;&gt;"","CoQ-PP_26-"&amp;TEXT(A69,"000"),"— at issue —")</f>
        <v/>
      </c>
      <c r="C69" s="140" t="inlineStr">
        <is>
          <t>yes</t>
        </is>
      </c>
      <c r="D69" s="274">
        <f>IF(A69="","",MAX(E69,IF(ISNUMBER(I69),I69,0),IFERROR(IF(ISNUMBER(INDEX('iCoA Register'!$F:$F,MATCH(S69,'iCoA Register'!$P:$P,0))),INDEX('iCoA Register'!$F:$F,MATCH(S69,'iCoA Register'!$P:$P,0)),0),0)))</f>
        <v/>
      </c>
      <c r="E69" s="274">
        <f>IF(ISNUMBER(F69),MAX(DATE(2026,6,6),F69+7),DATE(2026,6,6))</f>
        <v/>
      </c>
      <c r="F69" s="274" t="n">
        <v>46224</v>
      </c>
      <c r="G69" s="129" t="inlineStr">
        <is>
          <t>ППК26127</t>
        </is>
      </c>
      <c r="H69" s="129">
        <f>IFERROR(INDEX('iCoA Register'!$B:$B,MATCH("P060452|I",'iCoA Register'!$P:$P,0)),"—")</f>
        <v/>
      </c>
      <c r="I69" s="274">
        <f>IFERROR(INDEX('iCoA Register'!$D:$D,MATCH("P060452|I",'iCoA Register'!$P:$P,0)),"")</f>
        <v/>
      </c>
      <c r="J69" s="129" t="inlineStr">
        <is>
          <t>post-SOP</t>
        </is>
      </c>
      <c r="K69" s="129" t="inlineStr">
        <is>
          <t>initial release</t>
        </is>
      </c>
      <c r="L69" s="130" t="inlineStr">
        <is>
          <t>FB032601</t>
        </is>
      </c>
      <c r="M69" s="129" t="inlineStr">
        <is>
          <t>P060452</t>
        </is>
      </c>
      <c r="N69" s="129" t="inlineStr">
        <is>
          <t>FatBastard</t>
        </is>
      </c>
      <c r="O69" s="129" t="inlineStr">
        <is>
          <t>ППК26127, (21.07.2026) [CNP]</t>
        </is>
      </c>
      <c r="P69" s="129" t="inlineStr">
        <is>
          <t>A: ППК26127 / B: ППК26127 / FM: ППК26127</t>
        </is>
      </c>
      <c r="Q69" s="129" t="inlineStr">
        <is>
          <t>—</t>
        </is>
      </c>
      <c r="R69" s="129" t="inlineStr">
        <is>
          <t>(assigned on issue)</t>
        </is>
      </c>
      <c r="S69" s="129" t="inlineStr">
        <is>
          <t>P060452|I</t>
        </is>
      </c>
      <c r="T69" s="134" t="inlineStr">
        <is>
          <t>registered — first working day 7 days after the latest eCoA · initial certificate to locate: #9 (IJZ), #10 (CNP), #11 (CNP), #12 (CNP)</t>
        </is>
      </c>
    </row>
    <row r="70">
      <c r="A70" s="129">
        <f>IF(C70="yes",COUNT(A$1:A69)+1,"")</f>
        <v/>
      </c>
      <c r="B70" s="130">
        <f>IF(A70&lt;&gt;"","CoQ-PP_26-"&amp;TEXT(A70,"000"),"— at issue —")</f>
        <v/>
      </c>
      <c r="C70" s="140" t="inlineStr">
        <is>
          <t>yes</t>
        </is>
      </c>
      <c r="D70" s="274">
        <f>IF(A70="","",MAX(E70,IF(ISNUMBER(I70),I70,0),IFERROR(IF(ISNUMBER(INDEX('iCoA Register'!$F:$F,MATCH(S70,'iCoA Register'!$P:$P,0))),INDEX('iCoA Register'!$F:$F,MATCH(S70,'iCoA Register'!$P:$P,0)),0),0)))</f>
        <v/>
      </c>
      <c r="E70" s="274">
        <f>IF(ISNUMBER(F70),MAX(DATE(2026,6,6),F70+7),DATE(2026,6,6))</f>
        <v/>
      </c>
      <c r="F70" s="274" t="n">
        <v>46224</v>
      </c>
      <c r="G70" s="129" t="inlineStr">
        <is>
          <t>ППК26128</t>
        </is>
      </c>
      <c r="H70" s="129">
        <f>IFERROR(INDEX('iCoA Register'!$B:$B,MATCH("P060462|I",'iCoA Register'!$P:$P,0)),"—")</f>
        <v/>
      </c>
      <c r="I70" s="274">
        <f>IFERROR(INDEX('iCoA Register'!$D:$D,MATCH("P060462|I",'iCoA Register'!$P:$P,0)),"")</f>
        <v/>
      </c>
      <c r="J70" s="129" t="inlineStr">
        <is>
          <t>post-SOP</t>
        </is>
      </c>
      <c r="K70" s="129" t="inlineStr">
        <is>
          <t>initial release</t>
        </is>
      </c>
      <c r="L70" s="130" t="inlineStr">
        <is>
          <t>GG032601</t>
        </is>
      </c>
      <c r="M70" s="129" t="inlineStr">
        <is>
          <t>P060462</t>
        </is>
      </c>
      <c r="N70" s="129" t="inlineStr">
        <is>
          <t>GorillaGlue</t>
        </is>
      </c>
      <c r="O70" s="129" t="inlineStr">
        <is>
          <t>ППК26128, (21.07.2026) [CNP]</t>
        </is>
      </c>
      <c r="P70" s="129" t="inlineStr">
        <is>
          <t>A: ППК26128 / B: ППК26128 / FM: ППК26128</t>
        </is>
      </c>
      <c r="Q70" s="129" t="inlineStr">
        <is>
          <t>—</t>
        </is>
      </c>
      <c r="R70" s="129" t="inlineStr">
        <is>
          <t>(assigned on issue)</t>
        </is>
      </c>
      <c r="S70" s="129" t="inlineStr">
        <is>
          <t>P060462|I</t>
        </is>
      </c>
      <c r="T70" s="134" t="inlineStr">
        <is>
          <t>registered — first working day 7 days after the latest eCoA · initial certificate to locate: #9 (IJZ), #10 (CNP), #11 (CNP), #12 (CNP)</t>
        </is>
      </c>
    </row>
    <row r="71">
      <c r="A71" s="129">
        <f>IF(C71="yes",COUNT(A$1:A70)+1,"")</f>
        <v/>
      </c>
      <c r="B71" s="130">
        <f>IF(A71&lt;&gt;"","CoQ-PP_26-"&amp;TEXT(A71,"000"),"— at issue —")</f>
        <v/>
      </c>
      <c r="C71" s="140" t="inlineStr">
        <is>
          <t>yes</t>
        </is>
      </c>
      <c r="D71" s="274">
        <f>IF(A71="","",MAX(E71,IF(ISNUMBER(I71),I71,0),IFERROR(IF(ISNUMBER(INDEX('iCoA Register'!$F:$F,MATCH(S71,'iCoA Register'!$P:$P,0))),INDEX('iCoA Register'!$F:$F,MATCH(S71,'iCoA Register'!$P:$P,0)),0),0)))</f>
        <v/>
      </c>
      <c r="E71" s="274">
        <f>IF(ISNUMBER(F71),MAX(DATE(2026,6,6),F71+7),DATE(2026,6,6))</f>
        <v/>
      </c>
      <c r="F71" s="274" t="n">
        <v>46203</v>
      </c>
      <c r="G71" s="129" t="inlineStr">
        <is>
          <t>ППК26115</t>
        </is>
      </c>
      <c r="H71" s="129">
        <f>IFERROR(INDEX('iCoA Register'!$B:$B,MATCH("P060482|I",'iCoA Register'!$P:$P,0)),"—")</f>
        <v/>
      </c>
      <c r="I71" s="274">
        <f>IFERROR(INDEX('iCoA Register'!$D:$D,MATCH("P060482|I",'iCoA Register'!$P:$P,0)),"")</f>
        <v/>
      </c>
      <c r="J71" s="129" t="inlineStr">
        <is>
          <t>post-SOP</t>
        </is>
      </c>
      <c r="K71" s="129" t="inlineStr">
        <is>
          <t>initial release</t>
        </is>
      </c>
      <c r="L71" s="130" t="inlineStr">
        <is>
          <t>JD022601</t>
        </is>
      </c>
      <c r="M71" s="129" t="inlineStr">
        <is>
          <t>P060482</t>
        </is>
      </c>
      <c r="N71" s="129" t="inlineStr">
        <is>
          <t>JellyDonutz</t>
        </is>
      </c>
      <c r="O71" s="129" t="inlineStr">
        <is>
          <t>ППК26115, (30.06.2026) [CNP]</t>
        </is>
      </c>
      <c r="P71" s="129" t="inlineStr">
        <is>
          <t>A: ППК26115 / B: ППК26115 / FM: ППК26115</t>
        </is>
      </c>
      <c r="Q71" s="129" t="inlineStr">
        <is>
          <t>—</t>
        </is>
      </c>
      <c r="R71" s="129" t="inlineStr">
        <is>
          <t>(assigned on issue)</t>
        </is>
      </c>
      <c r="S71" s="129" t="inlineStr">
        <is>
          <t>P060482|I</t>
        </is>
      </c>
      <c r="T71" s="134" t="inlineStr">
        <is>
          <t>registered — held to the packaging date · initial certificate to locate: #9 (IJZ), #10 (CNP), #11 (CNP), #12 (CNP)</t>
        </is>
      </c>
    </row>
    <row r="72">
      <c r="A72" s="129">
        <f>IF(C72="yes",COUNT(A$1:A71)+1,"")</f>
        <v/>
      </c>
      <c r="B72" s="130">
        <f>IF(A72&lt;&gt;"","CoQ-PP_26-"&amp;TEXT(A72,"000"),"— at issue —")</f>
        <v/>
      </c>
      <c r="C72" s="141" t="inlineStr">
        <is>
          <t>no</t>
        </is>
      </c>
      <c r="D72" s="274">
        <f>IF(A72="","",MAX(E72,IF(ISNUMBER(I72),I72,0),IFERROR(IF(ISNUMBER(INDEX('iCoA Register'!$F:$F,MATCH(S72,'iCoA Register'!$P:$P,0))),INDEX('iCoA Register'!$F:$F,MATCH(S72,'iCoA Register'!$P:$P,0)),0),0)))</f>
        <v/>
      </c>
      <c r="E72" s="274">
        <f>IF(ISNUMBER(F72),MAX(DATE(2026,6,6),F72+7),DATE(2026,6,6))</f>
        <v/>
      </c>
      <c r="F72" s="274" t="inlineStr">
        <is>
          <t>—</t>
        </is>
      </c>
      <c r="G72" s="129" t="inlineStr">
        <is>
          <t>—</t>
        </is>
      </c>
      <c r="H72" s="129">
        <f>IFERROR(INDEX('iCoA Register'!$B:$B,MATCH("GG1024|I",'iCoA Register'!$P:$P,0)),"—")</f>
        <v/>
      </c>
      <c r="I72" s="274">
        <f>IFERROR(INDEX('iCoA Register'!$D:$D,MATCH("GG1024|I",'iCoA Register'!$P:$P,0)),"")</f>
        <v/>
      </c>
      <c r="J72" s="129" t="inlineStr">
        <is>
          <t>legacy</t>
        </is>
      </c>
      <c r="K72" s="129" t="inlineStr">
        <is>
          <t>initial release</t>
        </is>
      </c>
      <c r="L72" s="130" t="inlineStr">
        <is>
          <t>GG1024</t>
        </is>
      </c>
      <c r="M72" s="129" t="inlineStr">
        <is>
          <t>N/A — no P batch assigned</t>
        </is>
      </c>
      <c r="N72" s="129" t="inlineStr">
        <is>
          <t>Gorilla Glue</t>
        </is>
      </c>
      <c r="O72" s="141" t="inlineStr">
        <is>
          <t>— no cannabinoid certificate from the initial testing —</t>
        </is>
      </c>
      <c r="P72" s="141" t="inlineStr">
        <is>
          <t>—</t>
        </is>
      </c>
      <c r="Q72" s="129" t="inlineStr">
        <is>
          <t>—</t>
        </is>
      </c>
      <c r="R72" s="129" t="inlineStr">
        <is>
          <t>CoQ-PP-2025-0003</t>
        </is>
      </c>
      <c r="S72" s="129" t="inlineStr">
        <is>
          <t>GG1024|I</t>
        </is>
      </c>
      <c r="T72" s="135" t="inlineStr">
        <is>
          <t>not yet issuable — its iCoA is not yet issuable</t>
        </is>
      </c>
    </row>
    <row r="73">
      <c r="A73" s="129">
        <f>IF(C73="yes",COUNT(A$1:A72)+1,"")</f>
        <v/>
      </c>
      <c r="B73" s="130">
        <f>IF(A73&lt;&gt;"","CoQ-PP_26-"&amp;TEXT(A73,"000"),"— at issue —")</f>
        <v/>
      </c>
      <c r="C73" s="141" t="inlineStr">
        <is>
          <t>no</t>
        </is>
      </c>
      <c r="D73" s="274">
        <f>IF(A73="","",MAX(E73,IF(ISNUMBER(I73),I73,0),IFERROR(IF(ISNUMBER(INDEX('iCoA Register'!$F:$F,MATCH(S73,'iCoA Register'!$P:$P,0))),INDEX('iCoA Register'!$F:$F,MATCH(S73,'iCoA Register'!$P:$P,0)),0),0)))</f>
        <v/>
      </c>
      <c r="E73" s="274">
        <f>IF(ISNUMBER(F73),MAX(DATE(2026,6,6),F73+7),DATE(2026,6,6))</f>
        <v/>
      </c>
      <c r="F73" s="274" t="n">
        <v>45784</v>
      </c>
      <c r="G73" s="129" t="inlineStr">
        <is>
          <t>2156-2025</t>
        </is>
      </c>
      <c r="H73" s="129">
        <f>IFERROR(INDEX('iCoA Register'!$B:$B,MATCH("P050042|I",'iCoA Register'!$P:$P,0)),"—")</f>
        <v/>
      </c>
      <c r="I73" s="274">
        <f>IFERROR(INDEX('iCoA Register'!$D:$D,MATCH("P050042|I",'iCoA Register'!$P:$P,0)),"")</f>
        <v/>
      </c>
      <c r="J73" s="129" t="inlineStr">
        <is>
          <t>legacy</t>
        </is>
      </c>
      <c r="K73" s="129" t="inlineStr">
        <is>
          <t>initial release</t>
        </is>
      </c>
      <c r="L73" s="130" t="inlineStr">
        <is>
          <t>OMP1024_01</t>
        </is>
      </c>
      <c r="M73" s="129" t="inlineStr">
        <is>
          <t>P050042</t>
        </is>
      </c>
      <c r="N73" s="129" t="inlineStr">
        <is>
          <t>Orange Punch Mimosa</t>
        </is>
      </c>
      <c r="O73" s="129" t="inlineStr">
        <is>
          <t>ППК25117, (06.05.2025) [CNP]</t>
        </is>
      </c>
      <c r="P73" s="141" t="inlineStr">
        <is>
          <t>—</t>
        </is>
      </c>
      <c r="Q73" s="129" t="inlineStr">
        <is>
          <t>—</t>
        </is>
      </c>
      <c r="R73" s="129" t="inlineStr">
        <is>
          <t>CoQ-PP-2025-0007</t>
        </is>
      </c>
      <c r="S73" s="129" t="inlineStr">
        <is>
          <t>P050042|I</t>
        </is>
      </c>
      <c r="T73" s="135" t="inlineStr">
        <is>
          <t>not yet issuable — its iCoA is not yet issuable</t>
        </is>
      </c>
    </row>
    <row r="74">
      <c r="A74" s="129">
        <f>IF(C74="yes",COUNT(A$1:A73)+1,"")</f>
        <v/>
      </c>
      <c r="B74" s="130">
        <f>IF(A74&lt;&gt;"","CoQ-PP_26-"&amp;TEXT(A74,"000"),"— at issue —")</f>
        <v/>
      </c>
      <c r="C74" s="141" t="inlineStr">
        <is>
          <t>no</t>
        </is>
      </c>
      <c r="D74" s="274">
        <f>IF(A74="","",MAX(E74,IF(ISNUMBER(I74),I74,0),IFERROR(IF(ISNUMBER(INDEX('iCoA Register'!$F:$F,MATCH(S74,'iCoA Register'!$P:$P,0))),INDEX('iCoA Register'!$F:$F,MATCH(S74,'iCoA Register'!$P:$P,0)),0),0)))</f>
        <v/>
      </c>
      <c r="E74" s="274">
        <f>IF(ISNUMBER(F74),MAX(DATE(2026,6,6),F74+7),DATE(2026,6,6))</f>
        <v/>
      </c>
      <c r="F74" s="274" t="n">
        <v>45848</v>
      </c>
      <c r="G74" s="129" t="inlineStr">
        <is>
          <t>ППК25176</t>
        </is>
      </c>
      <c r="H74" s="129">
        <f>IFERROR(INDEX('iCoA Register'!$B:$B,MATCH("P050122|I",'iCoA Register'!$P:$P,0)),"—")</f>
        <v/>
      </c>
      <c r="I74" s="274">
        <f>IFERROR(INDEX('iCoA Register'!$D:$D,MATCH("P050122|I",'iCoA Register'!$P:$P,0)),"")</f>
        <v/>
      </c>
      <c r="J74" s="129" t="inlineStr">
        <is>
          <t>legacy</t>
        </is>
      </c>
      <c r="K74" s="129" t="inlineStr">
        <is>
          <t>initial release</t>
        </is>
      </c>
      <c r="L74" s="130" t="inlineStr">
        <is>
          <t>BSS1024_01/1</t>
        </is>
      </c>
      <c r="M74" s="129" t="inlineStr">
        <is>
          <t>P050122</t>
        </is>
      </c>
      <c r="N74" s="129" t="inlineStr">
        <is>
          <t>Blue Sunset Sherbet</t>
        </is>
      </c>
      <c r="O74" s="129" t="inlineStr">
        <is>
          <t>ППК25176, (10.07.2025) [CNP]</t>
        </is>
      </c>
      <c r="P74" s="141" t="inlineStr">
        <is>
          <t>—</t>
        </is>
      </c>
      <c r="Q74" s="129" t="inlineStr">
        <is>
          <t>—</t>
        </is>
      </c>
      <c r="R74" s="129" t="inlineStr">
        <is>
          <t>— not in the issuance plan —</t>
        </is>
      </c>
      <c r="S74" s="129" t="inlineStr">
        <is>
          <t>P050122|I</t>
        </is>
      </c>
      <c r="T74" s="135" t="inlineStr">
        <is>
          <t>not yet issuable — its iCoA is not yet issuable</t>
        </is>
      </c>
    </row>
    <row r="75">
      <c r="A75" s="129">
        <f>IF(C75="yes",COUNT(A$1:A74)+1,"")</f>
        <v/>
      </c>
      <c r="B75" s="130">
        <f>IF(A75&lt;&gt;"","CoQ-PP_26-"&amp;TEXT(A75,"000"),"— at issue —")</f>
        <v/>
      </c>
      <c r="C75" s="141" t="inlineStr">
        <is>
          <t>no</t>
        </is>
      </c>
      <c r="D75" s="274">
        <f>IF(A75="","",MAX(E75,IF(ISNUMBER(I75),I75,0),IFERROR(IF(ISNUMBER(INDEX('iCoA Register'!$F:$F,MATCH(S75,'iCoA Register'!$P:$P,0))),INDEX('iCoA Register'!$F:$F,MATCH(S75,'iCoA Register'!$P:$P,0)),0),0)))</f>
        <v/>
      </c>
      <c r="E75" s="274">
        <f>IF(ISNUMBER(F75),MAX(DATE(2026,6,6),F75+7),DATE(2026,6,6))</f>
        <v/>
      </c>
      <c r="F75" s="274" t="inlineStr">
        <is>
          <t>—</t>
        </is>
      </c>
      <c r="G75" s="129" t="inlineStr">
        <is>
          <t>—</t>
        </is>
      </c>
      <c r="H75" s="129">
        <f>IFERROR(INDEX('iCoA Register'!$B:$B,MATCH("P050142|I",'iCoA Register'!$P:$P,0)),"—")</f>
        <v/>
      </c>
      <c r="I75" s="274">
        <f>IFERROR(INDEX('iCoA Register'!$D:$D,MATCH("P050142|I",'iCoA Register'!$P:$P,0)),"")</f>
        <v/>
      </c>
      <c r="J75" s="129" t="inlineStr">
        <is>
          <t>legacy</t>
        </is>
      </c>
      <c r="K75" s="129" t="inlineStr">
        <is>
          <t>initial release</t>
        </is>
      </c>
      <c r="L75" s="130" t="inlineStr">
        <is>
          <t>BSS1024_01/2</t>
        </is>
      </c>
      <c r="M75" s="129" t="inlineStr">
        <is>
          <t>P050142</t>
        </is>
      </c>
      <c r="N75" s="129" t="inlineStr">
        <is>
          <t>Blue Sunset Sherbet</t>
        </is>
      </c>
      <c r="O75" s="141" t="inlineStr">
        <is>
          <t>— no cannabinoid certificate from the initial testing —</t>
        </is>
      </c>
      <c r="P75" s="141" t="inlineStr">
        <is>
          <t>—</t>
        </is>
      </c>
      <c r="Q75" s="129" t="inlineStr">
        <is>
          <t>—</t>
        </is>
      </c>
      <c r="R75" s="129" t="inlineStr">
        <is>
          <t>— not in the issuance plan —</t>
        </is>
      </c>
      <c r="S75" s="129" t="inlineStr">
        <is>
          <t>P050142|I</t>
        </is>
      </c>
      <c r="T75" s="135" t="inlineStr">
        <is>
          <t>not yet issuable — its iCoA is not yet issuable</t>
        </is>
      </c>
    </row>
    <row r="76">
      <c r="A76" s="129">
        <f>IF(C76="yes",COUNT(A$1:A75)+1,"")</f>
        <v/>
      </c>
      <c r="B76" s="130">
        <f>IF(A76&lt;&gt;"","CoQ-PP_26-"&amp;TEXT(A76,"000"),"— at issue —")</f>
        <v/>
      </c>
      <c r="C76" s="141" t="inlineStr">
        <is>
          <t>no</t>
        </is>
      </c>
      <c r="D76" s="274">
        <f>IF(A76="","",MAX(E76,IF(ISNUMBER(I76),I76,0),IFERROR(IF(ISNUMBER(INDEX('iCoA Register'!$F:$F,MATCH(S76,'iCoA Register'!$P:$P,0))),INDEX('iCoA Register'!$F:$F,MATCH(S76,'iCoA Register'!$P:$P,0)),0),0)))</f>
        <v/>
      </c>
      <c r="E76" s="274">
        <f>IF(ISNUMBER(F76),MAX(DATE(2026,6,6),F76+7),DATE(2026,6,6))</f>
        <v/>
      </c>
      <c r="F76" s="274" t="inlineStr">
        <is>
          <t>—</t>
        </is>
      </c>
      <c r="G76" s="129" t="inlineStr">
        <is>
          <t>—</t>
        </is>
      </c>
      <c r="H76" s="129">
        <f>IFERROR(INDEX('iCoA Register'!$B:$B,MATCH("P060102|I",'iCoA Register'!$P:$P,0)),"—")</f>
        <v/>
      </c>
      <c r="I76" s="274">
        <f>IFERROR(INDEX('iCoA Register'!$D:$D,MATCH("P060102|I",'iCoA Register'!$P:$P,0)),"")</f>
        <v/>
      </c>
      <c r="J76" s="129" t="inlineStr">
        <is>
          <t>legacy</t>
        </is>
      </c>
      <c r="K76" s="129" t="inlineStr">
        <is>
          <t>initial release</t>
        </is>
      </c>
      <c r="L76" s="130" t="inlineStr">
        <is>
          <t>WED102501</t>
        </is>
      </c>
      <c r="M76" s="129" t="inlineStr">
        <is>
          <t>P060102</t>
        </is>
      </c>
      <c r="N76" s="129" t="inlineStr">
        <is>
          <t>Wedding Cake</t>
        </is>
      </c>
      <c r="O76" s="141" t="inlineStr">
        <is>
          <t>— no cannabinoid certificate from the initial testing —</t>
        </is>
      </c>
      <c r="P76" s="141" t="inlineStr">
        <is>
          <t>—</t>
        </is>
      </c>
      <c r="Q76" s="129" t="inlineStr">
        <is>
          <t>—</t>
        </is>
      </c>
      <c r="R76" s="129" t="inlineStr">
        <is>
          <t>— not in the issuance plan —</t>
        </is>
      </c>
      <c r="S76" s="129" t="inlineStr">
        <is>
          <t>P060102|I</t>
        </is>
      </c>
      <c r="T76" s="135" t="inlineStr">
        <is>
          <t>not yet issuable — its iCoA is not yet issuable</t>
        </is>
      </c>
    </row>
    <row r="77">
      <c r="A77" s="129">
        <f>IF(C77="yes",COUNT(A$1:A76)+1,"")</f>
        <v/>
      </c>
      <c r="B77" s="130">
        <f>IF(A77&lt;&gt;"","CoQ-PP_26-"&amp;TEXT(A77,"000"),"— at issue —")</f>
        <v/>
      </c>
      <c r="C77" s="141" t="inlineStr">
        <is>
          <t>no</t>
        </is>
      </c>
      <c r="D77" s="274">
        <f>IF(A77="","",MAX(E77,IF(ISNUMBER(I77),I77,0),IFERROR(IF(ISNUMBER(INDEX('iCoA Register'!$F:$F,MATCH(S77,'iCoA Register'!$P:$P,0))),INDEX('iCoA Register'!$F:$F,MATCH(S77,'iCoA Register'!$P:$P,0)),0),0)))</f>
        <v/>
      </c>
      <c r="E77" s="274">
        <f>IF(ISNUMBER(F77),MAX(DATE(2026,6,6),F77+7),DATE(2026,6,6))</f>
        <v/>
      </c>
      <c r="F77" s="274" t="n">
        <v>46083</v>
      </c>
      <c r="G77" s="129" t="inlineStr">
        <is>
          <t>051-6-LoD-26</t>
        </is>
      </c>
      <c r="H77" s="129">
        <f>IFERROR(INDEX('iCoA Register'!$B:$B,MATCH("P060142|I",'iCoA Register'!$P:$P,0)),"—")</f>
        <v/>
      </c>
      <c r="I77" s="274">
        <f>IFERROR(INDEX('iCoA Register'!$D:$D,MATCH("P060142|I",'iCoA Register'!$P:$P,0)),"")</f>
        <v/>
      </c>
      <c r="J77" s="129" t="inlineStr">
        <is>
          <t>legacy</t>
        </is>
      </c>
      <c r="K77" s="129" t="inlineStr">
        <is>
          <t>initial release</t>
        </is>
      </c>
      <c r="L77" s="130" t="inlineStr">
        <is>
          <t>GRC102501</t>
        </is>
      </c>
      <c r="M77" s="129" t="inlineStr">
        <is>
          <t>P060142</t>
        </is>
      </c>
      <c r="N77" s="129" t="inlineStr">
        <is>
          <t>Graps &amp; Creme</t>
        </is>
      </c>
      <c r="O77" s="129" t="inlineStr">
        <is>
          <t>051-6-K-26, (04.03.2026) [FHM-K]</t>
        </is>
      </c>
      <c r="P77" s="141" t="inlineStr">
        <is>
          <t>—</t>
        </is>
      </c>
      <c r="Q77" s="129" t="inlineStr">
        <is>
          <t>—</t>
        </is>
      </c>
      <c r="R77" s="129" t="inlineStr">
        <is>
          <t>— not in the issuance plan —</t>
        </is>
      </c>
      <c r="S77" s="129" t="inlineStr">
        <is>
          <t>P060142|I</t>
        </is>
      </c>
      <c r="T77" s="135" t="inlineStr">
        <is>
          <t>not yet issuable — its iCoA is not yet issuable</t>
        </is>
      </c>
    </row>
    <row r="78">
      <c r="A78" s="129">
        <f>IF(C78="yes",COUNT(A$1:A77)+1,"")</f>
        <v/>
      </c>
      <c r="B78" s="130">
        <f>IF(A78&lt;&gt;"","CoQ-PP_26-"&amp;TEXT(A78,"000"),"— at issue —")</f>
        <v/>
      </c>
      <c r="C78" s="141" t="inlineStr">
        <is>
          <t>no</t>
        </is>
      </c>
      <c r="D78" s="274">
        <f>IF(A78="","",MAX(E78,IF(ISNUMBER(I78),I78,0),IFERROR(IF(ISNUMBER(INDEX('iCoA Register'!$F:$F,MATCH(S78,'iCoA Register'!$P:$P,0))),INDEX('iCoA Register'!$F:$F,MATCH(S78,'iCoA Register'!$P:$P,0)),0),0)))</f>
        <v/>
      </c>
      <c r="E78" s="274">
        <f>IF(ISNUMBER(F78),MAX(DATE(2026,6,6),F78+7),DATE(2026,6,6))</f>
        <v/>
      </c>
      <c r="F78" s="274" t="n">
        <v>46153</v>
      </c>
      <c r="G78" s="129" t="inlineStr">
        <is>
          <t>ППК26065</t>
        </is>
      </c>
      <c r="H78" s="129">
        <f>IFERROR(INDEX('iCoA Register'!$B:$B,MATCH("JD112501|I",'iCoA Register'!$P:$P,0)),"—")</f>
        <v/>
      </c>
      <c r="I78" s="274">
        <f>IFERROR(INDEX('iCoA Register'!$D:$D,MATCH("JD112501|I",'iCoA Register'!$P:$P,0)),"")</f>
        <v/>
      </c>
      <c r="J78" s="129" t="inlineStr">
        <is>
          <t>—</t>
        </is>
      </c>
      <c r="K78" s="129" t="inlineStr">
        <is>
          <t>initial release</t>
        </is>
      </c>
      <c r="L78" s="130" t="inlineStr">
        <is>
          <t>JD112501＊</t>
        </is>
      </c>
      <c r="M78" s="129" t="inlineStr">
        <is>
          <t>N/A — no P batch assigned</t>
        </is>
      </c>
      <c r="N78" s="129" t="inlineStr">
        <is>
          <t>Jelly Donutz</t>
        </is>
      </c>
      <c r="O78" s="129" t="inlineStr">
        <is>
          <t>ППК26065, (11.05.2026) [CNP]</t>
        </is>
      </c>
      <c r="P78" s="141" t="inlineStr">
        <is>
          <t>—</t>
        </is>
      </c>
      <c r="Q78" s="129" t="inlineStr">
        <is>
          <t>—</t>
        </is>
      </c>
      <c r="R78" s="129" t="inlineStr">
        <is>
          <t>CoQ-PP-2026-0015</t>
        </is>
      </c>
      <c r="S78" s="129" t="inlineStr">
        <is>
          <t>JD112501|I</t>
        </is>
      </c>
      <c r="T78" s="135" t="inlineStr">
        <is>
          <t>not yet issuable — no packaging date on the list</t>
        </is>
      </c>
    </row>
    <row r="79">
      <c r="A79" s="129">
        <f>IF(C79="yes",COUNT(A$1:A78)+1,"")</f>
        <v/>
      </c>
      <c r="B79" s="130">
        <f>IF(A79&lt;&gt;"","CoQ-PP_26-"&amp;TEXT(A79,"000"),"— at issue —")</f>
        <v/>
      </c>
      <c r="C79" s="141" t="inlineStr">
        <is>
          <t>no</t>
        </is>
      </c>
      <c r="D79" s="274">
        <f>IF(A79="","",MAX(E79,IF(ISNUMBER(I79),I79,0),IFERROR(IF(ISNUMBER(INDEX('iCoA Register'!$F:$F,MATCH(S79,'iCoA Register'!$P:$P,0))),INDEX('iCoA Register'!$F:$F,MATCH(S79,'iCoA Register'!$P:$P,0)),0),0)))</f>
        <v/>
      </c>
      <c r="E79" s="274">
        <f>IF(ISNUMBER(F79),MAX(DATE(2026,6,6),F79+7),DATE(2026,6,6))</f>
        <v/>
      </c>
      <c r="F79" s="274" t="n">
        <v>46153</v>
      </c>
      <c r="G79" s="129" t="inlineStr">
        <is>
          <t>ППК26062</t>
        </is>
      </c>
      <c r="H79" s="129">
        <f>IFERROR(INDEX('iCoA Register'!$B:$B,MATCH("P060302|I",'iCoA Register'!$P:$P,0)),"—")</f>
        <v/>
      </c>
      <c r="I79" s="274">
        <f>IFERROR(INDEX('iCoA Register'!$D:$D,MATCH("P060302|I",'iCoA Register'!$P:$P,0)),"")</f>
        <v/>
      </c>
      <c r="J79" s="129" t="inlineStr">
        <is>
          <t>post-SOP</t>
        </is>
      </c>
      <c r="K79" s="129" t="inlineStr">
        <is>
          <t>initial release</t>
        </is>
      </c>
      <c r="L79" s="130" t="inlineStr">
        <is>
          <t>GG012601＊</t>
        </is>
      </c>
      <c r="M79" s="129" t="inlineStr">
        <is>
          <t>P060302</t>
        </is>
      </c>
      <c r="N79" s="129" t="inlineStr">
        <is>
          <t>Gorilla Glue</t>
        </is>
      </c>
      <c r="O79" s="129" t="inlineStr">
        <is>
          <t>ППК26062, (11.05.2026) [CNP]</t>
        </is>
      </c>
      <c r="P79" s="141" t="inlineStr">
        <is>
          <t>—</t>
        </is>
      </c>
      <c r="Q79" s="129" t="inlineStr">
        <is>
          <t>—</t>
        </is>
      </c>
      <c r="R79" s="129" t="inlineStr">
        <is>
          <t>(assigned on issue)</t>
        </is>
      </c>
      <c r="S79" s="129" t="inlineStr">
        <is>
          <t>P060302|I</t>
        </is>
      </c>
      <c r="T79" s="135" t="inlineStr">
        <is>
          <t>not yet issuable — its iCoA is not yet issuable</t>
        </is>
      </c>
    </row>
    <row r="80">
      <c r="A80" s="129">
        <f>IF(C80="yes",COUNT(A$1:A79)+1,"")</f>
        <v/>
      </c>
      <c r="B80" s="130">
        <f>IF(A80&lt;&gt;"","CoQ-PP_26-"&amp;TEXT(A80,"000"),"— at issue —")</f>
        <v/>
      </c>
      <c r="C80" s="141" t="inlineStr">
        <is>
          <t>no</t>
        </is>
      </c>
      <c r="D80" s="274">
        <f>IF(A80="","",MAX(E80,IF(ISNUMBER(I80),I80,0),IFERROR(IF(ISNUMBER(INDEX('iCoA Register'!$F:$F,MATCH(S80,'iCoA Register'!$P:$P,0))),INDEX('iCoA Register'!$F:$F,MATCH(S80,'iCoA Register'!$P:$P,0)),0),0)))</f>
        <v/>
      </c>
      <c r="E80" s="274">
        <f>IF(ISNUMBER(F80),MAX(DATE(2026,6,6),F80+7),DATE(2026,6,6))</f>
        <v/>
      </c>
      <c r="F80" s="274" t="n">
        <v>46153</v>
      </c>
      <c r="G80" s="129" t="inlineStr">
        <is>
          <t>ППК26064</t>
        </is>
      </c>
      <c r="H80" s="129">
        <f>IFERROR(INDEX('iCoA Register'!$B:$B,MATCH("P060312|I",'iCoA Register'!$P:$P,0)),"—")</f>
        <v/>
      </c>
      <c r="I80" s="274">
        <f>IFERROR(INDEX('iCoA Register'!$D:$D,MATCH("P060312|I",'iCoA Register'!$P:$P,0)),"")</f>
        <v/>
      </c>
      <c r="J80" s="129" t="inlineStr">
        <is>
          <t>post-SOP</t>
        </is>
      </c>
      <c r="K80" s="129" t="inlineStr">
        <is>
          <t>initial release</t>
        </is>
      </c>
      <c r="L80" s="130" t="inlineStr">
        <is>
          <t>JD012601＊</t>
        </is>
      </c>
      <c r="M80" s="129" t="inlineStr">
        <is>
          <t>P060312</t>
        </is>
      </c>
      <c r="N80" s="129" t="inlineStr">
        <is>
          <t>Jelly Donutz</t>
        </is>
      </c>
      <c r="O80" s="129" t="inlineStr">
        <is>
          <t>ППК26064, (11.05.2026) [CNP]</t>
        </is>
      </c>
      <c r="P80" s="141" t="inlineStr">
        <is>
          <t>—</t>
        </is>
      </c>
      <c r="Q80" s="129" t="inlineStr">
        <is>
          <t>—</t>
        </is>
      </c>
      <c r="R80" s="129" t="inlineStr">
        <is>
          <t>(assigned on issue)</t>
        </is>
      </c>
      <c r="S80" s="129" t="inlineStr">
        <is>
          <t>P060312|I</t>
        </is>
      </c>
      <c r="T80" s="135" t="inlineStr">
        <is>
          <t>not yet issuable — its iCoA is not yet issuable</t>
        </is>
      </c>
    </row>
    <row r="81">
      <c r="A81" s="129">
        <f>IF(C81="yes",COUNT(A$1:A80)+1,"")</f>
        <v/>
      </c>
      <c r="B81" s="130">
        <f>IF(A81&lt;&gt;"","CoQ-PP_26-"&amp;TEXT(A81,"000"),"— at issue —")</f>
        <v/>
      </c>
      <c r="C81" s="141" t="inlineStr">
        <is>
          <t>no</t>
        </is>
      </c>
      <c r="D81" s="274">
        <f>IF(A81="","",MAX(E81,IF(ISNUMBER(I81),I81,0),IFERROR(IF(ISNUMBER(INDEX('iCoA Register'!$F:$F,MATCH(S81,'iCoA Register'!$P:$P,0))),INDEX('iCoA Register'!$F:$F,MATCH(S81,'iCoA Register'!$P:$P,0)),0),0)))</f>
        <v/>
      </c>
      <c r="E81" s="274">
        <f>IF(ISNUMBER(F81),MAX(DATE(2026,6,6),F81+7),DATE(2026,6,6))</f>
        <v/>
      </c>
      <c r="F81" s="274" t="inlineStr">
        <is>
          <t>—</t>
        </is>
      </c>
      <c r="G81" s="129" t="inlineStr">
        <is>
          <t>—</t>
        </is>
      </c>
      <c r="H81" s="129">
        <f>IFERROR(INDEX('iCoA Register'!$B:$B,MATCH("P060342|I",'iCoA Register'!$P:$P,0)),"—")</f>
        <v/>
      </c>
      <c r="I81" s="274">
        <f>IFERROR(INDEX('iCoA Register'!$D:$D,MATCH("P060342|I",'iCoA Register'!$P:$P,0)),"")</f>
        <v/>
      </c>
      <c r="J81" s="129" t="inlineStr">
        <is>
          <t>post-SOP</t>
        </is>
      </c>
      <c r="K81" s="129" t="inlineStr">
        <is>
          <t>initial release</t>
        </is>
      </c>
      <c r="L81" s="130" t="inlineStr">
        <is>
          <t>SCR012601*</t>
        </is>
      </c>
      <c r="M81" s="129" t="inlineStr">
        <is>
          <t>P060342</t>
        </is>
      </c>
      <c r="N81" s="129" t="inlineStr">
        <is>
          <t>Scrambler</t>
        </is>
      </c>
      <c r="O81" s="141" t="inlineStr">
        <is>
          <t>— no cannabinoid certificate from the initial testing —</t>
        </is>
      </c>
      <c r="P81" s="141" t="inlineStr">
        <is>
          <t>—</t>
        </is>
      </c>
      <c r="Q81" s="129" t="inlineStr">
        <is>
          <t>—</t>
        </is>
      </c>
      <c r="R81" s="129" t="inlineStr">
        <is>
          <t>— not in the issuance plan —</t>
        </is>
      </c>
      <c r="S81" s="129" t="inlineStr">
        <is>
          <t>P060342|I</t>
        </is>
      </c>
      <c r="T81" s="135" t="inlineStr">
        <is>
          <t>not yet issuable — its iCoA is not yet issuable</t>
        </is>
      </c>
    </row>
    <row r="82">
      <c r="A82" s="129">
        <f>IF(C82="yes",COUNT(A$1:A81)+1,"")</f>
        <v/>
      </c>
      <c r="B82" s="130">
        <f>IF(A82&lt;&gt;"","CoQ-PP_26-"&amp;TEXT(A82,"000"),"— at issue —")</f>
        <v/>
      </c>
      <c r="C82" s="141" t="inlineStr">
        <is>
          <t>no</t>
        </is>
      </c>
      <c r="D82" s="274">
        <f>IF(A82="","",MAX(E82,IF(ISNUMBER(I82),I82,0),IFERROR(IF(ISNUMBER(INDEX('iCoA Register'!$F:$F,MATCH(S82,'iCoA Register'!$P:$P,0))),INDEX('iCoA Register'!$F:$F,MATCH(S82,'iCoA Register'!$P:$P,0)),0),0)))</f>
        <v/>
      </c>
      <c r="E82" s="274">
        <f>IF(ISNUMBER(F82),MAX(DATE(2026,6,6),F82+7),DATE(2026,6,6))</f>
        <v/>
      </c>
      <c r="F82" s="274" t="n">
        <v>46209</v>
      </c>
      <c r="G82" s="129" t="inlineStr">
        <is>
          <t>ППК26117</t>
        </is>
      </c>
      <c r="H82" s="129">
        <f>IFERROR(INDEX('iCoA Register'!$B:$B,MATCH("P160012|I",'iCoA Register'!$P:$P,0)),"—")</f>
        <v/>
      </c>
      <c r="I82" s="274">
        <f>IFERROR(INDEX('iCoA Register'!$D:$D,MATCH("P160012|I",'iCoA Register'!$P:$P,0)),"")</f>
        <v/>
      </c>
      <c r="J82" s="129" t="inlineStr">
        <is>
          <t>—</t>
        </is>
      </c>
      <c r="K82" s="129" t="inlineStr">
        <is>
          <t>initial release</t>
        </is>
      </c>
      <c r="L82" s="130" t="inlineStr">
        <is>
          <t>— not recorded — (P160012)</t>
        </is>
      </c>
      <c r="M82" s="129" t="inlineStr">
        <is>
          <t>P160012</t>
        </is>
      </c>
      <c r="N82" s="129" t="inlineStr"/>
      <c r="O82" s="129" t="inlineStr">
        <is>
          <t>ППК26117, (06.07.2026) [CNP]</t>
        </is>
      </c>
      <c r="P82" s="129" t="inlineStr">
        <is>
          <t>A: ППК26117 / B: ППК26117 / FM: ППК26117</t>
        </is>
      </c>
      <c r="Q82" s="129" t="inlineStr">
        <is>
          <t>—</t>
        </is>
      </c>
      <c r="R82" s="129" t="inlineStr">
        <is>
          <t>— not in the issuance plan —</t>
        </is>
      </c>
      <c r="S82" s="129" t="inlineStr">
        <is>
          <t>P160012|I</t>
        </is>
      </c>
      <c r="T82" s="135" t="inlineStr">
        <is>
          <t>not yet issuable — no packaging date on the list</t>
        </is>
      </c>
    </row>
    <row r="83">
      <c r="A83" s="129">
        <f>IF(C83="yes",COUNT(A$1:A82)+1,"")</f>
        <v/>
      </c>
      <c r="B83" s="130">
        <f>IF(A83&lt;&gt;"","CoQ-PP_26-"&amp;TEXT(A83,"000"),"— at issue —")</f>
        <v/>
      </c>
      <c r="C83" s="141" t="inlineStr">
        <is>
          <t>no</t>
        </is>
      </c>
      <c r="D83" s="274">
        <f>IF(A83="","",MAX(E83,IF(ISNUMBER(I83),I83,0),IFERROR(IF(ISNUMBER(INDEX('iCoA Register'!$F:$F,MATCH(S83,'iCoA Register'!$P:$P,0))),INDEX('iCoA Register'!$F:$F,MATCH(S83,'iCoA Register'!$P:$P,0)),0),0)))</f>
        <v/>
      </c>
      <c r="E83" s="274">
        <f>IF(ISNUMBER(F83),MAX(DATE(2026,6,6),F83+7),DATE(2026,6,6))</f>
        <v/>
      </c>
      <c r="F83" s="274" t="n">
        <v>46209</v>
      </c>
      <c r="G83" s="129" t="inlineStr">
        <is>
          <t>ППК26118</t>
        </is>
      </c>
      <c r="H83" s="129">
        <f>IFERROR(INDEX('iCoA Register'!$B:$B,MATCH("P160022|I",'iCoA Register'!$P:$P,0)),"—")</f>
        <v/>
      </c>
      <c r="I83" s="274">
        <f>IFERROR(INDEX('iCoA Register'!$D:$D,MATCH("P160022|I",'iCoA Register'!$P:$P,0)),"")</f>
        <v/>
      </c>
      <c r="J83" s="129" t="inlineStr">
        <is>
          <t>—</t>
        </is>
      </c>
      <c r="K83" s="129" t="inlineStr">
        <is>
          <t>initial release</t>
        </is>
      </c>
      <c r="L83" s="130" t="inlineStr">
        <is>
          <t>— not recorded — (P160022)</t>
        </is>
      </c>
      <c r="M83" s="129" t="inlineStr">
        <is>
          <t>P160022</t>
        </is>
      </c>
      <c r="N83" s="129" t="inlineStr"/>
      <c r="O83" s="129" t="inlineStr">
        <is>
          <t>ППК26118, (06.07.2026) [CNP]</t>
        </is>
      </c>
      <c r="P83" s="129" t="inlineStr">
        <is>
          <t>A: ППК26118 / B: ППК26118 / FM: ППК26118</t>
        </is>
      </c>
      <c r="Q83" s="129" t="inlineStr">
        <is>
          <t>—</t>
        </is>
      </c>
      <c r="R83" s="129" t="inlineStr">
        <is>
          <t>— not in the issuance plan —</t>
        </is>
      </c>
      <c r="S83" s="129" t="inlineStr">
        <is>
          <t>P160022|I</t>
        </is>
      </c>
      <c r="T83" s="135" t="inlineStr">
        <is>
          <t>not yet issuable — no packaging date on the list</t>
        </is>
      </c>
    </row>
    <row r="84">
      <c r="A84" s="129">
        <f>IF(C84="yes",COUNT(A$1:A83)+1,"")</f>
        <v/>
      </c>
      <c r="B84" s="130">
        <f>IF(A84&lt;&gt;"","CoQ-PP_26-"&amp;TEXT(A84,"000"),"— at issue —")</f>
        <v/>
      </c>
      <c r="C84" s="141" t="inlineStr">
        <is>
          <t>no</t>
        </is>
      </c>
      <c r="D84" s="274">
        <f>IF(A84="","",MAX(E84,IF(ISNUMBER(I84),I84,0),IFERROR(IF(ISNUMBER(INDEX('iCoA Register'!$F:$F,MATCH(S84,'iCoA Register'!$P:$P,0))),INDEX('iCoA Register'!$F:$F,MATCH(S84,'iCoA Register'!$P:$P,0)),0),0)))</f>
        <v/>
      </c>
      <c r="E84" s="274">
        <f>IF(ISNUMBER(F84),MAX(DATE(2026,6,6),F84+7),DATE(2026,6,6))</f>
        <v/>
      </c>
      <c r="F84" s="274" t="n">
        <v>46209</v>
      </c>
      <c r="G84" s="129" t="inlineStr">
        <is>
          <t>ППК26119</t>
        </is>
      </c>
      <c r="H84" s="129">
        <f>IFERROR(INDEX('iCoA Register'!$B:$B,MATCH("P160032|I",'iCoA Register'!$P:$P,0)),"—")</f>
        <v/>
      </c>
      <c r="I84" s="274">
        <f>IFERROR(INDEX('iCoA Register'!$D:$D,MATCH("P160032|I",'iCoA Register'!$P:$P,0)),"")</f>
        <v/>
      </c>
      <c r="J84" s="129" t="inlineStr">
        <is>
          <t>—</t>
        </is>
      </c>
      <c r="K84" s="129" t="inlineStr">
        <is>
          <t>initial release</t>
        </is>
      </c>
      <c r="L84" s="130" t="inlineStr">
        <is>
          <t>— not recorded — (P160032)</t>
        </is>
      </c>
      <c r="M84" s="129" t="inlineStr">
        <is>
          <t>P160032</t>
        </is>
      </c>
      <c r="N84" s="129" t="inlineStr"/>
      <c r="O84" s="129" t="inlineStr">
        <is>
          <t>ППК26119, (06.07.2026) [CNP]</t>
        </is>
      </c>
      <c r="P84" s="129" t="inlineStr">
        <is>
          <t>A: ППК26119 / B: ППК26119 / FM: ППК26119</t>
        </is>
      </c>
      <c r="Q84" s="129" t="inlineStr">
        <is>
          <t>—</t>
        </is>
      </c>
      <c r="R84" s="129" t="inlineStr">
        <is>
          <t>— not in the issuance plan —</t>
        </is>
      </c>
      <c r="S84" s="129" t="inlineStr">
        <is>
          <t>P160032|I</t>
        </is>
      </c>
      <c r="T84" s="135" t="inlineStr">
        <is>
          <t>not yet issuable — no packaging date on the list</t>
        </is>
      </c>
    </row>
    <row r="85">
      <c r="A85" s="129">
        <f>IF(C85="yes",COUNT(A$1:A84)+1,"")</f>
        <v/>
      </c>
      <c r="B85" s="130">
        <f>IF(A85&lt;&gt;"","CoQ-PP_26-"&amp;TEXT(A85,"000"),"— at issue —")</f>
        <v/>
      </c>
      <c r="C85" s="141" t="inlineStr">
        <is>
          <t>no</t>
        </is>
      </c>
      <c r="D85" s="274">
        <f>IF(A85="","",MAX(E85,IF(ISNUMBER(I85),I85,0),IFERROR(IF(ISNUMBER(INDEX('iCoA Register'!$F:$F,MATCH(S85,'iCoA Register'!$P:$P,0))),INDEX('iCoA Register'!$F:$F,MATCH(S85,'iCoA Register'!$P:$P,0)),0),0)))</f>
        <v/>
      </c>
      <c r="E85" s="274">
        <f>IF(ISNUMBER(F85),MAX(DATE(2026,6,6),F85+7),"at retest sampling")</f>
        <v/>
      </c>
      <c r="F85" s="274" t="n">
        <v>46266</v>
      </c>
      <c r="G85" s="129" t="inlineStr">
        <is>
          <t>565-1096-26</t>
        </is>
      </c>
      <c r="H85" s="129">
        <f>IFERROR(INDEX('iCoA Register'!$B:$B,MATCH("CJ1024|R",'iCoA Register'!$P:$P,0)),"—")</f>
        <v/>
      </c>
      <c r="I85" s="274">
        <f>IFERROR(INDEX('iCoA Register'!$D:$D,MATCH("CJ1024|R",'iCoA Register'!$P:$P,0)),"")</f>
        <v/>
      </c>
      <c r="J85" s="129" t="inlineStr">
        <is>
          <t>legacy</t>
        </is>
      </c>
      <c r="K85" s="129" t="inlineStr">
        <is>
          <t>retest — sampled — Tranche 2/3 (potency and mycotoxins pending)</t>
        </is>
      </c>
      <c r="L85" s="130" t="inlineStr">
        <is>
          <t>CJ1024</t>
        </is>
      </c>
      <c r="M85" s="129" t="inlineStr">
        <is>
          <t>N/A — no P batch assigned</t>
        </is>
      </c>
      <c r="N85" s="129" t="inlineStr">
        <is>
          <t>Cap Junky</t>
        </is>
      </c>
      <c r="O85" s="141" t="inlineStr">
        <is>
          <t>— retest assay not yet on file —</t>
        </is>
      </c>
      <c r="P85" s="141" t="inlineStr">
        <is>
          <t>—</t>
        </is>
      </c>
      <c r="Q85" s="129" t="inlineStr">
        <is>
          <t>—</t>
        </is>
      </c>
      <c r="R85" s="129" t="inlineStr">
        <is>
          <t>CoQ reissue (assigned on issue)</t>
        </is>
      </c>
      <c r="S85" s="129" t="inlineStr">
        <is>
          <t>CJ1024|R</t>
        </is>
      </c>
      <c r="T85" s="135" t="inlineStr">
        <is>
          <t>not yet issuable — sampled — microbiology on file, retest assay pending · issued on the first working day 7 days after the latest retest certificate, once the in-house iCoA exists</t>
        </is>
      </c>
    </row>
    <row r="86">
      <c r="A86" s="129">
        <f>IF(C86="yes",COUNT(A$1:A85)+1,"")</f>
        <v/>
      </c>
      <c r="B86" s="130">
        <f>IF(A86&lt;&gt;"","CoQ-PP_26-"&amp;TEXT(A86,"000"),"— at issue —")</f>
        <v/>
      </c>
      <c r="C86" s="141" t="inlineStr">
        <is>
          <t>no</t>
        </is>
      </c>
      <c r="D86" s="274">
        <f>IF(A86="","",MAX(E86,IF(ISNUMBER(I86),I86,0),IFERROR(IF(ISNUMBER(INDEX('iCoA Register'!$F:$F,MATCH(S86,'iCoA Register'!$P:$P,0))),INDEX('iCoA Register'!$F:$F,MATCH(S86,'iCoA Register'!$P:$P,0)),0),0)))</f>
        <v/>
      </c>
      <c r="E86" s="274">
        <f>IF(ISNUMBER(F86),MAX(DATE(2026,6,6),F86+7),"at retest sampling")</f>
        <v/>
      </c>
      <c r="F86" s="274" t="n">
        <v>46244</v>
      </c>
      <c r="G86" s="129" t="inlineStr">
        <is>
          <t>197-2-M-26</t>
        </is>
      </c>
      <c r="H86" s="129">
        <f>IFERROR(INDEX('iCoA Register'!$B:$B,MATCH("BSS1024|R",'iCoA Register'!$P:$P,0)),"—")</f>
        <v/>
      </c>
      <c r="I86" s="274">
        <f>IFERROR(INDEX('iCoA Register'!$D:$D,MATCH("BSS1024|R",'iCoA Register'!$P:$P,0)),"")</f>
        <v/>
      </c>
      <c r="J86" s="129" t="inlineStr">
        <is>
          <t>legacy</t>
        </is>
      </c>
      <c r="K86" s="129" t="inlineStr">
        <is>
          <t>retest — Tranche 1 (sampled July 2026)</t>
        </is>
      </c>
      <c r="L86" s="130" t="inlineStr">
        <is>
          <t>BSS1024</t>
        </is>
      </c>
      <c r="M86" s="129" t="inlineStr">
        <is>
          <t>N/A — no P batch assigned</t>
        </is>
      </c>
      <c r="N86" s="129" t="inlineStr">
        <is>
          <t>Blue Sunset Sherbet</t>
        </is>
      </c>
      <c r="O86" s="129" t="inlineStr">
        <is>
          <t>197-2-K-26, (07.08.2026) [FHM-K]</t>
        </is>
      </c>
      <c r="P86" s="141" t="inlineStr">
        <is>
          <t>—</t>
        </is>
      </c>
      <c r="Q86" s="129" t="inlineStr">
        <is>
          <t>—</t>
        </is>
      </c>
      <c r="R86" s="129" t="inlineStr">
        <is>
          <t>CoQ-PP-2026-0027</t>
        </is>
      </c>
      <c r="S86" s="129" t="inlineStr">
        <is>
          <t>BSS1024|R</t>
        </is>
      </c>
      <c r="T86" s="135" t="inlineStr">
        <is>
          <t>not yet issuable — due — retest assay, mycotoxins on file; in-house iCoA to test · issued on the first working day 7 days after the latest retest certificate, once the in-house iCoA exists</t>
        </is>
      </c>
    </row>
    <row r="87">
      <c r="A87" s="129">
        <f>IF(C87="yes",COUNT(A$1:A86)+1,"")</f>
        <v/>
      </c>
      <c r="B87" s="130">
        <f>IF(A87&lt;&gt;"","CoQ-PP_26-"&amp;TEXT(A87,"000"),"— at issue —")</f>
        <v/>
      </c>
      <c r="C87" s="141" t="inlineStr">
        <is>
          <t>no</t>
        </is>
      </c>
      <c r="D87" s="274">
        <f>IF(A87="","",MAX(E87,IF(ISNUMBER(I87),I87,0),IFERROR(IF(ISNUMBER(INDEX('iCoA Register'!$F:$F,MATCH(S87,'iCoA Register'!$P:$P,0))),INDEX('iCoA Register'!$F:$F,MATCH(S87,'iCoA Register'!$P:$P,0)),0),0)))</f>
        <v/>
      </c>
      <c r="E87" s="274">
        <f>IF(ISNUMBER(F87),MAX(DATE(2026,6,6),F87+7),"at retest sampling")</f>
        <v/>
      </c>
      <c r="F87" s="274" t="n">
        <v>46244</v>
      </c>
      <c r="G87" s="129" t="inlineStr">
        <is>
          <t>197-1-M-26</t>
        </is>
      </c>
      <c r="H87" s="129">
        <f>IFERROR(INDEX('iCoA Register'!$B:$B,MATCH("BG1024|R",'iCoA Register'!$P:$P,0)),"—")</f>
        <v/>
      </c>
      <c r="I87" s="274">
        <f>IFERROR(INDEX('iCoA Register'!$D:$D,MATCH("BG1024|R",'iCoA Register'!$P:$P,0)),"")</f>
        <v/>
      </c>
      <c r="J87" s="129" t="inlineStr">
        <is>
          <t>legacy</t>
        </is>
      </c>
      <c r="K87" s="129" t="inlineStr">
        <is>
          <t>retest — Tranche 1 (sampled July 2026)</t>
        </is>
      </c>
      <c r="L87" s="130" t="inlineStr">
        <is>
          <t>BG1024</t>
        </is>
      </c>
      <c r="M87" s="129" t="inlineStr">
        <is>
          <t>N/A — no P batch assigned</t>
        </is>
      </c>
      <c r="N87" s="129" t="inlineStr">
        <is>
          <t>Blue Gelato</t>
        </is>
      </c>
      <c r="O87" s="129" t="inlineStr">
        <is>
          <t>197-1-K-26, (07.08.2026) [FHM-K]</t>
        </is>
      </c>
      <c r="P87" s="141" t="inlineStr">
        <is>
          <t>—</t>
        </is>
      </c>
      <c r="Q87" s="129" t="inlineStr">
        <is>
          <t>—</t>
        </is>
      </c>
      <c r="R87" s="129" t="inlineStr">
        <is>
          <t>CoQ-PP-2026-0028</t>
        </is>
      </c>
      <c r="S87" s="129" t="inlineStr">
        <is>
          <t>BG1024|R</t>
        </is>
      </c>
      <c r="T87" s="135" t="inlineStr">
        <is>
          <t>not yet issuable — due — retest assay, mycotoxins on file; in-house iCoA to test · issued on the first working day 7 days after the latest retest certificate, once the in-house iCoA exists</t>
        </is>
      </c>
    </row>
    <row r="88">
      <c r="A88" s="129">
        <f>IF(C88="yes",COUNT(A$1:A87)+1,"")</f>
        <v/>
      </c>
      <c r="B88" s="130">
        <f>IF(A88&lt;&gt;"","CoQ-PP_26-"&amp;TEXT(A88,"000"),"— at issue —")</f>
        <v/>
      </c>
      <c r="C88" s="141" t="inlineStr">
        <is>
          <t>no</t>
        </is>
      </c>
      <c r="D88" s="274">
        <f>IF(A88="","",MAX(E88,IF(ISNUMBER(I88),I88,0),IFERROR(IF(ISNUMBER(INDEX('iCoA Register'!$F:$F,MATCH(S88,'iCoA Register'!$P:$P,0))),INDEX('iCoA Register'!$F:$F,MATCH(S88,'iCoA Register'!$P:$P,0)),0),0)))</f>
        <v/>
      </c>
      <c r="E88" s="274">
        <f>IF(ISNUMBER(F88),MAX(DATE(2026,6,6),F88+7),"at retest sampling")</f>
        <v/>
      </c>
      <c r="F88" s="274" t="inlineStr">
        <is>
          <t>— not yet sampled —</t>
        </is>
      </c>
      <c r="G88" s="129" t="inlineStr">
        <is>
          <t>—</t>
        </is>
      </c>
      <c r="H88" s="129">
        <f>IFERROR(INDEX('iCoA Register'!$B:$B,MATCH("GG1024|R",'iCoA Register'!$P:$P,0)),"—")</f>
        <v/>
      </c>
      <c r="I88" s="274">
        <f>IFERROR(INDEX('iCoA Register'!$D:$D,MATCH("GG1024|R",'iCoA Register'!$P:$P,0)),"")</f>
        <v/>
      </c>
      <c r="J88" s="129" t="inlineStr">
        <is>
          <t>legacy</t>
        </is>
      </c>
      <c r="K88" s="129" t="inlineStr">
        <is>
          <t>retest — not yet sampled</t>
        </is>
      </c>
      <c r="L88" s="130" t="inlineStr">
        <is>
          <t>GG1024</t>
        </is>
      </c>
      <c r="M88" s="129" t="inlineStr">
        <is>
          <t>N/A — no P batch assigned</t>
        </is>
      </c>
      <c r="N88" s="129" t="inlineStr">
        <is>
          <t>Gorilla Glue</t>
        </is>
      </c>
      <c r="O88" s="141" t="inlineStr">
        <is>
          <t>— retest assay not yet on file —</t>
        </is>
      </c>
      <c r="P88" s="141" t="inlineStr">
        <is>
          <t>—</t>
        </is>
      </c>
      <c r="Q88" s="129" t="inlineStr">
        <is>
          <t>—</t>
        </is>
      </c>
      <c r="R88" s="129" t="inlineStr">
        <is>
          <t>CoQ-PP-2026-0029</t>
        </is>
      </c>
      <c r="S88" s="129" t="inlineStr">
        <is>
          <t>GG1024|R</t>
        </is>
      </c>
      <c r="T88" s="135" t="inlineStr">
        <is>
          <t>not yet issuable — pending — not yet sampled · issued on the first working day 7 days after the latest retest certificate, once the in-house iCoA exists</t>
        </is>
      </c>
    </row>
    <row r="89">
      <c r="A89" s="129">
        <f>IF(C89="yes",COUNT(A$1:A88)+1,"")</f>
        <v/>
      </c>
      <c r="B89" s="130">
        <f>IF(A89&lt;&gt;"","CoQ-PP_26-"&amp;TEXT(A89,"000"),"— at issue —")</f>
        <v/>
      </c>
      <c r="C89" s="141" t="inlineStr">
        <is>
          <t>no</t>
        </is>
      </c>
      <c r="D89" s="274">
        <f>IF(A89="","",MAX(E89,IF(ISNUMBER(I89),I89,0),IFERROR(IF(ISNUMBER(INDEX('iCoA Register'!$F:$F,MATCH(S89,'iCoA Register'!$P:$P,0))),INDEX('iCoA Register'!$F:$F,MATCH(S89,'iCoA Register'!$P:$P,0)),0),0)))</f>
        <v/>
      </c>
      <c r="E89" s="274">
        <f>IF(ISNUMBER(F89),MAX(DATE(2026,6,6),F89+7),"at retest sampling")</f>
        <v/>
      </c>
      <c r="F89" s="274" t="n">
        <v>46244</v>
      </c>
      <c r="G89" s="129" t="inlineStr">
        <is>
          <t>197-13-M-26</t>
        </is>
      </c>
      <c r="H89" s="129">
        <f>IFERROR(INDEX('iCoA Register'!$B:$B,MATCH("HPA1024|R",'iCoA Register'!$P:$P,0)),"—")</f>
        <v/>
      </c>
      <c r="I89" s="274">
        <f>IFERROR(INDEX('iCoA Register'!$D:$D,MATCH("HPA1024|R",'iCoA Register'!$P:$P,0)),"")</f>
        <v/>
      </c>
      <c r="J89" s="129" t="inlineStr">
        <is>
          <t>legacy</t>
        </is>
      </c>
      <c r="K89" s="129" t="inlineStr">
        <is>
          <t>retest — Tranche 1 (sampled July 2026)</t>
        </is>
      </c>
      <c r="L89" s="130" t="inlineStr">
        <is>
          <t>HPA1024</t>
        </is>
      </c>
      <c r="M89" s="129" t="inlineStr">
        <is>
          <t>N/A — no P batch assigned</t>
        </is>
      </c>
      <c r="N89" s="129" t="inlineStr">
        <is>
          <t>HighProAmnesia</t>
        </is>
      </c>
      <c r="O89" s="129" t="inlineStr">
        <is>
          <t>197-13-K-26, (07.08.2026) [FHM-K]</t>
        </is>
      </c>
      <c r="P89" s="141" t="inlineStr">
        <is>
          <t>—</t>
        </is>
      </c>
      <c r="Q89" s="129" t="inlineStr">
        <is>
          <t>—</t>
        </is>
      </c>
      <c r="R89" s="129" t="inlineStr">
        <is>
          <t>CoQ-PP-2026-0030</t>
        </is>
      </c>
      <c r="S89" s="129" t="inlineStr">
        <is>
          <t>HPA1024|R</t>
        </is>
      </c>
      <c r="T89" s="135" t="inlineStr">
        <is>
          <t>not yet issuable — due — retest assay, mycotoxins on file; in-house iCoA to test · issued on the first working day 7 days after the latest retest certificate, once the in-house iCoA exists</t>
        </is>
      </c>
    </row>
    <row r="90">
      <c r="A90" s="129">
        <f>IF(C90="yes",COUNT(A$1:A89)+1,"")</f>
        <v/>
      </c>
      <c r="B90" s="130">
        <f>IF(A90&lt;&gt;"","CoQ-PP_26-"&amp;TEXT(A90,"000"),"— at issue —")</f>
        <v/>
      </c>
      <c r="C90" s="141" t="inlineStr">
        <is>
          <t>no</t>
        </is>
      </c>
      <c r="D90" s="274">
        <f>IF(A90="","",MAX(E90,IF(ISNUMBER(I90),I90,0),IFERROR(IF(ISNUMBER(INDEX('iCoA Register'!$F:$F,MATCH(S90,'iCoA Register'!$P:$P,0))),INDEX('iCoA Register'!$F:$F,MATCH(S90,'iCoA Register'!$P:$P,0)),0),0)))</f>
        <v/>
      </c>
      <c r="E90" s="274">
        <f>IF(ISNUMBER(F90),MAX(DATE(2026,6,6),F90+7),"at retest sampling")</f>
        <v/>
      </c>
      <c r="F90" s="274" t="n">
        <v>46266</v>
      </c>
      <c r="G90" s="129" t="inlineStr">
        <is>
          <t>562-1093-26</t>
        </is>
      </c>
      <c r="H90" s="129">
        <f>IFERROR(INDEX('iCoA Register'!$B:$B,MATCH("P050102|R",'iCoA Register'!$P:$P,0)),"—")</f>
        <v/>
      </c>
      <c r="I90" s="274">
        <f>IFERROR(INDEX('iCoA Register'!$D:$D,MATCH("P050102|R",'iCoA Register'!$P:$P,0)),"")</f>
        <v/>
      </c>
      <c r="J90" s="129" t="inlineStr">
        <is>
          <t>legacy</t>
        </is>
      </c>
      <c r="K90" s="129" t="inlineStr">
        <is>
          <t>retest — sampled — Tranche 2/3 (potency and mycotoxins pending)</t>
        </is>
      </c>
      <c r="L90" s="130" t="inlineStr">
        <is>
          <t>GP0824_01</t>
        </is>
      </c>
      <c r="M90" s="129" t="inlineStr">
        <is>
          <t>P050102</t>
        </is>
      </c>
      <c r="N90" s="129" t="inlineStr">
        <is>
          <t>Grape Pie</t>
        </is>
      </c>
      <c r="O90" s="141" t="inlineStr">
        <is>
          <t>— retest assay not yet on file —</t>
        </is>
      </c>
      <c r="P90" s="141" t="inlineStr">
        <is>
          <t>—</t>
        </is>
      </c>
      <c r="Q90" s="129" t="inlineStr">
        <is>
          <t>—</t>
        </is>
      </c>
      <c r="R90" s="129" t="inlineStr">
        <is>
          <t>CoQ reissue (assigned on issue)</t>
        </is>
      </c>
      <c r="S90" s="129" t="inlineStr">
        <is>
          <t>P050102|R</t>
        </is>
      </c>
      <c r="T90" s="135" t="inlineStr">
        <is>
          <t>not yet issuable — sampled — microbiology on file, retest assay pending · issued on the first working day 7 days after the latest retest certificate, once the in-house iCoA exists</t>
        </is>
      </c>
    </row>
    <row r="91">
      <c r="A91" s="129">
        <f>IF(C91="yes",COUNT(A$1:A90)+1,"")</f>
        <v/>
      </c>
      <c r="B91" s="130">
        <f>IF(A91&lt;&gt;"","CoQ-PP_26-"&amp;TEXT(A91,"000"),"— at issue —")</f>
        <v/>
      </c>
      <c r="C91" s="141" t="inlineStr">
        <is>
          <t>no</t>
        </is>
      </c>
      <c r="D91" s="274">
        <f>IF(A91="","",MAX(E91,IF(ISNUMBER(I91),I91,0),IFERROR(IF(ISNUMBER(INDEX('iCoA Register'!$F:$F,MATCH(S91,'iCoA Register'!$P:$P,0))),INDEX('iCoA Register'!$F:$F,MATCH(S91,'iCoA Register'!$P:$P,0)),0),0)))</f>
        <v/>
      </c>
      <c r="E91" s="274">
        <f>IF(ISNUMBER(F91),MAX(DATE(2026,6,6),F91+7),"at retest sampling")</f>
        <v/>
      </c>
      <c r="F91" s="274" t="n">
        <v>46244</v>
      </c>
      <c r="G91" s="129" t="inlineStr">
        <is>
          <t>197-17-M-26</t>
        </is>
      </c>
      <c r="H91" s="129">
        <f>IFERROR(INDEX('iCoA Register'!$B:$B,MATCH("OPM1024|R",'iCoA Register'!$P:$P,0)),"—")</f>
        <v/>
      </c>
      <c r="I91" s="274">
        <f>IFERROR(INDEX('iCoA Register'!$D:$D,MATCH("OPM1024|R",'iCoA Register'!$P:$P,0)),"")</f>
        <v/>
      </c>
      <c r="J91" s="129" t="inlineStr">
        <is>
          <t>legacy</t>
        </is>
      </c>
      <c r="K91" s="129" t="inlineStr">
        <is>
          <t>retest — Tranche 1 (sampled July 2026)</t>
        </is>
      </c>
      <c r="L91" s="130" t="inlineStr">
        <is>
          <t>OPM1024</t>
        </is>
      </c>
      <c r="M91" s="129" t="inlineStr">
        <is>
          <t>N/A — no P batch assigned</t>
        </is>
      </c>
      <c r="N91" s="129" t="inlineStr">
        <is>
          <t>OrangePunchMimosa</t>
        </is>
      </c>
      <c r="O91" s="129" t="inlineStr">
        <is>
          <t>197-17-K-26, (07.08.2026) [FHM-K]</t>
        </is>
      </c>
      <c r="P91" s="141" t="inlineStr">
        <is>
          <t>—</t>
        </is>
      </c>
      <c r="Q91" s="129" t="inlineStr">
        <is>
          <t>—</t>
        </is>
      </c>
      <c r="R91" s="129" t="inlineStr">
        <is>
          <t>CoQ-PP-2026-0031</t>
        </is>
      </c>
      <c r="S91" s="129" t="inlineStr">
        <is>
          <t>OPM1024|R</t>
        </is>
      </c>
      <c r="T91" s="135" t="inlineStr">
        <is>
          <t>not yet issuable — due — retest assay, mycotoxins on file; in-house iCoA to test · issued on the first working day 7 days after the latest retest certificate, once the in-house iCoA exists</t>
        </is>
      </c>
    </row>
    <row r="92">
      <c r="A92" s="129">
        <f>IF(C92="yes",COUNT(A$1:A91)+1,"")</f>
        <v/>
      </c>
      <c r="B92" s="130">
        <f>IF(A92&lt;&gt;"","CoQ-PP_26-"&amp;TEXT(A92,"000"),"— at issue —")</f>
        <v/>
      </c>
      <c r="C92" s="141" t="inlineStr">
        <is>
          <t>no</t>
        </is>
      </c>
      <c r="D92" s="274">
        <f>IF(A92="","",MAX(E92,IF(ISNUMBER(I92),I92,0),IFERROR(IF(ISNUMBER(INDEX('iCoA Register'!$F:$F,MATCH(S92,'iCoA Register'!$P:$P,0))),INDEX('iCoA Register'!$F:$F,MATCH(S92,'iCoA Register'!$P:$P,0)),0),0)))</f>
        <v/>
      </c>
      <c r="E92" s="274">
        <f>IF(ISNUMBER(F92),MAX(DATE(2026,6,6),F92+7),"at retest sampling")</f>
        <v/>
      </c>
      <c r="F92" s="274" t="n">
        <v>46266</v>
      </c>
      <c r="G92" s="129" t="inlineStr">
        <is>
          <t>563-1094-26</t>
        </is>
      </c>
      <c r="H92" s="129">
        <f>IFERROR(INDEX('iCoA Register'!$B:$B,MATCH("P050032|R",'iCoA Register'!$P:$P,0)),"—")</f>
        <v/>
      </c>
      <c r="I92" s="274">
        <f>IFERROR(INDEX('iCoA Register'!$D:$D,MATCH("P050032|R",'iCoA Register'!$P:$P,0)),"")</f>
        <v/>
      </c>
      <c r="J92" s="129" t="inlineStr">
        <is>
          <t>legacy</t>
        </is>
      </c>
      <c r="K92" s="129" t="inlineStr">
        <is>
          <t>retest — sampled — Tranche 2/3 (potency and mycotoxins pending)</t>
        </is>
      </c>
      <c r="L92" s="130" t="inlineStr">
        <is>
          <t>MB0824_04</t>
        </is>
      </c>
      <c r="M92" s="129" t="inlineStr">
        <is>
          <t>P050032</t>
        </is>
      </c>
      <c r="N92" s="129" t="inlineStr">
        <is>
          <t>Motor Breath</t>
        </is>
      </c>
      <c r="O92" s="141" t="inlineStr">
        <is>
          <t>— retest assay not yet on file —</t>
        </is>
      </c>
      <c r="P92" s="141" t="inlineStr">
        <is>
          <t>—</t>
        </is>
      </c>
      <c r="Q92" s="129" t="inlineStr">
        <is>
          <t>—</t>
        </is>
      </c>
      <c r="R92" s="129" t="inlineStr">
        <is>
          <t>CoQ reissue (assigned on issue)</t>
        </is>
      </c>
      <c r="S92" s="129" t="inlineStr">
        <is>
          <t>P050032|R</t>
        </is>
      </c>
      <c r="T92" s="135" t="inlineStr">
        <is>
          <t>not yet issuable — sampled — microbiology on file, retest assay pending · issued on the first working day 7 days after the latest retest certificate, once the in-house iCoA exists</t>
        </is>
      </c>
    </row>
    <row r="93">
      <c r="A93" s="129">
        <f>IF(C93="yes",COUNT(A$1:A92)+1,"")</f>
        <v/>
      </c>
      <c r="B93" s="130">
        <f>IF(A93&lt;&gt;"","CoQ-PP_26-"&amp;TEXT(A93,"000"),"— at issue —")</f>
        <v/>
      </c>
      <c r="C93" s="141" t="inlineStr">
        <is>
          <t>no</t>
        </is>
      </c>
      <c r="D93" s="274">
        <f>IF(A93="","",MAX(E93,IF(ISNUMBER(I93),I93,0),IFERROR(IF(ISNUMBER(INDEX('iCoA Register'!$F:$F,MATCH(S93,'iCoA Register'!$P:$P,0))),INDEX('iCoA Register'!$F:$F,MATCH(S93,'iCoA Register'!$P:$P,0)),0),0)))</f>
        <v/>
      </c>
      <c r="E93" s="274">
        <f>IF(ISNUMBER(F93),MAX(DATE(2026,6,6),F93+7),"at retest sampling")</f>
        <v/>
      </c>
      <c r="F93" s="274" t="n">
        <v>46266</v>
      </c>
      <c r="G93" s="129" t="inlineStr">
        <is>
          <t>564-1095-26</t>
        </is>
      </c>
      <c r="H93" s="129">
        <f>IFERROR(INDEX('iCoA Register'!$B:$B,MATCH("P050012|R",'iCoA Register'!$P:$P,0)),"—")</f>
        <v/>
      </c>
      <c r="I93" s="274">
        <f>IFERROR(INDEX('iCoA Register'!$D:$D,MATCH("P050012|R",'iCoA Register'!$P:$P,0)),"")</f>
        <v/>
      </c>
      <c r="J93" s="129" t="inlineStr">
        <is>
          <t>legacy</t>
        </is>
      </c>
      <c r="K93" s="129" t="inlineStr">
        <is>
          <t>retest — sampled — Tranche 2/3 (potency and mycotoxins pending)</t>
        </is>
      </c>
      <c r="L93" s="130" t="inlineStr">
        <is>
          <t>GG1024_02</t>
        </is>
      </c>
      <c r="M93" s="129" t="inlineStr">
        <is>
          <t>P050012</t>
        </is>
      </c>
      <c r="N93" s="129" t="inlineStr">
        <is>
          <t>Gorilla Glue</t>
        </is>
      </c>
      <c r="O93" s="141" t="inlineStr">
        <is>
          <t>— retest assay not yet on file —</t>
        </is>
      </c>
      <c r="P93" s="141" t="inlineStr">
        <is>
          <t>—</t>
        </is>
      </c>
      <c r="Q93" s="129" t="inlineStr">
        <is>
          <t>—</t>
        </is>
      </c>
      <c r="R93" s="129" t="inlineStr">
        <is>
          <t>CoQ reissue (assigned on issue)</t>
        </is>
      </c>
      <c r="S93" s="129" t="inlineStr">
        <is>
          <t>P050012|R</t>
        </is>
      </c>
      <c r="T93" s="135" t="inlineStr">
        <is>
          <t>not yet issuable — sampled — microbiology on file, retest assay pending · issued on the first working day 7 days after the latest retest certificate, once the in-house iCoA exists</t>
        </is>
      </c>
    </row>
    <row r="94">
      <c r="A94" s="129">
        <f>IF(C94="yes",COUNT(A$1:A93)+1,"")</f>
        <v/>
      </c>
      <c r="B94" s="130">
        <f>IF(A94&lt;&gt;"","CoQ-PP_26-"&amp;TEXT(A94,"000"),"— at issue —")</f>
        <v/>
      </c>
      <c r="C94" s="141" t="inlineStr">
        <is>
          <t>no</t>
        </is>
      </c>
      <c r="D94" s="274">
        <f>IF(A94="","",MAX(E94,IF(ISNUMBER(I94),I94,0),IFERROR(IF(ISNUMBER(INDEX('iCoA Register'!$F:$F,MATCH(S94,'iCoA Register'!$P:$P,0))),INDEX('iCoA Register'!$F:$F,MATCH(S94,'iCoA Register'!$P:$P,0)),0),0)))</f>
        <v/>
      </c>
      <c r="E94" s="274">
        <f>IF(ISNUMBER(F94),MAX(DATE(2026,6,6),F94+7),"at retest sampling")</f>
        <v/>
      </c>
      <c r="F94" s="274" t="n">
        <v>46244</v>
      </c>
      <c r="G94" s="129" t="inlineStr">
        <is>
          <t>197-11-M-26</t>
        </is>
      </c>
      <c r="H94" s="129">
        <f>IFERROR(INDEX('iCoA Register'!$B:$B,MATCH("P050022|R",'iCoA Register'!$P:$P,0)),"—")</f>
        <v/>
      </c>
      <c r="I94" s="274">
        <f>IFERROR(INDEX('iCoA Register'!$D:$D,MATCH("P050022|R",'iCoA Register'!$P:$P,0)),"")</f>
        <v/>
      </c>
      <c r="J94" s="129" t="inlineStr">
        <is>
          <t>legacy</t>
        </is>
      </c>
      <c r="K94" s="129" t="inlineStr">
        <is>
          <t>retest — Tranche 1 (sampled July 2026)</t>
        </is>
      </c>
      <c r="L94" s="130" t="inlineStr">
        <is>
          <t>GP0824_02</t>
        </is>
      </c>
      <c r="M94" s="129" t="inlineStr">
        <is>
          <t>P050022</t>
        </is>
      </c>
      <c r="N94" s="129" t="inlineStr">
        <is>
          <t>Grape Pie</t>
        </is>
      </c>
      <c r="O94" s="129" t="inlineStr">
        <is>
          <t>197-11-K-26, (07.08.2026) [FHM-K]</t>
        </is>
      </c>
      <c r="P94" s="141" t="inlineStr">
        <is>
          <t>—</t>
        </is>
      </c>
      <c r="Q94" s="129" t="inlineStr">
        <is>
          <t>—</t>
        </is>
      </c>
      <c r="R94" s="129" t="inlineStr">
        <is>
          <t>CoQ-PP-2026-0032</t>
        </is>
      </c>
      <c r="S94" s="129" t="inlineStr">
        <is>
          <t>P050022|R</t>
        </is>
      </c>
      <c r="T94" s="135" t="inlineStr">
        <is>
          <t>not yet issuable — due — retest assay, mycotoxins on file; in-house iCoA to test · issued on the first working day 7 days after the latest retest certificate, once the in-house iCoA exists</t>
        </is>
      </c>
    </row>
    <row r="95">
      <c r="A95" s="129">
        <f>IF(C95="yes",COUNT(A$1:A94)+1,"")</f>
        <v/>
      </c>
      <c r="B95" s="130">
        <f>IF(A95&lt;&gt;"","CoQ-PP_26-"&amp;TEXT(A95,"000"),"— at issue —")</f>
        <v/>
      </c>
      <c r="C95" s="141" t="inlineStr">
        <is>
          <t>no</t>
        </is>
      </c>
      <c r="D95" s="274">
        <f>IF(A95="","",MAX(E95,IF(ISNUMBER(I95),I95,0),IFERROR(IF(ISNUMBER(INDEX('iCoA Register'!$F:$F,MATCH(S95,'iCoA Register'!$P:$P,0))),INDEX('iCoA Register'!$F:$F,MATCH(S95,'iCoA Register'!$P:$P,0)),0),0)))</f>
        <v/>
      </c>
      <c r="E95" s="274">
        <f>IF(ISNUMBER(F95),MAX(DATE(2026,6,6),F95+7),"at retest sampling")</f>
        <v/>
      </c>
      <c r="F95" s="274" t="inlineStr">
        <is>
          <t>— not yet sampled —</t>
        </is>
      </c>
      <c r="G95" s="129" t="inlineStr">
        <is>
          <t>—</t>
        </is>
      </c>
      <c r="H95" s="129">
        <f>IFERROR(INDEX('iCoA Register'!$B:$B,MATCH("P050042|R",'iCoA Register'!$P:$P,0)),"—")</f>
        <v/>
      </c>
      <c r="I95" s="274">
        <f>IFERROR(INDEX('iCoA Register'!$D:$D,MATCH("P050042|R",'iCoA Register'!$P:$P,0)),"")</f>
        <v/>
      </c>
      <c r="J95" s="129" t="inlineStr">
        <is>
          <t>legacy</t>
        </is>
      </c>
      <c r="K95" s="129" t="inlineStr">
        <is>
          <t>retest — not yet sampled</t>
        </is>
      </c>
      <c r="L95" s="130" t="inlineStr">
        <is>
          <t>OMP1024_01</t>
        </is>
      </c>
      <c r="M95" s="129" t="inlineStr">
        <is>
          <t>P050042</t>
        </is>
      </c>
      <c r="N95" s="129" t="inlineStr">
        <is>
          <t>Orange Punch Mimosa</t>
        </is>
      </c>
      <c r="O95" s="141" t="inlineStr">
        <is>
          <t>— retest assay not yet on file —</t>
        </is>
      </c>
      <c r="P95" s="141" t="inlineStr">
        <is>
          <t>—</t>
        </is>
      </c>
      <c r="Q95" s="129" t="inlineStr">
        <is>
          <t>—</t>
        </is>
      </c>
      <c r="R95" s="129" t="inlineStr">
        <is>
          <t>CoQ-PP-2026-0033</t>
        </is>
      </c>
      <c r="S95" s="129" t="inlineStr">
        <is>
          <t>P050042|R</t>
        </is>
      </c>
      <c r="T95" s="135" t="inlineStr">
        <is>
          <t>not yet issuable — pending — not yet sampled · issued on the first working day 7 days after the latest retest certificate, once the in-house iCoA exists</t>
        </is>
      </c>
    </row>
    <row r="96">
      <c r="A96" s="129">
        <f>IF(C96="yes",COUNT(A$1:A95)+1,"")</f>
        <v/>
      </c>
      <c r="B96" s="130">
        <f>IF(A96&lt;&gt;"","CoQ-PP_26-"&amp;TEXT(A96,"000"),"— at issue —")</f>
        <v/>
      </c>
      <c r="C96" s="141" t="inlineStr">
        <is>
          <t>no</t>
        </is>
      </c>
      <c r="D96" s="274">
        <f>IF(A96="","",MAX(E96,IF(ISNUMBER(I96),I96,0),IFERROR(IF(ISNUMBER(INDEX('iCoA Register'!$F:$F,MATCH(S96,'iCoA Register'!$P:$P,0))),INDEX('iCoA Register'!$F:$F,MATCH(S96,'iCoA Register'!$P:$P,0)),0),0)))</f>
        <v/>
      </c>
      <c r="E96" s="274">
        <f>IF(ISNUMBER(F96),MAX(DATE(2026,6,6),F96+7),"at retest sampling")</f>
        <v/>
      </c>
      <c r="F96" s="274" t="n">
        <v>46244</v>
      </c>
      <c r="G96" s="129" t="inlineStr">
        <is>
          <t>197-14-M-26</t>
        </is>
      </c>
      <c r="H96" s="129">
        <f>IFERROR(INDEX('iCoA Register'!$B:$B,MATCH("P050052|R",'iCoA Register'!$P:$P,0)),"—")</f>
        <v/>
      </c>
      <c r="I96" s="274">
        <f>IFERROR(INDEX('iCoA Register'!$D:$D,MATCH("P050052|R",'iCoA Register'!$P:$P,0)),"")</f>
        <v/>
      </c>
      <c r="J96" s="129" t="inlineStr">
        <is>
          <t>legacy</t>
        </is>
      </c>
      <c r="K96" s="129" t="inlineStr">
        <is>
          <t>retest — Tranche 1 (sampled July 2026)</t>
        </is>
      </c>
      <c r="L96" s="130" t="inlineStr">
        <is>
          <t>HPA1024_01</t>
        </is>
      </c>
      <c r="M96" s="129" t="inlineStr">
        <is>
          <t>P050052</t>
        </is>
      </c>
      <c r="N96" s="129" t="inlineStr">
        <is>
          <t>High Pro Amnesia</t>
        </is>
      </c>
      <c r="O96" s="129" t="inlineStr">
        <is>
          <t>197-14-K-26, (07.08.2026) [FHM-K]</t>
        </is>
      </c>
      <c r="P96" s="141" t="inlineStr">
        <is>
          <t>—</t>
        </is>
      </c>
      <c r="Q96" s="129" t="inlineStr">
        <is>
          <t>—</t>
        </is>
      </c>
      <c r="R96" s="129" t="inlineStr">
        <is>
          <t>CoQ-PP-2026-0034</t>
        </is>
      </c>
      <c r="S96" s="129" t="inlineStr">
        <is>
          <t>P050052|R</t>
        </is>
      </c>
      <c r="T96" s="135" t="inlineStr">
        <is>
          <t>not yet issuable — due — retest assay, mycotoxins on file; in-house iCoA to test · issued on the first working day 7 days after the latest retest certificate, once the in-house iCoA exists</t>
        </is>
      </c>
    </row>
    <row r="97">
      <c r="A97" s="129">
        <f>IF(C97="yes",COUNT(A$1:A96)+1,"")</f>
        <v/>
      </c>
      <c r="B97" s="130">
        <f>IF(A97&lt;&gt;"","CoQ-PP_26-"&amp;TEXT(A97,"000"),"— at issue —")</f>
        <v/>
      </c>
      <c r="C97" s="141" t="inlineStr">
        <is>
          <t>no</t>
        </is>
      </c>
      <c r="D97" s="274">
        <f>IF(A97="","",MAX(E97,IF(ISNUMBER(I97),I97,0),IFERROR(IF(ISNUMBER(INDEX('iCoA Register'!$F:$F,MATCH(S97,'iCoA Register'!$P:$P,0))),INDEX('iCoA Register'!$F:$F,MATCH(S97,'iCoA Register'!$P:$P,0)),0),0)))</f>
        <v/>
      </c>
      <c r="E97" s="274">
        <f>IF(ISNUMBER(F97),MAX(DATE(2026,6,6),F97+7),"at retest sampling")</f>
        <v/>
      </c>
      <c r="F97" s="274" t="n">
        <v>46244</v>
      </c>
      <c r="G97" s="129" t="inlineStr">
        <is>
          <t>197-18-M-26</t>
        </is>
      </c>
      <c r="H97" s="129">
        <f>IFERROR(INDEX('iCoA Register'!$B:$B,MATCH("P050062|R",'iCoA Register'!$P:$P,0)),"—")</f>
        <v/>
      </c>
      <c r="I97" s="274">
        <f>IFERROR(INDEX('iCoA Register'!$D:$D,MATCH("P050062|R",'iCoA Register'!$P:$P,0)),"")</f>
        <v/>
      </c>
      <c r="J97" s="129" t="inlineStr">
        <is>
          <t>legacy</t>
        </is>
      </c>
      <c r="K97" s="129" t="inlineStr">
        <is>
          <t>retest — Tranche 1 (sampled July 2026)</t>
        </is>
      </c>
      <c r="L97" s="130" t="inlineStr">
        <is>
          <t>OPM1024_02</t>
        </is>
      </c>
      <c r="M97" s="129" t="inlineStr">
        <is>
          <t>P050062</t>
        </is>
      </c>
      <c r="N97" s="129" t="inlineStr">
        <is>
          <t>Orange Punch Mimosa</t>
        </is>
      </c>
      <c r="O97" s="129" t="inlineStr">
        <is>
          <t>197-18-K-26, (07.08.2026) [FHM-K]</t>
        </is>
      </c>
      <c r="P97" s="141" t="inlineStr">
        <is>
          <t>—</t>
        </is>
      </c>
      <c r="Q97" s="129" t="inlineStr">
        <is>
          <t>—</t>
        </is>
      </c>
      <c r="R97" s="129" t="inlineStr">
        <is>
          <t>CoQ-PP-2026-0035</t>
        </is>
      </c>
      <c r="S97" s="129" t="inlineStr">
        <is>
          <t>P050062|R</t>
        </is>
      </c>
      <c r="T97" s="135" t="inlineStr">
        <is>
          <t>not yet issuable — due — retest assay, mycotoxins on file; in-house iCoA to test · issued on the first working day 7 days after the latest retest certificate, once the in-house iCoA exists</t>
        </is>
      </c>
    </row>
    <row r="98">
      <c r="A98" s="129">
        <f>IF(C98="yes",COUNT(A$1:A97)+1,"")</f>
        <v/>
      </c>
      <c r="B98" s="130">
        <f>IF(A98&lt;&gt;"","CoQ-PP_26-"&amp;TEXT(A98,"000"),"— at issue —")</f>
        <v/>
      </c>
      <c r="C98" s="141" t="inlineStr">
        <is>
          <t>no</t>
        </is>
      </c>
      <c r="D98" s="274">
        <f>IF(A98="","",MAX(E98,IF(ISNUMBER(I98),I98,0),IFERROR(IF(ISNUMBER(INDEX('iCoA Register'!$F:$F,MATCH(S98,'iCoA Register'!$P:$P,0))),INDEX('iCoA Register'!$F:$F,MATCH(S98,'iCoA Register'!$P:$P,0)),0),0)))</f>
        <v/>
      </c>
      <c r="E98" s="274">
        <f>IF(ISNUMBER(F98),MAX(DATE(2026,6,6),F98+7),"at retest sampling")</f>
        <v/>
      </c>
      <c r="F98" s="274" t="inlineStr">
        <is>
          <t>— not yet sampled —</t>
        </is>
      </c>
      <c r="G98" s="129" t="inlineStr">
        <is>
          <t>—</t>
        </is>
      </c>
      <c r="H98" s="129">
        <f>IFERROR(INDEX('iCoA Register'!$B:$B,MATCH("P050072|R",'iCoA Register'!$P:$P,0)),"—")</f>
        <v/>
      </c>
      <c r="I98" s="274">
        <f>IFERROR(INDEX('iCoA Register'!$D:$D,MATCH("P050072|R",'iCoA Register'!$P:$P,0)),"")</f>
        <v/>
      </c>
      <c r="J98" s="129" t="inlineStr">
        <is>
          <t>legacy</t>
        </is>
      </c>
      <c r="K98" s="129" t="inlineStr">
        <is>
          <t>retest — not yet sampled</t>
        </is>
      </c>
      <c r="L98" s="130" t="inlineStr">
        <is>
          <t>GP0824_03</t>
        </is>
      </c>
      <c r="M98" s="129" t="inlineStr">
        <is>
          <t>P050072</t>
        </is>
      </c>
      <c r="N98" s="129" t="inlineStr">
        <is>
          <t>Grape Pie</t>
        </is>
      </c>
      <c r="O98" s="141" t="inlineStr">
        <is>
          <t>— retest assay not yet on file —</t>
        </is>
      </c>
      <c r="P98" s="141" t="inlineStr">
        <is>
          <t>—</t>
        </is>
      </c>
      <c r="Q98" s="129" t="inlineStr">
        <is>
          <t>—</t>
        </is>
      </c>
      <c r="R98" s="129" t="inlineStr">
        <is>
          <t>CoQ-PP-2026-0036</t>
        </is>
      </c>
      <c r="S98" s="129" t="inlineStr">
        <is>
          <t>P050072|R</t>
        </is>
      </c>
      <c r="T98" s="135" t="inlineStr">
        <is>
          <t>not yet issuable — pending — not yet sampled · issued on the first working day 7 days after the latest retest certificate, once the in-house iCoA exists</t>
        </is>
      </c>
    </row>
    <row r="99">
      <c r="A99" s="129">
        <f>IF(C99="yes",COUNT(A$1:A98)+1,"")</f>
        <v/>
      </c>
      <c r="B99" s="130">
        <f>IF(A99&lt;&gt;"","CoQ-PP_26-"&amp;TEXT(A99,"000"),"— at issue —")</f>
        <v/>
      </c>
      <c r="C99" s="141" t="inlineStr">
        <is>
          <t>no</t>
        </is>
      </c>
      <c r="D99" s="274">
        <f>IF(A99="","",MAX(E99,IF(ISNUMBER(I99),I99,0),IFERROR(IF(ISNUMBER(INDEX('iCoA Register'!$F:$F,MATCH(S99,'iCoA Register'!$P:$P,0))),INDEX('iCoA Register'!$F:$F,MATCH(S99,'iCoA Register'!$P:$P,0)),0),0)))</f>
        <v/>
      </c>
      <c r="E99" s="274">
        <f>IF(ISNUMBER(F99),MAX(DATE(2026,6,6),F99+7),"at retest sampling")</f>
        <v/>
      </c>
      <c r="F99" s="274" t="inlineStr">
        <is>
          <t>— not yet sampled —</t>
        </is>
      </c>
      <c r="G99" s="129" t="inlineStr">
        <is>
          <t>—</t>
        </is>
      </c>
      <c r="H99" s="129">
        <f>IFERROR(INDEX('iCoA Register'!$B:$B,MATCH("P050082|R",'iCoA Register'!$P:$P,0)),"—")</f>
        <v/>
      </c>
      <c r="I99" s="274">
        <f>IFERROR(INDEX('iCoA Register'!$D:$D,MATCH("P050082|R",'iCoA Register'!$P:$P,0)),"")</f>
        <v/>
      </c>
      <c r="J99" s="129" t="inlineStr">
        <is>
          <t>legacy</t>
        </is>
      </c>
      <c r="K99" s="129" t="inlineStr">
        <is>
          <t>retest — not yet sampled</t>
        </is>
      </c>
      <c r="L99" s="130" t="inlineStr">
        <is>
          <t>OPM1024_03</t>
        </is>
      </c>
      <c r="M99" s="129" t="inlineStr">
        <is>
          <t>P050082</t>
        </is>
      </c>
      <c r="N99" s="129" t="inlineStr">
        <is>
          <t>Orange Punch Mimosa</t>
        </is>
      </c>
      <c r="O99" s="141" t="inlineStr">
        <is>
          <t>— retest assay not yet on file —</t>
        </is>
      </c>
      <c r="P99" s="141" t="inlineStr">
        <is>
          <t>—</t>
        </is>
      </c>
      <c r="Q99" s="129" t="inlineStr">
        <is>
          <t>—</t>
        </is>
      </c>
      <c r="R99" s="129" t="inlineStr">
        <is>
          <t>CoQ-PP-2026-0037</t>
        </is>
      </c>
      <c r="S99" s="129" t="inlineStr">
        <is>
          <t>P050082|R</t>
        </is>
      </c>
      <c r="T99" s="135" t="inlineStr">
        <is>
          <t>not yet issuable — pending — not yet sampled · issued on the first working day 7 days after the latest retest certificate, once the in-house iCoA exists</t>
        </is>
      </c>
    </row>
    <row r="100">
      <c r="A100" s="129">
        <f>IF(C100="yes",COUNT(A$1:A99)+1,"")</f>
        <v/>
      </c>
      <c r="B100" s="130">
        <f>IF(A100&lt;&gt;"","CoQ-PP_26-"&amp;TEXT(A100,"000"),"— at issue —")</f>
        <v/>
      </c>
      <c r="C100" s="141" t="inlineStr">
        <is>
          <t>no</t>
        </is>
      </c>
      <c r="D100" s="274">
        <f>IF(A100="","",MAX(E100,IF(ISNUMBER(I100),I100,0),IFERROR(IF(ISNUMBER(INDEX('iCoA Register'!$F:$F,MATCH(S100,'iCoA Register'!$P:$P,0))),INDEX('iCoA Register'!$F:$F,MATCH(S100,'iCoA Register'!$P:$P,0)),0),0)))</f>
        <v/>
      </c>
      <c r="E100" s="274">
        <f>IF(ISNUMBER(F100),MAX(DATE(2026,6,6),F100+7),"at retest sampling")</f>
        <v/>
      </c>
      <c r="F100" s="274" t="n">
        <v>46244</v>
      </c>
      <c r="G100" s="129" t="inlineStr">
        <is>
          <t>197-9-M-26</t>
        </is>
      </c>
      <c r="H100" s="129">
        <f>IFERROR(INDEX('iCoA Register'!$B:$B,MATCH("P050092|R",'iCoA Register'!$P:$P,0)),"—")</f>
        <v/>
      </c>
      <c r="I100" s="274">
        <f>IFERROR(INDEX('iCoA Register'!$D:$D,MATCH("P050092|R",'iCoA Register'!$P:$P,0)),"")</f>
        <v/>
      </c>
      <c r="J100" s="129" t="inlineStr">
        <is>
          <t>legacy</t>
        </is>
      </c>
      <c r="K100" s="129" t="inlineStr">
        <is>
          <t>retest — Tranche 1 (sampled July 2026)</t>
        </is>
      </c>
      <c r="L100" s="130" t="inlineStr">
        <is>
          <t>GG1024_01</t>
        </is>
      </c>
      <c r="M100" s="129" t="inlineStr">
        <is>
          <t>P050092</t>
        </is>
      </c>
      <c r="N100" s="129" t="inlineStr">
        <is>
          <t>Gorilla Glue</t>
        </is>
      </c>
      <c r="O100" s="129" t="inlineStr">
        <is>
          <t>197-9-K-26, (07.08.2026) [FHM-K]</t>
        </is>
      </c>
      <c r="P100" s="141" t="inlineStr">
        <is>
          <t>—</t>
        </is>
      </c>
      <c r="Q100" s="129" t="inlineStr">
        <is>
          <t>—</t>
        </is>
      </c>
      <c r="R100" s="129" t="inlineStr">
        <is>
          <t>CoQ-PP-2026-0038</t>
        </is>
      </c>
      <c r="S100" s="129" t="inlineStr">
        <is>
          <t>P050092|R</t>
        </is>
      </c>
      <c r="T100" s="135" t="inlineStr">
        <is>
          <t>not yet issuable — due — retest assay, mycotoxins on file; in-house iCoA to test · issued on the first working day 7 days after the latest retest certificate, once the in-house iCoA exists</t>
        </is>
      </c>
    </row>
    <row r="101">
      <c r="A101" s="129">
        <f>IF(C101="yes",COUNT(A$1:A100)+1,"")</f>
        <v/>
      </c>
      <c r="B101" s="130">
        <f>IF(A101&lt;&gt;"","CoQ-PP_26-"&amp;TEXT(A101,"000"),"— at issue —")</f>
        <v/>
      </c>
      <c r="C101" s="141" t="inlineStr">
        <is>
          <t>no</t>
        </is>
      </c>
      <c r="D101" s="274">
        <f>IF(A101="","",MAX(E101,IF(ISNUMBER(I101),I101,0),IFERROR(IF(ISNUMBER(INDEX('iCoA Register'!$F:$F,MATCH(S101,'iCoA Register'!$P:$P,0))),INDEX('iCoA Register'!$F:$F,MATCH(S101,'iCoA Register'!$P:$P,0)),0),0)))</f>
        <v/>
      </c>
      <c r="E101" s="274">
        <f>IF(ISNUMBER(F101),MAX(DATE(2026,6,6),F101+7),"at retest sampling")</f>
        <v/>
      </c>
      <c r="F101" s="274" t="inlineStr">
        <is>
          <t>— not yet sampled —</t>
        </is>
      </c>
      <c r="G101" s="129" t="inlineStr">
        <is>
          <t>—</t>
        </is>
      </c>
      <c r="H101" s="129">
        <f>IFERROR(INDEX('iCoA Register'!$B:$B,MATCH("P050112|R",'iCoA Register'!$P:$P,0)),"—")</f>
        <v/>
      </c>
      <c r="I101" s="274">
        <f>IFERROR(INDEX('iCoA Register'!$D:$D,MATCH("P050112|R",'iCoA Register'!$P:$P,0)),"")</f>
        <v/>
      </c>
      <c r="J101" s="129" t="inlineStr">
        <is>
          <t>legacy</t>
        </is>
      </c>
      <c r="K101" s="129" t="inlineStr">
        <is>
          <t>retest — not yet sampled</t>
        </is>
      </c>
      <c r="L101" s="130" t="inlineStr">
        <is>
          <t>MB0824_05</t>
        </is>
      </c>
      <c r="M101" s="129" t="inlineStr">
        <is>
          <t>P050112</t>
        </is>
      </c>
      <c r="N101" s="129" t="inlineStr">
        <is>
          <t>Motor Breath</t>
        </is>
      </c>
      <c r="O101" s="141" t="inlineStr">
        <is>
          <t>— retest assay not yet on file —</t>
        </is>
      </c>
      <c r="P101" s="141" t="inlineStr">
        <is>
          <t>—</t>
        </is>
      </c>
      <c r="Q101" s="129" t="inlineStr">
        <is>
          <t>—</t>
        </is>
      </c>
      <c r="R101" s="129" t="inlineStr">
        <is>
          <t>CoQ-PP-2026-0039</t>
        </is>
      </c>
      <c r="S101" s="129" t="inlineStr">
        <is>
          <t>P050112|R</t>
        </is>
      </c>
      <c r="T101" s="135" t="inlineStr">
        <is>
          <t>not yet issuable — pending — not yet sampled · issued on the first working day 7 days after the latest retest certificate, once the in-house iCoA exists</t>
        </is>
      </c>
    </row>
    <row r="102">
      <c r="A102" s="129">
        <f>IF(C102="yes",COUNT(A$1:A101)+1,"")</f>
        <v/>
      </c>
      <c r="B102" s="130">
        <f>IF(A102&lt;&gt;"","CoQ-PP_26-"&amp;TEXT(A102,"000"),"— at issue —")</f>
        <v/>
      </c>
      <c r="C102" s="141" t="inlineStr">
        <is>
          <t>no</t>
        </is>
      </c>
      <c r="D102" s="274">
        <f>IF(A102="","",MAX(E102,IF(ISNUMBER(I102),I102,0),IFERROR(IF(ISNUMBER(INDEX('iCoA Register'!$F:$F,MATCH(S102,'iCoA Register'!$P:$P,0))),INDEX('iCoA Register'!$F:$F,MATCH(S102,'iCoA Register'!$P:$P,0)),0),0)))</f>
        <v/>
      </c>
      <c r="E102" s="274">
        <f>IF(ISNUMBER(F102),MAX(DATE(2026,6,6),F102+7),"at retest sampling")</f>
        <v/>
      </c>
      <c r="F102" s="274" t="n">
        <v>46266</v>
      </c>
      <c r="G102" s="129" t="inlineStr">
        <is>
          <t>560-1091-26</t>
        </is>
      </c>
      <c r="H102" s="129">
        <f>IFERROR(INDEX('iCoA Register'!$B:$B,MATCH("P050132|R",'iCoA Register'!$P:$P,0)),"—")</f>
        <v/>
      </c>
      <c r="I102" s="274">
        <f>IFERROR(INDEX('iCoA Register'!$D:$D,MATCH("P050132|R",'iCoA Register'!$P:$P,0)),"")</f>
        <v/>
      </c>
      <c r="J102" s="129" t="inlineStr">
        <is>
          <t>legacy</t>
        </is>
      </c>
      <c r="K102" s="129" t="inlineStr">
        <is>
          <t>retest — sampled — Tranche 2/3 (potency and mycotoxins pending)</t>
        </is>
      </c>
      <c r="L102" s="130" t="inlineStr">
        <is>
          <t>OPM052501</t>
        </is>
      </c>
      <c r="M102" s="129" t="inlineStr">
        <is>
          <t>P050132</t>
        </is>
      </c>
      <c r="N102" s="129" t="inlineStr">
        <is>
          <t>Orange Punch Mimosa</t>
        </is>
      </c>
      <c r="O102" s="141" t="inlineStr">
        <is>
          <t>— retest assay not yet on file —</t>
        </is>
      </c>
      <c r="P102" s="141" t="inlineStr">
        <is>
          <t>—</t>
        </is>
      </c>
      <c r="Q102" s="129" t="inlineStr">
        <is>
          <t>—</t>
        </is>
      </c>
      <c r="R102" s="129" t="inlineStr">
        <is>
          <t>CoQ reissue (assigned on issue)</t>
        </is>
      </c>
      <c r="S102" s="129" t="inlineStr">
        <is>
          <t>P050132|R</t>
        </is>
      </c>
      <c r="T102" s="135" t="inlineStr">
        <is>
          <t>not yet issuable — sampled — microbiology on file, retest assay pending · issued on the first working day 7 days after the latest retest certificate, once the in-house iCoA exists</t>
        </is>
      </c>
    </row>
    <row r="103">
      <c r="A103" s="129">
        <f>IF(C103="yes",COUNT(A$1:A102)+1,"")</f>
        <v/>
      </c>
      <c r="B103" s="130">
        <f>IF(A103&lt;&gt;"","CoQ-PP_26-"&amp;TEXT(A103,"000"),"— at issue —")</f>
        <v/>
      </c>
      <c r="C103" s="141" t="inlineStr">
        <is>
          <t>no</t>
        </is>
      </c>
      <c r="D103" s="274">
        <f>IF(A103="","",MAX(E103,IF(ISNUMBER(I103),I103,0),IFERROR(IF(ISNUMBER(INDEX('iCoA Register'!$F:$F,MATCH(S103,'iCoA Register'!$P:$P,0))),INDEX('iCoA Register'!$F:$F,MATCH(S103,'iCoA Register'!$P:$P,0)),0),0)))</f>
        <v/>
      </c>
      <c r="E103" s="274">
        <f>IF(ISNUMBER(F103),MAX(DATE(2026,6,6),F103+7),"at retest sampling")</f>
        <v/>
      </c>
      <c r="F103" s="274" t="n">
        <v>46266</v>
      </c>
      <c r="G103" s="129" t="inlineStr">
        <is>
          <t>558-1089-26</t>
        </is>
      </c>
      <c r="H103" s="129">
        <f>IFERROR(INDEX('iCoA Register'!$B:$B,MATCH("P050172|R",'iCoA Register'!$P:$P,0)),"—")</f>
        <v/>
      </c>
      <c r="I103" s="274">
        <f>IFERROR(INDEX('iCoA Register'!$D:$D,MATCH("P050172|R",'iCoA Register'!$P:$P,0)),"")</f>
        <v/>
      </c>
      <c r="J103" s="129" t="inlineStr">
        <is>
          <t>legacy</t>
        </is>
      </c>
      <c r="K103" s="129" t="inlineStr">
        <is>
          <t>retest — sampled — Tranche 2/3 (potency and mycotoxins pending)</t>
        </is>
      </c>
      <c r="L103" s="130" t="inlineStr">
        <is>
          <t>CJ052501/02</t>
        </is>
      </c>
      <c r="M103" s="129" t="inlineStr">
        <is>
          <t>P050172</t>
        </is>
      </c>
      <c r="N103" s="129" t="inlineStr">
        <is>
          <t>Cap Junky</t>
        </is>
      </c>
      <c r="O103" s="141" t="inlineStr">
        <is>
          <t>— retest assay not yet on file —</t>
        </is>
      </c>
      <c r="P103" s="141" t="inlineStr">
        <is>
          <t>—</t>
        </is>
      </c>
      <c r="Q103" s="129" t="inlineStr">
        <is>
          <t>—</t>
        </is>
      </c>
      <c r="R103" s="129" t="inlineStr">
        <is>
          <t>CoQ reissue (assigned on issue)</t>
        </is>
      </c>
      <c r="S103" s="129" t="inlineStr">
        <is>
          <t>P050172|R</t>
        </is>
      </c>
      <c r="T103" s="135" t="inlineStr">
        <is>
          <t>not yet issuable — sampled — microbiology on file, retest assay pending · issued on the first working day 7 days after the latest retest certificate, once the in-house iCoA exists</t>
        </is>
      </c>
    </row>
    <row r="104">
      <c r="A104" s="129">
        <f>IF(C104="yes",COUNT(A$1:A103)+1,"")</f>
        <v/>
      </c>
      <c r="B104" s="130">
        <f>IF(A104&lt;&gt;"","CoQ-PP_26-"&amp;TEXT(A104,"000"),"— at issue —")</f>
        <v/>
      </c>
      <c r="C104" s="141" t="inlineStr">
        <is>
          <t>no</t>
        </is>
      </c>
      <c r="D104" s="274">
        <f>IF(A104="","",MAX(E104,IF(ISNUMBER(I104),I104,0),IFERROR(IF(ISNUMBER(INDEX('iCoA Register'!$F:$F,MATCH(S104,'iCoA Register'!$P:$P,0))),INDEX('iCoA Register'!$F:$F,MATCH(S104,'iCoA Register'!$P:$P,0)),0),0)))</f>
        <v/>
      </c>
      <c r="E104" s="274">
        <f>IF(ISNUMBER(F104),MAX(DATE(2026,6,6),F104+7),"at retest sampling")</f>
        <v/>
      </c>
      <c r="F104" s="274" t="n">
        <v>46244</v>
      </c>
      <c r="G104" s="129" t="inlineStr">
        <is>
          <t>197-10-M-26</t>
        </is>
      </c>
      <c r="H104" s="129">
        <f>IFERROR(INDEX('iCoA Register'!$B:$B,MATCH("P050152|R",'iCoA Register'!$P:$P,0)),"—")</f>
        <v/>
      </c>
      <c r="I104" s="274">
        <f>IFERROR(INDEX('iCoA Register'!$D:$D,MATCH("P050152|R",'iCoA Register'!$P:$P,0)),"")</f>
        <v/>
      </c>
      <c r="J104" s="129" t="inlineStr">
        <is>
          <t>legacy</t>
        </is>
      </c>
      <c r="K104" s="129" t="inlineStr">
        <is>
          <t>retest — Tranche 1 (sampled July 2026)</t>
        </is>
      </c>
      <c r="L104" s="130" t="inlineStr">
        <is>
          <t>GP052501</t>
        </is>
      </c>
      <c r="M104" s="129" t="inlineStr">
        <is>
          <t>P050152</t>
        </is>
      </c>
      <c r="N104" s="129" t="inlineStr">
        <is>
          <t>Grape Pie</t>
        </is>
      </c>
      <c r="O104" s="129" t="inlineStr">
        <is>
          <t>197-10-K-26, (07.08.2026) [FHM-K]</t>
        </is>
      </c>
      <c r="P104" s="141" t="inlineStr">
        <is>
          <t>—</t>
        </is>
      </c>
      <c r="Q104" s="129" t="inlineStr">
        <is>
          <t>—</t>
        </is>
      </c>
      <c r="R104" s="129" t="inlineStr">
        <is>
          <t>CoQ reissue (assigned on issue)</t>
        </is>
      </c>
      <c r="S104" s="129" t="inlineStr">
        <is>
          <t>P050152|R</t>
        </is>
      </c>
      <c r="T104" s="135" t="inlineStr">
        <is>
          <t>not yet issuable — due — retest assay, mycotoxins on file; in-house iCoA to test · issued on the first working day 7 days after the latest retest certificate, once the in-house iCoA exists</t>
        </is>
      </c>
    </row>
    <row r="105">
      <c r="A105" s="129">
        <f>IF(C105="yes",COUNT(A$1:A104)+1,"")</f>
        <v/>
      </c>
      <c r="B105" s="130">
        <f>IF(A105&lt;&gt;"","CoQ-PP_26-"&amp;TEXT(A105,"000"),"— at issue —")</f>
        <v/>
      </c>
      <c r="C105" s="141" t="inlineStr">
        <is>
          <t>no</t>
        </is>
      </c>
      <c r="D105" s="274">
        <f>IF(A105="","",MAX(E105,IF(ISNUMBER(I105),I105,0),IFERROR(IF(ISNUMBER(INDEX('iCoA Register'!$F:$F,MATCH(S105,'iCoA Register'!$P:$P,0))),INDEX('iCoA Register'!$F:$F,MATCH(S105,'iCoA Register'!$P:$P,0)),0),0)))</f>
        <v/>
      </c>
      <c r="E105" s="274">
        <f>IF(ISNUMBER(F105),MAX(DATE(2026,6,6),F105+7),"at retest sampling")</f>
        <v/>
      </c>
      <c r="F105" s="274" t="n">
        <v>46244</v>
      </c>
      <c r="G105" s="129" t="inlineStr">
        <is>
          <t>197-3-M-26</t>
        </is>
      </c>
      <c r="H105" s="129">
        <f>IFERROR(INDEX('iCoA Register'!$B:$B,MATCH("P050162|R",'iCoA Register'!$P:$P,0)),"—")</f>
        <v/>
      </c>
      <c r="I105" s="274">
        <f>IFERROR(INDEX('iCoA Register'!$D:$D,MATCH("P050162|R",'iCoA Register'!$P:$P,0)),"")</f>
        <v/>
      </c>
      <c r="J105" s="129" t="inlineStr">
        <is>
          <t>legacy</t>
        </is>
      </c>
      <c r="K105" s="129" t="inlineStr">
        <is>
          <t>retest — Tranche 1 (sampled July 2026)</t>
        </is>
      </c>
      <c r="L105" s="130" t="inlineStr">
        <is>
          <t>CJ052501/01</t>
        </is>
      </c>
      <c r="M105" s="129" t="inlineStr">
        <is>
          <t>P050162</t>
        </is>
      </c>
      <c r="N105" s="129" t="inlineStr">
        <is>
          <t>Cup Junky</t>
        </is>
      </c>
      <c r="O105" s="129" t="inlineStr">
        <is>
          <t>197-3-K-26, (07.08.2026) [FHM-K]</t>
        </is>
      </c>
      <c r="P105" s="141" t="inlineStr">
        <is>
          <t>—</t>
        </is>
      </c>
      <c r="Q105" s="129" t="inlineStr">
        <is>
          <t>—</t>
        </is>
      </c>
      <c r="R105" s="129" t="inlineStr">
        <is>
          <t>CoQ reissue (assigned on issue)</t>
        </is>
      </c>
      <c r="S105" s="129" t="inlineStr">
        <is>
          <t>P050162|R</t>
        </is>
      </c>
      <c r="T105" s="135" t="inlineStr">
        <is>
          <t>not yet issuable — due — retest assay, mycotoxins on file; in-house iCoA to test · issued on the first working day 7 days after the latest retest certificate, once the in-house iCoA exists</t>
        </is>
      </c>
    </row>
    <row r="106">
      <c r="A106" s="129">
        <f>IF(C106="yes",COUNT(A$1:A105)+1,"")</f>
        <v/>
      </c>
      <c r="B106" s="130">
        <f>IF(A106&lt;&gt;"","CoQ-PP_26-"&amp;TEXT(A106,"000"),"— at issue —")</f>
        <v/>
      </c>
      <c r="C106" s="141" t="inlineStr">
        <is>
          <t>no</t>
        </is>
      </c>
      <c r="D106" s="274">
        <f>IF(A106="","",MAX(E106,IF(ISNUMBER(I106),I106,0),IFERROR(IF(ISNUMBER(INDEX('iCoA Register'!$F:$F,MATCH(S106,'iCoA Register'!$P:$P,0))),INDEX('iCoA Register'!$F:$F,MATCH(S106,'iCoA Register'!$P:$P,0)),0),0)))</f>
        <v/>
      </c>
      <c r="E106" s="274">
        <f>IF(ISNUMBER(F106),MAX(DATE(2026,6,6),F106+7),"at retest sampling")</f>
        <v/>
      </c>
      <c r="F106" s="274" t="inlineStr">
        <is>
          <t>— not yet sampled —</t>
        </is>
      </c>
      <c r="G106" s="129" t="inlineStr">
        <is>
          <t>—</t>
        </is>
      </c>
      <c r="H106" s="129">
        <f>IFERROR(INDEX('iCoA Register'!$B:$B,MATCH("P050182|R",'iCoA Register'!$P:$P,0)),"—")</f>
        <v/>
      </c>
      <c r="I106" s="274">
        <f>IFERROR(INDEX('iCoA Register'!$D:$D,MATCH("P050182|R",'iCoA Register'!$P:$P,0)),"")</f>
        <v/>
      </c>
      <c r="J106" s="129" t="inlineStr">
        <is>
          <t>legacy</t>
        </is>
      </c>
      <c r="K106" s="129" t="inlineStr">
        <is>
          <t>retest — not yet sampled</t>
        </is>
      </c>
      <c r="L106" s="130" t="inlineStr">
        <is>
          <t>HPA052501</t>
        </is>
      </c>
      <c r="M106" s="129" t="inlineStr">
        <is>
          <t>P050182</t>
        </is>
      </c>
      <c r="N106" s="129" t="inlineStr">
        <is>
          <t>High Pro Amnesia</t>
        </is>
      </c>
      <c r="O106" s="141" t="inlineStr">
        <is>
          <t>— retest assay not yet on file —</t>
        </is>
      </c>
      <c r="P106" s="141" t="inlineStr">
        <is>
          <t>—</t>
        </is>
      </c>
      <c r="Q106" s="129" t="inlineStr">
        <is>
          <t>—</t>
        </is>
      </c>
      <c r="R106" s="129" t="inlineStr">
        <is>
          <t>CoQ reissue (assigned on issue)</t>
        </is>
      </c>
      <c r="S106" s="129" t="inlineStr">
        <is>
          <t>P050182|R</t>
        </is>
      </c>
      <c r="T106" s="135" t="inlineStr">
        <is>
          <t>not yet issuable — pending — not yet sampled · issued on the first working day 7 days after the latest retest certificate, once the in-house iCoA exists</t>
        </is>
      </c>
    </row>
    <row r="107">
      <c r="A107" s="129">
        <f>IF(C107="yes",COUNT(A$1:A106)+1,"")</f>
        <v/>
      </c>
      <c r="B107" s="130">
        <f>IF(A107&lt;&gt;"","CoQ-PP_26-"&amp;TEXT(A107,"000"),"— at issue —")</f>
        <v/>
      </c>
      <c r="C107" s="141" t="inlineStr">
        <is>
          <t>no</t>
        </is>
      </c>
      <c r="D107" s="274">
        <f>IF(A107="","",MAX(E107,IF(ISNUMBER(I107),I107,0),IFERROR(IF(ISNUMBER(INDEX('iCoA Register'!$F:$F,MATCH(S107,'iCoA Register'!$P:$P,0))),INDEX('iCoA Register'!$F:$F,MATCH(S107,'iCoA Register'!$P:$P,0)),0),0)))</f>
        <v/>
      </c>
      <c r="E107" s="274">
        <f>IF(ISNUMBER(F107),MAX(DATE(2026,6,6),F107+7),"at retest sampling")</f>
        <v/>
      </c>
      <c r="F107" s="274" t="n">
        <v>46265</v>
      </c>
      <c r="G107" s="129" t="inlineStr">
        <is>
          <t>548-1079-26</t>
        </is>
      </c>
      <c r="H107" s="129">
        <f>IFERROR(INDEX('iCoA Register'!$B:$B,MATCH("P050192|R",'iCoA Register'!$P:$P,0)),"—")</f>
        <v/>
      </c>
      <c r="I107" s="274">
        <f>IFERROR(INDEX('iCoA Register'!$D:$D,MATCH("P050192|R",'iCoA Register'!$P:$P,0)),"")</f>
        <v/>
      </c>
      <c r="J107" s="129" t="inlineStr">
        <is>
          <t>legacy</t>
        </is>
      </c>
      <c r="K107" s="129" t="inlineStr">
        <is>
          <t>retest — sampled — Tranche 2/3 (potency and mycotoxins pending)</t>
        </is>
      </c>
      <c r="L107" s="130" t="inlineStr">
        <is>
          <t>BSS052501</t>
        </is>
      </c>
      <c r="M107" s="129" t="inlineStr">
        <is>
          <t>P050192</t>
        </is>
      </c>
      <c r="N107" s="129" t="inlineStr">
        <is>
          <t>Sleepy Joe</t>
        </is>
      </c>
      <c r="O107" s="141" t="inlineStr">
        <is>
          <t>— retest assay not yet on file —</t>
        </is>
      </c>
      <c r="P107" s="141" t="inlineStr">
        <is>
          <t>—</t>
        </is>
      </c>
      <c r="Q107" s="129" t="inlineStr">
        <is>
          <t>—</t>
        </is>
      </c>
      <c r="R107" s="129" t="inlineStr">
        <is>
          <t>CoQ reissue (assigned on issue)</t>
        </is>
      </c>
      <c r="S107" s="129" t="inlineStr">
        <is>
          <t>P050192|R</t>
        </is>
      </c>
      <c r="T107" s="135" t="inlineStr">
        <is>
          <t>not yet issuable — sampled — microbiology on file, retest assay pending · issued on the first working day 7 days after the latest retest certificate, once the in-house iCoA exists</t>
        </is>
      </c>
    </row>
    <row r="108">
      <c r="A108" s="129">
        <f>IF(C108="yes",COUNT(A$1:A107)+1,"")</f>
        <v/>
      </c>
      <c r="B108" s="130">
        <f>IF(A108&lt;&gt;"","CoQ-PP_26-"&amp;TEXT(A108,"000"),"— at issue —")</f>
        <v/>
      </c>
      <c r="C108" s="141" t="inlineStr">
        <is>
          <t>no</t>
        </is>
      </c>
      <c r="D108" s="274">
        <f>IF(A108="","",MAX(E108,IF(ISNUMBER(I108),I108,0),IFERROR(IF(ISNUMBER(INDEX('iCoA Register'!$F:$F,MATCH(S108,'iCoA Register'!$P:$P,0))),INDEX('iCoA Register'!$F:$F,MATCH(S108,'iCoA Register'!$P:$P,0)),0),0)))</f>
        <v/>
      </c>
      <c r="E108" s="274">
        <f>IF(ISNUMBER(F108),MAX(DATE(2026,6,6),F108+7),"at retest sampling")</f>
        <v/>
      </c>
      <c r="F108" s="274" t="inlineStr">
        <is>
          <t>— not yet sampled —</t>
        </is>
      </c>
      <c r="G108" s="129" t="inlineStr">
        <is>
          <t>—</t>
        </is>
      </c>
      <c r="H108" s="129">
        <f>IFERROR(INDEX('iCoA Register'!$B:$B,MATCH("P050222|R",'iCoA Register'!$P:$P,0)),"—")</f>
        <v/>
      </c>
      <c r="I108" s="274">
        <f>IFERROR(INDEX('iCoA Register'!$D:$D,MATCH("P050222|R",'iCoA Register'!$P:$P,0)),"")</f>
        <v/>
      </c>
      <c r="J108" s="129" t="inlineStr">
        <is>
          <t>legacy</t>
        </is>
      </c>
      <c r="K108" s="129" t="inlineStr">
        <is>
          <t>retest — not yet sampled</t>
        </is>
      </c>
      <c r="L108" s="130" t="inlineStr">
        <is>
          <t>CJ062501/1</t>
        </is>
      </c>
      <c r="M108" s="129" t="inlineStr">
        <is>
          <t>P050222</t>
        </is>
      </c>
      <c r="N108" s="129" t="inlineStr">
        <is>
          <t>Cap Junkie</t>
        </is>
      </c>
      <c r="O108" s="141" t="inlineStr">
        <is>
          <t>— retest assay not yet on file —</t>
        </is>
      </c>
      <c r="P108" s="141" t="inlineStr">
        <is>
          <t>—</t>
        </is>
      </c>
      <c r="Q108" s="129" t="inlineStr">
        <is>
          <t>—</t>
        </is>
      </c>
      <c r="R108" s="129" t="inlineStr">
        <is>
          <t>CoQ reissue (assigned on issue)</t>
        </is>
      </c>
      <c r="S108" s="129" t="inlineStr">
        <is>
          <t>P050222|R</t>
        </is>
      </c>
      <c r="T108" s="135" t="inlineStr">
        <is>
          <t>not yet issuable — pending — not yet sampled · issued on the first working day 7 days after the latest retest certificate, once the in-house iCoA exists</t>
        </is>
      </c>
    </row>
    <row r="109">
      <c r="A109" s="129">
        <f>IF(C109="yes",COUNT(A$1:A108)+1,"")</f>
        <v/>
      </c>
      <c r="B109" s="130">
        <f>IF(A109&lt;&gt;"","CoQ-PP_26-"&amp;TEXT(A109,"000"),"— at issue —")</f>
        <v/>
      </c>
      <c r="C109" s="141" t="inlineStr">
        <is>
          <t>no</t>
        </is>
      </c>
      <c r="D109" s="274">
        <f>IF(A109="","",MAX(E109,IF(ISNUMBER(I109),I109,0),IFERROR(IF(ISNUMBER(INDEX('iCoA Register'!$F:$F,MATCH(S109,'iCoA Register'!$P:$P,0))),INDEX('iCoA Register'!$F:$F,MATCH(S109,'iCoA Register'!$P:$P,0)),0),0)))</f>
        <v/>
      </c>
      <c r="E109" s="274">
        <f>IF(ISNUMBER(F109),MAX(DATE(2026,6,6),F109+7),"at retest sampling")</f>
        <v/>
      </c>
      <c r="F109" s="274" t="n">
        <v>46266</v>
      </c>
      <c r="G109" s="129" t="inlineStr">
        <is>
          <t>556-1087-26</t>
        </is>
      </c>
      <c r="H109" s="129">
        <f>IFERROR(INDEX('iCoA Register'!$B:$B,MATCH("P050252|R",'iCoA Register'!$P:$P,0)),"—")</f>
        <v/>
      </c>
      <c r="I109" s="274">
        <f>IFERROR(INDEX('iCoA Register'!$D:$D,MATCH("P050252|R",'iCoA Register'!$P:$P,0)),"")</f>
        <v/>
      </c>
      <c r="J109" s="129" t="inlineStr">
        <is>
          <t>legacy</t>
        </is>
      </c>
      <c r="K109" s="129" t="inlineStr">
        <is>
          <t>retest — sampled — Tranche 2/3 (potency and mycotoxins pending)</t>
        </is>
      </c>
      <c r="L109" s="130" t="inlineStr">
        <is>
          <t>CJ072501</t>
        </is>
      </c>
      <c r="M109" s="129" t="inlineStr">
        <is>
          <t>P050252</t>
        </is>
      </c>
      <c r="N109" s="129" t="inlineStr">
        <is>
          <t>Cap Junky</t>
        </is>
      </c>
      <c r="O109" s="141" t="inlineStr">
        <is>
          <t>— retest assay not yet on file —</t>
        </is>
      </c>
      <c r="P109" s="141" t="inlineStr">
        <is>
          <t>—</t>
        </is>
      </c>
      <c r="Q109" s="129" t="inlineStr">
        <is>
          <t>—</t>
        </is>
      </c>
      <c r="R109" s="129" t="inlineStr">
        <is>
          <t>CoQ reissue (assigned on issue)</t>
        </is>
      </c>
      <c r="S109" s="129" t="inlineStr">
        <is>
          <t>P050252|R</t>
        </is>
      </c>
      <c r="T109" s="135" t="inlineStr">
        <is>
          <t>not yet issuable — sampled — microbiology on file, retest assay pending · issued on the first working day 7 days after the latest retest certificate, once the in-house iCoA exists</t>
        </is>
      </c>
    </row>
    <row r="110">
      <c r="A110" s="129">
        <f>IF(C110="yes",COUNT(A$1:A109)+1,"")</f>
        <v/>
      </c>
      <c r="B110" s="130">
        <f>IF(A110&lt;&gt;"","CoQ-PP_26-"&amp;TEXT(A110,"000"),"— at issue —")</f>
        <v/>
      </c>
      <c r="C110" s="141" t="inlineStr">
        <is>
          <t>no</t>
        </is>
      </c>
      <c r="D110" s="274">
        <f>IF(A110="","",MAX(E110,IF(ISNUMBER(I110),I110,0),IFERROR(IF(ISNUMBER(INDEX('iCoA Register'!$F:$F,MATCH(S110,'iCoA Register'!$P:$P,0))),INDEX('iCoA Register'!$F:$F,MATCH(S110,'iCoA Register'!$P:$P,0)),0),0)))</f>
        <v/>
      </c>
      <c r="E110" s="274">
        <f>IF(ISNUMBER(F110),MAX(DATE(2026,6,6),F110+7),"at retest sampling")</f>
        <v/>
      </c>
      <c r="F110" s="274" t="n">
        <v>46266</v>
      </c>
      <c r="G110" s="129" t="inlineStr">
        <is>
          <t>555-1086-26</t>
        </is>
      </c>
      <c r="H110" s="129">
        <f>IFERROR(INDEX('iCoA Register'!$B:$B,MATCH("P050262|R",'iCoA Register'!$P:$P,0)),"—")</f>
        <v/>
      </c>
      <c r="I110" s="274">
        <f>IFERROR(INDEX('iCoA Register'!$D:$D,MATCH("P050262|R",'iCoA Register'!$P:$P,0)),"")</f>
        <v/>
      </c>
      <c r="J110" s="129" t="inlineStr">
        <is>
          <t>legacy</t>
        </is>
      </c>
      <c r="K110" s="129" t="inlineStr">
        <is>
          <t>retest — sampled — Tranche 2/3 (potency and mycotoxins pending)</t>
        </is>
      </c>
      <c r="L110" s="130" t="inlineStr">
        <is>
          <t>WC072501</t>
        </is>
      </c>
      <c r="M110" s="129" t="inlineStr">
        <is>
          <t>P050262</t>
        </is>
      </c>
      <c r="N110" s="129" t="inlineStr">
        <is>
          <t>Wedding Crusher</t>
        </is>
      </c>
      <c r="O110" s="141" t="inlineStr">
        <is>
          <t>— retest assay not yet on file —</t>
        </is>
      </c>
      <c r="P110" s="141" t="inlineStr">
        <is>
          <t>—</t>
        </is>
      </c>
      <c r="Q110" s="129" t="inlineStr">
        <is>
          <t>—</t>
        </is>
      </c>
      <c r="R110" s="129" t="inlineStr">
        <is>
          <t>CoQ reissue (assigned on issue)</t>
        </is>
      </c>
      <c r="S110" s="129" t="inlineStr">
        <is>
          <t>P050262|R</t>
        </is>
      </c>
      <c r="T110" s="135" t="inlineStr">
        <is>
          <t>not yet issuable — sampled — microbiology on file, retest assay pending · issued on the first working day 7 days after the latest retest certificate, once the in-house iCoA exists</t>
        </is>
      </c>
    </row>
    <row r="111">
      <c r="A111" s="129">
        <f>IF(C111="yes",COUNT(A$1:A110)+1,"")</f>
        <v/>
      </c>
      <c r="B111" s="130">
        <f>IF(A111&lt;&gt;"","CoQ-PP_26-"&amp;TEXT(A111,"000"),"— at issue —")</f>
        <v/>
      </c>
      <c r="C111" s="141" t="inlineStr">
        <is>
          <t>no</t>
        </is>
      </c>
      <c r="D111" s="274">
        <f>IF(A111="","",MAX(E111,IF(ISNUMBER(I111),I111,0),IFERROR(IF(ISNUMBER(INDEX('iCoA Register'!$F:$F,MATCH(S111,'iCoA Register'!$P:$P,0))),INDEX('iCoA Register'!$F:$F,MATCH(S111,'iCoA Register'!$P:$P,0)),0),0)))</f>
        <v/>
      </c>
      <c r="E111" s="274">
        <f>IF(ISNUMBER(F111),MAX(DATE(2026,6,6),F111+7),"at retest sampling")</f>
        <v/>
      </c>
      <c r="F111" s="274" t="inlineStr">
        <is>
          <t>— not yet sampled —</t>
        </is>
      </c>
      <c r="G111" s="129" t="inlineStr">
        <is>
          <t>—</t>
        </is>
      </c>
      <c r="H111" s="129">
        <f>IFERROR(INDEX('iCoA Register'!$B:$B,MATCH("P050282|R",'iCoA Register'!$P:$P,0)),"—")</f>
        <v/>
      </c>
      <c r="I111" s="274">
        <f>IFERROR(INDEX('iCoA Register'!$D:$D,MATCH("P050282|R",'iCoA Register'!$P:$P,0)),"")</f>
        <v/>
      </c>
      <c r="J111" s="129" t="inlineStr">
        <is>
          <t>legacy</t>
        </is>
      </c>
      <c r="K111" s="129" t="inlineStr">
        <is>
          <t>retest — not yet sampled</t>
        </is>
      </c>
      <c r="L111" s="130" t="inlineStr">
        <is>
          <t>CLE072501</t>
        </is>
      </c>
      <c r="M111" s="129" t="inlineStr">
        <is>
          <t>P050282</t>
        </is>
      </c>
      <c r="N111" s="129" t="inlineStr">
        <is>
          <t>Clemosa a bud</t>
        </is>
      </c>
      <c r="O111" s="141" t="inlineStr">
        <is>
          <t>— retest assay not yet on file —</t>
        </is>
      </c>
      <c r="P111" s="141" t="inlineStr">
        <is>
          <t>—</t>
        </is>
      </c>
      <c r="Q111" s="129" t="inlineStr">
        <is>
          <t>—</t>
        </is>
      </c>
      <c r="R111" s="129" t="inlineStr">
        <is>
          <t>CoQ reissue (assigned on issue)</t>
        </is>
      </c>
      <c r="S111" s="129" t="inlineStr">
        <is>
          <t>P050282|R</t>
        </is>
      </c>
      <c r="T111" s="135" t="inlineStr">
        <is>
          <t>not yet issuable — pending — not yet sampled · issued on the first working day 7 days after the latest retest certificate, once the in-house iCoA exists</t>
        </is>
      </c>
    </row>
    <row r="112">
      <c r="A112" s="129">
        <f>IF(C112="yes",COUNT(A$1:A111)+1,"")</f>
        <v/>
      </c>
      <c r="B112" s="130">
        <f>IF(A112&lt;&gt;"","CoQ-PP_26-"&amp;TEXT(A112,"000"),"— at issue —")</f>
        <v/>
      </c>
      <c r="C112" s="141" t="inlineStr">
        <is>
          <t>no</t>
        </is>
      </c>
      <c r="D112" s="274">
        <f>IF(A112="","",MAX(E112,IF(ISNUMBER(I112),I112,0),IFERROR(IF(ISNUMBER(INDEX('iCoA Register'!$F:$F,MATCH(S112,'iCoA Register'!$P:$P,0))),INDEX('iCoA Register'!$F:$F,MATCH(S112,'iCoA Register'!$P:$P,0)),0),0)))</f>
        <v/>
      </c>
      <c r="E112" s="274">
        <f>IF(ISNUMBER(F112),MAX(DATE(2026,6,6),F112+7),"at retest sampling")</f>
        <v/>
      </c>
      <c r="F112" s="274" t="inlineStr">
        <is>
          <t>— not yet sampled —</t>
        </is>
      </c>
      <c r="G112" s="129" t="inlineStr">
        <is>
          <t>—</t>
        </is>
      </c>
      <c r="H112" s="129">
        <f>IFERROR(INDEX('iCoA Register'!$B:$B,MATCH("P050302|R",'iCoA Register'!$P:$P,0)),"—")</f>
        <v/>
      </c>
      <c r="I112" s="274">
        <f>IFERROR(INDEX('iCoA Register'!$D:$D,MATCH("P050302|R",'iCoA Register'!$P:$P,0)),"")</f>
        <v/>
      </c>
      <c r="J112" s="129" t="inlineStr">
        <is>
          <t>legacy</t>
        </is>
      </c>
      <c r="K112" s="129" t="inlineStr">
        <is>
          <t>retest — not yet sampled</t>
        </is>
      </c>
      <c r="L112" s="130" t="inlineStr">
        <is>
          <t>GP072501/2</t>
        </is>
      </c>
      <c r="M112" s="129" t="inlineStr">
        <is>
          <t>P050302</t>
        </is>
      </c>
      <c r="N112" s="129" t="inlineStr">
        <is>
          <t>Grape Pie</t>
        </is>
      </c>
      <c r="O112" s="141" t="inlineStr">
        <is>
          <t>— retest assay not yet on file —</t>
        </is>
      </c>
      <c r="P112" s="141" t="inlineStr">
        <is>
          <t>—</t>
        </is>
      </c>
      <c r="Q112" s="129" t="inlineStr">
        <is>
          <t>—</t>
        </is>
      </c>
      <c r="R112" s="129" t="inlineStr">
        <is>
          <t>CoQ reissue (assigned on issue)</t>
        </is>
      </c>
      <c r="S112" s="129" t="inlineStr">
        <is>
          <t>P050302|R</t>
        </is>
      </c>
      <c r="T112" s="135" t="inlineStr">
        <is>
          <t>not yet issuable — pending — not yet sampled · issued on the first working day 7 days after the latest retest certificate, once the in-house iCoA exists</t>
        </is>
      </c>
    </row>
    <row r="113">
      <c r="A113" s="129">
        <f>IF(C113="yes",COUNT(A$1:A112)+1,"")</f>
        <v/>
      </c>
      <c r="B113" s="130">
        <f>IF(A113&lt;&gt;"","CoQ-PP_26-"&amp;TEXT(A113,"000"),"— at issue —")</f>
        <v/>
      </c>
      <c r="C113" s="141" t="inlineStr">
        <is>
          <t>no</t>
        </is>
      </c>
      <c r="D113" s="274">
        <f>IF(A113="","",MAX(E113,IF(ISNUMBER(I113),I113,0),IFERROR(IF(ISNUMBER(INDEX('iCoA Register'!$F:$F,MATCH(S113,'iCoA Register'!$P:$P,0))),INDEX('iCoA Register'!$F:$F,MATCH(S113,'iCoA Register'!$P:$P,0)),0),0)))</f>
        <v/>
      </c>
      <c r="E113" s="274">
        <f>IF(ISNUMBER(F113),MAX(DATE(2026,6,6),F113+7),"at retest sampling")</f>
        <v/>
      </c>
      <c r="F113" s="274" t="inlineStr">
        <is>
          <t>— not yet sampled —</t>
        </is>
      </c>
      <c r="G113" s="129" t="inlineStr">
        <is>
          <t>—</t>
        </is>
      </c>
      <c r="H113" s="129">
        <f>IFERROR(INDEX('iCoA Register'!$B:$B,MATCH("P050312|R",'iCoA Register'!$P:$P,0)),"—")</f>
        <v/>
      </c>
      <c r="I113" s="274">
        <f>IFERROR(INDEX('iCoA Register'!$D:$D,MATCH("P050312|R",'iCoA Register'!$P:$P,0)),"")</f>
        <v/>
      </c>
      <c r="J113" s="129" t="inlineStr">
        <is>
          <t>legacy</t>
        </is>
      </c>
      <c r="K113" s="129" t="inlineStr">
        <is>
          <t>retest — not yet sampled</t>
        </is>
      </c>
      <c r="L113" s="130" t="inlineStr">
        <is>
          <t>GP082501/1</t>
        </is>
      </c>
      <c r="M113" s="129" t="inlineStr">
        <is>
          <t>P050312</t>
        </is>
      </c>
      <c r="N113" s="129" t="inlineStr">
        <is>
          <t>Grape Pie</t>
        </is>
      </c>
      <c r="O113" s="141" t="inlineStr">
        <is>
          <t>— retest assay not yet on file —</t>
        </is>
      </c>
      <c r="P113" s="141" t="inlineStr">
        <is>
          <t>—</t>
        </is>
      </c>
      <c r="Q113" s="129" t="inlineStr">
        <is>
          <t>—</t>
        </is>
      </c>
      <c r="R113" s="129" t="inlineStr">
        <is>
          <t>CoQ reissue (assigned on issue)</t>
        </is>
      </c>
      <c r="S113" s="129" t="inlineStr">
        <is>
          <t>P050312|R</t>
        </is>
      </c>
      <c r="T113" s="135" t="inlineStr">
        <is>
          <t>not yet issuable — pending — not yet sampled · issued on the first working day 7 days after the latest retest certificate, once the in-house iCoA exists</t>
        </is>
      </c>
    </row>
    <row r="114">
      <c r="A114" s="129">
        <f>IF(C114="yes",COUNT(A$1:A113)+1,"")</f>
        <v/>
      </c>
      <c r="B114" s="130">
        <f>IF(A114&lt;&gt;"","CoQ-PP_26-"&amp;TEXT(A114,"000"),"— at issue —")</f>
        <v/>
      </c>
      <c r="C114" s="141" t="inlineStr">
        <is>
          <t>no</t>
        </is>
      </c>
      <c r="D114" s="274">
        <f>IF(A114="","",MAX(E114,IF(ISNUMBER(I114),I114,0),IFERROR(IF(ISNUMBER(INDEX('iCoA Register'!$F:$F,MATCH(S114,'iCoA Register'!$P:$P,0))),INDEX('iCoA Register'!$F:$F,MATCH(S114,'iCoA Register'!$P:$P,0)),0),0)))</f>
        <v/>
      </c>
      <c r="E114" s="274">
        <f>IF(ISNUMBER(F114),MAX(DATE(2026,6,6),F114+7),"at retest sampling")</f>
        <v/>
      </c>
      <c r="F114" s="274" t="n">
        <v>46244</v>
      </c>
      <c r="G114" s="129" t="inlineStr">
        <is>
          <t>197-12-M-26</t>
        </is>
      </c>
      <c r="H114" s="129">
        <f>IFERROR(INDEX('iCoA Register'!$B:$B,MATCH("P050322|R",'iCoA Register'!$P:$P,0)),"—")</f>
        <v/>
      </c>
      <c r="I114" s="274">
        <f>IFERROR(INDEX('iCoA Register'!$D:$D,MATCH("P050322|R",'iCoA Register'!$P:$P,0)),"")</f>
        <v/>
      </c>
      <c r="J114" s="129" t="inlineStr">
        <is>
          <t>legacy</t>
        </is>
      </c>
      <c r="K114" s="129" t="inlineStr">
        <is>
          <t>retest — Tranche 1 (sampled July 2026)</t>
        </is>
      </c>
      <c r="L114" s="130" t="inlineStr">
        <is>
          <t>GP082501/2</t>
        </is>
      </c>
      <c r="M114" s="129" t="inlineStr">
        <is>
          <t>P050322</t>
        </is>
      </c>
      <c r="N114" s="129" t="inlineStr">
        <is>
          <t>Grape Pie</t>
        </is>
      </c>
      <c r="O114" s="129" t="inlineStr">
        <is>
          <t>197-12-K-26, (07.08.2026) [FHM-K]</t>
        </is>
      </c>
      <c r="P114" s="141" t="inlineStr">
        <is>
          <t>—</t>
        </is>
      </c>
      <c r="Q114" s="129" t="inlineStr">
        <is>
          <t>—</t>
        </is>
      </c>
      <c r="R114" s="129" t="inlineStr">
        <is>
          <t>CoQ reissue (assigned on issue)</t>
        </is>
      </c>
      <c r="S114" s="129" t="inlineStr">
        <is>
          <t>P050322|R</t>
        </is>
      </c>
      <c r="T114" s="135" t="inlineStr">
        <is>
          <t>not yet issuable — due — retest assay, mycotoxins on file; in-house iCoA to test · issued on the first working day 7 days after the latest retest certificate, once the in-house iCoA exists</t>
        </is>
      </c>
    </row>
    <row r="115">
      <c r="A115" s="129">
        <f>IF(C115="yes",COUNT(A$1:A114)+1,"")</f>
        <v/>
      </c>
      <c r="B115" s="130">
        <f>IF(A115&lt;&gt;"","CoQ-PP_26-"&amp;TEXT(A115,"000"),"— at issue —")</f>
        <v/>
      </c>
      <c r="C115" s="141" t="inlineStr">
        <is>
          <t>no</t>
        </is>
      </c>
      <c r="D115" s="274">
        <f>IF(A115="","",MAX(E115,IF(ISNUMBER(I115),I115,0),IFERROR(IF(ISNUMBER(INDEX('iCoA Register'!$F:$F,MATCH(S115,'iCoA Register'!$P:$P,0))),INDEX('iCoA Register'!$F:$F,MATCH(S115,'iCoA Register'!$P:$P,0)),0),0)))</f>
        <v/>
      </c>
      <c r="E115" s="274">
        <f>IF(ISNUMBER(F115),MAX(DATE(2026,6,6),F115+7),"at retest sampling")</f>
        <v/>
      </c>
      <c r="F115" s="274" t="inlineStr">
        <is>
          <t>— not yet sampled —</t>
        </is>
      </c>
      <c r="G115" s="129" t="inlineStr">
        <is>
          <t>—</t>
        </is>
      </c>
      <c r="H115" s="129">
        <f>IFERROR(INDEX('iCoA Register'!$B:$B,MATCH("P060012|R",'iCoA Register'!$P:$P,0)),"—")</f>
        <v/>
      </c>
      <c r="I115" s="274">
        <f>IFERROR(INDEX('iCoA Register'!$D:$D,MATCH("P060012|R",'iCoA Register'!$P:$P,0)),"")</f>
        <v/>
      </c>
      <c r="J115" s="129" t="inlineStr">
        <is>
          <t>legacy</t>
        </is>
      </c>
      <c r="K115" s="129" t="inlineStr">
        <is>
          <t>retest — not yet sampled</t>
        </is>
      </c>
      <c r="L115" s="130" t="inlineStr">
        <is>
          <t>WC082501</t>
        </is>
      </c>
      <c r="M115" s="129" t="inlineStr">
        <is>
          <t>P060012</t>
        </is>
      </c>
      <c r="N115" s="129" t="inlineStr">
        <is>
          <t>Wedding Crasher</t>
        </is>
      </c>
      <c r="O115" s="141" t="inlineStr">
        <is>
          <t>— retest assay not yet on file —</t>
        </is>
      </c>
      <c r="P115" s="141" t="inlineStr">
        <is>
          <t>—</t>
        </is>
      </c>
      <c r="Q115" s="129" t="inlineStr">
        <is>
          <t>—</t>
        </is>
      </c>
      <c r="R115" s="129" t="inlineStr">
        <is>
          <t>CoQ reissue (assigned on issue)</t>
        </is>
      </c>
      <c r="S115" s="129" t="inlineStr">
        <is>
          <t>P060012|R</t>
        </is>
      </c>
      <c r="T115" s="135" t="inlineStr">
        <is>
          <t>not yet issuable — pending — not yet sampled · issued on the first working day 7 days after the latest retest certificate, once the in-house iCoA exists</t>
        </is>
      </c>
    </row>
    <row r="116">
      <c r="A116" s="129">
        <f>IF(C116="yes",COUNT(A$1:A115)+1,"")</f>
        <v/>
      </c>
      <c r="B116" s="130">
        <f>IF(A116&lt;&gt;"","CoQ-PP_26-"&amp;TEXT(A116,"000"),"— at issue —")</f>
        <v/>
      </c>
      <c r="C116" s="141" t="inlineStr">
        <is>
          <t>no</t>
        </is>
      </c>
      <c r="D116" s="274">
        <f>IF(A116="","",MAX(E116,IF(ISNUMBER(I116),I116,0),IFERROR(IF(ISNUMBER(INDEX('iCoA Register'!$F:$F,MATCH(S116,'iCoA Register'!$P:$P,0))),INDEX('iCoA Register'!$F:$F,MATCH(S116,'iCoA Register'!$P:$P,0)),0),0)))</f>
        <v/>
      </c>
      <c r="E116" s="274">
        <f>IF(ISNUMBER(F116),MAX(DATE(2026,6,6),F116+7),"at retest sampling")</f>
        <v/>
      </c>
      <c r="F116" s="274" t="inlineStr">
        <is>
          <t>— not yet sampled —</t>
        </is>
      </c>
      <c r="G116" s="129" t="inlineStr">
        <is>
          <t>—</t>
        </is>
      </c>
      <c r="H116" s="129">
        <f>IFERROR(INDEX('iCoA Register'!$B:$B,MATCH("P060022|R",'iCoA Register'!$P:$P,0)),"—")</f>
        <v/>
      </c>
      <c r="I116" s="274">
        <f>IFERROR(INDEX('iCoA Register'!$D:$D,MATCH("P060022|R",'iCoA Register'!$P:$P,0)),"")</f>
        <v/>
      </c>
      <c r="J116" s="129" t="inlineStr">
        <is>
          <t>legacy</t>
        </is>
      </c>
      <c r="K116" s="129" t="inlineStr">
        <is>
          <t>retest — not yet sampled</t>
        </is>
      </c>
      <c r="L116" s="130" t="inlineStr">
        <is>
          <t>CJ082501/1</t>
        </is>
      </c>
      <c r="M116" s="129" t="inlineStr">
        <is>
          <t>P060022</t>
        </is>
      </c>
      <c r="N116" s="129" t="inlineStr">
        <is>
          <t>Cap Junky</t>
        </is>
      </c>
      <c r="O116" s="141" t="inlineStr">
        <is>
          <t>— retest assay not yet on file —</t>
        </is>
      </c>
      <c r="P116" s="141" t="inlineStr">
        <is>
          <t>—</t>
        </is>
      </c>
      <c r="Q116" s="129" t="inlineStr">
        <is>
          <t>—</t>
        </is>
      </c>
      <c r="R116" s="129" t="inlineStr">
        <is>
          <t>CoQ reissue (assigned on issue)</t>
        </is>
      </c>
      <c r="S116" s="129" t="inlineStr">
        <is>
          <t>P060022|R</t>
        </is>
      </c>
      <c r="T116" s="135" t="inlineStr">
        <is>
          <t>not yet issuable — pending — not yet sampled · issued on the first working day 7 days after the latest retest certificate, once the in-house iCoA exists</t>
        </is>
      </c>
    </row>
    <row r="117">
      <c r="A117" s="129">
        <f>IF(C117="yes",COUNT(A$1:A116)+1,"")</f>
        <v/>
      </c>
      <c r="B117" s="130">
        <f>IF(A117&lt;&gt;"","CoQ-PP_26-"&amp;TEXT(A117,"000"),"— at issue —")</f>
        <v/>
      </c>
      <c r="C117" s="141" t="inlineStr">
        <is>
          <t>no</t>
        </is>
      </c>
      <c r="D117" s="274">
        <f>IF(A117="","",MAX(E117,IF(ISNUMBER(I117),I117,0),IFERROR(IF(ISNUMBER(INDEX('iCoA Register'!$F:$F,MATCH(S117,'iCoA Register'!$P:$P,0))),INDEX('iCoA Register'!$F:$F,MATCH(S117,'iCoA Register'!$P:$P,0)),0),0)))</f>
        <v/>
      </c>
      <c r="E117" s="274">
        <f>IF(ISNUMBER(F117),MAX(DATE(2026,6,6),F117+7),"at retest sampling")</f>
        <v/>
      </c>
      <c r="F117" s="274" t="n">
        <v>46266</v>
      </c>
      <c r="G117" s="129" t="inlineStr">
        <is>
          <t>553-1084-26</t>
        </is>
      </c>
      <c r="H117" s="129">
        <f>IFERROR(INDEX('iCoA Register'!$B:$B,MATCH("P050292|R",'iCoA Register'!$P:$P,0)),"—")</f>
        <v/>
      </c>
      <c r="I117" s="274">
        <f>IFERROR(INDEX('iCoA Register'!$D:$D,MATCH("P050292|R",'iCoA Register'!$P:$P,0)),"")</f>
        <v/>
      </c>
      <c r="J117" s="129" t="inlineStr">
        <is>
          <t>legacy</t>
        </is>
      </c>
      <c r="K117" s="129" t="inlineStr">
        <is>
          <t>retest — sampled — Tranche 2/3 (potency and mycotoxins pending)</t>
        </is>
      </c>
      <c r="L117" s="130" t="inlineStr">
        <is>
          <t>GP072501/1</t>
        </is>
      </c>
      <c r="M117" s="129" t="inlineStr">
        <is>
          <t>P050292</t>
        </is>
      </c>
      <c r="N117" s="129" t="inlineStr">
        <is>
          <t>Grape Pie</t>
        </is>
      </c>
      <c r="O117" s="141" t="inlineStr">
        <is>
          <t>— retest assay not yet on file —</t>
        </is>
      </c>
      <c r="P117" s="141" t="inlineStr">
        <is>
          <t>—</t>
        </is>
      </c>
      <c r="Q117" s="129" t="inlineStr">
        <is>
          <t>—</t>
        </is>
      </c>
      <c r="R117" s="129" t="inlineStr">
        <is>
          <t>CoQ reissue (assigned on issue)</t>
        </is>
      </c>
      <c r="S117" s="129" t="inlineStr">
        <is>
          <t>P050292|R</t>
        </is>
      </c>
      <c r="T117" s="135" t="inlineStr">
        <is>
          <t>not yet issuable — sampled — microbiology on file, retest assay pending · issued on the first working day 7 days after the latest retest certificate, once the in-house iCoA exists</t>
        </is>
      </c>
    </row>
    <row r="118">
      <c r="A118" s="129">
        <f>IF(C118="yes",COUNT(A$1:A117)+1,"")</f>
        <v/>
      </c>
      <c r="B118" s="130">
        <f>IF(A118&lt;&gt;"","CoQ-PP_26-"&amp;TEXT(A118,"000"),"— at issue —")</f>
        <v/>
      </c>
      <c r="C118" s="141" t="inlineStr">
        <is>
          <t>no</t>
        </is>
      </c>
      <c r="D118" s="274">
        <f>IF(A118="","",MAX(E118,IF(ISNUMBER(I118),I118,0),IFERROR(IF(ISNUMBER(INDEX('iCoA Register'!$F:$F,MATCH(S118,'iCoA Register'!$P:$P,0))),INDEX('iCoA Register'!$F:$F,MATCH(S118,'iCoA Register'!$P:$P,0)),0),0)))</f>
        <v/>
      </c>
      <c r="E118" s="274">
        <f>IF(ISNUMBER(F118),MAX(DATE(2026,6,6),F118+7),"at retest sampling")</f>
        <v/>
      </c>
      <c r="F118" s="274" t="n">
        <v>46266</v>
      </c>
      <c r="G118" s="129" t="inlineStr">
        <is>
          <t>554-1085-26</t>
        </is>
      </c>
      <c r="H118" s="129">
        <f>IFERROR(INDEX('iCoA Register'!$B:$B,MATCH("P050272|R",'iCoA Register'!$P:$P,0)),"—")</f>
        <v/>
      </c>
      <c r="I118" s="274">
        <f>IFERROR(INDEX('iCoA Register'!$D:$D,MATCH("P050272|R",'iCoA Register'!$P:$P,0)),"")</f>
        <v/>
      </c>
      <c r="J118" s="129" t="inlineStr">
        <is>
          <t>legacy</t>
        </is>
      </c>
      <c r="K118" s="129" t="inlineStr">
        <is>
          <t>retest — sampled — Tranche 2/3 (potency and mycotoxins pending)</t>
        </is>
      </c>
      <c r="L118" s="130" t="inlineStr">
        <is>
          <t>PM072501</t>
        </is>
      </c>
      <c r="M118" s="129" t="inlineStr">
        <is>
          <t>P050272</t>
        </is>
      </c>
      <c r="N118" s="129" t="inlineStr">
        <is>
          <t>Permanent Marker</t>
        </is>
      </c>
      <c r="O118" s="141" t="inlineStr">
        <is>
          <t>— retest assay not yet on file —</t>
        </is>
      </c>
      <c r="P118" s="141" t="inlineStr">
        <is>
          <t>—</t>
        </is>
      </c>
      <c r="Q118" s="129" t="inlineStr">
        <is>
          <t>—</t>
        </is>
      </c>
      <c r="R118" s="129" t="inlineStr">
        <is>
          <t>CoQ reissue (assigned on issue)</t>
        </is>
      </c>
      <c r="S118" s="129" t="inlineStr">
        <is>
          <t>P050272|R</t>
        </is>
      </c>
      <c r="T118" s="135" t="inlineStr">
        <is>
          <t>not yet issuable — sampled — microbiology on file, retest assay pending · issued on the first working day 7 days after the latest retest certificate, once the in-house iCoA exists</t>
        </is>
      </c>
    </row>
    <row r="119">
      <c r="A119" s="129">
        <f>IF(C119="yes",COUNT(A$1:A118)+1,"")</f>
        <v/>
      </c>
      <c r="B119" s="130">
        <f>IF(A119&lt;&gt;"","CoQ-PP_26-"&amp;TEXT(A119,"000"),"— at issue —")</f>
        <v/>
      </c>
      <c r="C119" s="141" t="inlineStr">
        <is>
          <t>no</t>
        </is>
      </c>
      <c r="D119" s="274">
        <f>IF(A119="","",MAX(E119,IF(ISNUMBER(I119),I119,0),IFERROR(IF(ISNUMBER(INDEX('iCoA Register'!$F:$F,MATCH(S119,'iCoA Register'!$P:$P,0))),INDEX('iCoA Register'!$F:$F,MATCH(S119,'iCoA Register'!$P:$P,0)),0),0)))</f>
        <v/>
      </c>
      <c r="E119" s="274">
        <f>IF(ISNUMBER(F119),MAX(DATE(2026,6,6),F119+7),"at retest sampling")</f>
        <v/>
      </c>
      <c r="F119" s="274" t="n">
        <v>46244</v>
      </c>
      <c r="G119" s="129" t="inlineStr">
        <is>
          <t>197-4-M-26</t>
        </is>
      </c>
      <c r="H119" s="129">
        <f>IFERROR(INDEX('iCoA Register'!$B:$B,MATCH("P050212|R",'iCoA Register'!$P:$P,0)),"—")</f>
        <v/>
      </c>
      <c r="I119" s="274">
        <f>IFERROR(INDEX('iCoA Register'!$D:$D,MATCH("P050212|R",'iCoA Register'!$P:$P,0)),"")</f>
        <v/>
      </c>
      <c r="J119" s="129" t="inlineStr">
        <is>
          <t>legacy</t>
        </is>
      </c>
      <c r="K119" s="129" t="inlineStr">
        <is>
          <t>retest — Tranche 1 (sampled July 2026)</t>
        </is>
      </c>
      <c r="L119" s="130" t="inlineStr">
        <is>
          <t>CJ062501/2</t>
        </is>
      </c>
      <c r="M119" s="129" t="inlineStr">
        <is>
          <t>P050212</t>
        </is>
      </c>
      <c r="N119" s="129" t="inlineStr">
        <is>
          <t>Cap Junkie</t>
        </is>
      </c>
      <c r="O119" s="129" t="inlineStr">
        <is>
          <t>197-4-K-26, (07.08.2026) [FHM-K]</t>
        </is>
      </c>
      <c r="P119" s="141" t="inlineStr">
        <is>
          <t>—</t>
        </is>
      </c>
      <c r="Q119" s="129" t="inlineStr">
        <is>
          <t>—</t>
        </is>
      </c>
      <c r="R119" s="129" t="inlineStr">
        <is>
          <t>CoQ reissue (assigned on issue)</t>
        </is>
      </c>
      <c r="S119" s="129" t="inlineStr">
        <is>
          <t>P050212|R</t>
        </is>
      </c>
      <c r="T119" s="135" t="inlineStr">
        <is>
          <t>not yet issuable — due — retest assay, mycotoxins on file; in-house iCoA to test · issued on the first working day 7 days after the latest retest certificate, once the in-house iCoA exists</t>
        </is>
      </c>
    </row>
    <row r="120">
      <c r="A120" s="129">
        <f>IF(C120="yes",COUNT(A$1:A119)+1,"")</f>
        <v/>
      </c>
      <c r="B120" s="130">
        <f>IF(A120&lt;&gt;"","CoQ-PP_26-"&amp;TEXT(A120,"000"),"— at issue —")</f>
        <v/>
      </c>
      <c r="C120" s="141" t="inlineStr">
        <is>
          <t>no</t>
        </is>
      </c>
      <c r="D120" s="274">
        <f>IF(A120="","",MAX(E120,IF(ISNUMBER(I120),I120,0),IFERROR(IF(ISNUMBER(INDEX('iCoA Register'!$F:$F,MATCH(S120,'iCoA Register'!$P:$P,0))),INDEX('iCoA Register'!$F:$F,MATCH(S120,'iCoA Register'!$P:$P,0)),0),0)))</f>
        <v/>
      </c>
      <c r="E120" s="274">
        <f>IF(ISNUMBER(F120),MAX(DATE(2026,6,6),F120+7),"at retest sampling")</f>
        <v/>
      </c>
      <c r="F120" s="274" t="n">
        <v>46244</v>
      </c>
      <c r="G120" s="129" t="inlineStr">
        <is>
          <t>197-5-M-26</t>
        </is>
      </c>
      <c r="H120" s="129">
        <f>IFERROR(INDEX('iCoA Register'!$B:$B,MATCH("P060032|R",'iCoA Register'!$P:$P,0)),"—")</f>
        <v/>
      </c>
      <c r="I120" s="274">
        <f>IFERROR(INDEX('iCoA Register'!$D:$D,MATCH("P060032|R",'iCoA Register'!$P:$P,0)),"")</f>
        <v/>
      </c>
      <c r="J120" s="129" t="inlineStr">
        <is>
          <t>legacy</t>
        </is>
      </c>
      <c r="K120" s="129" t="inlineStr">
        <is>
          <t>retest — Tranche 1 (sampled July 2026)</t>
        </is>
      </c>
      <c r="L120" s="130" t="inlineStr">
        <is>
          <t>CJ082501/2</t>
        </is>
      </c>
      <c r="M120" s="129" t="inlineStr">
        <is>
          <t>P060032</t>
        </is>
      </c>
      <c r="N120" s="129" t="inlineStr">
        <is>
          <t>Cap Junky</t>
        </is>
      </c>
      <c r="O120" s="129" t="inlineStr">
        <is>
          <t>197-5-K-26, (07.08.2026) [FHM-K]</t>
        </is>
      </c>
      <c r="P120" s="141" t="inlineStr">
        <is>
          <t>—</t>
        </is>
      </c>
      <c r="Q120" s="129" t="inlineStr">
        <is>
          <t>—</t>
        </is>
      </c>
      <c r="R120" s="129" t="inlineStr">
        <is>
          <t>CoQ reissue (assigned on issue)</t>
        </is>
      </c>
      <c r="S120" s="129" t="inlineStr">
        <is>
          <t>P060032|R</t>
        </is>
      </c>
      <c r="T120" s="135" t="inlineStr">
        <is>
          <t>not yet issuable — due — retest assay, mycotoxins on file; in-house iCoA to test · issued on the first working day 7 days after the latest retest certificate, once the in-house iCoA exists</t>
        </is>
      </c>
    </row>
    <row r="121">
      <c r="A121" s="129">
        <f>IF(C121="yes",COUNT(A$1:A120)+1,"")</f>
        <v/>
      </c>
      <c r="B121" s="130">
        <f>IF(A121&lt;&gt;"","CoQ-PP_26-"&amp;TEXT(A121,"000"),"— at issue —")</f>
        <v/>
      </c>
      <c r="C121" s="141" t="inlineStr">
        <is>
          <t>no</t>
        </is>
      </c>
      <c r="D121" s="274">
        <f>IF(A121="","",MAX(E121,IF(ISNUMBER(I121),I121,0),IFERROR(IF(ISNUMBER(INDEX('iCoA Register'!$F:$F,MATCH(S121,'iCoA Register'!$P:$P,0))),INDEX('iCoA Register'!$F:$F,MATCH(S121,'iCoA Register'!$P:$P,0)),0),0)))</f>
        <v/>
      </c>
      <c r="E121" s="274">
        <f>IF(ISNUMBER(F121),MAX(DATE(2026,6,6),F121+7),"at retest sampling")</f>
        <v/>
      </c>
      <c r="F121" s="274" t="inlineStr">
        <is>
          <t>— not yet sampled —</t>
        </is>
      </c>
      <c r="G121" s="129" t="inlineStr">
        <is>
          <t>—</t>
        </is>
      </c>
      <c r="H121" s="129">
        <f>IFERROR(INDEX('iCoA Register'!$B:$B,MATCH("P060042|R",'iCoA Register'!$P:$P,0)),"—")</f>
        <v/>
      </c>
      <c r="I121" s="274">
        <f>IFERROR(INDEX('iCoA Register'!$D:$D,MATCH("P060042|R",'iCoA Register'!$P:$P,0)),"")</f>
        <v/>
      </c>
      <c r="J121" s="129" t="inlineStr">
        <is>
          <t>legacy</t>
        </is>
      </c>
      <c r="K121" s="129" t="inlineStr">
        <is>
          <t>retest — not yet sampled</t>
        </is>
      </c>
      <c r="L121" s="130" t="inlineStr">
        <is>
          <t>OPM092501</t>
        </is>
      </c>
      <c r="M121" s="129" t="inlineStr">
        <is>
          <t>P060042</t>
        </is>
      </c>
      <c r="N121" s="129" t="inlineStr">
        <is>
          <t>Orange Punch Mimosa</t>
        </is>
      </c>
      <c r="O121" s="141" t="inlineStr">
        <is>
          <t>— retest assay not yet on file —</t>
        </is>
      </c>
      <c r="P121" s="141" t="inlineStr">
        <is>
          <t>—</t>
        </is>
      </c>
      <c r="Q121" s="129" t="inlineStr">
        <is>
          <t>—</t>
        </is>
      </c>
      <c r="R121" s="129" t="inlineStr">
        <is>
          <t>CoQ reissue (assigned on issue)</t>
        </is>
      </c>
      <c r="S121" s="129" t="inlineStr">
        <is>
          <t>P060042|R</t>
        </is>
      </c>
      <c r="T121" s="135" t="inlineStr">
        <is>
          <t>not yet issuable — pending — not yet sampled · issued on the first working day 7 days after the latest retest certificate, once the in-house iCoA exists</t>
        </is>
      </c>
    </row>
    <row r="122">
      <c r="A122" s="129">
        <f>IF(C122="yes",COUNT(A$1:A121)+1,"")</f>
        <v/>
      </c>
      <c r="B122" s="130">
        <f>IF(A122&lt;&gt;"","CoQ-PP_26-"&amp;TEXT(A122,"000"),"— at issue —")</f>
        <v/>
      </c>
      <c r="C122" s="141" t="inlineStr">
        <is>
          <t>no</t>
        </is>
      </c>
      <c r="D122" s="274">
        <f>IF(A122="","",MAX(E122,IF(ISNUMBER(I122),I122,0),IFERROR(IF(ISNUMBER(INDEX('iCoA Register'!$F:$F,MATCH(S122,'iCoA Register'!$P:$P,0))),INDEX('iCoA Register'!$F:$F,MATCH(S122,'iCoA Register'!$P:$P,0)),0),0)))</f>
        <v/>
      </c>
      <c r="E122" s="274">
        <f>IF(ISNUMBER(F122),MAX(DATE(2026,6,6),F122+7),"at retest sampling")</f>
        <v/>
      </c>
      <c r="F122" s="274" t="n">
        <v>46244</v>
      </c>
      <c r="G122" s="129" t="inlineStr">
        <is>
          <t>197-20-M-26</t>
        </is>
      </c>
      <c r="H122" s="129">
        <f>IFERROR(INDEX('iCoA Register'!$B:$B,MATCH("P060062|R",'iCoA Register'!$P:$P,0)),"—")</f>
        <v/>
      </c>
      <c r="I122" s="274">
        <f>IFERROR(INDEX('iCoA Register'!$D:$D,MATCH("P060062|R",'iCoA Register'!$P:$P,0)),"")</f>
        <v/>
      </c>
      <c r="J122" s="129" t="inlineStr">
        <is>
          <t>legacy</t>
        </is>
      </c>
      <c r="K122" s="129" t="inlineStr">
        <is>
          <t>retest — Tranche 1 (sampled July 2026)</t>
        </is>
      </c>
      <c r="L122" s="130" t="inlineStr">
        <is>
          <t>PM092501</t>
        </is>
      </c>
      <c r="M122" s="129" t="inlineStr">
        <is>
          <t>P060062</t>
        </is>
      </c>
      <c r="N122" s="129" t="inlineStr">
        <is>
          <t>Permanent Market</t>
        </is>
      </c>
      <c r="O122" s="129" t="inlineStr">
        <is>
          <t>197-20-K-26, (07.08.2026) [FHM-K]</t>
        </is>
      </c>
      <c r="P122" s="141" t="inlineStr">
        <is>
          <t>—</t>
        </is>
      </c>
      <c r="Q122" s="129" t="inlineStr">
        <is>
          <t>—</t>
        </is>
      </c>
      <c r="R122" s="129" t="inlineStr">
        <is>
          <t>CoQ reissue (assigned on issue)</t>
        </is>
      </c>
      <c r="S122" s="129" t="inlineStr">
        <is>
          <t>P060062|R</t>
        </is>
      </c>
      <c r="T122" s="135" t="inlineStr">
        <is>
          <t>not yet issuable — due — retest assay, mycotoxins on file; in-house iCoA to test · issued on the first working day 7 days after the latest retest certificate, once the in-house iCoA exists</t>
        </is>
      </c>
    </row>
    <row r="123">
      <c r="A123" s="129">
        <f>IF(C123="yes",COUNT(A$1:A122)+1,"")</f>
        <v/>
      </c>
      <c r="B123" s="130">
        <f>IF(A123&lt;&gt;"","CoQ-PP_26-"&amp;TEXT(A123,"000"),"— at issue —")</f>
        <v/>
      </c>
      <c r="C123" s="141" t="inlineStr">
        <is>
          <t>no</t>
        </is>
      </c>
      <c r="D123" s="274">
        <f>IF(A123="","",MAX(E123,IF(ISNUMBER(I123),I123,0),IFERROR(IF(ISNUMBER(INDEX('iCoA Register'!$F:$F,MATCH(S123,'iCoA Register'!$P:$P,0))),INDEX('iCoA Register'!$F:$F,MATCH(S123,'iCoA Register'!$P:$P,0)),0),0)))</f>
        <v/>
      </c>
      <c r="E123" s="274">
        <f>IF(ISNUMBER(F123),MAX(DATE(2026,6,6),F123+7),"at retest sampling")</f>
        <v/>
      </c>
      <c r="F123" s="274" t="inlineStr">
        <is>
          <t>— not yet sampled —</t>
        </is>
      </c>
      <c r="G123" s="129" t="inlineStr">
        <is>
          <t>—</t>
        </is>
      </c>
      <c r="H123" s="129">
        <f>IFERROR(INDEX('iCoA Register'!$B:$B,MATCH("P060072|R",'iCoA Register'!$P:$P,0)),"—")</f>
        <v/>
      </c>
      <c r="I123" s="274">
        <f>IFERROR(INDEX('iCoA Register'!$D:$D,MATCH("P060072|R",'iCoA Register'!$P:$P,0)),"")</f>
        <v/>
      </c>
      <c r="J123" s="129" t="inlineStr">
        <is>
          <t>legacy</t>
        </is>
      </c>
      <c r="K123" s="129" t="inlineStr">
        <is>
          <t>retest — not yet sampled</t>
        </is>
      </c>
      <c r="L123" s="130" t="inlineStr">
        <is>
          <t>CJ092501</t>
        </is>
      </c>
      <c r="M123" s="129" t="inlineStr">
        <is>
          <t>P060072</t>
        </is>
      </c>
      <c r="N123" s="129" t="inlineStr">
        <is>
          <t>Cap Junky</t>
        </is>
      </c>
      <c r="O123" s="141" t="inlineStr">
        <is>
          <t>— retest assay not yet on file —</t>
        </is>
      </c>
      <c r="P123" s="141" t="inlineStr">
        <is>
          <t>—</t>
        </is>
      </c>
      <c r="Q123" s="129" t="inlineStr">
        <is>
          <t>—</t>
        </is>
      </c>
      <c r="R123" s="129" t="inlineStr">
        <is>
          <t>CoQ reissue (assigned on issue)</t>
        </is>
      </c>
      <c r="S123" s="129" t="inlineStr">
        <is>
          <t>P060072|R</t>
        </is>
      </c>
      <c r="T123" s="135" t="inlineStr">
        <is>
          <t>not yet issuable — pending — not yet sampled · issued on the first working day 7 days after the latest retest certificate, once the in-house iCoA exists</t>
        </is>
      </c>
    </row>
    <row r="124">
      <c r="A124" s="129">
        <f>IF(C124="yes",COUNT(A$1:A123)+1,"")</f>
        <v/>
      </c>
      <c r="B124" s="130">
        <f>IF(A124&lt;&gt;"","CoQ-PP_26-"&amp;TEXT(A124,"000"),"— at issue —")</f>
        <v/>
      </c>
      <c r="C124" s="141" t="inlineStr">
        <is>
          <t>no</t>
        </is>
      </c>
      <c r="D124" s="274">
        <f>IF(A124="","",MAX(E124,IF(ISNUMBER(I124),I124,0),IFERROR(IF(ISNUMBER(INDEX('iCoA Register'!$F:$F,MATCH(S124,'iCoA Register'!$P:$P,0))),INDEX('iCoA Register'!$F:$F,MATCH(S124,'iCoA Register'!$P:$P,0)),0),0)))</f>
        <v/>
      </c>
      <c r="E124" s="274">
        <f>IF(ISNUMBER(F124),MAX(DATE(2026,6,6),F124+7),"at retest sampling")</f>
        <v/>
      </c>
      <c r="F124" s="274" t="inlineStr">
        <is>
          <t>— not yet sampled —</t>
        </is>
      </c>
      <c r="G124" s="129" t="inlineStr">
        <is>
          <t>—</t>
        </is>
      </c>
      <c r="H124" s="129">
        <f>IFERROR(INDEX('iCoA Register'!$B:$B,MATCH("P060082|R",'iCoA Register'!$P:$P,0)),"—")</f>
        <v/>
      </c>
      <c r="I124" s="274">
        <f>IFERROR(INDEX('iCoA Register'!$D:$D,MATCH("P060082|R",'iCoA Register'!$P:$P,0)),"")</f>
        <v/>
      </c>
      <c r="J124" s="129" t="inlineStr">
        <is>
          <t>legacy</t>
        </is>
      </c>
      <c r="K124" s="129" t="inlineStr">
        <is>
          <t>retest — not yet sampled</t>
        </is>
      </c>
      <c r="L124" s="130" t="inlineStr">
        <is>
          <t>SJ0925021</t>
        </is>
      </c>
      <c r="M124" s="129" t="inlineStr">
        <is>
          <t>P060082</t>
        </is>
      </c>
      <c r="N124" s="129" t="inlineStr"/>
      <c r="O124" s="141" t="inlineStr">
        <is>
          <t>— retest assay not yet on file —</t>
        </is>
      </c>
      <c r="P124" s="141" t="inlineStr">
        <is>
          <t>—</t>
        </is>
      </c>
      <c r="Q124" s="129" t="inlineStr">
        <is>
          <t>—</t>
        </is>
      </c>
      <c r="R124" s="129" t="inlineStr">
        <is>
          <t>CoQ reissue (assigned on issue)</t>
        </is>
      </c>
      <c r="S124" s="129" t="inlineStr">
        <is>
          <t>P060082|R</t>
        </is>
      </c>
      <c r="T124" s="135" t="inlineStr">
        <is>
          <t>not yet issuable — pending — not yet sampled · issued on the first working day 7 days after the latest retest certificate, once the in-house iCoA exists</t>
        </is>
      </c>
    </row>
    <row r="125">
      <c r="A125" s="129">
        <f>IF(C125="yes",COUNT(A$1:A124)+1,"")</f>
        <v/>
      </c>
      <c r="B125" s="130">
        <f>IF(A125&lt;&gt;"","CoQ-PP_26-"&amp;TEXT(A125,"000"),"— at issue —")</f>
        <v/>
      </c>
      <c r="C125" s="141" t="inlineStr">
        <is>
          <t>no</t>
        </is>
      </c>
      <c r="D125" s="274">
        <f>IF(A125="","",MAX(E125,IF(ISNUMBER(I125),I125,0),IFERROR(IF(ISNUMBER(INDEX('iCoA Register'!$F:$F,MATCH(S125,'iCoA Register'!$P:$P,0))),INDEX('iCoA Register'!$F:$F,MATCH(S125,'iCoA Register'!$P:$P,0)),0),0)))</f>
        <v/>
      </c>
      <c r="E125" s="274">
        <f>IF(ISNUMBER(F125),MAX(DATE(2026,6,6),F125+7),"at retest sampling")</f>
        <v/>
      </c>
      <c r="F125" s="274" t="inlineStr">
        <is>
          <t>— not yet sampled —</t>
        </is>
      </c>
      <c r="G125" s="129" t="inlineStr">
        <is>
          <t>—</t>
        </is>
      </c>
      <c r="H125" s="129">
        <f>IFERROR(INDEX('iCoA Register'!$B:$B,MATCH("P060092|R",'iCoA Register'!$P:$P,0)),"—")</f>
        <v/>
      </c>
      <c r="I125" s="274">
        <f>IFERROR(INDEX('iCoA Register'!$D:$D,MATCH("P060092|R",'iCoA Register'!$P:$P,0)),"")</f>
        <v/>
      </c>
      <c r="J125" s="129" t="inlineStr">
        <is>
          <t>legacy</t>
        </is>
      </c>
      <c r="K125" s="129" t="inlineStr">
        <is>
          <t>retest — not yet sampled</t>
        </is>
      </c>
      <c r="L125" s="130" t="inlineStr">
        <is>
          <t>GP092501</t>
        </is>
      </c>
      <c r="M125" s="129" t="inlineStr">
        <is>
          <t>P060092</t>
        </is>
      </c>
      <c r="N125" s="129" t="inlineStr">
        <is>
          <t>Grape Pie</t>
        </is>
      </c>
      <c r="O125" s="141" t="inlineStr">
        <is>
          <t>— retest assay not yet on file —</t>
        </is>
      </c>
      <c r="P125" s="141" t="inlineStr">
        <is>
          <t>—</t>
        </is>
      </c>
      <c r="Q125" s="129" t="inlineStr">
        <is>
          <t>—</t>
        </is>
      </c>
      <c r="R125" s="129" t="inlineStr">
        <is>
          <t>CoQ reissue (assigned on issue)</t>
        </is>
      </c>
      <c r="S125" s="129" t="inlineStr">
        <is>
          <t>P060092|R</t>
        </is>
      </c>
      <c r="T125" s="135" t="inlineStr">
        <is>
          <t>not yet issuable — pending — not yet sampled · issued on the first working day 7 days after the latest retest certificate, once the in-house iCoA exists</t>
        </is>
      </c>
    </row>
    <row r="126">
      <c r="A126" s="129">
        <f>IF(C126="yes",COUNT(A$1:A125)+1,"")</f>
        <v/>
      </c>
      <c r="B126" s="130">
        <f>IF(A126&lt;&gt;"","CoQ-PP_26-"&amp;TEXT(A126,"000"),"— at issue —")</f>
        <v/>
      </c>
      <c r="C126" s="141" t="inlineStr">
        <is>
          <t>no</t>
        </is>
      </c>
      <c r="D126" s="274">
        <f>IF(A126="","",MAX(E126,IF(ISNUMBER(I126),I126,0),IFERROR(IF(ISNUMBER(INDEX('iCoA Register'!$F:$F,MATCH(S126,'iCoA Register'!$P:$P,0))),INDEX('iCoA Register'!$F:$F,MATCH(S126,'iCoA Register'!$P:$P,0)),0),0)))</f>
        <v/>
      </c>
      <c r="E126" s="274">
        <f>IF(ISNUMBER(F126),MAX(DATE(2026,6,6),F126+7),"at retest sampling")</f>
        <v/>
      </c>
      <c r="F126" s="274" t="n">
        <v>46266</v>
      </c>
      <c r="G126" s="129" t="inlineStr">
        <is>
          <t>552-1083-26</t>
        </is>
      </c>
      <c r="H126" s="129">
        <f>IFERROR(INDEX('iCoA Register'!$B:$B,MATCH("P060052|R",'iCoA Register'!$P:$P,0)),"—")</f>
        <v/>
      </c>
      <c r="I126" s="274">
        <f>IFERROR(INDEX('iCoA Register'!$D:$D,MATCH("P060052|R",'iCoA Register'!$P:$P,0)),"")</f>
        <v/>
      </c>
      <c r="J126" s="129" t="inlineStr">
        <is>
          <t>legacy</t>
        </is>
      </c>
      <c r="K126" s="129" t="inlineStr">
        <is>
          <t>retest — sampled — Tranche 2/3 (potency and mycotoxins pending)</t>
        </is>
      </c>
      <c r="L126" s="130" t="inlineStr">
        <is>
          <t>AB092501</t>
        </is>
      </c>
      <c r="M126" s="129" t="inlineStr">
        <is>
          <t>P060052</t>
        </is>
      </c>
      <c r="N126" s="129" t="inlineStr">
        <is>
          <t>Apple and Banana</t>
        </is>
      </c>
      <c r="O126" s="141" t="inlineStr">
        <is>
          <t>— retest assay not yet on file —</t>
        </is>
      </c>
      <c r="P126" s="141" t="inlineStr">
        <is>
          <t>—</t>
        </is>
      </c>
      <c r="Q126" s="129" t="inlineStr">
        <is>
          <t>—</t>
        </is>
      </c>
      <c r="R126" s="129" t="inlineStr">
        <is>
          <t>CoQ reissue (assigned on issue)</t>
        </is>
      </c>
      <c r="S126" s="129" t="inlineStr">
        <is>
          <t>P060052|R</t>
        </is>
      </c>
      <c r="T126" s="135" t="inlineStr">
        <is>
          <t>not yet issuable — sampled — microbiology on file, retest assay pending · issued on the first working day 7 days after the latest retest certificate, once the in-house iCoA exists</t>
        </is>
      </c>
    </row>
    <row r="127">
      <c r="A127" s="129">
        <f>IF(C127="yes",COUNT(A$1:A126)+1,"")</f>
        <v/>
      </c>
      <c r="B127" s="130">
        <f>IF(A127&lt;&gt;"","CoQ-PP_26-"&amp;TEXT(A127,"000"),"— at issue —")</f>
        <v/>
      </c>
      <c r="C127" s="141" t="inlineStr">
        <is>
          <t>no</t>
        </is>
      </c>
      <c r="D127" s="274">
        <f>IF(A127="","",MAX(E127,IF(ISNUMBER(I127),I127,0),IFERROR(IF(ISNUMBER(INDEX('iCoA Register'!$F:$F,MATCH(S127,'iCoA Register'!$P:$P,0))),INDEX('iCoA Register'!$F:$F,MATCH(S127,'iCoA Register'!$P:$P,0)),0),0)))</f>
        <v/>
      </c>
      <c r="E127" s="274">
        <f>IF(ISNUMBER(F127),MAX(DATE(2026,6,6),F127+7),"at retest sampling")</f>
        <v/>
      </c>
      <c r="F127" s="274" t="n">
        <v>46265</v>
      </c>
      <c r="G127" s="129" t="inlineStr">
        <is>
          <t>549-1080-26</t>
        </is>
      </c>
      <c r="H127" s="129">
        <f>IFERROR(INDEX('iCoA Register'!$B:$B,MATCH("P060162|R",'iCoA Register'!$P:$P,0)),"—")</f>
        <v/>
      </c>
      <c r="I127" s="274">
        <f>IFERROR(INDEX('iCoA Register'!$D:$D,MATCH("P060162|R",'iCoA Register'!$P:$P,0)),"")</f>
        <v/>
      </c>
      <c r="J127" s="129" t="inlineStr">
        <is>
          <t>legacy</t>
        </is>
      </c>
      <c r="K127" s="129" t="inlineStr">
        <is>
          <t>retest — sampled — Tranche 2/3 (potency and mycotoxins pending)</t>
        </is>
      </c>
      <c r="L127" s="130" t="inlineStr">
        <is>
          <t>SJ102501</t>
        </is>
      </c>
      <c r="M127" s="129" t="inlineStr">
        <is>
          <t>P060162</t>
        </is>
      </c>
      <c r="N127" s="129" t="inlineStr">
        <is>
          <t>Sleepy Joe</t>
        </is>
      </c>
      <c r="O127" s="141" t="inlineStr">
        <is>
          <t>— retest assay not yet on file —</t>
        </is>
      </c>
      <c r="P127" s="141" t="inlineStr">
        <is>
          <t>—</t>
        </is>
      </c>
      <c r="Q127" s="129" t="inlineStr">
        <is>
          <t>—</t>
        </is>
      </c>
      <c r="R127" s="129" t="inlineStr">
        <is>
          <t>CoQ reissue (assigned on issue)</t>
        </is>
      </c>
      <c r="S127" s="129" t="inlineStr">
        <is>
          <t>P060162|R</t>
        </is>
      </c>
      <c r="T127" s="135" t="inlineStr">
        <is>
          <t>not yet issuable — sampled — microbiology on file, retest assay pending · issued on the first working day 7 days after the latest retest certificate, once the in-house iCoA exists</t>
        </is>
      </c>
    </row>
    <row r="128">
      <c r="A128" s="129">
        <f>IF(C128="yes",COUNT(A$1:A127)+1,"")</f>
        <v/>
      </c>
      <c r="B128" s="130">
        <f>IF(A128&lt;&gt;"","CoQ-PP_26-"&amp;TEXT(A128,"000"),"— at issue —")</f>
        <v/>
      </c>
      <c r="C128" s="141" t="inlineStr">
        <is>
          <t>no</t>
        </is>
      </c>
      <c r="D128" s="274">
        <f>IF(A128="","",MAX(E128,IF(ISNUMBER(I128),I128,0),IFERROR(IF(ISNUMBER(INDEX('iCoA Register'!$F:$F,MATCH(S128,'iCoA Register'!$P:$P,0))),INDEX('iCoA Register'!$F:$F,MATCH(S128,'iCoA Register'!$P:$P,0)),0),0)))</f>
        <v/>
      </c>
      <c r="E128" s="274">
        <f>IF(ISNUMBER(F128),MAX(DATE(2026,6,6),F128+7),"at retest sampling")</f>
        <v/>
      </c>
      <c r="F128" s="274" t="inlineStr">
        <is>
          <t>— not yet sampled —</t>
        </is>
      </c>
      <c r="G128" s="129" t="inlineStr">
        <is>
          <t>—</t>
        </is>
      </c>
      <c r="H128" s="129">
        <f>IFERROR(INDEX('iCoA Register'!$B:$B,MATCH("P060192|R",'iCoA Register'!$P:$P,0)),"—")</f>
        <v/>
      </c>
      <c r="I128" s="274">
        <f>IFERROR(INDEX('iCoA Register'!$D:$D,MATCH("P060192|R",'iCoA Register'!$P:$P,0)),"")</f>
        <v/>
      </c>
      <c r="J128" s="129" t="inlineStr">
        <is>
          <t>legacy</t>
        </is>
      </c>
      <c r="K128" s="129" t="inlineStr">
        <is>
          <t>retest — not yet sampled</t>
        </is>
      </c>
      <c r="L128" s="130" t="inlineStr">
        <is>
          <t>SJ112501</t>
        </is>
      </c>
      <c r="M128" s="129" t="inlineStr">
        <is>
          <t>P060192</t>
        </is>
      </c>
      <c r="N128" s="129" t="inlineStr">
        <is>
          <t>Sleepy Joy</t>
        </is>
      </c>
      <c r="O128" s="141" t="inlineStr">
        <is>
          <t>— retest assay not yet on file —</t>
        </is>
      </c>
      <c r="P128" s="141" t="inlineStr">
        <is>
          <t>—</t>
        </is>
      </c>
      <c r="Q128" s="129" t="inlineStr">
        <is>
          <t>—</t>
        </is>
      </c>
      <c r="R128" s="129" t="inlineStr">
        <is>
          <t>CoQ reissue (assigned on issue)</t>
        </is>
      </c>
      <c r="S128" s="129" t="inlineStr">
        <is>
          <t>P060192|R</t>
        </is>
      </c>
      <c r="T128" s="135" t="inlineStr">
        <is>
          <t>not yet issuable — pending — not yet sampled · issued on the first working day 7 days after the latest retest certificate, once the in-house iCoA exists</t>
        </is>
      </c>
    </row>
    <row r="129">
      <c r="A129" s="129">
        <f>IF(C129="yes",COUNT(A$1:A128)+1,"")</f>
        <v/>
      </c>
      <c r="B129" s="130">
        <f>IF(A129&lt;&gt;"","CoQ-PP_26-"&amp;TEXT(A129,"000"),"— at issue —")</f>
        <v/>
      </c>
      <c r="C129" s="141" t="inlineStr">
        <is>
          <t>no</t>
        </is>
      </c>
      <c r="D129" s="274">
        <f>IF(A129="","",MAX(E129,IF(ISNUMBER(I129),I129,0),IFERROR(IF(ISNUMBER(INDEX('iCoA Register'!$F:$F,MATCH(S129,'iCoA Register'!$P:$P,0))),INDEX('iCoA Register'!$F:$F,MATCH(S129,'iCoA Register'!$P:$P,0)),0),0)))</f>
        <v/>
      </c>
      <c r="E129" s="274">
        <f>IF(ISNUMBER(F129),MAX(DATE(2026,6,6),F129+7),"at retest sampling")</f>
        <v/>
      </c>
      <c r="F129" s="274" t="n">
        <v>46244</v>
      </c>
      <c r="G129" s="129" t="inlineStr">
        <is>
          <t>197-16-M-26</t>
        </is>
      </c>
      <c r="H129" s="129">
        <f>IFERROR(INDEX('iCoA Register'!$B:$B,MATCH("P060152|R",'iCoA Register'!$P:$P,0)),"—")</f>
        <v/>
      </c>
      <c r="I129" s="274">
        <f>IFERROR(INDEX('iCoA Register'!$D:$D,MATCH("P060152|R",'iCoA Register'!$P:$P,0)),"")</f>
        <v/>
      </c>
      <c r="J129" s="129" t="inlineStr">
        <is>
          <t>legacy</t>
        </is>
      </c>
      <c r="K129" s="129" t="inlineStr">
        <is>
          <t>retest — Tranche 1 (sampled July 2026)</t>
        </is>
      </c>
      <c r="L129" s="130" t="inlineStr">
        <is>
          <t>J31102501</t>
        </is>
      </c>
      <c r="M129" s="129" t="inlineStr">
        <is>
          <t>P060152</t>
        </is>
      </c>
      <c r="N129" s="129" t="inlineStr">
        <is>
          <t>Jokerz 31</t>
        </is>
      </c>
      <c r="O129" s="129" t="inlineStr">
        <is>
          <t>197-16-K-26, (07.08.2026) [FHM-K]</t>
        </is>
      </c>
      <c r="P129" s="141" t="inlineStr">
        <is>
          <t>—</t>
        </is>
      </c>
      <c r="Q129" s="129" t="inlineStr">
        <is>
          <t>—</t>
        </is>
      </c>
      <c r="R129" s="129" t="inlineStr">
        <is>
          <t>CoQ reissue (assigned on issue)</t>
        </is>
      </c>
      <c r="S129" s="129" t="inlineStr">
        <is>
          <t>P060152|R</t>
        </is>
      </c>
      <c r="T129" s="135" t="inlineStr">
        <is>
          <t>not yet issuable — due — retest assay, mycotoxins on file; in-house iCoA to test · issued on the first working day 7 days after the latest retest certificate, once the in-house iCoA exists</t>
        </is>
      </c>
    </row>
    <row r="130">
      <c r="A130" s="129">
        <f>IF(C130="yes",COUNT(A$1:A129)+1,"")</f>
        <v/>
      </c>
      <c r="B130" s="130">
        <f>IF(A130&lt;&gt;"","CoQ-PP_26-"&amp;TEXT(A130,"000"),"— at issue —")</f>
        <v/>
      </c>
      <c r="C130" s="141" t="inlineStr">
        <is>
          <t>no</t>
        </is>
      </c>
      <c r="D130" s="274">
        <f>IF(A130="","",MAX(E130,IF(ISNUMBER(I130),I130,0),IFERROR(IF(ISNUMBER(INDEX('iCoA Register'!$F:$F,MATCH(S130,'iCoA Register'!$P:$P,0))),INDEX('iCoA Register'!$F:$F,MATCH(S130,'iCoA Register'!$P:$P,0)),0),0)))</f>
        <v/>
      </c>
      <c r="E130" s="274">
        <f>IF(ISNUMBER(F130),MAX(DATE(2026,6,6),F130+7),"at retest sampling")</f>
        <v/>
      </c>
      <c r="F130" s="274" t="n">
        <v>46265</v>
      </c>
      <c r="G130" s="129" t="inlineStr">
        <is>
          <t>546-1077-26</t>
        </is>
      </c>
      <c r="H130" s="129">
        <f>IFERROR(INDEX('iCoA Register'!$B:$B,MATCH("P060222|R",'iCoA Register'!$P:$P,0)),"—")</f>
        <v/>
      </c>
      <c r="I130" s="274">
        <f>IFERROR(INDEX('iCoA Register'!$D:$D,MATCH("P060222|R",'iCoA Register'!$P:$P,0)),"")</f>
        <v/>
      </c>
      <c r="J130" s="129" t="inlineStr">
        <is>
          <t>legacy</t>
        </is>
      </c>
      <c r="K130" s="129" t="inlineStr">
        <is>
          <t>retest — sampled — Tranche 2/3 (potency and mycotoxins pending)</t>
        </is>
      </c>
      <c r="L130" s="130" t="inlineStr">
        <is>
          <t>OPM112501</t>
        </is>
      </c>
      <c r="M130" s="129" t="inlineStr">
        <is>
          <t>P060222</t>
        </is>
      </c>
      <c r="N130" s="129" t="inlineStr">
        <is>
          <t>Orange Punch Mimosa</t>
        </is>
      </c>
      <c r="O130" s="141" t="inlineStr">
        <is>
          <t>— retest assay not yet on file —</t>
        </is>
      </c>
      <c r="P130" s="141" t="inlineStr">
        <is>
          <t>—</t>
        </is>
      </c>
      <c r="Q130" s="129" t="inlineStr">
        <is>
          <t>—</t>
        </is>
      </c>
      <c r="R130" s="129" t="inlineStr">
        <is>
          <t>CoQ reissue (assigned on issue)</t>
        </is>
      </c>
      <c r="S130" s="129" t="inlineStr">
        <is>
          <t>P060222|R</t>
        </is>
      </c>
      <c r="T130" s="135" t="inlineStr">
        <is>
          <t>not yet issuable — sampled — microbiology on file, retest assay pending · issued on the first working day 7 days after the latest retest certificate, once the in-house iCoA exists</t>
        </is>
      </c>
    </row>
    <row r="131">
      <c r="A131" s="129">
        <f>IF(C131="yes",COUNT(A$1:A130)+1,"")</f>
        <v/>
      </c>
      <c r="B131" s="130">
        <f>IF(A131&lt;&gt;"","CoQ-PP_26-"&amp;TEXT(A131,"000"),"— at issue —")</f>
        <v/>
      </c>
      <c r="C131" s="141" t="inlineStr">
        <is>
          <t>no</t>
        </is>
      </c>
      <c r="D131" s="274">
        <f>IF(A131="","",MAX(E131,IF(ISNUMBER(I131),I131,0),IFERROR(IF(ISNUMBER(INDEX('iCoA Register'!$F:$F,MATCH(S131,'iCoA Register'!$P:$P,0))),INDEX('iCoA Register'!$F:$F,MATCH(S131,'iCoA Register'!$P:$P,0)),0),0)))</f>
        <v/>
      </c>
      <c r="E131" s="274">
        <f>IF(ISNUMBER(F131),MAX(DATE(2026,6,6),F131+7),"at retest sampling")</f>
        <v/>
      </c>
      <c r="F131" s="274" t="inlineStr">
        <is>
          <t>— not yet sampled —</t>
        </is>
      </c>
      <c r="G131" s="129" t="inlineStr">
        <is>
          <t>—</t>
        </is>
      </c>
      <c r="H131" s="129">
        <f>IFERROR(INDEX('iCoA Register'!$B:$B,MATCH("P060172|R",'iCoA Register'!$P:$P,0)),"—")</f>
        <v/>
      </c>
      <c r="I131" s="274">
        <f>IFERROR(INDEX('iCoA Register'!$D:$D,MATCH("P060172|R",'iCoA Register'!$P:$P,0)),"")</f>
        <v/>
      </c>
      <c r="J131" s="129" t="inlineStr">
        <is>
          <t>legacy</t>
        </is>
      </c>
      <c r="K131" s="129" t="inlineStr">
        <is>
          <t>retest — not yet sampled</t>
        </is>
      </c>
      <c r="L131" s="130" t="inlineStr">
        <is>
          <t>KC102501</t>
        </is>
      </c>
      <c r="M131" s="129" t="inlineStr">
        <is>
          <t>P060172</t>
        </is>
      </c>
      <c r="N131" s="129" t="inlineStr">
        <is>
          <t>Kush Crasher</t>
        </is>
      </c>
      <c r="O131" s="141" t="inlineStr">
        <is>
          <t>— retest assay not yet on file —</t>
        </is>
      </c>
      <c r="P131" s="141" t="inlineStr">
        <is>
          <t>—</t>
        </is>
      </c>
      <c r="Q131" s="129" t="inlineStr">
        <is>
          <t>—</t>
        </is>
      </c>
      <c r="R131" s="129" t="inlineStr">
        <is>
          <t>CoQ reissue (assigned on issue)</t>
        </is>
      </c>
      <c r="S131" s="129" t="inlineStr">
        <is>
          <t>P060172|R</t>
        </is>
      </c>
      <c r="T131" s="135" t="inlineStr">
        <is>
          <t>not yet issuable — pending — not yet sampled · issued on the first working day 7 days after the latest retest certificate, once the in-house iCoA exists</t>
        </is>
      </c>
    </row>
    <row r="132">
      <c r="A132" s="129">
        <f>IF(C132="yes",COUNT(A$1:A131)+1,"")</f>
        <v/>
      </c>
      <c r="B132" s="130">
        <f>IF(A132&lt;&gt;"","CoQ-PP_26-"&amp;TEXT(A132,"000"),"— at issue —")</f>
        <v/>
      </c>
      <c r="C132" s="141" t="inlineStr">
        <is>
          <t>no</t>
        </is>
      </c>
      <c r="D132" s="274">
        <f>IF(A132="","",MAX(E132,IF(ISNUMBER(I132),I132,0),IFERROR(IF(ISNUMBER(INDEX('iCoA Register'!$F:$F,MATCH(S132,'iCoA Register'!$P:$P,0))),INDEX('iCoA Register'!$F:$F,MATCH(S132,'iCoA Register'!$P:$P,0)),0),0)))</f>
        <v/>
      </c>
      <c r="E132" s="274">
        <f>IF(ISNUMBER(F132),MAX(DATE(2026,6,6),F132+7),"at retest sampling")</f>
        <v/>
      </c>
      <c r="F132" s="274" t="n">
        <v>46266</v>
      </c>
      <c r="G132" s="129" t="inlineStr">
        <is>
          <t>550-1081-26</t>
        </is>
      </c>
      <c r="H132" s="129">
        <f>IFERROR(INDEX('iCoA Register'!$B:$B,MATCH("P060182|R",'iCoA Register'!$P:$P,0)),"—")</f>
        <v/>
      </c>
      <c r="I132" s="274">
        <f>IFERROR(INDEX('iCoA Register'!$D:$D,MATCH("P060182|R",'iCoA Register'!$P:$P,0)),"")</f>
        <v/>
      </c>
      <c r="J132" s="129" t="inlineStr">
        <is>
          <t>legacy</t>
        </is>
      </c>
      <c r="K132" s="129" t="inlineStr">
        <is>
          <t>retest — sampled — Tranche 2/3 (potency and mycotoxins pending)</t>
        </is>
      </c>
      <c r="L132" s="130" t="inlineStr">
        <is>
          <t>GRC102501</t>
        </is>
      </c>
      <c r="M132" s="129" t="inlineStr">
        <is>
          <t>P060182</t>
        </is>
      </c>
      <c r="N132" s="129" t="inlineStr">
        <is>
          <t>Graps &amp; Creme</t>
        </is>
      </c>
      <c r="O132" s="141" t="inlineStr">
        <is>
          <t>— retest assay not yet on file —</t>
        </is>
      </c>
      <c r="P132" s="141" t="inlineStr">
        <is>
          <t>—</t>
        </is>
      </c>
      <c r="Q132" s="129" t="inlineStr">
        <is>
          <t>—</t>
        </is>
      </c>
      <c r="R132" s="129" t="inlineStr">
        <is>
          <t>CoQ reissue (assigned on issue)</t>
        </is>
      </c>
      <c r="S132" s="129" t="inlineStr">
        <is>
          <t>P060182|R</t>
        </is>
      </c>
      <c r="T132" s="135" t="inlineStr">
        <is>
          <t>not yet issuable — sampled — microbiology on file, retest assay pending · issued on the first working day 7 days after the latest retest certificate, once the in-house iCoA exists</t>
        </is>
      </c>
    </row>
    <row r="133">
      <c r="A133" s="129">
        <f>IF(C133="yes",COUNT(A$1:A132)+1,"")</f>
        <v/>
      </c>
      <c r="B133" s="130">
        <f>IF(A133&lt;&gt;"","CoQ-PP_26-"&amp;TEXT(A133,"000"),"— at issue —")</f>
        <v/>
      </c>
      <c r="C133" s="141" t="inlineStr">
        <is>
          <t>no</t>
        </is>
      </c>
      <c r="D133" s="274">
        <f>IF(A133="","",MAX(E133,IF(ISNUMBER(I133),I133,0),IFERROR(IF(ISNUMBER(INDEX('iCoA Register'!$F:$F,MATCH(S133,'iCoA Register'!$P:$P,0))),INDEX('iCoA Register'!$F:$F,MATCH(S133,'iCoA Register'!$P:$P,0)),0),0)))</f>
        <v/>
      </c>
      <c r="E133" s="274">
        <f>IF(ISNUMBER(F133),MAX(DATE(2026,6,6),F133+7),"at retest sampling")</f>
        <v/>
      </c>
      <c r="F133" s="274" t="n">
        <v>46265</v>
      </c>
      <c r="G133" s="129" t="inlineStr">
        <is>
          <t>547-1078-26</t>
        </is>
      </c>
      <c r="H133" s="129">
        <f>IFERROR(INDEX('iCoA Register'!$B:$B,MATCH("P060202|R",'iCoA Register'!$P:$P,0)),"—")</f>
        <v/>
      </c>
      <c r="I133" s="274">
        <f>IFERROR(INDEX('iCoA Register'!$D:$D,MATCH("P060202|R",'iCoA Register'!$P:$P,0)),"")</f>
        <v/>
      </c>
      <c r="J133" s="129" t="inlineStr">
        <is>
          <t>legacy</t>
        </is>
      </c>
      <c r="K133" s="129" t="inlineStr">
        <is>
          <t>retest — sampled — Tranche 2/3 (potency and mycotoxins pending)</t>
        </is>
      </c>
      <c r="L133" s="130" t="inlineStr">
        <is>
          <t>J31112501</t>
        </is>
      </c>
      <c r="M133" s="129" t="inlineStr">
        <is>
          <t>P060202</t>
        </is>
      </c>
      <c r="N133" s="129" t="inlineStr">
        <is>
          <t>Jokerz 31</t>
        </is>
      </c>
      <c r="O133" s="141" t="inlineStr">
        <is>
          <t>— retest assay not yet on file —</t>
        </is>
      </c>
      <c r="P133" s="141" t="inlineStr">
        <is>
          <t>—</t>
        </is>
      </c>
      <c r="Q133" s="129" t="inlineStr">
        <is>
          <t>—</t>
        </is>
      </c>
      <c r="R133" s="129" t="inlineStr">
        <is>
          <t>CoQ reissue (assigned on issue)</t>
        </is>
      </c>
      <c r="S133" s="129" t="inlineStr">
        <is>
          <t>P060202|R</t>
        </is>
      </c>
      <c r="T133" s="135" t="inlineStr">
        <is>
          <t>not yet issuable — sampled — microbiology on file, retest assay pending · issued on the first working day 7 days after the latest retest certificate, once the in-house iCoA exists</t>
        </is>
      </c>
    </row>
    <row r="134">
      <c r="A134" s="129">
        <f>IF(C134="yes",COUNT(A$1:A133)+1,"")</f>
        <v/>
      </c>
      <c r="B134" s="130">
        <f>IF(A134&lt;&gt;"","CoQ-PP_26-"&amp;TEXT(A134,"000"),"— at issue —")</f>
        <v/>
      </c>
      <c r="C134" s="141" t="inlineStr">
        <is>
          <t>no</t>
        </is>
      </c>
      <c r="D134" s="274">
        <f>IF(A134="","",MAX(E134,IF(ISNUMBER(I134),I134,0),IFERROR(IF(ISNUMBER(INDEX('iCoA Register'!$F:$F,MATCH(S134,'iCoA Register'!$P:$P,0))),INDEX('iCoA Register'!$F:$F,MATCH(S134,'iCoA Register'!$P:$P,0)),0),0)))</f>
        <v/>
      </c>
      <c r="E134" s="274">
        <f>IF(ISNUMBER(F134),MAX(DATE(2026,6,6),F134+7),"at retest sampling")</f>
        <v/>
      </c>
      <c r="F134" s="274" t="n">
        <v>46244</v>
      </c>
      <c r="G134" s="129" t="inlineStr">
        <is>
          <t>197-15-M-26</t>
        </is>
      </c>
      <c r="H134" s="129">
        <f>IFERROR(INDEX('iCoA Register'!$B:$B,MATCH("P060212|R",'iCoA Register'!$P:$P,0)),"—")</f>
        <v/>
      </c>
      <c r="I134" s="274">
        <f>IFERROR(INDEX('iCoA Register'!$D:$D,MATCH("P060212|R",'iCoA Register'!$P:$P,0)),"")</f>
        <v/>
      </c>
      <c r="J134" s="129" t="inlineStr">
        <is>
          <t>legacy</t>
        </is>
      </c>
      <c r="K134" s="129" t="inlineStr">
        <is>
          <t>retest — Tranche 1 (sampled July 2026)</t>
        </is>
      </c>
      <c r="L134" s="130" t="inlineStr">
        <is>
          <t>JD112501</t>
        </is>
      </c>
      <c r="M134" s="129" t="inlineStr">
        <is>
          <t>P060212</t>
        </is>
      </c>
      <c r="N134" s="129" t="inlineStr">
        <is>
          <t>Jelly Donutz</t>
        </is>
      </c>
      <c r="O134" s="129" t="inlineStr">
        <is>
          <t>197-15-K-26, (07.08.2026) [FHM-K]</t>
        </is>
      </c>
      <c r="P134" s="141" t="inlineStr">
        <is>
          <t>—</t>
        </is>
      </c>
      <c r="Q134" s="129" t="inlineStr">
        <is>
          <t>—</t>
        </is>
      </c>
      <c r="R134" s="129" t="inlineStr">
        <is>
          <t>CoQ reissue (assigned on issue)</t>
        </is>
      </c>
      <c r="S134" s="129" t="inlineStr">
        <is>
          <t>P060212|R</t>
        </is>
      </c>
      <c r="T134" s="135" t="inlineStr">
        <is>
          <t>not yet issuable — due — retest assay, mycotoxins on file; in-house iCoA to test · issued on the first working day 7 days after the latest retest certificate, once the in-house iCoA exists</t>
        </is>
      </c>
    </row>
    <row r="135">
      <c r="A135" s="129">
        <f>IF(C135="yes",COUNT(A$1:A134)+1,"")</f>
        <v/>
      </c>
      <c r="B135" s="130">
        <f>IF(A135&lt;&gt;"","CoQ-PP_26-"&amp;TEXT(A135,"000"),"— at issue —")</f>
        <v/>
      </c>
      <c r="C135" s="141" t="inlineStr">
        <is>
          <t>no</t>
        </is>
      </c>
      <c r="D135" s="274">
        <f>IF(A135="","",MAX(E135,IF(ISNUMBER(I135),I135,0),IFERROR(IF(ISNUMBER(INDEX('iCoA Register'!$F:$F,MATCH(S135,'iCoA Register'!$P:$P,0))),INDEX('iCoA Register'!$F:$F,MATCH(S135,'iCoA Register'!$P:$P,0)),0),0)))</f>
        <v/>
      </c>
      <c r="E135" s="274">
        <f>IF(ISNUMBER(F135),MAX(DATE(2026,6,6),F135+7),"at retest sampling")</f>
        <v/>
      </c>
      <c r="F135" s="274" t="inlineStr">
        <is>
          <t>— not yet sampled —</t>
        </is>
      </c>
      <c r="G135" s="129" t="inlineStr">
        <is>
          <t>—</t>
        </is>
      </c>
      <c r="H135" s="129">
        <f>IFERROR(INDEX('iCoA Register'!$B:$B,MATCH("JD112501|R",'iCoA Register'!$P:$P,0)),"—")</f>
        <v/>
      </c>
      <c r="I135" s="274">
        <f>IFERROR(INDEX('iCoA Register'!$D:$D,MATCH("JD112501|R",'iCoA Register'!$P:$P,0)),"")</f>
        <v/>
      </c>
      <c r="J135" s="129" t="inlineStr">
        <is>
          <t>—</t>
        </is>
      </c>
      <c r="K135" s="129" t="inlineStr">
        <is>
          <t>retest — not yet sampled</t>
        </is>
      </c>
      <c r="L135" s="130" t="inlineStr">
        <is>
          <t>JD112501＊</t>
        </is>
      </c>
      <c r="M135" s="129" t="inlineStr">
        <is>
          <t>N/A — no P batch assigned</t>
        </is>
      </c>
      <c r="N135" s="129" t="inlineStr">
        <is>
          <t>Jelly Donutz</t>
        </is>
      </c>
      <c r="O135" s="141" t="inlineStr">
        <is>
          <t>— retest assay not yet on file —</t>
        </is>
      </c>
      <c r="P135" s="141" t="inlineStr">
        <is>
          <t>—</t>
        </is>
      </c>
      <c r="Q135" s="129" t="inlineStr">
        <is>
          <t>—</t>
        </is>
      </c>
      <c r="R135" s="129" t="inlineStr">
        <is>
          <t>CoQ reissue (assigned on issue)</t>
        </is>
      </c>
      <c r="S135" s="129" t="inlineStr">
        <is>
          <t>JD112501|R</t>
        </is>
      </c>
      <c r="T135" s="135" t="inlineStr">
        <is>
          <t>not yet issuable — pending — not yet sampled · issued on the first working day 7 days after the latest retest certificate, once the in-house iCoA exists</t>
        </is>
      </c>
    </row>
    <row r="136">
      <c r="A136" s="129">
        <f>IF(C136="yes",COUNT(A$1:A135)+1,"")</f>
        <v/>
      </c>
      <c r="B136" s="130">
        <f>IF(A136&lt;&gt;"","CoQ-PP_26-"&amp;TEXT(A136,"000"),"— at issue —")</f>
        <v/>
      </c>
      <c r="C136" s="141" t="inlineStr">
        <is>
          <t>no</t>
        </is>
      </c>
      <c r="D136" s="274">
        <f>IF(A136="","",MAX(E136,IF(ISNUMBER(I136),I136,0),IFERROR(IF(ISNUMBER(INDEX('iCoA Register'!$F:$F,MATCH(S136,'iCoA Register'!$P:$P,0))),INDEX('iCoA Register'!$F:$F,MATCH(S136,'iCoA Register'!$P:$P,0)),0),0)))</f>
        <v/>
      </c>
      <c r="E136" s="274">
        <f>IF(ISNUMBER(F136),MAX(DATE(2026,6,6),F136+7),"at retest sampling")</f>
        <v/>
      </c>
      <c r="F136" s="274" t="n">
        <v>46135</v>
      </c>
      <c r="G136" s="129" t="inlineStr">
        <is>
          <t>1628-2026</t>
        </is>
      </c>
      <c r="H136" s="129">
        <f>IFERROR(INDEX('iCoA Register'!$B:$B,MATCH("P060262|R",'iCoA Register'!$P:$P,0)),"—")</f>
        <v/>
      </c>
      <c r="I136" s="274">
        <f>IFERROR(INDEX('iCoA Register'!$D:$D,MATCH("P060262|R",'iCoA Register'!$P:$P,0)),"")</f>
        <v/>
      </c>
      <c r="J136" s="129" t="inlineStr">
        <is>
          <t>post-SOP</t>
        </is>
      </c>
      <c r="K136" s="129" t="inlineStr">
        <is>
          <t>retest — re-analysed</t>
        </is>
      </c>
      <c r="L136" s="130" t="inlineStr">
        <is>
          <t>J31122501</t>
        </is>
      </c>
      <c r="M136" s="129" t="inlineStr">
        <is>
          <t>P060262</t>
        </is>
      </c>
      <c r="N136" s="129" t="inlineStr">
        <is>
          <t>Jokerz 31</t>
        </is>
      </c>
      <c r="O136" s="129" t="inlineStr">
        <is>
          <t>100-3-K-26, (09.04.2026) [FHM-K]</t>
        </is>
      </c>
      <c r="P136" s="141" t="inlineStr">
        <is>
          <t>—</t>
        </is>
      </c>
      <c r="Q136" s="129" t="inlineStr">
        <is>
          <t>—</t>
        </is>
      </c>
      <c r="R136" s="129" t="inlineStr">
        <is>
          <t>CoQ reissue (assigned on issue)</t>
        </is>
      </c>
      <c r="S136" s="129" t="inlineStr">
        <is>
          <t>P060262|R</t>
        </is>
      </c>
      <c r="T136" s="135" t="inlineStr">
        <is>
          <t>not yet issuable — due — retest assay, mycotoxins and microbiology on file; in-house iCoA to test · issued on the first working day 7 days after the latest retest certificate, once the in-house iCoA exists</t>
        </is>
      </c>
    </row>
    <row r="137">
      <c r="A137" s="129">
        <f>IF(C137="yes",COUNT(A$1:A136)+1,"")</f>
        <v/>
      </c>
      <c r="B137" s="130">
        <f>IF(A137&lt;&gt;"","CoQ-PP_26-"&amp;TEXT(A137,"000"),"— at issue —")</f>
        <v/>
      </c>
      <c r="C137" s="141" t="inlineStr">
        <is>
          <t>no</t>
        </is>
      </c>
      <c r="D137" s="274">
        <f>IF(A137="","",MAX(E137,IF(ISNUMBER(I137),I137,0),IFERROR(IF(ISNUMBER(INDEX('iCoA Register'!$F:$F,MATCH(S137,'iCoA Register'!$P:$P,0))),INDEX('iCoA Register'!$F:$F,MATCH(S137,'iCoA Register'!$P:$P,0)),0),0)))</f>
        <v/>
      </c>
      <c r="E137" s="274">
        <f>IF(ISNUMBER(F137),MAX(DATE(2026,6,6),F137+7),"at retest sampling")</f>
        <v/>
      </c>
      <c r="F137" s="274" t="inlineStr">
        <is>
          <t>— not yet sampled —</t>
        </is>
      </c>
      <c r="G137" s="129" t="inlineStr">
        <is>
          <t>—</t>
        </is>
      </c>
      <c r="H137" s="129">
        <f>IFERROR(INDEX('iCoA Register'!$B:$B,MATCH("P060232|R",'iCoA Register'!$P:$P,0)),"—")</f>
        <v/>
      </c>
      <c r="I137" s="274">
        <f>IFERROR(INDEX('iCoA Register'!$D:$D,MATCH("P060232|R",'iCoA Register'!$P:$P,0)),"")</f>
        <v/>
      </c>
      <c r="J137" s="129" t="inlineStr">
        <is>
          <t>legacy</t>
        </is>
      </c>
      <c r="K137" s="129" t="inlineStr">
        <is>
          <t>retest — not yet sampled</t>
        </is>
      </c>
      <c r="L137" s="130" t="inlineStr">
        <is>
          <t>PM112501</t>
        </is>
      </c>
      <c r="M137" s="129" t="inlineStr">
        <is>
          <t>P060232</t>
        </is>
      </c>
      <c r="N137" s="129" t="inlineStr">
        <is>
          <t>Permanent Market</t>
        </is>
      </c>
      <c r="O137" s="141" t="inlineStr">
        <is>
          <t>— retest assay not yet on file —</t>
        </is>
      </c>
      <c r="P137" s="141" t="inlineStr">
        <is>
          <t>—</t>
        </is>
      </c>
      <c r="Q137" s="129" t="inlineStr">
        <is>
          <t>—</t>
        </is>
      </c>
      <c r="R137" s="129" t="inlineStr">
        <is>
          <t>CoQ reissue (assigned on issue)</t>
        </is>
      </c>
      <c r="S137" s="129" t="inlineStr">
        <is>
          <t>P060232|R</t>
        </is>
      </c>
      <c r="T137" s="135" t="inlineStr">
        <is>
          <t>not yet issuable — pending — not yet sampled · issued on the first working day 7 days after the latest retest certificate, once the in-house iCoA exists</t>
        </is>
      </c>
    </row>
    <row r="138">
      <c r="A138" s="129">
        <f>IF(C138="yes",COUNT(A$1:A137)+1,"")</f>
        <v/>
      </c>
      <c r="B138" s="130">
        <f>IF(A138&lt;&gt;"","CoQ-PP_26-"&amp;TEXT(A138,"000"),"— at issue —")</f>
        <v/>
      </c>
      <c r="C138" s="141" t="inlineStr">
        <is>
          <t>no</t>
        </is>
      </c>
      <c r="D138" s="274">
        <f>IF(A138="","",MAX(E138,IF(ISNUMBER(I138),I138,0),IFERROR(IF(ISNUMBER(INDEX('iCoA Register'!$F:$F,MATCH(S138,'iCoA Register'!$P:$P,0))),INDEX('iCoA Register'!$F:$F,MATCH(S138,'iCoA Register'!$P:$P,0)),0),0)))</f>
        <v/>
      </c>
      <c r="E138" s="274">
        <f>IF(ISNUMBER(F138),MAX(DATE(2026,6,6),F138+7),"at retest sampling")</f>
        <v/>
      </c>
      <c r="F138" s="274" t="n">
        <v>46244</v>
      </c>
      <c r="G138" s="129" t="inlineStr">
        <is>
          <t>197-19-M-26</t>
        </is>
      </c>
      <c r="H138" s="129">
        <f>IFERROR(INDEX('iCoA Register'!$B:$B,MATCH("P060242|R",'iCoA Register'!$P:$P,0)),"—")</f>
        <v/>
      </c>
      <c r="I138" s="274">
        <f>IFERROR(INDEX('iCoA Register'!$D:$D,MATCH("P060242|R",'iCoA Register'!$P:$P,0)),"")</f>
        <v/>
      </c>
      <c r="J138" s="129" t="inlineStr">
        <is>
          <t>legacy</t>
        </is>
      </c>
      <c r="K138" s="129" t="inlineStr">
        <is>
          <t>retest — Tranche 1 (sampled July 2026)</t>
        </is>
      </c>
      <c r="L138" s="130" t="inlineStr">
        <is>
          <t>OPM122501</t>
        </is>
      </c>
      <c r="M138" s="129" t="inlineStr">
        <is>
          <t>P060242</t>
        </is>
      </c>
      <c r="N138" s="129" t="inlineStr">
        <is>
          <t>Orange Punch Mimosa</t>
        </is>
      </c>
      <c r="O138" s="129" t="inlineStr">
        <is>
          <t>197-19-K-26, (07.08.2026) [FHM-K]</t>
        </is>
      </c>
      <c r="P138" s="141" t="inlineStr">
        <is>
          <t>—</t>
        </is>
      </c>
      <c r="Q138" s="129" t="inlineStr">
        <is>
          <t>—</t>
        </is>
      </c>
      <c r="R138" s="129" t="inlineStr">
        <is>
          <t>CoQ reissue (assigned on issue)</t>
        </is>
      </c>
      <c r="S138" s="129" t="inlineStr">
        <is>
          <t>P060242|R</t>
        </is>
      </c>
      <c r="T138" s="135" t="inlineStr">
        <is>
          <t>not yet issuable — due — retest assay, mycotoxins on file; in-house iCoA to test · issued on the first working day 7 days after the latest retest certificate, once the in-house iCoA exists</t>
        </is>
      </c>
    </row>
    <row r="139">
      <c r="A139" s="129">
        <f>IF(C139="yes",COUNT(A$1:A138)+1,"")</f>
        <v/>
      </c>
      <c r="B139" s="130">
        <f>IF(A139&lt;&gt;"","CoQ-PP_26-"&amp;TEXT(A139,"000"),"— at issue —")</f>
        <v/>
      </c>
      <c r="C139" s="141" t="inlineStr">
        <is>
          <t>no</t>
        </is>
      </c>
      <c r="D139" s="274">
        <f>IF(A139="","",MAX(E139,IF(ISNUMBER(I139),I139,0),IFERROR(IF(ISNUMBER(INDEX('iCoA Register'!$F:$F,MATCH(S139,'iCoA Register'!$P:$P,0))),INDEX('iCoA Register'!$F:$F,MATCH(S139,'iCoA Register'!$P:$P,0)),0),0)))</f>
        <v/>
      </c>
      <c r="E139" s="274">
        <f>IF(ISNUMBER(F139),MAX(DATE(2026,6,6),F139+7),"at retest sampling")</f>
        <v/>
      </c>
      <c r="F139" s="274" t="n">
        <v>46265</v>
      </c>
      <c r="G139" s="129" t="inlineStr">
        <is>
          <t>543-1074-26</t>
        </is>
      </c>
      <c r="H139" s="129">
        <f>IFERROR(INDEX('iCoA Register'!$B:$B,MATCH("P060272|R",'iCoA Register'!$P:$P,0)),"—")</f>
        <v/>
      </c>
      <c r="I139" s="274">
        <f>IFERROR(INDEX('iCoA Register'!$D:$D,MATCH("P060272|R",'iCoA Register'!$P:$P,0)),"")</f>
        <v/>
      </c>
      <c r="J139" s="129" t="inlineStr">
        <is>
          <t>post-SOP</t>
        </is>
      </c>
      <c r="K139" s="129" t="inlineStr">
        <is>
          <t>retest — sampled — Tranche 2/3 (potency and mycotoxins pending)</t>
        </is>
      </c>
      <c r="L139" s="130" t="inlineStr">
        <is>
          <t>CC112501</t>
        </is>
      </c>
      <c r="M139" s="129" t="inlineStr">
        <is>
          <t>P060272</t>
        </is>
      </c>
      <c r="N139" s="129" t="inlineStr">
        <is>
          <t>Cash Cow</t>
        </is>
      </c>
      <c r="O139" s="141" t="inlineStr">
        <is>
          <t>— retest assay not yet on file —</t>
        </is>
      </c>
      <c r="P139" s="141" t="inlineStr">
        <is>
          <t>—</t>
        </is>
      </c>
      <c r="Q139" s="129" t="inlineStr">
        <is>
          <t>—</t>
        </is>
      </c>
      <c r="R139" s="129" t="inlineStr">
        <is>
          <t>CoQ reissue (assigned on issue)</t>
        </is>
      </c>
      <c r="S139" s="129" t="inlineStr">
        <is>
          <t>P060272|R</t>
        </is>
      </c>
      <c r="T139" s="135" t="inlineStr">
        <is>
          <t>not yet issuable — sampled — microbiology on file, retest assay pending · issued on the first working day 7 days after the latest retest certificate, once the in-house iCoA exists</t>
        </is>
      </c>
    </row>
    <row r="140">
      <c r="A140" s="129">
        <f>IF(C140="yes",COUNT(A$1:A139)+1,"")</f>
        <v/>
      </c>
      <c r="B140" s="130">
        <f>IF(A140&lt;&gt;"","CoQ-PP_26-"&amp;TEXT(A140,"000"),"— at issue —")</f>
        <v/>
      </c>
      <c r="C140" s="141" t="inlineStr">
        <is>
          <t>no</t>
        </is>
      </c>
      <c r="D140" s="274">
        <f>IF(A140="","",MAX(E140,IF(ISNUMBER(I140),I140,0),IFERROR(IF(ISNUMBER(INDEX('iCoA Register'!$F:$F,MATCH(S140,'iCoA Register'!$P:$P,0))),INDEX('iCoA Register'!$F:$F,MATCH(S140,'iCoA Register'!$P:$P,0)),0),0)))</f>
        <v/>
      </c>
      <c r="E140" s="274">
        <f>IF(ISNUMBER(F140),MAX(DATE(2026,6,6),F140+7),"at retest sampling")</f>
        <v/>
      </c>
      <c r="F140" s="274" t="n">
        <v>46265</v>
      </c>
      <c r="G140" s="129" t="inlineStr">
        <is>
          <t>542-1073-26</t>
        </is>
      </c>
      <c r="H140" s="129">
        <f>IFERROR(INDEX('iCoA Register'!$B:$B,MATCH("P060292|R",'iCoA Register'!$P:$P,0)),"—")</f>
        <v/>
      </c>
      <c r="I140" s="274">
        <f>IFERROR(INDEX('iCoA Register'!$D:$D,MATCH("P060292|R",'iCoA Register'!$P:$P,0)),"")</f>
        <v/>
      </c>
      <c r="J140" s="129" t="inlineStr">
        <is>
          <t>post-SOP</t>
        </is>
      </c>
      <c r="K140" s="129" t="inlineStr">
        <is>
          <t>retest — sampled — Tranche 2/3 (potency and mycotoxins pending)</t>
        </is>
      </c>
      <c r="L140" s="130" t="inlineStr">
        <is>
          <t>FB112501</t>
        </is>
      </c>
      <c r="M140" s="129" t="inlineStr">
        <is>
          <t>P060292</t>
        </is>
      </c>
      <c r="N140" s="129" t="inlineStr">
        <is>
          <t>Fat Bastard</t>
        </is>
      </c>
      <c r="O140" s="141" t="inlineStr">
        <is>
          <t>— retest assay not yet on file —</t>
        </is>
      </c>
      <c r="P140" s="141" t="inlineStr">
        <is>
          <t>—</t>
        </is>
      </c>
      <c r="Q140" s="129" t="inlineStr">
        <is>
          <t>—</t>
        </is>
      </c>
      <c r="R140" s="129" t="inlineStr">
        <is>
          <t>CoQ reissue (assigned on issue)</t>
        </is>
      </c>
      <c r="S140" s="129" t="inlineStr">
        <is>
          <t>P060292|R</t>
        </is>
      </c>
      <c r="T140" s="135" t="inlineStr">
        <is>
          <t>not yet issuable — sampled — microbiology on file, retest assay pending · issued on the first working day 7 days after the latest retest certificate, once the in-house iCoA exists</t>
        </is>
      </c>
    </row>
    <row r="141">
      <c r="A141" s="129">
        <f>IF(C141="yes",COUNT(A$1:A140)+1,"")</f>
        <v/>
      </c>
      <c r="B141" s="130">
        <f>IF(A141&lt;&gt;"","CoQ-PP_26-"&amp;TEXT(A141,"000"),"— at issue —")</f>
        <v/>
      </c>
      <c r="C141" s="141" t="inlineStr">
        <is>
          <t>no</t>
        </is>
      </c>
      <c r="D141" s="274">
        <f>IF(A141="","",MAX(E141,IF(ISNUMBER(I141),I141,0),IFERROR(IF(ISNUMBER(INDEX('iCoA Register'!$F:$F,MATCH(S141,'iCoA Register'!$P:$P,0))),INDEX('iCoA Register'!$F:$F,MATCH(S141,'iCoA Register'!$P:$P,0)),0),0)))</f>
        <v/>
      </c>
      <c r="E141" s="274">
        <f>IF(ISNUMBER(F141),MAX(DATE(2026,6,6),F141+7),"at retest sampling")</f>
        <v/>
      </c>
      <c r="F141" s="274" t="n">
        <v>46265</v>
      </c>
      <c r="G141" s="129" t="inlineStr">
        <is>
          <t>541-1072-26</t>
        </is>
      </c>
      <c r="H141" s="129">
        <f>IFERROR(INDEX('iCoA Register'!$B:$B,MATCH("P060302|R",'iCoA Register'!$P:$P,0)),"—")</f>
        <v/>
      </c>
      <c r="I141" s="274">
        <f>IFERROR(INDEX('iCoA Register'!$D:$D,MATCH("P060302|R",'iCoA Register'!$P:$P,0)),"")</f>
        <v/>
      </c>
      <c r="J141" s="129" t="inlineStr">
        <is>
          <t>post-SOP</t>
        </is>
      </c>
      <c r="K141" s="129" t="inlineStr">
        <is>
          <t>retest — sampled — Tranche 2/3 (potency and mycotoxins pending)</t>
        </is>
      </c>
      <c r="L141" s="130" t="inlineStr">
        <is>
          <t>GG012601＊</t>
        </is>
      </c>
      <c r="M141" s="129" t="inlineStr">
        <is>
          <t>P060302</t>
        </is>
      </c>
      <c r="N141" s="129" t="inlineStr">
        <is>
          <t>Gorilla Glue</t>
        </is>
      </c>
      <c r="O141" s="141" t="inlineStr">
        <is>
          <t>— retest assay not yet on file —</t>
        </is>
      </c>
      <c r="P141" s="141" t="inlineStr">
        <is>
          <t>—</t>
        </is>
      </c>
      <c r="Q141" s="129" t="inlineStr">
        <is>
          <t>—</t>
        </is>
      </c>
      <c r="R141" s="129" t="inlineStr">
        <is>
          <t>CoQ reissue (assigned on issue)</t>
        </is>
      </c>
      <c r="S141" s="129" t="inlineStr">
        <is>
          <t>P060302|R</t>
        </is>
      </c>
      <c r="T141" s="135" t="inlineStr">
        <is>
          <t>not yet issuable — sampled — microbiology on file, retest assay pending · issued on the first working day 7 days after the latest retest certificate, once the in-house iCoA exists</t>
        </is>
      </c>
    </row>
    <row r="142">
      <c r="A142" s="129">
        <f>IF(C142="yes",COUNT(A$1:A141)+1,"")</f>
        <v/>
      </c>
      <c r="B142" s="130">
        <f>IF(A142&lt;&gt;"","CoQ-PP_26-"&amp;TEXT(A142,"000"),"— at issue —")</f>
        <v/>
      </c>
      <c r="C142" s="141" t="inlineStr">
        <is>
          <t>no</t>
        </is>
      </c>
      <c r="D142" s="274">
        <f>IF(A142="","",MAX(E142,IF(ISNUMBER(I142),I142,0),IFERROR(IF(ISNUMBER(INDEX('iCoA Register'!$F:$F,MATCH(S142,'iCoA Register'!$P:$P,0))),INDEX('iCoA Register'!$F:$F,MATCH(S142,'iCoA Register'!$P:$P,0)),0),0)))</f>
        <v/>
      </c>
      <c r="E142" s="274">
        <f>IF(ISNUMBER(F142),MAX(DATE(2026,6,6),F142+7),"at retest sampling")</f>
        <v/>
      </c>
      <c r="F142" s="274" t="n">
        <v>46265</v>
      </c>
      <c r="G142" s="129" t="inlineStr">
        <is>
          <t>545-1076-26</t>
        </is>
      </c>
      <c r="H142" s="129">
        <f>IFERROR(INDEX('iCoA Register'!$B:$B,MATCH("P060252|R",'iCoA Register'!$P:$P,0)),"—")</f>
        <v/>
      </c>
      <c r="I142" s="274">
        <f>IFERROR(INDEX('iCoA Register'!$D:$D,MATCH("P060252|R",'iCoA Register'!$P:$P,0)),"")</f>
        <v/>
      </c>
      <c r="J142" s="129" t="inlineStr">
        <is>
          <t>legacy</t>
        </is>
      </c>
      <c r="K142" s="129" t="inlineStr">
        <is>
          <t>retest — sampled — Tranche 2/3 (potency and mycotoxins pending)</t>
        </is>
      </c>
      <c r="L142" s="130" t="inlineStr">
        <is>
          <t>GG112501</t>
        </is>
      </c>
      <c r="M142" s="129" t="inlineStr">
        <is>
          <t>P060252</t>
        </is>
      </c>
      <c r="N142" s="129" t="inlineStr">
        <is>
          <t>Gorilla Glue</t>
        </is>
      </c>
      <c r="O142" s="141" t="inlineStr">
        <is>
          <t>— retest assay not yet on file —</t>
        </is>
      </c>
      <c r="P142" s="141" t="inlineStr">
        <is>
          <t>—</t>
        </is>
      </c>
      <c r="Q142" s="129" t="inlineStr">
        <is>
          <t>—</t>
        </is>
      </c>
      <c r="R142" s="129" t="inlineStr">
        <is>
          <t>CoQ reissue (assigned on issue)</t>
        </is>
      </c>
      <c r="S142" s="129" t="inlineStr">
        <is>
          <t>P060252|R</t>
        </is>
      </c>
      <c r="T142" s="135" t="inlineStr">
        <is>
          <t>not yet issuable — sampled — microbiology on file, retest assay pending · issued on the first working day 7 days after the latest retest certificate, once the in-house iCoA exists</t>
        </is>
      </c>
    </row>
    <row r="143">
      <c r="A143" s="129">
        <f>IF(C143="yes",COUNT(A$1:A142)+1,"")</f>
        <v/>
      </c>
      <c r="B143" s="130">
        <f>IF(A143&lt;&gt;"","CoQ-PP_26-"&amp;TEXT(A143,"000"),"— at issue —")</f>
        <v/>
      </c>
      <c r="C143" s="141" t="inlineStr">
        <is>
          <t>no</t>
        </is>
      </c>
      <c r="D143" s="274">
        <f>IF(A143="","",MAX(E143,IF(ISNUMBER(I143),I143,0),IFERROR(IF(ISNUMBER(INDEX('iCoA Register'!$F:$F,MATCH(S143,'iCoA Register'!$P:$P,0))),INDEX('iCoA Register'!$F:$F,MATCH(S143,'iCoA Register'!$P:$P,0)),0),0)))</f>
        <v/>
      </c>
      <c r="E143" s="274">
        <f>IF(ISNUMBER(F143),MAX(DATE(2026,6,6),F143+7),"at retest sampling")</f>
        <v/>
      </c>
      <c r="F143" s="274" t="n">
        <v>46266</v>
      </c>
      <c r="G143" s="129" t="inlineStr">
        <is>
          <t>557-1088-26</t>
        </is>
      </c>
      <c r="H143" s="129">
        <f>IFERROR(INDEX('iCoA Register'!$B:$B,MATCH("P050202|R",'iCoA Register'!$P:$P,0)),"—")</f>
        <v/>
      </c>
      <c r="I143" s="274">
        <f>IFERROR(INDEX('iCoA Register'!$D:$D,MATCH("P050202|R",'iCoA Register'!$P:$P,0)),"")</f>
        <v/>
      </c>
      <c r="J143" s="129" t="inlineStr">
        <is>
          <t>legacy</t>
        </is>
      </c>
      <c r="K143" s="129" t="inlineStr">
        <is>
          <t>retest — sampled — Tranche 2/3 (potency and mycotoxins pending)</t>
        </is>
      </c>
      <c r="L143" s="130" t="inlineStr">
        <is>
          <t>GP062501</t>
        </is>
      </c>
      <c r="M143" s="129" t="inlineStr">
        <is>
          <t>P050202</t>
        </is>
      </c>
      <c r="N143" s="129" t="inlineStr">
        <is>
          <t>Grape Pie</t>
        </is>
      </c>
      <c r="O143" s="141" t="inlineStr">
        <is>
          <t>— retest assay not yet on file —</t>
        </is>
      </c>
      <c r="P143" s="141" t="inlineStr">
        <is>
          <t>—</t>
        </is>
      </c>
      <c r="Q143" s="129" t="inlineStr">
        <is>
          <t>—</t>
        </is>
      </c>
      <c r="R143" s="129" t="inlineStr">
        <is>
          <t>CoQ reissue (assigned on issue)</t>
        </is>
      </c>
      <c r="S143" s="129" t="inlineStr">
        <is>
          <t>P050202|R</t>
        </is>
      </c>
      <c r="T143" s="135" t="inlineStr">
        <is>
          <t>not yet issuable — sampled — microbiology on file, retest assay pending · issued on the first working day 7 days after the latest retest certificate, once the in-house iCoA exists</t>
        </is>
      </c>
    </row>
    <row r="144">
      <c r="A144" s="129">
        <f>IF(C144="yes",COUNT(A$1:A143)+1,"")</f>
        <v/>
      </c>
      <c r="B144" s="130">
        <f>IF(A144&lt;&gt;"","CoQ-PP_26-"&amp;TEXT(A144,"000"),"— at issue —")</f>
        <v/>
      </c>
      <c r="C144" s="141" t="inlineStr">
        <is>
          <t>no</t>
        </is>
      </c>
      <c r="D144" s="274">
        <f>IF(A144="","",MAX(E144,IF(ISNUMBER(I144),I144,0),IFERROR(IF(ISNUMBER(INDEX('iCoA Register'!$F:$F,MATCH(S144,'iCoA Register'!$P:$P,0))),INDEX('iCoA Register'!$F:$F,MATCH(S144,'iCoA Register'!$P:$P,0)),0),0)))</f>
        <v/>
      </c>
      <c r="E144" s="274">
        <f>IF(ISNUMBER(F144),MAX(DATE(2026,6,6),F144+7),"at retest sampling")</f>
        <v/>
      </c>
      <c r="F144" s="274" t="n">
        <v>46265</v>
      </c>
      <c r="G144" s="129" t="inlineStr">
        <is>
          <t>540-1071-26</t>
        </is>
      </c>
      <c r="H144" s="129">
        <f>IFERROR(INDEX('iCoA Register'!$B:$B,MATCH("P060312|R",'iCoA Register'!$P:$P,0)),"—")</f>
        <v/>
      </c>
      <c r="I144" s="274">
        <f>IFERROR(INDEX('iCoA Register'!$D:$D,MATCH("P060312|R",'iCoA Register'!$P:$P,0)),"")</f>
        <v/>
      </c>
      <c r="J144" s="129" t="inlineStr">
        <is>
          <t>post-SOP</t>
        </is>
      </c>
      <c r="K144" s="129" t="inlineStr">
        <is>
          <t>retest — sampled — Tranche 2/3 (potency and mycotoxins pending)</t>
        </is>
      </c>
      <c r="L144" s="130" t="inlineStr">
        <is>
          <t>JD012601＊</t>
        </is>
      </c>
      <c r="M144" s="129" t="inlineStr">
        <is>
          <t>P060312</t>
        </is>
      </c>
      <c r="N144" s="129" t="inlineStr">
        <is>
          <t>Jelly Donutz</t>
        </is>
      </c>
      <c r="O144" s="141" t="inlineStr">
        <is>
          <t>— retest assay not yet on file —</t>
        </is>
      </c>
      <c r="P144" s="141" t="inlineStr">
        <is>
          <t>—</t>
        </is>
      </c>
      <c r="Q144" s="129" t="inlineStr">
        <is>
          <t>—</t>
        </is>
      </c>
      <c r="R144" s="129" t="inlineStr">
        <is>
          <t>CoQ reissue (assigned on issue)</t>
        </is>
      </c>
      <c r="S144" s="129" t="inlineStr">
        <is>
          <t>P060312|R</t>
        </is>
      </c>
      <c r="T144" s="135" t="inlineStr">
        <is>
          <t>not yet issuable — sampled — microbiology on file, retest assay pending · issued on the first working day 7 days after the latest retest certificate, once the in-house iCoA exists</t>
        </is>
      </c>
    </row>
    <row r="145">
      <c r="A145" s="129">
        <f>IF(C145="yes",COUNT(A$1:A144)+1,"")</f>
        <v/>
      </c>
      <c r="B145" s="130">
        <f>IF(A145&lt;&gt;"","CoQ-PP_26-"&amp;TEXT(A145,"000"),"— at issue —")</f>
        <v/>
      </c>
      <c r="C145" s="141" t="inlineStr">
        <is>
          <t>no</t>
        </is>
      </c>
      <c r="D145" s="274">
        <f>IF(A145="","",MAX(E145,IF(ISNUMBER(I145),I145,0),IFERROR(IF(ISNUMBER(INDEX('iCoA Register'!$F:$F,MATCH(S145,'iCoA Register'!$P:$P,0))),INDEX('iCoA Register'!$F:$F,MATCH(S145,'iCoA Register'!$P:$P,0)),0),0)))</f>
        <v/>
      </c>
      <c r="E145" s="274">
        <f>IF(ISNUMBER(F145),MAX(DATE(2026,6,6),F145+7),"at retest sampling")</f>
        <v/>
      </c>
      <c r="F145" s="274" t="inlineStr">
        <is>
          <t>— not yet sampled —</t>
        </is>
      </c>
      <c r="G145" s="129" t="inlineStr">
        <is>
          <t>—</t>
        </is>
      </c>
      <c r="H145" s="129">
        <f>IFERROR(INDEX('iCoA Register'!$B:$B,MATCH("P060282|R",'iCoA Register'!$P:$P,0)),"—")</f>
        <v/>
      </c>
      <c r="I145" s="274">
        <f>IFERROR(INDEX('iCoA Register'!$D:$D,MATCH("P060282|R",'iCoA Register'!$P:$P,0)),"")</f>
        <v/>
      </c>
      <c r="J145" s="129" t="inlineStr">
        <is>
          <t>post-SOP</t>
        </is>
      </c>
      <c r="K145" s="129" t="inlineStr">
        <is>
          <t>retest — not yet sampled</t>
        </is>
      </c>
      <c r="L145" s="130" t="inlineStr">
        <is>
          <t>SCR112501</t>
        </is>
      </c>
      <c r="M145" s="129" t="inlineStr">
        <is>
          <t>P060282</t>
        </is>
      </c>
      <c r="N145" s="129" t="inlineStr">
        <is>
          <t>Scrambler</t>
        </is>
      </c>
      <c r="O145" s="141" t="inlineStr">
        <is>
          <t>— retest assay not yet on file —</t>
        </is>
      </c>
      <c r="P145" s="141" t="inlineStr">
        <is>
          <t>—</t>
        </is>
      </c>
      <c r="Q145" s="129" t="inlineStr">
        <is>
          <t>—</t>
        </is>
      </c>
      <c r="R145" s="129" t="inlineStr">
        <is>
          <t>CoQ reissue (assigned on issue)</t>
        </is>
      </c>
      <c r="S145" s="129" t="inlineStr">
        <is>
          <t>P060282|R</t>
        </is>
      </c>
      <c r="T145" s="135" t="inlineStr">
        <is>
          <t>not yet issuable — pending — not yet sampled · issued on the first working day 7 days after the latest retest certificate, once the in-house iCoA exists</t>
        </is>
      </c>
    </row>
    <row r="146">
      <c r="A146" s="129">
        <f>IF(C146="yes",COUNT(A$1:A145)+1,"")</f>
        <v/>
      </c>
      <c r="B146" s="130">
        <f>IF(A146&lt;&gt;"","CoQ-PP_26-"&amp;TEXT(A146,"000"),"— at issue —")</f>
        <v/>
      </c>
      <c r="C146" s="141" t="inlineStr">
        <is>
          <t>no</t>
        </is>
      </c>
      <c r="D146" s="274">
        <f>IF(A146="","",MAX(E146,IF(ISNUMBER(I146),I146,0),IFERROR(IF(ISNUMBER(INDEX('iCoA Register'!$F:$F,MATCH(S146,'iCoA Register'!$P:$P,0))),INDEX('iCoA Register'!$F:$F,MATCH(S146,'iCoA Register'!$P:$P,0)),0),0)))</f>
        <v/>
      </c>
      <c r="E146" s="274">
        <f>IF(ISNUMBER(F146),MAX(DATE(2026,6,6),F146+7),"at retest sampling")</f>
        <v/>
      </c>
      <c r="F146" s="274" t="inlineStr">
        <is>
          <t>— not yet sampled —</t>
        </is>
      </c>
      <c r="G146" s="129" t="inlineStr">
        <is>
          <t>—</t>
        </is>
      </c>
      <c r="H146" s="129">
        <f>IFERROR(INDEX('iCoA Register'!$B:$B,MATCH("P060322|R",'iCoA Register'!$P:$P,0)),"—")</f>
        <v/>
      </c>
      <c r="I146" s="274">
        <f>IFERROR(INDEX('iCoA Register'!$D:$D,MATCH("P060322|R",'iCoA Register'!$P:$P,0)),"")</f>
        <v/>
      </c>
      <c r="J146" s="129" t="inlineStr">
        <is>
          <t>post-SOP</t>
        </is>
      </c>
      <c r="K146" s="129" t="inlineStr">
        <is>
          <t>retest — not yet sampled</t>
        </is>
      </c>
      <c r="L146" s="130" t="inlineStr">
        <is>
          <t>FB012601_1</t>
        </is>
      </c>
      <c r="M146" s="129" t="inlineStr">
        <is>
          <t>P060322</t>
        </is>
      </c>
      <c r="N146" s="129" t="inlineStr">
        <is>
          <t>Fat Bastard</t>
        </is>
      </c>
      <c r="O146" s="141" t="inlineStr">
        <is>
          <t>— retest assay not yet on file —</t>
        </is>
      </c>
      <c r="P146" s="141" t="inlineStr">
        <is>
          <t>—</t>
        </is>
      </c>
      <c r="Q146" s="129" t="inlineStr">
        <is>
          <t>—</t>
        </is>
      </c>
      <c r="R146" s="129" t="inlineStr">
        <is>
          <t>CoQ reissue (assigned on issue)</t>
        </is>
      </c>
      <c r="S146" s="129" t="inlineStr">
        <is>
          <t>P060322|R</t>
        </is>
      </c>
      <c r="T146" s="135" t="inlineStr">
        <is>
          <t>not yet issuable — pending — not yet sampled · issued on the first working day 7 days after the latest retest certificate, once the in-house iCoA exists</t>
        </is>
      </c>
    </row>
    <row r="147">
      <c r="A147" s="129">
        <f>IF(C147="yes",COUNT(A$1:A146)+1,"")</f>
        <v/>
      </c>
      <c r="B147" s="130">
        <f>IF(A147&lt;&gt;"","CoQ-PP_26-"&amp;TEXT(A147,"000"),"— at issue —")</f>
        <v/>
      </c>
      <c r="C147" s="141" t="inlineStr">
        <is>
          <t>no</t>
        </is>
      </c>
      <c r="D147" s="274">
        <f>IF(A147="","",MAX(E147,IF(ISNUMBER(I147),I147,0),IFERROR(IF(ISNUMBER(INDEX('iCoA Register'!$F:$F,MATCH(S147,'iCoA Register'!$P:$P,0))),INDEX('iCoA Register'!$F:$F,MATCH(S147,'iCoA Register'!$P:$P,0)),0),0)))</f>
        <v/>
      </c>
      <c r="E147" s="274">
        <f>IF(ISNUMBER(F147),MAX(DATE(2026,6,6),F147+7),"at retest sampling")</f>
        <v/>
      </c>
      <c r="F147" s="274" t="n">
        <v>46244</v>
      </c>
      <c r="G147" s="129" t="inlineStr">
        <is>
          <t>197-7-M-26</t>
        </is>
      </c>
      <c r="H147" s="129">
        <f>IFERROR(INDEX('iCoA Register'!$B:$B,MATCH("P060352|R",'iCoA Register'!$P:$P,0)),"—")</f>
        <v/>
      </c>
      <c r="I147" s="274">
        <f>IFERROR(INDEX('iCoA Register'!$D:$D,MATCH("P060352|R",'iCoA Register'!$P:$P,0)),"")</f>
        <v/>
      </c>
      <c r="J147" s="129" t="inlineStr">
        <is>
          <t>post-SOP</t>
        </is>
      </c>
      <c r="K147" s="129" t="inlineStr">
        <is>
          <t>retest — re-analysed</t>
        </is>
      </c>
      <c r="L147" s="130" t="inlineStr">
        <is>
          <t>FB012602*</t>
        </is>
      </c>
      <c r="M147" s="129" t="inlineStr">
        <is>
          <t>P060352</t>
        </is>
      </c>
      <c r="N147" s="129" t="inlineStr">
        <is>
          <t>Fat Bastard</t>
        </is>
      </c>
      <c r="O147" s="129" t="inlineStr">
        <is>
          <t>197-7-K-26, (07.08.2026) [FHM-K]</t>
        </is>
      </c>
      <c r="P147" s="141" t="inlineStr">
        <is>
          <t>—</t>
        </is>
      </c>
      <c r="Q147" s="129" t="inlineStr">
        <is>
          <t>—</t>
        </is>
      </c>
      <c r="R147" s="129" t="inlineStr">
        <is>
          <t>CoQ reissue (assigned on issue)</t>
        </is>
      </c>
      <c r="S147" s="129" t="inlineStr">
        <is>
          <t>P060352|R</t>
        </is>
      </c>
      <c r="T147" s="135" t="inlineStr">
        <is>
          <t>not yet issuable — due — retest assay, mycotoxins on file; in-house iCoA to test · issued on the first working day 7 days after the latest retest certificate, once the in-house iCoA exists</t>
        </is>
      </c>
    </row>
    <row r="148">
      <c r="A148" s="129">
        <f>IF(C148="yes",COUNT(A$1:A147)+1,"")</f>
        <v/>
      </c>
      <c r="B148" s="130">
        <f>IF(A148&lt;&gt;"","CoQ-PP_26-"&amp;TEXT(A148,"000"),"— at issue —")</f>
        <v/>
      </c>
      <c r="C148" s="141" t="inlineStr">
        <is>
          <t>no</t>
        </is>
      </c>
      <c r="D148" s="274">
        <f>IF(A148="","",MAX(E148,IF(ISNUMBER(I148),I148,0),IFERROR(IF(ISNUMBER(INDEX('iCoA Register'!$F:$F,MATCH(S148,'iCoA Register'!$P:$P,0))),INDEX('iCoA Register'!$F:$F,MATCH(S148,'iCoA Register'!$P:$P,0)),0),0)))</f>
        <v/>
      </c>
      <c r="E148" s="274">
        <f>IF(ISNUMBER(F148),MAX(DATE(2026,6,6),F148+7),"at retest sampling")</f>
        <v/>
      </c>
      <c r="F148" s="274" t="n">
        <v>46203</v>
      </c>
      <c r="G148" s="129" t="inlineStr">
        <is>
          <t>ППК26113</t>
        </is>
      </c>
      <c r="H148" s="129">
        <f>IFERROR(INDEX('iCoA Register'!$B:$B,MATCH("P060362|R",'iCoA Register'!$P:$P,0)),"—")</f>
        <v/>
      </c>
      <c r="I148" s="274">
        <f>IFERROR(INDEX('iCoA Register'!$D:$D,MATCH("P060362|R",'iCoA Register'!$P:$P,0)),"")</f>
        <v/>
      </c>
      <c r="J148" s="129" t="inlineStr">
        <is>
          <t>post-SOP</t>
        </is>
      </c>
      <c r="K148" s="129" t="inlineStr">
        <is>
          <t>retest — re-analysed</t>
        </is>
      </c>
      <c r="L148" s="130" t="inlineStr">
        <is>
          <t>JD012603</t>
        </is>
      </c>
      <c r="M148" s="129" t="inlineStr">
        <is>
          <t>P060362</t>
        </is>
      </c>
      <c r="N148" s="129" t="inlineStr"/>
      <c r="O148" s="129" t="inlineStr">
        <is>
          <t>ППК26113, (30.06.2026) [CNP]</t>
        </is>
      </c>
      <c r="P148" s="141" t="inlineStr">
        <is>
          <t>—</t>
        </is>
      </c>
      <c r="Q148" s="129" t="inlineStr">
        <is>
          <t>—</t>
        </is>
      </c>
      <c r="R148" s="129" t="inlineStr">
        <is>
          <t>CoQ reissue (assigned on issue)</t>
        </is>
      </c>
      <c r="S148" s="129" t="inlineStr">
        <is>
          <t>P060362|R</t>
        </is>
      </c>
      <c r="T148" s="135" t="inlineStr">
        <is>
          <t>not yet issuable — due — retest assay on file, mycotoxins pending · issued on the first working day 7 days after the latest retest certificate, once the in-house iCoA exists</t>
        </is>
      </c>
    </row>
    <row r="149">
      <c r="A149" s="129">
        <f>IF(C149="yes",COUNT(A$1:A148)+1,"")</f>
        <v/>
      </c>
      <c r="B149" s="130">
        <f>IF(A149&lt;&gt;"","CoQ-PP_26-"&amp;TEXT(A149,"000"),"— at issue —")</f>
        <v/>
      </c>
      <c r="C149" s="141" t="inlineStr">
        <is>
          <t>no</t>
        </is>
      </c>
      <c r="D149" s="274">
        <f>IF(A149="","",MAX(E149,IF(ISNUMBER(I149),I149,0),IFERROR(IF(ISNUMBER(INDEX('iCoA Register'!$F:$F,MATCH(S149,'iCoA Register'!$P:$P,0))),INDEX('iCoA Register'!$F:$F,MATCH(S149,'iCoA Register'!$P:$P,0)),0),0)))</f>
        <v/>
      </c>
      <c r="E149" s="274">
        <f>IF(ISNUMBER(F149),MAX(DATE(2026,6,6),F149+7),"at retest sampling")</f>
        <v/>
      </c>
      <c r="F149" s="274" t="n">
        <v>46203</v>
      </c>
      <c r="G149" s="129" t="inlineStr">
        <is>
          <t>ППК26113</t>
        </is>
      </c>
      <c r="H149" s="129">
        <f>IFERROR(INDEX('iCoA Register'!$B:$B,MATCH("P060422|R",'iCoA Register'!$P:$P,0)),"—")</f>
        <v/>
      </c>
      <c r="I149" s="274">
        <f>IFERROR(INDEX('iCoA Register'!$D:$D,MATCH("P060422|R",'iCoA Register'!$P:$P,0)),"")</f>
        <v/>
      </c>
      <c r="J149" s="129" t="inlineStr">
        <is>
          <t>post-SOP</t>
        </is>
      </c>
      <c r="K149" s="129" t="inlineStr">
        <is>
          <t>retest — re-analysed</t>
        </is>
      </c>
      <c r="L149" s="130" t="inlineStr">
        <is>
          <t>JD012603</t>
        </is>
      </c>
      <c r="M149" s="129" t="inlineStr">
        <is>
          <t>P060422</t>
        </is>
      </c>
      <c r="N149" s="129" t="inlineStr"/>
      <c r="O149" s="129" t="inlineStr">
        <is>
          <t>ППК26113, (30.06.2026) [CNP]</t>
        </is>
      </c>
      <c r="P149" s="141" t="inlineStr">
        <is>
          <t>—</t>
        </is>
      </c>
      <c r="Q149" s="129" t="inlineStr">
        <is>
          <t>—</t>
        </is>
      </c>
      <c r="R149" s="129" t="inlineStr">
        <is>
          <t>CoQ reissue (assigned on issue)</t>
        </is>
      </c>
      <c r="S149" s="129" t="inlineStr">
        <is>
          <t>P060422|R</t>
        </is>
      </c>
      <c r="T149" s="135" t="inlineStr">
        <is>
          <t>not yet issuable — due — retest assay on file, mycotoxins pending · issued on the first working day 7 days after the latest retest certificate, once the in-house iCoA exists</t>
        </is>
      </c>
    </row>
    <row r="150">
      <c r="A150" s="129">
        <f>IF(C150="yes",COUNT(A$1:A149)+1,"")</f>
        <v/>
      </c>
      <c r="B150" s="130">
        <f>IF(A150&lt;&gt;"","CoQ-PP_26-"&amp;TEXT(A150,"000"),"— at issue —")</f>
        <v/>
      </c>
      <c r="C150" s="141" t="inlineStr">
        <is>
          <t>no</t>
        </is>
      </c>
      <c r="D150" s="274">
        <f>IF(A150="","",MAX(E150,IF(ISNUMBER(I150),I150,0),IFERROR(IF(ISNUMBER(INDEX('iCoA Register'!$F:$F,MATCH(S150,'iCoA Register'!$P:$P,0))),INDEX('iCoA Register'!$F:$F,MATCH(S150,'iCoA Register'!$P:$P,0)),0),0)))</f>
        <v/>
      </c>
      <c r="E150" s="274">
        <f>IF(ISNUMBER(F150),MAX(DATE(2026,6,6),F150+7),"at retest sampling")</f>
        <v/>
      </c>
      <c r="F150" s="274" t="n">
        <v>46244</v>
      </c>
      <c r="G150" s="129" t="inlineStr">
        <is>
          <t>197-8-M-26</t>
        </is>
      </c>
      <c r="H150" s="129">
        <f>IFERROR(INDEX('iCoA Register'!$B:$B,MATCH("P060402|R",'iCoA Register'!$P:$P,0)),"—")</f>
        <v/>
      </c>
      <c r="I150" s="274">
        <f>IFERROR(INDEX('iCoA Register'!$D:$D,MATCH("P060402|R",'iCoA Register'!$P:$P,0)),"")</f>
        <v/>
      </c>
      <c r="J150" s="129" t="inlineStr">
        <is>
          <t>post-SOP</t>
        </is>
      </c>
      <c r="K150" s="129" t="inlineStr">
        <is>
          <t>retest — re-analysed</t>
        </is>
      </c>
      <c r="L150" s="130" t="inlineStr">
        <is>
          <t>GG012603</t>
        </is>
      </c>
      <c r="M150" s="129" t="inlineStr">
        <is>
          <t>P060402</t>
        </is>
      </c>
      <c r="N150" s="129" t="inlineStr">
        <is>
          <t>GorillaGlue</t>
        </is>
      </c>
      <c r="O150" s="129" t="inlineStr">
        <is>
          <t>197-8-K-26, (07.08.2026) [FHM-K]</t>
        </is>
      </c>
      <c r="P150" s="141" t="inlineStr">
        <is>
          <t>—</t>
        </is>
      </c>
      <c r="Q150" s="129" t="inlineStr">
        <is>
          <t>—</t>
        </is>
      </c>
      <c r="R150" s="129" t="inlineStr">
        <is>
          <t>CoQ reissue (assigned on issue)</t>
        </is>
      </c>
      <c r="S150" s="129" t="inlineStr">
        <is>
          <t>P060402|R</t>
        </is>
      </c>
      <c r="T150" s="135" t="inlineStr">
        <is>
          <t>not yet issuable — due — retest assay, mycotoxins on file; in-house iCoA to test · issued on the first working day 7 days after the latest retest certificate, once the in-house iCoA exists</t>
        </is>
      </c>
    </row>
    <row r="151">
      <c r="A151" s="129">
        <f>IF(C151="yes",COUNT(A$1:A150)+1,"")</f>
        <v/>
      </c>
      <c r="B151" s="130">
        <f>IF(A151&lt;&gt;"","CoQ-PP_26-"&amp;TEXT(A151,"000"),"— at issue —")</f>
        <v/>
      </c>
      <c r="C151" s="141" t="inlineStr">
        <is>
          <t>no</t>
        </is>
      </c>
      <c r="D151" s="274">
        <f>IF(A151="","",MAX(E151,IF(ISNUMBER(I151),I151,0),IFERROR(IF(ISNUMBER(INDEX('iCoA Register'!$F:$F,MATCH(S151,'iCoA Register'!$P:$P,0))),INDEX('iCoA Register'!$F:$F,MATCH(S151,'iCoA Register'!$P:$P,0)),0),0)))</f>
        <v/>
      </c>
      <c r="E151" s="274">
        <f>IF(ISNUMBER(F151),MAX(DATE(2026,6,6),F151+7),"at retest sampling")</f>
        <v/>
      </c>
      <c r="F151" s="274" t="n">
        <v>46203</v>
      </c>
      <c r="G151" s="129" t="inlineStr">
        <is>
          <t>ППК26113</t>
        </is>
      </c>
      <c r="H151" s="129">
        <f>IFERROR(INDEX('iCoA Register'!$B:$B,MATCH("P060412|R",'iCoA Register'!$P:$P,0)),"—")</f>
        <v/>
      </c>
      <c r="I151" s="274">
        <f>IFERROR(INDEX('iCoA Register'!$D:$D,MATCH("P060412|R",'iCoA Register'!$P:$P,0)),"")</f>
        <v/>
      </c>
      <c r="J151" s="129" t="inlineStr">
        <is>
          <t>post-SOP</t>
        </is>
      </c>
      <c r="K151" s="129" t="inlineStr">
        <is>
          <t>retest — re-analysed</t>
        </is>
      </c>
      <c r="L151" s="130" t="inlineStr">
        <is>
          <t>JD012603</t>
        </is>
      </c>
      <c r="M151" s="129" t="inlineStr">
        <is>
          <t>P060412</t>
        </is>
      </c>
      <c r="N151" s="129" t="inlineStr"/>
      <c r="O151" s="129" t="inlineStr">
        <is>
          <t>ППК26113, (30.06.2026) [CNP]</t>
        </is>
      </c>
      <c r="P151" s="141" t="inlineStr">
        <is>
          <t>—</t>
        </is>
      </c>
      <c r="Q151" s="129" t="inlineStr">
        <is>
          <t>—</t>
        </is>
      </c>
      <c r="R151" s="129" t="inlineStr">
        <is>
          <t>CoQ reissue (assigned on issue)</t>
        </is>
      </c>
      <c r="S151" s="129" t="inlineStr">
        <is>
          <t>P060412|R</t>
        </is>
      </c>
      <c r="T151" s="135" t="inlineStr">
        <is>
          <t>not yet issuable — due — retest assay on file, mycotoxins pending · issued on the first working day 7 days after the latest retest certificate, once the in-house iCoA exists</t>
        </is>
      </c>
    </row>
    <row r="152">
      <c r="A152" s="129">
        <f>IF(C152="yes",COUNT(A$1:A151)+1,"")</f>
        <v/>
      </c>
      <c r="B152" s="130">
        <f>IF(A152&lt;&gt;"","CoQ-PP_26-"&amp;TEXT(A152,"000"),"— at issue —")</f>
        <v/>
      </c>
      <c r="C152" s="141" t="inlineStr">
        <is>
          <t>no</t>
        </is>
      </c>
      <c r="D152" s="274">
        <f>IF(A152="","",MAX(E152,IF(ISNUMBER(I152),I152,0),IFERROR(IF(ISNUMBER(INDEX('iCoA Register'!$F:$F,MATCH(S152,'iCoA Register'!$P:$P,0))),INDEX('iCoA Register'!$F:$F,MATCH(S152,'iCoA Register'!$P:$P,0)),0),0)))</f>
        <v/>
      </c>
      <c r="E152" s="274">
        <f>IF(ISNUMBER(F152),MAX(DATE(2026,6,6),F152+7),"at retest sampling")</f>
        <v/>
      </c>
      <c r="F152" s="274" t="n">
        <v>46244</v>
      </c>
      <c r="G152" s="129" t="inlineStr">
        <is>
          <t>197-21-M-26</t>
        </is>
      </c>
      <c r="H152" s="129">
        <f>IFERROR(INDEX('iCoA Register'!$B:$B,MATCH("P060382|R",'iCoA Register'!$P:$P,0)),"—")</f>
        <v/>
      </c>
      <c r="I152" s="274">
        <f>IFERROR(INDEX('iCoA Register'!$D:$D,MATCH("P060382|R",'iCoA Register'!$P:$P,0)),"")</f>
        <v/>
      </c>
      <c r="J152" s="129" t="inlineStr">
        <is>
          <t>post-SOP</t>
        </is>
      </c>
      <c r="K152" s="129" t="inlineStr">
        <is>
          <t>retest — re-analysed</t>
        </is>
      </c>
      <c r="L152" s="130" t="inlineStr">
        <is>
          <t>SCR012603</t>
        </is>
      </c>
      <c r="M152" s="129" t="inlineStr">
        <is>
          <t>P060382</t>
        </is>
      </c>
      <c r="N152" s="129" t="inlineStr">
        <is>
          <t>Scrambler</t>
        </is>
      </c>
      <c r="O152" s="129" t="inlineStr">
        <is>
          <t>197-21-K-26, (07.08.2026) [FHM-K]</t>
        </is>
      </c>
      <c r="P152" s="141" t="inlineStr">
        <is>
          <t>—</t>
        </is>
      </c>
      <c r="Q152" s="129" t="inlineStr">
        <is>
          <t>—</t>
        </is>
      </c>
      <c r="R152" s="129" t="inlineStr">
        <is>
          <t>CoQ reissue (assigned on issue)</t>
        </is>
      </c>
      <c r="S152" s="129" t="inlineStr">
        <is>
          <t>P060382|R</t>
        </is>
      </c>
      <c r="T152" s="135" t="inlineStr">
        <is>
          <t>not yet issuable — due — retest assay, mycotoxins on file; in-house iCoA to test · issued on the first working day 7 days after the latest retest certificate, once the in-house iCoA exists</t>
        </is>
      </c>
    </row>
    <row r="153">
      <c r="A153" s="129">
        <f>IF(C153="yes",COUNT(A$1:A152)+1,"")</f>
        <v/>
      </c>
      <c r="B153" s="130">
        <f>IF(A153&lt;&gt;"","CoQ-PP_26-"&amp;TEXT(A153,"000"),"— at issue —")</f>
        <v/>
      </c>
      <c r="C153" s="141" t="inlineStr">
        <is>
          <t>no</t>
        </is>
      </c>
      <c r="D153" s="274">
        <f>IF(A153="","",MAX(E153,IF(ISNUMBER(I153),I153,0),IFERROR(IF(ISNUMBER(INDEX('iCoA Register'!$F:$F,MATCH(S153,'iCoA Register'!$P:$P,0))),INDEX('iCoA Register'!$F:$F,MATCH(S153,'iCoA Register'!$P:$P,0)),0),0)))</f>
        <v/>
      </c>
      <c r="E153" s="274">
        <f>IF(ISNUMBER(F153),MAX(DATE(2026,6,6),F153+7),"at retest sampling")</f>
        <v/>
      </c>
      <c r="F153" s="274" t="n">
        <v>46265</v>
      </c>
      <c r="G153" s="129" t="inlineStr">
        <is>
          <t>537-1068-26</t>
        </is>
      </c>
      <c r="H153" s="129">
        <f>IFERROR(INDEX('iCoA Register'!$B:$B,MATCH("P060432|R",'iCoA Register'!$P:$P,0)),"—")</f>
        <v/>
      </c>
      <c r="I153" s="274">
        <f>IFERROR(INDEX('iCoA Register'!$D:$D,MATCH("P060432|R",'iCoA Register'!$P:$P,0)),"")</f>
        <v/>
      </c>
      <c r="J153" s="129" t="inlineStr">
        <is>
          <t>post-SOP</t>
        </is>
      </c>
      <c r="K153" s="129" t="inlineStr">
        <is>
          <t>retest — sampled — Tranche 2/3 (potency and mycotoxins pending)</t>
        </is>
      </c>
      <c r="L153" s="130" t="inlineStr">
        <is>
          <t>FB012603</t>
        </is>
      </c>
      <c r="M153" s="129" t="inlineStr">
        <is>
          <t>P060432</t>
        </is>
      </c>
      <c r="N153" s="129" t="inlineStr">
        <is>
          <t>Fat Bastard</t>
        </is>
      </c>
      <c r="O153" s="141" t="inlineStr">
        <is>
          <t>— retest assay not yet on file —</t>
        </is>
      </c>
      <c r="P153" s="141" t="inlineStr">
        <is>
          <t>—</t>
        </is>
      </c>
      <c r="Q153" s="129" t="inlineStr">
        <is>
          <t>—</t>
        </is>
      </c>
      <c r="R153" s="129" t="inlineStr">
        <is>
          <t>CoQ reissue (assigned on issue)</t>
        </is>
      </c>
      <c r="S153" s="129" t="inlineStr">
        <is>
          <t>P060432|R</t>
        </is>
      </c>
      <c r="T153" s="135" t="inlineStr">
        <is>
          <t>not yet issuable — sampled — microbiology on file, retest assay pending · issued on the first working day 7 days after the latest retest certificate, once the in-house iCoA exists</t>
        </is>
      </c>
    </row>
    <row r="154">
      <c r="A154" s="129">
        <f>IF(C154="yes",COUNT(A$1:A153)+1,"")</f>
        <v/>
      </c>
      <c r="B154" s="130">
        <f>IF(A154&lt;&gt;"","CoQ-PP_26-"&amp;TEXT(A154,"000"),"— at issue —")</f>
        <v/>
      </c>
      <c r="C154" s="141" t="inlineStr">
        <is>
          <t>no</t>
        </is>
      </c>
      <c r="D154" s="274">
        <f>IF(A154="","",MAX(E154,IF(ISNUMBER(I154),I154,0),IFERROR(IF(ISNUMBER(INDEX('iCoA Register'!$F:$F,MATCH(S154,'iCoA Register'!$P:$P,0))),INDEX('iCoA Register'!$F:$F,MATCH(S154,'iCoA Register'!$P:$P,0)),0),0)))</f>
        <v/>
      </c>
      <c r="E154" s="274">
        <f>IF(ISNUMBER(F154),MAX(DATE(2026,6,6),F154+7),"at retest sampling")</f>
        <v/>
      </c>
      <c r="F154" s="274" t="n">
        <v>46265</v>
      </c>
      <c r="G154" s="129" t="inlineStr">
        <is>
          <t>538-1069-26</t>
        </is>
      </c>
      <c r="H154" s="129">
        <f>IFERROR(INDEX('iCoA Register'!$B:$B,MATCH("P060392|R",'iCoA Register'!$P:$P,0)),"—")</f>
        <v/>
      </c>
      <c r="I154" s="274">
        <f>IFERROR(INDEX('iCoA Register'!$D:$D,MATCH("P060392|R",'iCoA Register'!$P:$P,0)),"")</f>
        <v/>
      </c>
      <c r="J154" s="129" t="inlineStr">
        <is>
          <t>post-SOP</t>
        </is>
      </c>
      <c r="K154" s="129" t="inlineStr">
        <is>
          <t>retest — sampled — Tranche 2/3 (potency and mycotoxins pending)</t>
        </is>
      </c>
      <c r="L154" s="130" t="inlineStr">
        <is>
          <t>FB012603V</t>
        </is>
      </c>
      <c r="M154" s="129" t="inlineStr">
        <is>
          <t>P060392</t>
        </is>
      </c>
      <c r="N154" s="129" t="inlineStr">
        <is>
          <t>Fat Bastard</t>
        </is>
      </c>
      <c r="O154" s="141" t="inlineStr">
        <is>
          <t>— retest assay not yet on file —</t>
        </is>
      </c>
      <c r="P154" s="141" t="inlineStr">
        <is>
          <t>—</t>
        </is>
      </c>
      <c r="Q154" s="129" t="inlineStr">
        <is>
          <t>—</t>
        </is>
      </c>
      <c r="R154" s="129" t="inlineStr">
        <is>
          <t>CoQ reissue (assigned on issue)</t>
        </is>
      </c>
      <c r="S154" s="129" t="inlineStr">
        <is>
          <t>P060392|R</t>
        </is>
      </c>
      <c r="T154" s="135" t="inlineStr">
        <is>
          <t>not yet issuable — sampled — microbiology on file, retest assay pending · issued on the first working day 7 days after the latest retest certificate, once the in-house iCoA exists</t>
        </is>
      </c>
    </row>
    <row r="155">
      <c r="A155" s="129">
        <f>IF(C155="yes",COUNT(A$1:A154)+1,"")</f>
        <v/>
      </c>
      <c r="B155" s="130">
        <f>IF(A155&lt;&gt;"","CoQ-PP_26-"&amp;TEXT(A155,"000"),"— at issue —")</f>
        <v/>
      </c>
      <c r="C155" s="141" t="inlineStr">
        <is>
          <t>no</t>
        </is>
      </c>
      <c r="D155" s="274">
        <f>IF(A155="","",MAX(E155,IF(ISNUMBER(I155),I155,0),IFERROR(IF(ISNUMBER(INDEX('iCoA Register'!$F:$F,MATCH(S155,'iCoA Register'!$P:$P,0))),INDEX('iCoA Register'!$F:$F,MATCH(S155,'iCoA Register'!$P:$P,0)),0),0)))</f>
        <v/>
      </c>
      <c r="E155" s="274">
        <f>IF(ISNUMBER(F155),MAX(DATE(2026,6,6),F155+7),"at retest sampling")</f>
        <v/>
      </c>
      <c r="F155" s="274" t="inlineStr">
        <is>
          <t>— not yet sampled —</t>
        </is>
      </c>
      <c r="G155" s="129" t="inlineStr">
        <is>
          <t>—</t>
        </is>
      </c>
      <c r="H155" s="129">
        <f>IFERROR(INDEX('iCoA Register'!$B:$B,MATCH("P060482|R",'iCoA Register'!$P:$P,0)),"—")</f>
        <v/>
      </c>
      <c r="I155" s="274">
        <f>IFERROR(INDEX('iCoA Register'!$D:$D,MATCH("P060482|R",'iCoA Register'!$P:$P,0)),"")</f>
        <v/>
      </c>
      <c r="J155" s="129" t="inlineStr">
        <is>
          <t>post-SOP</t>
        </is>
      </c>
      <c r="K155" s="129" t="inlineStr">
        <is>
          <t>retest — not yet sampled</t>
        </is>
      </c>
      <c r="L155" s="130" t="inlineStr">
        <is>
          <t>JD022601</t>
        </is>
      </c>
      <c r="M155" s="129" t="inlineStr">
        <is>
          <t>P060482</t>
        </is>
      </c>
      <c r="N155" s="129" t="inlineStr">
        <is>
          <t>JellyDonutz</t>
        </is>
      </c>
      <c r="O155" s="141" t="inlineStr">
        <is>
          <t>— retest assay not yet on file —</t>
        </is>
      </c>
      <c r="P155" s="141" t="inlineStr">
        <is>
          <t>—</t>
        </is>
      </c>
      <c r="Q155" s="129" t="inlineStr">
        <is>
          <t>—</t>
        </is>
      </c>
      <c r="R155" s="129" t="inlineStr">
        <is>
          <t>CoQ reissue (assigned on issue)</t>
        </is>
      </c>
      <c r="S155" s="129" t="inlineStr">
        <is>
          <t>P060482|R</t>
        </is>
      </c>
      <c r="T155" s="135" t="inlineStr">
        <is>
          <t>not yet issuable — pending — not yet sampled · issued on the first working day 7 days after the latest retest certificate, once the in-house iCoA exists</t>
        </is>
      </c>
    </row>
    <row r="156">
      <c r="A156" s="129">
        <f>IF(C156="yes",COUNT(A$1:A155)+1,"")</f>
        <v/>
      </c>
      <c r="B156" s="130">
        <f>IF(A156&lt;&gt;"","CoQ-PP_26-"&amp;TEXT(A156,"000"),"— at issue —")</f>
        <v/>
      </c>
      <c r="C156" s="141" t="inlineStr">
        <is>
          <t>no</t>
        </is>
      </c>
      <c r="D156" s="274">
        <f>IF(A156="","",MAX(E156,IF(ISNUMBER(I156),I156,0),IFERROR(IF(ISNUMBER(INDEX('iCoA Register'!$F:$F,MATCH(S156,'iCoA Register'!$P:$P,0))),INDEX('iCoA Register'!$F:$F,MATCH(S156,'iCoA Register'!$P:$P,0)),0),0)))</f>
        <v/>
      </c>
      <c r="E156" s="274">
        <f>IF(ISNUMBER(F156),MAX(DATE(2026,6,6),F156+7),"at retest sampling")</f>
        <v/>
      </c>
      <c r="F156" s="274" t="n">
        <v>46265</v>
      </c>
      <c r="G156" s="129" t="inlineStr">
        <is>
          <t>536-1067-26</t>
        </is>
      </c>
      <c r="H156" s="129">
        <f>IFERROR(INDEX('iCoA Register'!$B:$B,MATCH("P060442|R",'iCoA Register'!$P:$P,0)),"—")</f>
        <v/>
      </c>
      <c r="I156" s="274">
        <f>IFERROR(INDEX('iCoA Register'!$D:$D,MATCH("P060442|R",'iCoA Register'!$P:$P,0)),"")</f>
        <v/>
      </c>
      <c r="J156" s="129" t="inlineStr">
        <is>
          <t>post-SOP</t>
        </is>
      </c>
      <c r="K156" s="129" t="inlineStr">
        <is>
          <t>retest — sampled — Tranche 2/3 (potency and mycotoxins pending)</t>
        </is>
      </c>
      <c r="L156" s="130" t="inlineStr">
        <is>
          <t>SCR022601</t>
        </is>
      </c>
      <c r="M156" s="129" t="inlineStr">
        <is>
          <t>P060442</t>
        </is>
      </c>
      <c r="N156" s="129" t="inlineStr">
        <is>
          <t>Scrambler</t>
        </is>
      </c>
      <c r="O156" s="141" t="inlineStr">
        <is>
          <t>— retest assay not yet on file —</t>
        </is>
      </c>
      <c r="P156" s="141" t="inlineStr">
        <is>
          <t>—</t>
        </is>
      </c>
      <c r="Q156" s="129" t="inlineStr">
        <is>
          <t>—</t>
        </is>
      </c>
      <c r="R156" s="129" t="inlineStr">
        <is>
          <t>CoQ reissue (assigned on issue)</t>
        </is>
      </c>
      <c r="S156" s="129" t="inlineStr">
        <is>
          <t>P060442|R</t>
        </is>
      </c>
      <c r="T156" s="135" t="inlineStr">
        <is>
          <t>not yet issuable — sampled — microbiology on file, retest assay pending · issued on the first working day 7 days after the latest retest certificate, once the in-house iCoA exists</t>
        </is>
      </c>
    </row>
    <row r="157">
      <c r="A157" s="129">
        <f>IF(C157="yes",COUNT(A$1:A156)+1,"")</f>
        <v/>
      </c>
      <c r="B157" s="130">
        <f>IF(A157&lt;&gt;"","CoQ-PP_26-"&amp;TEXT(A157,"000"),"— at issue —")</f>
        <v/>
      </c>
      <c r="C157" s="141" t="inlineStr">
        <is>
          <t>no</t>
        </is>
      </c>
      <c r="D157" s="274">
        <f>IF(A157="","",MAX(E157,IF(ISNUMBER(I157),I157,0),IFERROR(IF(ISNUMBER(INDEX('iCoA Register'!$F:$F,MATCH(S157,'iCoA Register'!$P:$P,0))),INDEX('iCoA Register'!$F:$F,MATCH(S157,'iCoA Register'!$P:$P,0)),0),0)))</f>
        <v/>
      </c>
      <c r="E157" s="274">
        <f>IF(ISNUMBER(F157),MAX(DATE(2026,6,6),F157+7),"at retest sampling")</f>
        <v/>
      </c>
      <c r="F157" s="274" t="inlineStr">
        <is>
          <t>— not yet sampled —</t>
        </is>
      </c>
      <c r="G157" s="129" t="inlineStr">
        <is>
          <t>—</t>
        </is>
      </c>
      <c r="H157" s="129">
        <f>IFERROR(INDEX('iCoA Register'!$B:$B,MATCH("P060452|R",'iCoA Register'!$P:$P,0)),"—")</f>
        <v/>
      </c>
      <c r="I157" s="274">
        <f>IFERROR(INDEX('iCoA Register'!$D:$D,MATCH("P060452|R",'iCoA Register'!$P:$P,0)),"")</f>
        <v/>
      </c>
      <c r="J157" s="129" t="inlineStr">
        <is>
          <t>post-SOP</t>
        </is>
      </c>
      <c r="K157" s="129" t="inlineStr">
        <is>
          <t>retest — not yet sampled</t>
        </is>
      </c>
      <c r="L157" s="130" t="inlineStr">
        <is>
          <t>FB032601</t>
        </is>
      </c>
      <c r="M157" s="129" t="inlineStr">
        <is>
          <t>P060452</t>
        </is>
      </c>
      <c r="N157" s="129" t="inlineStr">
        <is>
          <t>FatBastard</t>
        </is>
      </c>
      <c r="O157" s="141" t="inlineStr">
        <is>
          <t>— retest assay not yet on file —</t>
        </is>
      </c>
      <c r="P157" s="141" t="inlineStr">
        <is>
          <t>—</t>
        </is>
      </c>
      <c r="Q157" s="129" t="inlineStr">
        <is>
          <t>—</t>
        </is>
      </c>
      <c r="R157" s="129" t="inlineStr">
        <is>
          <t>CoQ reissue (assigned on issue)</t>
        </is>
      </c>
      <c r="S157" s="129" t="inlineStr">
        <is>
          <t>P060452|R</t>
        </is>
      </c>
      <c r="T157" s="135" t="inlineStr">
        <is>
          <t>not yet issuable — pending — not yet sampled · issued on the first working day 7 days after the latest retest certificate, once the in-house iCoA exists</t>
        </is>
      </c>
    </row>
    <row r="158">
      <c r="A158" s="129">
        <f>IF(C158="yes",COUNT(A$1:A157)+1,"")</f>
        <v/>
      </c>
      <c r="B158" s="130">
        <f>IF(A158&lt;&gt;"","CoQ-PP_26-"&amp;TEXT(A158,"000"),"— at issue —")</f>
        <v/>
      </c>
      <c r="C158" s="141" t="inlineStr">
        <is>
          <t>no</t>
        </is>
      </c>
      <c r="D158" s="274">
        <f>IF(A158="","",MAX(E158,IF(ISNUMBER(I158),I158,0),IFERROR(IF(ISNUMBER(INDEX('iCoA Register'!$F:$F,MATCH(S158,'iCoA Register'!$P:$P,0))),INDEX('iCoA Register'!$F:$F,MATCH(S158,'iCoA Register'!$P:$P,0)),0),0)))</f>
        <v/>
      </c>
      <c r="E158" s="274">
        <f>IF(ISNUMBER(F158),MAX(DATE(2026,6,6),F158+7),"at retest sampling")</f>
        <v/>
      </c>
      <c r="F158" s="274" t="inlineStr">
        <is>
          <t>— not yet sampled —</t>
        </is>
      </c>
      <c r="G158" s="129" t="inlineStr">
        <is>
          <t>—</t>
        </is>
      </c>
      <c r="H158" s="129">
        <f>IFERROR(INDEX('iCoA Register'!$B:$B,MATCH("P060462|R",'iCoA Register'!$P:$P,0)),"—")</f>
        <v/>
      </c>
      <c r="I158" s="274">
        <f>IFERROR(INDEX('iCoA Register'!$D:$D,MATCH("P060462|R",'iCoA Register'!$P:$P,0)),"")</f>
        <v/>
      </c>
      <c r="J158" s="129" t="inlineStr">
        <is>
          <t>post-SOP</t>
        </is>
      </c>
      <c r="K158" s="129" t="inlineStr">
        <is>
          <t>retest — not yet sampled</t>
        </is>
      </c>
      <c r="L158" s="130" t="inlineStr">
        <is>
          <t>GG032601</t>
        </is>
      </c>
      <c r="M158" s="129" t="inlineStr">
        <is>
          <t>P060462</t>
        </is>
      </c>
      <c r="N158" s="129" t="inlineStr">
        <is>
          <t>GorillaGlue</t>
        </is>
      </c>
      <c r="O158" s="141" t="inlineStr">
        <is>
          <t>— retest assay not yet on file —</t>
        </is>
      </c>
      <c r="P158" s="141" t="inlineStr">
        <is>
          <t>—</t>
        </is>
      </c>
      <c r="Q158" s="129" t="inlineStr">
        <is>
          <t>—</t>
        </is>
      </c>
      <c r="R158" s="129" t="inlineStr">
        <is>
          <t>CoQ reissue (assigned on issue)</t>
        </is>
      </c>
      <c r="S158" s="129" t="inlineStr">
        <is>
          <t>P060462|R</t>
        </is>
      </c>
      <c r="T158" s="135" t="inlineStr">
        <is>
          <t>not yet issuable — pending — not yet sampled · issued on the first working day 7 days after the latest retest certificate, once the in-house iCoA exists</t>
        </is>
      </c>
    </row>
    <row r="160" ht="150" customHeight="1" s="70">
      <c r="A160" s="139"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27.05.2026, in chronological order of packaging; POST-SOP lots follow, each on the first working day 7 days after the latest eCoA the CoQ cites and never before 27.05.2026,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27.05.2026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microbiology by IJZ-MB) and the initial certificates for the rest; its rule date is the first working day 7 days after the latest retest certificate, and it is issued once the in-house retest iCoA exists. FORMULAS: No. and the code as on the iCoA Register; Rule date is 27.05.2026 for a legacy row whose latest eCoA is on or before it, else the first working day 7 days after the latest eCoA (not before 27.05.2026); the planned date is the latest of the rule date, the iCoA's date and the lot's last day of packaging; iCoA (register) and its date are looked up on the iCoA Register by Key.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P060142: no initial certificate for #9 — only the retest 550-1081-26 of 01.09.2026; the legacy CoQ cannot cite it (Head of QC to rule: report as not tested at initial testing, or wait for the reissue) | P060182: no initial certificate for #9 — only the retest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#9 — only the retest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06.06.2026 | P060342: no initial certificate for #9 — only the retest 539-1070-26 of 31.08.2026; the post-SOP CoQ cannot cite it (Head of QC to rule: report as not tested at initial testing, or wait for the reissue)</t>
        </is>
      </c>
    </row>
  </sheetData>
  <mergeCells count="1">
    <mergeCell ref="A160:T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D21"/>
  <sheetViews>
    <sheetView showGridLines="0" workbookViewId="0">
      <pane ySplit="1" topLeftCell="A2" activePane="bottomLeft" state="frozen"/>
      <selection pane="bottomLeft" activeCell="B3" sqref="B3"/>
    </sheetView>
  </sheetViews>
  <sheetFormatPr baseColWidth="8" defaultColWidth="14.43" defaultRowHeight="15" customHeight="1"/>
  <cols>
    <col width="36" customWidth="1" style="70" min="1" max="1"/>
    <col width="16" customWidth="1" style="70" min="2" max="2"/>
    <col width="42" customWidth="1" style="70" min="3" max="3"/>
    <col width="18" customWidth="1" style="70" min="4" max="4"/>
    <col width="8.710000000000001" customWidth="1" style="70" min="5" max="26"/>
  </cols>
  <sheetData>
    <row r="1" ht="36" customHeight="1" s="70">
      <c r="A1" s="83" t="inlineStr">
        <is>
          <t>eCOA DATABASE — CoQ PARAMETER COVERAGE DASHBOARD</t>
        </is>
      </c>
    </row>
    <row r="2" ht="24" customHeight="1" s="70">
      <c r="A2" s="84" t="inlineStr">
        <is>
          <t>OVERVIEW</t>
        </is>
      </c>
      <c r="B2" s="76" t="n"/>
      <c r="C2" s="76" t="n"/>
      <c r="D2" s="77" t="n"/>
    </row>
    <row r="3" ht="21.75" customHeight="1" s="70">
      <c r="A3" s="28" t="inlineStr">
        <is>
          <t>Total Batches</t>
        </is>
      </c>
      <c r="B3" s="30" t="n">
        <v>80</v>
      </c>
      <c r="C3" s="32" t="n"/>
    </row>
    <row r="4" ht="21.75" customHeight="1" s="70">
      <c r="A4" s="28" t="inlineStr">
        <is>
          <t>Total eCOA Documents</t>
        </is>
      </c>
      <c r="B4" s="30" t="n">
        <v>283</v>
      </c>
      <c r="C4" s="32" t="inlineStr">
        <is>
          <t>(QCCoA 001 files excluded)</t>
        </is>
      </c>
    </row>
    <row r="5" ht="21.75" customHeight="1" s="70">
      <c r="A5" s="34" t="inlineStr">
        <is>
          <t>✅  COMPLETE  (all 12 params)</t>
        </is>
      </c>
      <c r="B5" s="35" t="n">
        <v>61</v>
      </c>
      <c r="C5" s="38" t="inlineStr">
        <is>
          <t>76% of batches</t>
        </is>
      </c>
    </row>
    <row r="6" ht="21.75" customHeight="1" s="70">
      <c r="A6" s="39" t="inlineStr">
        <is>
          <t>⚠   PARTIAL  (1–3 missing)</t>
        </is>
      </c>
      <c r="B6" s="42" t="n">
        <v>15</v>
      </c>
      <c r="C6" s="44" t="inlineStr">
        <is>
          <t>19% of batches</t>
        </is>
      </c>
    </row>
    <row r="7" ht="21.75" customHeight="1" s="70">
      <c r="A7" s="46" t="inlineStr">
        <is>
          <t>❌  INCOMPLETE (4+ missing)</t>
        </is>
      </c>
      <c r="B7" s="47" t="n">
        <v>4</v>
      </c>
      <c r="C7" s="50" t="inlineStr">
        <is>
          <t>5% of batches</t>
        </is>
      </c>
    </row>
    <row r="8" ht="7.5" customHeight="1" s="70"/>
    <row r="9" ht="24" customHeight="1" s="70">
      <c r="A9" s="84" t="inlineStr">
        <is>
          <t>MISSING PARAMETER FREQUENCY</t>
        </is>
      </c>
      <c r="B9" s="76" t="n"/>
      <c r="C9" s="76" t="n"/>
      <c r="D9" s="77" t="n"/>
    </row>
    <row r="10" ht="21.75" customHeight="1" s="70">
      <c r="A10" s="46" t="inlineStr">
        <is>
          <t>#1  Identification A</t>
        </is>
      </c>
      <c r="B10" s="47" t="n">
        <v>0</v>
      </c>
      <c r="C10" s="50" t="inlineStr">
        <is>
          <t>(0% of batches missing this)</t>
        </is>
      </c>
    </row>
    <row r="11" ht="21.75" customHeight="1" s="70">
      <c r="A11" s="39" t="inlineStr">
        <is>
          <t>#2  Identification B</t>
        </is>
      </c>
      <c r="B11" s="42" t="n">
        <v>0</v>
      </c>
      <c r="C11" s="44" t="inlineStr">
        <is>
          <t>(0% of batches missing this)</t>
        </is>
      </c>
    </row>
    <row r="12" ht="21.75" customHeight="1" s="70">
      <c r="A12" s="34" t="inlineStr">
        <is>
          <t>#3  Identification C</t>
        </is>
      </c>
      <c r="B12" s="35" t="n">
        <v>2</v>
      </c>
      <c r="C12" s="38" t="inlineStr">
        <is>
          <t>(2% of batches missing this)</t>
        </is>
      </c>
    </row>
    <row r="13" ht="21.75" customHeight="1" s="70">
      <c r="A13" s="34" t="inlineStr">
        <is>
          <t>#4  Assay — Total Δ⁹-THC</t>
        </is>
      </c>
      <c r="B13" s="35" t="n">
        <v>2</v>
      </c>
      <c r="C13" s="38" t="inlineStr">
        <is>
          <t>(2% of batches missing this)</t>
        </is>
      </c>
    </row>
    <row r="14" ht="21.75" customHeight="1" s="70">
      <c r="A14" s="34" t="inlineStr">
        <is>
          <t>#5  Assay — Total CBD</t>
        </is>
      </c>
      <c r="B14" s="35" t="n">
        <v>2</v>
      </c>
      <c r="C14" s="38" t="inlineStr">
        <is>
          <t>(2% of batches missing this)</t>
        </is>
      </c>
    </row>
    <row r="15" ht="21.75" customHeight="1" s="70">
      <c r="A15" s="34" t="inlineStr">
        <is>
          <t>#6  Total CBN</t>
        </is>
      </c>
      <c r="B15" s="35" t="n">
        <v>9</v>
      </c>
      <c r="C15" s="38" t="inlineStr">
        <is>
          <t>(11% of batches missing this)</t>
        </is>
      </c>
    </row>
    <row r="16" ht="21.75" customHeight="1" s="70">
      <c r="A16" s="46" t="inlineStr">
        <is>
          <t>#7  Foreign Matter</t>
        </is>
      </c>
      <c r="B16" s="47" t="n">
        <v>0</v>
      </c>
      <c r="C16" s="50" t="inlineStr">
        <is>
          <t>(0% of batches missing this)</t>
        </is>
      </c>
    </row>
    <row r="17" ht="21.75" customHeight="1" s="70">
      <c r="A17" s="34" t="inlineStr">
        <is>
          <t>#8  Loss on Drying</t>
        </is>
      </c>
      <c r="B17" s="35" t="n">
        <v>9</v>
      </c>
      <c r="C17" s="38" t="inlineStr">
        <is>
          <t>(11% of batches missing this)</t>
        </is>
      </c>
    </row>
    <row r="18" ht="21.75" customHeight="1" s="70">
      <c r="A18" s="39" t="inlineStr">
        <is>
          <t>#9  Microbiological Purity</t>
        </is>
      </c>
      <c r="B18" s="42" t="n">
        <v>3</v>
      </c>
      <c r="C18" s="44" t="inlineStr">
        <is>
          <t>(4% of batches missing this)</t>
        </is>
      </c>
    </row>
    <row r="19" ht="21.75" customHeight="1" s="70">
      <c r="A19" s="39" t="inlineStr">
        <is>
          <t>#10  Mycotoxins</t>
        </is>
      </c>
      <c r="B19" s="42" t="n">
        <v>6</v>
      </c>
      <c r="C19" s="44" t="inlineStr">
        <is>
          <t>(8% of batches missing this)</t>
        </is>
      </c>
    </row>
    <row r="20" ht="21.75" customHeight="1" s="70">
      <c r="A20" s="39" t="inlineStr">
        <is>
          <t>#11  Heavy Metals</t>
        </is>
      </c>
      <c r="B20" s="42" t="n">
        <v>9</v>
      </c>
      <c r="C20" s="44" t="inlineStr">
        <is>
          <t>(11% of batches missing this)</t>
        </is>
      </c>
    </row>
    <row r="21" ht="21.75" customHeight="1" s="70">
      <c r="A21" s="39" t="inlineStr">
        <is>
          <t>#12  Pesticide Residues</t>
        </is>
      </c>
      <c r="B21" s="42" t="n">
        <v>7</v>
      </c>
      <c r="C21" s="44" t="inlineStr">
        <is>
          <t>(9% of batches missing this)</t>
        </is>
      </c>
    </row>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3">
    <mergeCell ref="A1:D1"/>
    <mergeCell ref="A9:D9"/>
    <mergeCell ref="A2:D2"/>
  </mergeCells>
  <pageMargins left="0.75" right="0.75" top="1" bottom="1" header="0" footer="0"/>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2026-09-11T14:08:15Z</dcterms:modified>
</cp:coreProperties>
</file>