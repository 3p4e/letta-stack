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oA Register" sheetId="1" state="visible" r:id="rId1"/>
    <sheet xmlns:r="http://schemas.openxmlformats.org/officeDocument/2006/relationships" name="Batch Dates"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7">
    <font>
      <name val="Calibri"/>
      <family val="2"/>
      <color theme="1"/>
      <sz val="11"/>
      <scheme val="minor"/>
    </font>
    <font>
      <name val="Calibri"/>
      <b val="1"/>
      <color rgb="00FFFFFF"/>
      <sz val="8"/>
    </font>
    <font>
      <name val="Calibri"/>
      <sz val="7"/>
    </font>
    <font>
      <name val="Calibri"/>
      <b val="1"/>
      <sz val="7"/>
    </font>
    <font>
      <name val="Calibri"/>
      <i val="1"/>
      <color rgb="00595959"/>
      <sz val="6.5"/>
    </font>
    <font>
      <name val="Calibri"/>
      <b val="1"/>
      <sz val="9"/>
    </font>
    <font>
      <name val="Calibri"/>
      <sz val="9"/>
    </font>
  </fonts>
  <fills count="6">
    <fill>
      <patternFill/>
    </fill>
    <fill>
      <patternFill patternType="gray125"/>
    </fill>
    <fill>
      <patternFill patternType="solid">
        <fgColor rgb="001F3864"/>
      </patternFill>
    </fill>
    <fill>
      <patternFill patternType="solid">
        <fgColor rgb="00C6EFCE"/>
      </patternFill>
    </fill>
    <fill>
      <patternFill patternType="solid">
        <fgColor rgb="00FDE9D9"/>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4" fillId="5" borderId="1" applyAlignment="1" pivotButton="0" quotePrefix="0" xfId="0">
      <alignment horizontal="left" vertical="top" wrapText="1"/>
    </xf>
    <xf numFmtId="0" fontId="2" fillId="0" borderId="1" applyAlignment="1" pivotButton="0" quotePrefix="0" xfId="0">
      <alignment horizontal="left" vertical="center" wrapText="1"/>
    </xf>
    <xf numFmtId="164" fontId="2" fillId="4" borderId="1"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CoA_Register" displayName="iCoA_Register" ref="A1:S289" headerRowCount="1">
  <autoFilter ref="A1:S289"/>
  <tableColumns count="19">
    <tableColumn id="1" name="No."/>
    <tableColumn id="2" name="iCoA code"/>
    <tableColumn id="3" name="Issuable"/>
    <tableColumn id="4" name="Issue date (preliminary)"/>
    <tableColumn id="5" name="Earliest permissible"/>
    <tableColumn id="6" name="Basis — sampling at packaging"/>
    <tableColumn id="7" name="Packaging complete"/>
    <tableColumn id="8" name="Series"/>
    <tableColumn id="9" name="CU Batch"/>
    <tableColumn id="10" name="P Batch"/>
    <tableColumn id="11" name="Strain"/>
    <tableColumn id="12" name="iCoA scope"/>
    <tableColumn id="13" name="Master"/>
    <tableColumn id="14" name="CNP reference"/>
    <tableColumn id="15" name="Ident C — eCoA"/>
    <tableColumn id="16" name="CoQ"/>
    <tableColumn id="17" name="Plan reference (31.08.2026)"/>
    <tableColumn id="18" name="Key"/>
    <tableColumn id="19" name="Statu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S2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9" customWidth="1" min="3" max="3"/>
    <col width="20" customWidth="1" min="4" max="4"/>
    <col width="18" customWidth="1" min="5" max="5"/>
    <col width="16" customWidth="1" min="6" max="6"/>
    <col width="16" customWidth="1" min="7" max="7"/>
    <col width="20" customWidth="1" min="8" max="8"/>
    <col width="16" customWidth="1" min="9" max="9"/>
    <col width="12" customWidth="1" min="10" max="10"/>
    <col width="20" customWidth="1" min="11" max="11"/>
    <col width="22" customWidth="1" min="12" max="12"/>
    <col width="34" customWidth="1" min="13" max="13"/>
    <col width="24" customWidth="1" min="14" max="14"/>
    <col width="34" customWidth="1" min="15" max="15"/>
    <col width="28" customWidth="1" min="16" max="16"/>
    <col width="22" customWidth="1" min="17" max="17"/>
    <col width="18" customWidth="1" min="18" max="18"/>
    <col width="60" customWidth="1" min="19" max="19"/>
  </cols>
  <sheetData>
    <row r="1" ht="22" customHeight="1">
      <c r="A1" s="1" t="inlineStr">
        <is>
          <t>No.</t>
        </is>
      </c>
      <c r="B1" s="1" t="inlineStr">
        <is>
          <t>iCoA code</t>
        </is>
      </c>
      <c r="C1" s="1" t="inlineStr">
        <is>
          <t>Issuable</t>
        </is>
      </c>
      <c r="D1" s="1" t="inlineStr">
        <is>
          <t>Issue date (preliminary)</t>
        </is>
      </c>
      <c r="E1" s="1" t="inlineStr">
        <is>
          <t>Earliest permissible</t>
        </is>
      </c>
      <c r="F1" s="1" t="inlineStr">
        <is>
          <t>Basis — sampling at packaging</t>
        </is>
      </c>
      <c r="G1" s="1" t="inlineStr">
        <is>
          <t>Packaging complete</t>
        </is>
      </c>
      <c r="H1" s="1" t="inlineStr">
        <is>
          <t>Series</t>
        </is>
      </c>
      <c r="I1" s="1" t="inlineStr">
        <is>
          <t>CU Batch</t>
        </is>
      </c>
      <c r="J1" s="1" t="inlineStr">
        <is>
          <t>P Batch</t>
        </is>
      </c>
      <c r="K1" s="1" t="inlineStr">
        <is>
          <t>Strain</t>
        </is>
      </c>
      <c r="L1" s="1" t="inlineStr">
        <is>
          <t>iCoA scope</t>
        </is>
      </c>
      <c r="M1" s="1" t="inlineStr">
        <is>
          <t>Master</t>
        </is>
      </c>
      <c r="N1" s="1" t="inlineStr">
        <is>
          <t>CNP reference</t>
        </is>
      </c>
      <c r="O1" s="1" t="inlineStr">
        <is>
          <t>Ident C — eCoA</t>
        </is>
      </c>
      <c r="P1" s="1" t="inlineStr">
        <is>
          <t>CoQ</t>
        </is>
      </c>
      <c r="Q1" s="1" t="inlineStr">
        <is>
          <t>Plan reference (31.08.2026)</t>
        </is>
      </c>
      <c r="R1" s="1" t="inlineStr">
        <is>
          <t>Key</t>
        </is>
      </c>
      <c r="S1" s="1" t="inlineStr">
        <is>
          <t>Status</t>
        </is>
      </c>
    </row>
    <row r="2">
      <c r="A2" s="2">
        <f>IF(C2="yes",COUNT(A$1:A1)+1,"")</f>
        <v/>
      </c>
      <c r="B2" s="3">
        <f>IF(A2="","— at issue —","iCoA-PP_26-"&amp;TEXT(A2,"000"))</f>
        <v/>
      </c>
      <c r="C2" s="4" t="inlineStr">
        <is>
          <t>yes</t>
        </is>
      </c>
      <c r="D2" s="5">
        <f>IF(A2="","",E2)</f>
        <v/>
      </c>
      <c r="E2" s="5">
        <f>IF(AND(C2="yes",ISNUMBER(G2)),MAX(DATE(2026,5,13),G2),"")</f>
        <v/>
      </c>
      <c r="F2" s="5">
        <f>IFERROR(INDEX('Batch Dates'!$F:$F,MATCH(J2,'Batch Dates'!$C:$C,0)),IFERROR(INDEX('Batch Dates'!$F:$F,MATCH(I2,'Batch Dates'!$B:$B,0)),""))</f>
        <v/>
      </c>
      <c r="G2" s="5">
        <f>IFERROR(INDEX('Batch Dates'!$G:$G,MATCH(J2,'Batch Dates'!$C:$C,0)),IFERROR(INDEX('Batch Dates'!$G:$G,MATCH(I2,'Batch Dates'!$B:$B,0)),""))</f>
        <v/>
      </c>
      <c r="H2" s="2" t="inlineStr">
        <is>
          <t>initial release</t>
        </is>
      </c>
      <c r="I2" s="3" t="inlineStr">
        <is>
          <t>CJ1024</t>
        </is>
      </c>
      <c r="J2" s="2" t="inlineStr">
        <is>
          <t>N/A — no P batch assigned</t>
        </is>
      </c>
      <c r="K2" s="2" t="inlineStr">
        <is>
          <t>Cap Junky</t>
        </is>
      </c>
      <c r="L2" s="2" t="inlineStr">
        <is>
          <t>Ident A + Ident B</t>
        </is>
      </c>
      <c r="M2" s="2" t="inlineStr">
        <is>
          <t>iCoA_P01-02 · Appearance &amp; Identification A/B</t>
        </is>
      </c>
      <c r="N2" s="6" t="inlineStr">
        <is>
          <t>—</t>
        </is>
      </c>
      <c r="O2" s="2" t="inlineStr">
        <is>
          <t>ППК25052, (26.02.2025) [CNP]</t>
        </is>
      </c>
      <c r="P2" s="2" t="inlineStr">
        <is>
          <t>(assigned on issue)</t>
        </is>
      </c>
      <c r="Q2" s="6" t="inlineStr">
        <is>
          <t>—</t>
        </is>
      </c>
      <c r="R2" s="2" t="inlineStr">
        <is>
          <t>CJ1024|AB|I</t>
        </is>
      </c>
      <c r="S2" s="7" t="inlineStr">
        <is>
          <t>registered — preliminary date, QC sets the real date at issue</t>
        </is>
      </c>
    </row>
    <row r="3">
      <c r="A3" s="2">
        <f>IF(C3="yes",COUNT(A$1:A2)+1,"")</f>
        <v/>
      </c>
      <c r="B3" s="3">
        <f>IF(A3="","— at issue —","iCoA-PP_26-"&amp;TEXT(A3,"000"))</f>
        <v/>
      </c>
      <c r="C3" s="4" t="inlineStr">
        <is>
          <t>yes</t>
        </is>
      </c>
      <c r="D3" s="5">
        <f>IF(A3="","",E3)</f>
        <v/>
      </c>
      <c r="E3" s="5">
        <f>IF(AND(C3="yes",ISNUMBER(G3)),MAX(DATE(2026,5,13),G3),"")</f>
        <v/>
      </c>
      <c r="F3" s="5">
        <f>IFERROR(INDEX('Batch Dates'!$F:$F,MATCH(J3,'Batch Dates'!$C:$C,0)),IFERROR(INDEX('Batch Dates'!$F:$F,MATCH(I3,'Batch Dates'!$B:$B,0)),""))</f>
        <v/>
      </c>
      <c r="G3" s="5">
        <f>IFERROR(INDEX('Batch Dates'!$G:$G,MATCH(J3,'Batch Dates'!$C:$C,0)),IFERROR(INDEX('Batch Dates'!$G:$G,MATCH(I3,'Batch Dates'!$B:$B,0)),""))</f>
        <v/>
      </c>
      <c r="H3" s="2" t="inlineStr">
        <is>
          <t>initial release</t>
        </is>
      </c>
      <c r="I3" s="3" t="inlineStr">
        <is>
          <t>CJ1024</t>
        </is>
      </c>
      <c r="J3" s="2" t="inlineStr">
        <is>
          <t>N/A — no P batch assigned</t>
        </is>
      </c>
      <c r="K3" s="2" t="inlineStr">
        <is>
          <t>Cap Junky</t>
        </is>
      </c>
      <c r="L3" s="2" t="inlineStr">
        <is>
          <t>Foreign matter</t>
        </is>
      </c>
      <c r="M3" s="2" t="inlineStr">
        <is>
          <t>iCoA_P07 · Foreign matter</t>
        </is>
      </c>
      <c r="N3" s="6" t="inlineStr">
        <is>
          <t>—</t>
        </is>
      </c>
      <c r="O3" s="2" t="inlineStr">
        <is>
          <t>ППК25052, (26.02.2025) [CNP]</t>
        </is>
      </c>
      <c r="P3" s="2" t="inlineStr">
        <is>
          <t>(assigned on issue)</t>
        </is>
      </c>
      <c r="Q3" s="6" t="inlineStr">
        <is>
          <t>—</t>
        </is>
      </c>
      <c r="R3" s="2" t="inlineStr">
        <is>
          <t>CJ1024|FM|I</t>
        </is>
      </c>
      <c r="S3" s="7" t="inlineStr">
        <is>
          <t>registered — preliminary date, QC sets the real date at issue</t>
        </is>
      </c>
    </row>
    <row r="4">
      <c r="A4" s="2">
        <f>IF(C4="yes",COUNT(A$1:A3)+1,"")</f>
        <v/>
      </c>
      <c r="B4" s="3">
        <f>IF(A4="","— at issue —","iCoA-PP_26-"&amp;TEXT(A4,"000"))</f>
        <v/>
      </c>
      <c r="C4" s="4" t="inlineStr">
        <is>
          <t>yes</t>
        </is>
      </c>
      <c r="D4" s="5">
        <f>IF(A4="","",E4)</f>
        <v/>
      </c>
      <c r="E4" s="5">
        <f>IF(AND(C4="yes",ISNUMBER(G4)),MAX(DATE(2026,5,13),G4),"")</f>
        <v/>
      </c>
      <c r="F4" s="5">
        <f>IFERROR(INDEX('Batch Dates'!$F:$F,MATCH(J4,'Batch Dates'!$C:$C,0)),IFERROR(INDEX('Batch Dates'!$F:$F,MATCH(I4,'Batch Dates'!$B:$B,0)),""))</f>
        <v/>
      </c>
      <c r="G4" s="5">
        <f>IFERROR(INDEX('Batch Dates'!$G:$G,MATCH(J4,'Batch Dates'!$C:$C,0)),IFERROR(INDEX('Batch Dates'!$G:$G,MATCH(I4,'Batch Dates'!$B:$B,0)),""))</f>
        <v/>
      </c>
      <c r="H4" s="2" t="inlineStr">
        <is>
          <t>initial release</t>
        </is>
      </c>
      <c r="I4" s="3" t="inlineStr">
        <is>
          <t>BSS1024</t>
        </is>
      </c>
      <c r="J4" s="2" t="inlineStr">
        <is>
          <t>N/A — no P batch assigned</t>
        </is>
      </c>
      <c r="K4" s="2" t="inlineStr">
        <is>
          <t>Blue Sunset Sherbet</t>
        </is>
      </c>
      <c r="L4" s="2" t="inlineStr">
        <is>
          <t>Ident A + Ident B</t>
        </is>
      </c>
      <c r="M4" s="2" t="inlineStr">
        <is>
          <t>iCoA_P01-02 · Appearance &amp; Identification A/B</t>
        </is>
      </c>
      <c r="N4" s="6" t="inlineStr">
        <is>
          <t>—</t>
        </is>
      </c>
      <c r="O4" s="2" t="inlineStr">
        <is>
          <t>ППК25051, (26.02.2025) [CNP]</t>
        </is>
      </c>
      <c r="P4" s="2" t="inlineStr">
        <is>
          <t>CoQ-PP-2025-0001</t>
        </is>
      </c>
      <c r="Q4" s="2" t="inlineStr">
        <is>
          <t>iCoA-PP-2025-0001</t>
        </is>
      </c>
      <c r="R4" s="2" t="inlineStr">
        <is>
          <t>BSS1024|AB|I</t>
        </is>
      </c>
      <c r="S4" s="7" t="inlineStr">
        <is>
          <t>registered — preliminary date, QC sets the real date at issue</t>
        </is>
      </c>
    </row>
    <row r="5">
      <c r="A5" s="2">
        <f>IF(C5="yes",COUNT(A$1:A4)+1,"")</f>
        <v/>
      </c>
      <c r="B5" s="3">
        <f>IF(A5="","— at issue —","iCoA-PP_26-"&amp;TEXT(A5,"000"))</f>
        <v/>
      </c>
      <c r="C5" s="4" t="inlineStr">
        <is>
          <t>yes</t>
        </is>
      </c>
      <c r="D5" s="5">
        <f>IF(A5="","",E5)</f>
        <v/>
      </c>
      <c r="E5" s="5">
        <f>IF(AND(C5="yes",ISNUMBER(G5)),MAX(DATE(2026,5,13),G5),"")</f>
        <v/>
      </c>
      <c r="F5" s="5">
        <f>IFERROR(INDEX('Batch Dates'!$F:$F,MATCH(J5,'Batch Dates'!$C:$C,0)),IFERROR(INDEX('Batch Dates'!$F:$F,MATCH(I5,'Batch Dates'!$B:$B,0)),""))</f>
        <v/>
      </c>
      <c r="G5" s="5">
        <f>IFERROR(INDEX('Batch Dates'!$G:$G,MATCH(J5,'Batch Dates'!$C:$C,0)),IFERROR(INDEX('Batch Dates'!$G:$G,MATCH(I5,'Batch Dates'!$B:$B,0)),""))</f>
        <v/>
      </c>
      <c r="H5" s="2" t="inlineStr">
        <is>
          <t>initial release</t>
        </is>
      </c>
      <c r="I5" s="3" t="inlineStr">
        <is>
          <t>BSS1024</t>
        </is>
      </c>
      <c r="J5" s="2" t="inlineStr">
        <is>
          <t>N/A — no P batch assigned</t>
        </is>
      </c>
      <c r="K5" s="2" t="inlineStr">
        <is>
          <t>Blue Sunset Sherbet</t>
        </is>
      </c>
      <c r="L5" s="2" t="inlineStr">
        <is>
          <t>Foreign matter</t>
        </is>
      </c>
      <c r="M5" s="2" t="inlineStr">
        <is>
          <t>iCoA_P07 · Foreign matter</t>
        </is>
      </c>
      <c r="N5" s="6" t="inlineStr">
        <is>
          <t>—</t>
        </is>
      </c>
      <c r="O5" s="2" t="inlineStr">
        <is>
          <t>ППК25051, (26.02.2025) [CNP]</t>
        </is>
      </c>
      <c r="P5" s="2" t="inlineStr">
        <is>
          <t>CoQ-PP-2025-0001</t>
        </is>
      </c>
      <c r="Q5" s="2" t="inlineStr">
        <is>
          <t>iCoA-PP-2025-0001</t>
        </is>
      </c>
      <c r="R5" s="2" t="inlineStr">
        <is>
          <t>BSS1024|FM|I</t>
        </is>
      </c>
      <c r="S5" s="7" t="inlineStr">
        <is>
          <t>registered — preliminary date, QC sets the real date at issue</t>
        </is>
      </c>
    </row>
    <row r="6">
      <c r="A6" s="2">
        <f>IF(C6="yes",COUNT(A$1:A5)+1,"")</f>
        <v/>
      </c>
      <c r="B6" s="3">
        <f>IF(A6="","— at issue —","iCoA-PP_26-"&amp;TEXT(A6,"000"))</f>
        <v/>
      </c>
      <c r="C6" s="4" t="inlineStr">
        <is>
          <t>yes</t>
        </is>
      </c>
      <c r="D6" s="5">
        <f>IF(A6="","",E6)</f>
        <v/>
      </c>
      <c r="E6" s="5">
        <f>IF(AND(C6="yes",ISNUMBER(G6)),MAX(DATE(2026,5,13),G6),"")</f>
        <v/>
      </c>
      <c r="F6" s="5">
        <f>IFERROR(INDEX('Batch Dates'!$F:$F,MATCH(J6,'Batch Dates'!$C:$C,0)),IFERROR(INDEX('Batch Dates'!$F:$F,MATCH(I6,'Batch Dates'!$B:$B,0)),""))</f>
        <v/>
      </c>
      <c r="G6" s="5">
        <f>IFERROR(INDEX('Batch Dates'!$G:$G,MATCH(J6,'Batch Dates'!$C:$C,0)),IFERROR(INDEX('Batch Dates'!$G:$G,MATCH(I6,'Batch Dates'!$B:$B,0)),""))</f>
        <v/>
      </c>
      <c r="H6" s="2" t="inlineStr">
        <is>
          <t>initial release</t>
        </is>
      </c>
      <c r="I6" s="3" t="inlineStr">
        <is>
          <t>BG1024</t>
        </is>
      </c>
      <c r="J6" s="2" t="inlineStr">
        <is>
          <t>N/A — no P batch assigned</t>
        </is>
      </c>
      <c r="K6" s="2" t="inlineStr">
        <is>
          <t>Blue Gelato</t>
        </is>
      </c>
      <c r="L6" s="2" t="inlineStr">
        <is>
          <t>Ident A + Ident B</t>
        </is>
      </c>
      <c r="M6" s="2" t="inlineStr">
        <is>
          <t>iCoA_P01-02 · Appearance &amp; Identification A/B</t>
        </is>
      </c>
      <c r="N6" s="6" t="inlineStr">
        <is>
          <t>—</t>
        </is>
      </c>
      <c r="O6" s="2" t="inlineStr">
        <is>
          <t>ППК25050, (26.02.2025) [CNP]</t>
        </is>
      </c>
      <c r="P6" s="2" t="inlineStr">
        <is>
          <t>CoQ-PP-2025-0002</t>
        </is>
      </c>
      <c r="Q6" s="2" t="inlineStr">
        <is>
          <t>iCoA-PP-2025-0002</t>
        </is>
      </c>
      <c r="R6" s="2" t="inlineStr">
        <is>
          <t>BG1024|AB|I</t>
        </is>
      </c>
      <c r="S6" s="7" t="inlineStr">
        <is>
          <t>registered — preliminary date, QC sets the real date at issue</t>
        </is>
      </c>
    </row>
    <row r="7">
      <c r="A7" s="2">
        <f>IF(C7="yes",COUNT(A$1:A6)+1,"")</f>
        <v/>
      </c>
      <c r="B7" s="3">
        <f>IF(A7="","— at issue —","iCoA-PP_26-"&amp;TEXT(A7,"000"))</f>
        <v/>
      </c>
      <c r="C7" s="4" t="inlineStr">
        <is>
          <t>yes</t>
        </is>
      </c>
      <c r="D7" s="5">
        <f>IF(A7="","",E7)</f>
        <v/>
      </c>
      <c r="E7" s="5">
        <f>IF(AND(C7="yes",ISNUMBER(G7)),MAX(DATE(2026,5,13),G7),"")</f>
        <v/>
      </c>
      <c r="F7" s="5">
        <f>IFERROR(INDEX('Batch Dates'!$F:$F,MATCH(J7,'Batch Dates'!$C:$C,0)),IFERROR(INDEX('Batch Dates'!$F:$F,MATCH(I7,'Batch Dates'!$B:$B,0)),""))</f>
        <v/>
      </c>
      <c r="G7" s="5">
        <f>IFERROR(INDEX('Batch Dates'!$G:$G,MATCH(J7,'Batch Dates'!$C:$C,0)),IFERROR(INDEX('Batch Dates'!$G:$G,MATCH(I7,'Batch Dates'!$B:$B,0)),""))</f>
        <v/>
      </c>
      <c r="H7" s="2" t="inlineStr">
        <is>
          <t>initial release</t>
        </is>
      </c>
      <c r="I7" s="3" t="inlineStr">
        <is>
          <t>BG1024</t>
        </is>
      </c>
      <c r="J7" s="2" t="inlineStr">
        <is>
          <t>N/A — no P batch assigned</t>
        </is>
      </c>
      <c r="K7" s="2" t="inlineStr">
        <is>
          <t>Blue Gelato</t>
        </is>
      </c>
      <c r="L7" s="2" t="inlineStr">
        <is>
          <t>Foreign matter</t>
        </is>
      </c>
      <c r="M7" s="2" t="inlineStr">
        <is>
          <t>iCoA_P07 · Foreign matter</t>
        </is>
      </c>
      <c r="N7" s="6" t="inlineStr">
        <is>
          <t>—</t>
        </is>
      </c>
      <c r="O7" s="2" t="inlineStr">
        <is>
          <t>ППК25050, (26.02.2025) [CNP]</t>
        </is>
      </c>
      <c r="P7" s="2" t="inlineStr">
        <is>
          <t>CoQ-PP-2025-0002</t>
        </is>
      </c>
      <c r="Q7" s="2" t="inlineStr">
        <is>
          <t>iCoA-PP-2025-0002</t>
        </is>
      </c>
      <c r="R7" s="2" t="inlineStr">
        <is>
          <t>BG1024|FM|I</t>
        </is>
      </c>
      <c r="S7" s="7" t="inlineStr">
        <is>
          <t>registered — preliminary date, QC sets the real date at issue</t>
        </is>
      </c>
    </row>
    <row r="8">
      <c r="A8" s="2">
        <f>IF(C8="yes",COUNT(A$1:A7)+1,"")</f>
        <v/>
      </c>
      <c r="B8" s="3">
        <f>IF(A8="","— at issue —","iCoA-PP_26-"&amp;TEXT(A8,"000"))</f>
        <v/>
      </c>
      <c r="C8" s="4" t="inlineStr">
        <is>
          <t>yes</t>
        </is>
      </c>
      <c r="D8" s="5">
        <f>IF(A8="","",E8)</f>
        <v/>
      </c>
      <c r="E8" s="5">
        <f>IF(AND(C8="yes",ISNUMBER(G8)),MAX(DATE(2026,5,13),G8),"")</f>
        <v/>
      </c>
      <c r="F8" s="5">
        <f>IFERROR(INDEX('Batch Dates'!$F:$F,MATCH(J8,'Batch Dates'!$C:$C,0)),IFERROR(INDEX('Batch Dates'!$F:$F,MATCH(I8,'Batch Dates'!$B:$B,0)),""))</f>
        <v/>
      </c>
      <c r="G8" s="5">
        <f>IFERROR(INDEX('Batch Dates'!$G:$G,MATCH(J8,'Batch Dates'!$C:$C,0)),IFERROR(INDEX('Batch Dates'!$G:$G,MATCH(I8,'Batch Dates'!$B:$B,0)),""))</f>
        <v/>
      </c>
      <c r="H8" s="2" t="inlineStr">
        <is>
          <t>initial release</t>
        </is>
      </c>
      <c r="I8" s="3" t="inlineStr">
        <is>
          <t>GG1024</t>
        </is>
      </c>
      <c r="J8" s="2" t="inlineStr">
        <is>
          <t>N/A — no P batch assigned</t>
        </is>
      </c>
      <c r="K8" s="2" t="inlineStr">
        <is>
          <t>Gorilla Glue</t>
        </is>
      </c>
      <c r="L8" s="2" t="inlineStr">
        <is>
          <t>Ident A + Ident B</t>
        </is>
      </c>
      <c r="M8" s="2" t="inlineStr">
        <is>
          <t>iCoA_P01-02 · Appearance &amp; Identification A/B</t>
        </is>
      </c>
      <c r="N8" s="6" t="inlineStr">
        <is>
          <t>—</t>
        </is>
      </c>
      <c r="O8" s="6" t="inlineStr">
        <is>
          <t>— no cannabinoid certificate —</t>
        </is>
      </c>
      <c r="P8" s="2" t="inlineStr">
        <is>
          <t>CoQ-PP-2025-0003</t>
        </is>
      </c>
      <c r="Q8" s="2" t="inlineStr">
        <is>
          <t>iCoA-PP-2025-0003</t>
        </is>
      </c>
      <c r="R8" s="2" t="inlineStr">
        <is>
          <t>GG1024|AB|I</t>
        </is>
      </c>
      <c r="S8" s="7" t="inlineStr">
        <is>
          <t>registered — preliminary date, QC sets the real date at issue</t>
        </is>
      </c>
    </row>
    <row r="9">
      <c r="A9" s="2">
        <f>IF(C9="yes",COUNT(A$1:A8)+1,"")</f>
        <v/>
      </c>
      <c r="B9" s="3">
        <f>IF(A9="","— at issue —","iCoA-PP_26-"&amp;TEXT(A9,"000"))</f>
        <v/>
      </c>
      <c r="C9" s="4" t="inlineStr">
        <is>
          <t>yes</t>
        </is>
      </c>
      <c r="D9" s="5">
        <f>IF(A9="","",E9)</f>
        <v/>
      </c>
      <c r="E9" s="5">
        <f>IF(AND(C9="yes",ISNUMBER(G9)),MAX(DATE(2026,5,13),G9),"")</f>
        <v/>
      </c>
      <c r="F9" s="5">
        <f>IFERROR(INDEX('Batch Dates'!$F:$F,MATCH(J9,'Batch Dates'!$C:$C,0)),IFERROR(INDEX('Batch Dates'!$F:$F,MATCH(I9,'Batch Dates'!$B:$B,0)),""))</f>
        <v/>
      </c>
      <c r="G9" s="5">
        <f>IFERROR(INDEX('Batch Dates'!$G:$G,MATCH(J9,'Batch Dates'!$C:$C,0)),IFERROR(INDEX('Batch Dates'!$G:$G,MATCH(I9,'Batch Dates'!$B:$B,0)),""))</f>
        <v/>
      </c>
      <c r="H9" s="2" t="inlineStr">
        <is>
          <t>initial release</t>
        </is>
      </c>
      <c r="I9" s="3" t="inlineStr">
        <is>
          <t>GG1024</t>
        </is>
      </c>
      <c r="J9" s="2" t="inlineStr">
        <is>
          <t>N/A — no P batch assigned</t>
        </is>
      </c>
      <c r="K9" s="2" t="inlineStr">
        <is>
          <t>Gorilla Glue</t>
        </is>
      </c>
      <c r="L9" s="2" t="inlineStr">
        <is>
          <t>Foreign matter</t>
        </is>
      </c>
      <c r="M9" s="2" t="inlineStr">
        <is>
          <t>iCoA_P07 · Foreign matter</t>
        </is>
      </c>
      <c r="N9" s="6" t="inlineStr">
        <is>
          <t>—</t>
        </is>
      </c>
      <c r="O9" s="6" t="inlineStr">
        <is>
          <t>— no cannabinoid certificate —</t>
        </is>
      </c>
      <c r="P9" s="2" t="inlineStr">
        <is>
          <t>CoQ-PP-2025-0003</t>
        </is>
      </c>
      <c r="Q9" s="2" t="inlineStr">
        <is>
          <t>iCoA-PP-2025-0003</t>
        </is>
      </c>
      <c r="R9" s="2" t="inlineStr">
        <is>
          <t>GG1024|FM|I</t>
        </is>
      </c>
      <c r="S9" s="7" t="inlineStr">
        <is>
          <t>registered — preliminary date, QC sets the real date at issue</t>
        </is>
      </c>
    </row>
    <row r="10">
      <c r="A10" s="2">
        <f>IF(C10="yes",COUNT(A$1:A9)+1,"")</f>
        <v/>
      </c>
      <c r="B10" s="3">
        <f>IF(A10="","— at issue —","iCoA-PP_26-"&amp;TEXT(A10,"000"))</f>
        <v/>
      </c>
      <c r="C10" s="4" t="inlineStr">
        <is>
          <t>yes</t>
        </is>
      </c>
      <c r="D10" s="5">
        <f>IF(A10="","",E10)</f>
        <v/>
      </c>
      <c r="E10" s="5">
        <f>IF(AND(C10="yes",ISNUMBER(G10)),MAX(DATE(2026,5,13),G10),"")</f>
        <v/>
      </c>
      <c r="F10" s="5">
        <f>IFERROR(INDEX('Batch Dates'!$F:$F,MATCH(J10,'Batch Dates'!$C:$C,0)),IFERROR(INDEX('Batch Dates'!$F:$F,MATCH(I10,'Batch Dates'!$B:$B,0)),""))</f>
        <v/>
      </c>
      <c r="G10" s="5">
        <f>IFERROR(INDEX('Batch Dates'!$G:$G,MATCH(J10,'Batch Dates'!$C:$C,0)),IFERROR(INDEX('Batch Dates'!$G:$G,MATCH(I10,'Batch Dates'!$B:$B,0)),""))</f>
        <v/>
      </c>
      <c r="H10" s="2" t="inlineStr">
        <is>
          <t>initial release</t>
        </is>
      </c>
      <c r="I10" s="3" t="inlineStr">
        <is>
          <t>HPA1024</t>
        </is>
      </c>
      <c r="J10" s="2" t="inlineStr">
        <is>
          <t>N/A — no P batch assigned</t>
        </is>
      </c>
      <c r="K10" s="2" t="inlineStr">
        <is>
          <t>HighProAmnesia</t>
        </is>
      </c>
      <c r="L10" s="2" t="inlineStr">
        <is>
          <t>Ident A + Ident B</t>
        </is>
      </c>
      <c r="M10" s="2" t="inlineStr">
        <is>
          <t>iCoA_P01-02 · Appearance &amp; Identification A/B</t>
        </is>
      </c>
      <c r="N10" s="6" t="inlineStr">
        <is>
          <t>—</t>
        </is>
      </c>
      <c r="O10" s="2" t="inlineStr">
        <is>
          <t>197-13-K-26, (07.08.2026) [FHM-K]</t>
        </is>
      </c>
      <c r="P10" s="2" t="inlineStr">
        <is>
          <t>CoQ-PP-2025-0004</t>
        </is>
      </c>
      <c r="Q10" s="2" t="inlineStr">
        <is>
          <t>iCoA-PP-2025-0004</t>
        </is>
      </c>
      <c r="R10" s="2" t="inlineStr">
        <is>
          <t>HPA1024|AB|I</t>
        </is>
      </c>
      <c r="S10" s="7" t="inlineStr">
        <is>
          <t>registered — preliminary date, QC sets the real date at issue</t>
        </is>
      </c>
    </row>
    <row r="11">
      <c r="A11" s="2">
        <f>IF(C11="yes",COUNT(A$1:A10)+1,"")</f>
        <v/>
      </c>
      <c r="B11" s="3">
        <f>IF(A11="","— at issue —","iCoA-PP_26-"&amp;TEXT(A11,"000"))</f>
        <v/>
      </c>
      <c r="C11" s="4" t="inlineStr">
        <is>
          <t>yes</t>
        </is>
      </c>
      <c r="D11" s="5">
        <f>IF(A11="","",E11)</f>
        <v/>
      </c>
      <c r="E11" s="5">
        <f>IF(AND(C11="yes",ISNUMBER(G11)),MAX(DATE(2026,5,13),G11),"")</f>
        <v/>
      </c>
      <c r="F11" s="5">
        <f>IFERROR(INDEX('Batch Dates'!$F:$F,MATCH(J11,'Batch Dates'!$C:$C,0)),IFERROR(INDEX('Batch Dates'!$F:$F,MATCH(I11,'Batch Dates'!$B:$B,0)),""))</f>
        <v/>
      </c>
      <c r="G11" s="5">
        <f>IFERROR(INDEX('Batch Dates'!$G:$G,MATCH(J11,'Batch Dates'!$C:$C,0)),IFERROR(INDEX('Batch Dates'!$G:$G,MATCH(I11,'Batch Dates'!$B:$B,0)),""))</f>
        <v/>
      </c>
      <c r="H11" s="2" t="inlineStr">
        <is>
          <t>initial release</t>
        </is>
      </c>
      <c r="I11" s="3" t="inlineStr">
        <is>
          <t>HPA1024</t>
        </is>
      </c>
      <c r="J11" s="2" t="inlineStr">
        <is>
          <t>N/A — no P batch assigned</t>
        </is>
      </c>
      <c r="K11" s="2" t="inlineStr">
        <is>
          <t>HighProAmnesia</t>
        </is>
      </c>
      <c r="L11" s="2" t="inlineStr">
        <is>
          <t>Foreign matter</t>
        </is>
      </c>
      <c r="M11" s="2" t="inlineStr">
        <is>
          <t>iCoA_P07 · Foreign matter</t>
        </is>
      </c>
      <c r="N11" s="6" t="inlineStr">
        <is>
          <t>—</t>
        </is>
      </c>
      <c r="O11" s="2" t="inlineStr">
        <is>
          <t>197-13-K-26, (07.08.2026) [FHM-K]</t>
        </is>
      </c>
      <c r="P11" s="2" t="inlineStr">
        <is>
          <t>CoQ-PP-2025-0004</t>
        </is>
      </c>
      <c r="Q11" s="2" t="inlineStr">
        <is>
          <t>iCoA-PP-2025-0004</t>
        </is>
      </c>
      <c r="R11" s="2" t="inlineStr">
        <is>
          <t>HPA1024|FM|I</t>
        </is>
      </c>
      <c r="S11" s="7" t="inlineStr">
        <is>
          <t>registered — preliminary date, QC sets the real date at issue</t>
        </is>
      </c>
    </row>
    <row r="12">
      <c r="A12" s="2">
        <f>IF(C12="yes",COUNT(A$1:A11)+1,"")</f>
        <v/>
      </c>
      <c r="B12" s="3">
        <f>IF(A12="","— at issue —","iCoA-PP_26-"&amp;TEXT(A12,"000"))</f>
        <v/>
      </c>
      <c r="C12" s="4" t="inlineStr">
        <is>
          <t>yes</t>
        </is>
      </c>
      <c r="D12" s="5">
        <f>IF(A12="","",E12)</f>
        <v/>
      </c>
      <c r="E12" s="5">
        <f>IF(AND(C12="yes",ISNUMBER(G12)),MAX(DATE(2026,5,13),G12),"")</f>
        <v/>
      </c>
      <c r="F12" s="5">
        <f>IFERROR(INDEX('Batch Dates'!$F:$F,MATCH(J12,'Batch Dates'!$C:$C,0)),IFERROR(INDEX('Batch Dates'!$F:$F,MATCH(I12,'Batch Dates'!$B:$B,0)),""))</f>
        <v/>
      </c>
      <c r="G12" s="5">
        <f>IFERROR(INDEX('Batch Dates'!$G:$G,MATCH(J12,'Batch Dates'!$C:$C,0)),IFERROR(INDEX('Batch Dates'!$G:$G,MATCH(I12,'Batch Dates'!$B:$B,0)),""))</f>
        <v/>
      </c>
      <c r="H12" s="2" t="inlineStr">
        <is>
          <t>initial release</t>
        </is>
      </c>
      <c r="I12" s="3" t="inlineStr">
        <is>
          <t>OPM1024</t>
        </is>
      </c>
      <c r="J12" s="2" t="inlineStr">
        <is>
          <t>N/A — no P batch assigned</t>
        </is>
      </c>
      <c r="K12" s="2" t="inlineStr">
        <is>
          <t>OrangePunchMimosa</t>
        </is>
      </c>
      <c r="L12" s="2" t="inlineStr">
        <is>
          <t>Ident A + Ident B</t>
        </is>
      </c>
      <c r="M12" s="2" t="inlineStr">
        <is>
          <t>iCoA_P01-02 · Appearance &amp; Identification A/B</t>
        </is>
      </c>
      <c r="N12" s="6" t="inlineStr">
        <is>
          <t>—</t>
        </is>
      </c>
      <c r="O12" s="2" t="inlineStr">
        <is>
          <t>197-17-K-26, (07.08.2026) [FHM-K]</t>
        </is>
      </c>
      <c r="P12" s="2" t="inlineStr">
        <is>
          <t>CoQ-PP-2025-0005</t>
        </is>
      </c>
      <c r="Q12" s="2" t="inlineStr">
        <is>
          <t>iCoA-PP-2025-0005</t>
        </is>
      </c>
      <c r="R12" s="2" t="inlineStr">
        <is>
          <t>OPM1024|AB|I</t>
        </is>
      </c>
      <c r="S12" s="7" t="inlineStr">
        <is>
          <t>registered — preliminary date, QC sets the real date at issue</t>
        </is>
      </c>
    </row>
    <row r="13">
      <c r="A13" s="2">
        <f>IF(C13="yes",COUNT(A$1:A12)+1,"")</f>
        <v/>
      </c>
      <c r="B13" s="3">
        <f>IF(A13="","— at issue —","iCoA-PP_26-"&amp;TEXT(A13,"000"))</f>
        <v/>
      </c>
      <c r="C13" s="4" t="inlineStr">
        <is>
          <t>yes</t>
        </is>
      </c>
      <c r="D13" s="5">
        <f>IF(A13="","",E13)</f>
        <v/>
      </c>
      <c r="E13" s="5">
        <f>IF(AND(C13="yes",ISNUMBER(G13)),MAX(DATE(2026,5,13),G13),"")</f>
        <v/>
      </c>
      <c r="F13" s="5">
        <f>IFERROR(INDEX('Batch Dates'!$F:$F,MATCH(J13,'Batch Dates'!$C:$C,0)),IFERROR(INDEX('Batch Dates'!$F:$F,MATCH(I13,'Batch Dates'!$B:$B,0)),""))</f>
        <v/>
      </c>
      <c r="G13" s="5">
        <f>IFERROR(INDEX('Batch Dates'!$G:$G,MATCH(J13,'Batch Dates'!$C:$C,0)),IFERROR(INDEX('Batch Dates'!$G:$G,MATCH(I13,'Batch Dates'!$B:$B,0)),""))</f>
        <v/>
      </c>
      <c r="H13" s="2" t="inlineStr">
        <is>
          <t>initial release</t>
        </is>
      </c>
      <c r="I13" s="3" t="inlineStr">
        <is>
          <t>OPM1024</t>
        </is>
      </c>
      <c r="J13" s="2" t="inlineStr">
        <is>
          <t>N/A — no P batch assigned</t>
        </is>
      </c>
      <c r="K13" s="2" t="inlineStr">
        <is>
          <t>OrangePunchMimosa</t>
        </is>
      </c>
      <c r="L13" s="2" t="inlineStr">
        <is>
          <t>Foreign matter</t>
        </is>
      </c>
      <c r="M13" s="2" t="inlineStr">
        <is>
          <t>iCoA_P07 · Foreign matter</t>
        </is>
      </c>
      <c r="N13" s="6" t="inlineStr">
        <is>
          <t>—</t>
        </is>
      </c>
      <c r="O13" s="2" t="inlineStr">
        <is>
          <t>197-17-K-26, (07.08.2026) [FHM-K]</t>
        </is>
      </c>
      <c r="P13" s="2" t="inlineStr">
        <is>
          <t>CoQ-PP-2025-0005</t>
        </is>
      </c>
      <c r="Q13" s="2" t="inlineStr">
        <is>
          <t>iCoA-PP-2025-0005</t>
        </is>
      </c>
      <c r="R13" s="2" t="inlineStr">
        <is>
          <t>OPM1024|FM|I</t>
        </is>
      </c>
      <c r="S13" s="7" t="inlineStr">
        <is>
          <t>registered — preliminary date, QC sets the real date at issue</t>
        </is>
      </c>
    </row>
    <row r="14">
      <c r="A14" s="2">
        <f>IF(C14="yes",COUNT(A$1:A13)+1,"")</f>
        <v/>
      </c>
      <c r="B14" s="3">
        <f>IF(A14="","— at issue —","iCoA-PP_26-"&amp;TEXT(A14,"000"))</f>
        <v/>
      </c>
      <c r="C14" s="4" t="inlineStr">
        <is>
          <t>yes</t>
        </is>
      </c>
      <c r="D14" s="5">
        <f>IF(A14="","",E14)</f>
        <v/>
      </c>
      <c r="E14" s="5">
        <f>IF(AND(C14="yes",ISNUMBER(G14)),MAX(DATE(2026,5,13),G14),"")</f>
        <v/>
      </c>
      <c r="F14" s="5">
        <f>IFERROR(INDEX('Batch Dates'!$F:$F,MATCH(J14,'Batch Dates'!$C:$C,0)),IFERROR(INDEX('Batch Dates'!$F:$F,MATCH(I14,'Batch Dates'!$B:$B,0)),""))</f>
        <v/>
      </c>
      <c r="G14" s="5">
        <f>IFERROR(INDEX('Batch Dates'!$G:$G,MATCH(J14,'Batch Dates'!$C:$C,0)),IFERROR(INDEX('Batch Dates'!$G:$G,MATCH(I14,'Batch Dates'!$B:$B,0)),""))</f>
        <v/>
      </c>
      <c r="H14" s="2" t="inlineStr">
        <is>
          <t>initial release</t>
        </is>
      </c>
      <c r="I14" s="3" t="inlineStr">
        <is>
          <t>GP0824_02</t>
        </is>
      </c>
      <c r="J14" s="2" t="inlineStr">
        <is>
          <t>P050022</t>
        </is>
      </c>
      <c r="K14" s="2" t="inlineStr">
        <is>
          <t>Grape Pie</t>
        </is>
      </c>
      <c r="L14" s="2" t="inlineStr">
        <is>
          <t>Ident A + Ident B</t>
        </is>
      </c>
      <c r="M14" s="2" t="inlineStr">
        <is>
          <t>iCoA_P01-02 · Appearance &amp; Identification A/B</t>
        </is>
      </c>
      <c r="N14" s="6" t="inlineStr">
        <is>
          <t>—</t>
        </is>
      </c>
      <c r="O14" s="2" t="inlineStr">
        <is>
          <t>ППК25139, (22.05.2025) [CNP]</t>
        </is>
      </c>
      <c r="P14" s="2" t="inlineStr">
        <is>
          <t>CoQ-PP-2025-0006</t>
        </is>
      </c>
      <c r="Q14" s="2" t="inlineStr">
        <is>
          <t>iCoA-PP-2025-0006</t>
        </is>
      </c>
      <c r="R14" s="2" t="inlineStr">
        <is>
          <t>P050022|AB|I</t>
        </is>
      </c>
      <c r="S14" s="7" t="inlineStr">
        <is>
          <t>registered — preliminary date, QC sets the real date at issue</t>
        </is>
      </c>
    </row>
    <row r="15">
      <c r="A15" s="2">
        <f>IF(C15="yes",COUNT(A$1:A14)+1,"")</f>
        <v/>
      </c>
      <c r="B15" s="3">
        <f>IF(A15="","— at issue —","iCoA-PP_26-"&amp;TEXT(A15,"000"))</f>
        <v/>
      </c>
      <c r="C15" s="4" t="inlineStr">
        <is>
          <t>yes</t>
        </is>
      </c>
      <c r="D15" s="5">
        <f>IF(A15="","",E15)</f>
        <v/>
      </c>
      <c r="E15" s="5">
        <f>IF(AND(C15="yes",ISNUMBER(G15)),MAX(DATE(2026,5,13),G15),"")</f>
        <v/>
      </c>
      <c r="F15" s="5">
        <f>IFERROR(INDEX('Batch Dates'!$F:$F,MATCH(J15,'Batch Dates'!$C:$C,0)),IFERROR(INDEX('Batch Dates'!$F:$F,MATCH(I15,'Batch Dates'!$B:$B,0)),""))</f>
        <v/>
      </c>
      <c r="G15" s="5">
        <f>IFERROR(INDEX('Batch Dates'!$G:$G,MATCH(J15,'Batch Dates'!$C:$C,0)),IFERROR(INDEX('Batch Dates'!$G:$G,MATCH(I15,'Batch Dates'!$B:$B,0)),""))</f>
        <v/>
      </c>
      <c r="H15" s="2" t="inlineStr">
        <is>
          <t>initial release</t>
        </is>
      </c>
      <c r="I15" s="3" t="inlineStr">
        <is>
          <t>GP0824_02</t>
        </is>
      </c>
      <c r="J15" s="2" t="inlineStr">
        <is>
          <t>P050022</t>
        </is>
      </c>
      <c r="K15" s="2" t="inlineStr">
        <is>
          <t>Grape Pie</t>
        </is>
      </c>
      <c r="L15" s="2" t="inlineStr">
        <is>
          <t>Foreign matter</t>
        </is>
      </c>
      <c r="M15" s="2" t="inlineStr">
        <is>
          <t>iCoA_P07 · Foreign matter</t>
        </is>
      </c>
      <c r="N15" s="6" t="inlineStr">
        <is>
          <t>—</t>
        </is>
      </c>
      <c r="O15" s="2" t="inlineStr">
        <is>
          <t>ППК25139, (22.05.2025) [CNP]</t>
        </is>
      </c>
      <c r="P15" s="2" t="inlineStr">
        <is>
          <t>CoQ-PP-2025-0006</t>
        </is>
      </c>
      <c r="Q15" s="2" t="inlineStr">
        <is>
          <t>iCoA-PP-2025-0006</t>
        </is>
      </c>
      <c r="R15" s="2" t="inlineStr">
        <is>
          <t>P050022|FM|I</t>
        </is>
      </c>
      <c r="S15" s="7" t="inlineStr">
        <is>
          <t>registered — preliminary date, QC sets the real date at issue</t>
        </is>
      </c>
    </row>
    <row r="16">
      <c r="A16" s="2">
        <f>IF(C16="yes",COUNT(A$1:A15)+1,"")</f>
        <v/>
      </c>
      <c r="B16" s="3">
        <f>IF(A16="","— at issue —","iCoA-PP_26-"&amp;TEXT(A16,"000"))</f>
        <v/>
      </c>
      <c r="C16" s="4" t="inlineStr">
        <is>
          <t>yes</t>
        </is>
      </c>
      <c r="D16" s="5">
        <f>IF(A16="","",E16)</f>
        <v/>
      </c>
      <c r="E16" s="5">
        <f>IF(AND(C16="yes",ISNUMBER(G16)),MAX(DATE(2026,5,13),G16),"")</f>
        <v/>
      </c>
      <c r="F16" s="5">
        <f>IFERROR(INDEX('Batch Dates'!$F:$F,MATCH(J16,'Batch Dates'!$C:$C,0)),IFERROR(INDEX('Batch Dates'!$F:$F,MATCH(I16,'Batch Dates'!$B:$B,0)),""))</f>
        <v/>
      </c>
      <c r="G16" s="5">
        <f>IFERROR(INDEX('Batch Dates'!$G:$G,MATCH(J16,'Batch Dates'!$C:$C,0)),IFERROR(INDEX('Batch Dates'!$G:$G,MATCH(I16,'Batch Dates'!$B:$B,0)),""))</f>
        <v/>
      </c>
      <c r="H16" s="2" t="inlineStr">
        <is>
          <t>initial release</t>
        </is>
      </c>
      <c r="I16" s="3" t="inlineStr">
        <is>
          <t>GG1024_02</t>
        </is>
      </c>
      <c r="J16" s="2" t="inlineStr">
        <is>
          <t>P050012</t>
        </is>
      </c>
      <c r="K16" s="2" t="inlineStr">
        <is>
          <t>Gorilla Glue</t>
        </is>
      </c>
      <c r="L16" s="2" t="inlineStr">
        <is>
          <t>Ident A + Ident B</t>
        </is>
      </c>
      <c r="M16" s="2" t="inlineStr">
        <is>
          <t>iCoA_P01-02 · Appearance &amp; Identification A/B</t>
        </is>
      </c>
      <c r="N16" s="6" t="inlineStr">
        <is>
          <t>—</t>
        </is>
      </c>
      <c r="O16" s="2" t="inlineStr">
        <is>
          <t>ППК25140, (22.05.2025) [CNP]</t>
        </is>
      </c>
      <c r="P16" s="2" t="inlineStr">
        <is>
          <t>(assigned on issue)</t>
        </is>
      </c>
      <c r="Q16" s="6" t="inlineStr">
        <is>
          <t>—</t>
        </is>
      </c>
      <c r="R16" s="2" t="inlineStr">
        <is>
          <t>P050012|AB|I</t>
        </is>
      </c>
      <c r="S16" s="7" t="inlineStr">
        <is>
          <t>registered — preliminary date, QC sets the real date at issue</t>
        </is>
      </c>
    </row>
    <row r="17">
      <c r="A17" s="2">
        <f>IF(C17="yes",COUNT(A$1:A16)+1,"")</f>
        <v/>
      </c>
      <c r="B17" s="3">
        <f>IF(A17="","— at issue —","iCoA-PP_26-"&amp;TEXT(A17,"000"))</f>
        <v/>
      </c>
      <c r="C17" s="4" t="inlineStr">
        <is>
          <t>yes</t>
        </is>
      </c>
      <c r="D17" s="5">
        <f>IF(A17="","",E17)</f>
        <v/>
      </c>
      <c r="E17" s="5">
        <f>IF(AND(C17="yes",ISNUMBER(G17)),MAX(DATE(2026,5,13),G17),"")</f>
        <v/>
      </c>
      <c r="F17" s="5">
        <f>IFERROR(INDEX('Batch Dates'!$F:$F,MATCH(J17,'Batch Dates'!$C:$C,0)),IFERROR(INDEX('Batch Dates'!$F:$F,MATCH(I17,'Batch Dates'!$B:$B,0)),""))</f>
        <v/>
      </c>
      <c r="G17" s="5">
        <f>IFERROR(INDEX('Batch Dates'!$G:$G,MATCH(J17,'Batch Dates'!$C:$C,0)),IFERROR(INDEX('Batch Dates'!$G:$G,MATCH(I17,'Batch Dates'!$B:$B,0)),""))</f>
        <v/>
      </c>
      <c r="H17" s="2" t="inlineStr">
        <is>
          <t>initial release</t>
        </is>
      </c>
      <c r="I17" s="3" t="inlineStr">
        <is>
          <t>GG1024_02</t>
        </is>
      </c>
      <c r="J17" s="2" t="inlineStr">
        <is>
          <t>P050012</t>
        </is>
      </c>
      <c r="K17" s="2" t="inlineStr">
        <is>
          <t>Gorilla Glue</t>
        </is>
      </c>
      <c r="L17" s="2" t="inlineStr">
        <is>
          <t>Foreign matter</t>
        </is>
      </c>
      <c r="M17" s="2" t="inlineStr">
        <is>
          <t>iCoA_P07 · Foreign matter</t>
        </is>
      </c>
      <c r="N17" s="6" t="inlineStr">
        <is>
          <t>—</t>
        </is>
      </c>
      <c r="O17" s="2" t="inlineStr">
        <is>
          <t>ППК25140, (22.05.2025) [CNP]</t>
        </is>
      </c>
      <c r="P17" s="2" t="inlineStr">
        <is>
          <t>(assigned on issue)</t>
        </is>
      </c>
      <c r="Q17" s="6" t="inlineStr">
        <is>
          <t>—</t>
        </is>
      </c>
      <c r="R17" s="2" t="inlineStr">
        <is>
          <t>P050012|FM|I</t>
        </is>
      </c>
      <c r="S17" s="7" t="inlineStr">
        <is>
          <t>registered — preliminary date, QC sets the real date at issue</t>
        </is>
      </c>
    </row>
    <row r="18">
      <c r="A18" s="2">
        <f>IF(C18="yes",COUNT(A$1:A17)+1,"")</f>
        <v/>
      </c>
      <c r="B18" s="3">
        <f>IF(A18="","— at issue —","iCoA-PP_26-"&amp;TEXT(A18,"000"))</f>
        <v/>
      </c>
      <c r="C18" s="4" t="inlineStr">
        <is>
          <t>yes</t>
        </is>
      </c>
      <c r="D18" s="5">
        <f>IF(A18="","",E18)</f>
        <v/>
      </c>
      <c r="E18" s="5">
        <f>IF(AND(C18="yes",ISNUMBER(G18)),MAX(DATE(2026,5,13),G18),"")</f>
        <v/>
      </c>
      <c r="F18" s="5">
        <f>IFERROR(INDEX('Batch Dates'!$F:$F,MATCH(J18,'Batch Dates'!$C:$C,0)),IFERROR(INDEX('Batch Dates'!$F:$F,MATCH(I18,'Batch Dates'!$B:$B,0)),""))</f>
        <v/>
      </c>
      <c r="G18" s="5">
        <f>IFERROR(INDEX('Batch Dates'!$G:$G,MATCH(J18,'Batch Dates'!$C:$C,0)),IFERROR(INDEX('Batch Dates'!$G:$G,MATCH(I18,'Batch Dates'!$B:$B,0)),""))</f>
        <v/>
      </c>
      <c r="H18" s="2" t="inlineStr">
        <is>
          <t>initial release</t>
        </is>
      </c>
      <c r="I18" s="3" t="inlineStr">
        <is>
          <t>MB0824_04</t>
        </is>
      </c>
      <c r="J18" s="2" t="inlineStr">
        <is>
          <t>P050032</t>
        </is>
      </c>
      <c r="K18" s="2" t="inlineStr">
        <is>
          <t>Motor Breath</t>
        </is>
      </c>
      <c r="L18" s="2" t="inlineStr">
        <is>
          <t>Ident A + Ident B</t>
        </is>
      </c>
      <c r="M18" s="2" t="inlineStr">
        <is>
          <t>iCoA_P01-02 · Appearance &amp; Identification A/B</t>
        </is>
      </c>
      <c r="N18" s="6" t="inlineStr">
        <is>
          <t>—</t>
        </is>
      </c>
      <c r="O18" s="2" t="inlineStr">
        <is>
          <t>ППК25118, (06.05.2025) [CNP]</t>
        </is>
      </c>
      <c r="P18" s="2" t="inlineStr">
        <is>
          <t>(assigned on issue)</t>
        </is>
      </c>
      <c r="Q18" s="6" t="inlineStr">
        <is>
          <t>—</t>
        </is>
      </c>
      <c r="R18" s="2" t="inlineStr">
        <is>
          <t>P050032|AB|I</t>
        </is>
      </c>
      <c r="S18" s="7" t="inlineStr">
        <is>
          <t>registered — preliminary date, QC sets the real date at issue</t>
        </is>
      </c>
    </row>
    <row r="19">
      <c r="A19" s="2">
        <f>IF(C19="yes",COUNT(A$1:A18)+1,"")</f>
        <v/>
      </c>
      <c r="B19" s="3">
        <f>IF(A19="","— at issue —","iCoA-PP_26-"&amp;TEXT(A19,"000"))</f>
        <v/>
      </c>
      <c r="C19" s="4" t="inlineStr">
        <is>
          <t>yes</t>
        </is>
      </c>
      <c r="D19" s="5">
        <f>IF(A19="","",E19)</f>
        <v/>
      </c>
      <c r="E19" s="5">
        <f>IF(AND(C19="yes",ISNUMBER(G19)),MAX(DATE(2026,5,13),G19),"")</f>
        <v/>
      </c>
      <c r="F19" s="5">
        <f>IFERROR(INDEX('Batch Dates'!$F:$F,MATCH(J19,'Batch Dates'!$C:$C,0)),IFERROR(INDEX('Batch Dates'!$F:$F,MATCH(I19,'Batch Dates'!$B:$B,0)),""))</f>
        <v/>
      </c>
      <c r="G19" s="5">
        <f>IFERROR(INDEX('Batch Dates'!$G:$G,MATCH(J19,'Batch Dates'!$C:$C,0)),IFERROR(INDEX('Batch Dates'!$G:$G,MATCH(I19,'Batch Dates'!$B:$B,0)),""))</f>
        <v/>
      </c>
      <c r="H19" s="2" t="inlineStr">
        <is>
          <t>initial release</t>
        </is>
      </c>
      <c r="I19" s="3" t="inlineStr">
        <is>
          <t>MB0824_04</t>
        </is>
      </c>
      <c r="J19" s="2" t="inlineStr">
        <is>
          <t>P050032</t>
        </is>
      </c>
      <c r="K19" s="2" t="inlineStr">
        <is>
          <t>Motor Breath</t>
        </is>
      </c>
      <c r="L19" s="2" t="inlineStr">
        <is>
          <t>Foreign matter</t>
        </is>
      </c>
      <c r="M19" s="2" t="inlineStr">
        <is>
          <t>iCoA_P07 · Foreign matter</t>
        </is>
      </c>
      <c r="N19" s="6" t="inlineStr">
        <is>
          <t>—</t>
        </is>
      </c>
      <c r="O19" s="2" t="inlineStr">
        <is>
          <t>ППК25118, (06.05.2025) [CNP]</t>
        </is>
      </c>
      <c r="P19" s="2" t="inlineStr">
        <is>
          <t>(assigned on issue)</t>
        </is>
      </c>
      <c r="Q19" s="6" t="inlineStr">
        <is>
          <t>—</t>
        </is>
      </c>
      <c r="R19" s="2" t="inlineStr">
        <is>
          <t>P050032|FM|I</t>
        </is>
      </c>
      <c r="S19" s="7" t="inlineStr">
        <is>
          <t>registered — preliminary date, QC sets the real date at issue</t>
        </is>
      </c>
    </row>
    <row r="20">
      <c r="A20" s="2">
        <f>IF(C20="yes",COUNT(A$1:A19)+1,"")</f>
        <v/>
      </c>
      <c r="B20" s="3">
        <f>IF(A20="","— at issue —","iCoA-PP_26-"&amp;TEXT(A20,"000"))</f>
        <v/>
      </c>
      <c r="C20" s="4" t="inlineStr">
        <is>
          <t>yes</t>
        </is>
      </c>
      <c r="D20" s="5">
        <f>IF(A20="","",E20)</f>
        <v/>
      </c>
      <c r="E20" s="5">
        <f>IF(AND(C20="yes",ISNUMBER(G20)),MAX(DATE(2026,5,13),G20),"")</f>
        <v/>
      </c>
      <c r="F20" s="5">
        <f>IFERROR(INDEX('Batch Dates'!$F:$F,MATCH(J20,'Batch Dates'!$C:$C,0)),IFERROR(INDEX('Batch Dates'!$F:$F,MATCH(I20,'Batch Dates'!$B:$B,0)),""))</f>
        <v/>
      </c>
      <c r="G20" s="5">
        <f>IFERROR(INDEX('Batch Dates'!$G:$G,MATCH(J20,'Batch Dates'!$C:$C,0)),IFERROR(INDEX('Batch Dates'!$G:$G,MATCH(I20,'Batch Dates'!$B:$B,0)),""))</f>
        <v/>
      </c>
      <c r="H20" s="2" t="inlineStr">
        <is>
          <t>initial release</t>
        </is>
      </c>
      <c r="I20" s="3" t="inlineStr">
        <is>
          <t>OMP1024_01</t>
        </is>
      </c>
      <c r="J20" s="2" t="inlineStr">
        <is>
          <t>P050042</t>
        </is>
      </c>
      <c r="K20" s="2" t="inlineStr">
        <is>
          <t>Orange Punch Mimosa</t>
        </is>
      </c>
      <c r="L20" s="2" t="inlineStr">
        <is>
          <t>Ident A + Ident B</t>
        </is>
      </c>
      <c r="M20" s="2" t="inlineStr">
        <is>
          <t>iCoA_P01-02 · Appearance &amp; Identification A/B</t>
        </is>
      </c>
      <c r="N20" s="6" t="inlineStr">
        <is>
          <t>—</t>
        </is>
      </c>
      <c r="O20" s="2" t="inlineStr">
        <is>
          <t>ППК25117, (06.05.2025) [CNP]</t>
        </is>
      </c>
      <c r="P20" s="2" t="inlineStr">
        <is>
          <t>CoQ-PP-2025-0007</t>
        </is>
      </c>
      <c r="Q20" s="2" t="inlineStr">
        <is>
          <t>iCoA-PP-2025-0007</t>
        </is>
      </c>
      <c r="R20" s="2" t="inlineStr">
        <is>
          <t>P050042|AB|I</t>
        </is>
      </c>
      <c r="S20" s="7" t="inlineStr">
        <is>
          <t>registered — preliminary date, QC sets the real date at issue</t>
        </is>
      </c>
    </row>
    <row r="21">
      <c r="A21" s="2">
        <f>IF(C21="yes",COUNT(A$1:A20)+1,"")</f>
        <v/>
      </c>
      <c r="B21" s="3">
        <f>IF(A21="","— at issue —","iCoA-PP_26-"&amp;TEXT(A21,"000"))</f>
        <v/>
      </c>
      <c r="C21" s="4" t="inlineStr">
        <is>
          <t>yes</t>
        </is>
      </c>
      <c r="D21" s="5">
        <f>IF(A21="","",E21)</f>
        <v/>
      </c>
      <c r="E21" s="5">
        <f>IF(AND(C21="yes",ISNUMBER(G21)),MAX(DATE(2026,5,13),G21),"")</f>
        <v/>
      </c>
      <c r="F21" s="5">
        <f>IFERROR(INDEX('Batch Dates'!$F:$F,MATCH(J21,'Batch Dates'!$C:$C,0)),IFERROR(INDEX('Batch Dates'!$F:$F,MATCH(I21,'Batch Dates'!$B:$B,0)),""))</f>
        <v/>
      </c>
      <c r="G21" s="5">
        <f>IFERROR(INDEX('Batch Dates'!$G:$G,MATCH(J21,'Batch Dates'!$C:$C,0)),IFERROR(INDEX('Batch Dates'!$G:$G,MATCH(I21,'Batch Dates'!$B:$B,0)),""))</f>
        <v/>
      </c>
      <c r="H21" s="2" t="inlineStr">
        <is>
          <t>initial release</t>
        </is>
      </c>
      <c r="I21" s="3" t="inlineStr">
        <is>
          <t>OMP1024_01</t>
        </is>
      </c>
      <c r="J21" s="2" t="inlineStr">
        <is>
          <t>P050042</t>
        </is>
      </c>
      <c r="K21" s="2" t="inlineStr">
        <is>
          <t>Orange Punch Mimosa</t>
        </is>
      </c>
      <c r="L21" s="2" t="inlineStr">
        <is>
          <t>Foreign matter</t>
        </is>
      </c>
      <c r="M21" s="2" t="inlineStr">
        <is>
          <t>iCoA_P07 · Foreign matter</t>
        </is>
      </c>
      <c r="N21" s="6" t="inlineStr">
        <is>
          <t>—</t>
        </is>
      </c>
      <c r="O21" s="2" t="inlineStr">
        <is>
          <t>ППК25117, (06.05.2025) [CNP]</t>
        </is>
      </c>
      <c r="P21" s="2" t="inlineStr">
        <is>
          <t>CoQ-PP-2025-0007</t>
        </is>
      </c>
      <c r="Q21" s="2" t="inlineStr">
        <is>
          <t>iCoA-PP-2025-0007</t>
        </is>
      </c>
      <c r="R21" s="2" t="inlineStr">
        <is>
          <t>P050042|FM|I</t>
        </is>
      </c>
      <c r="S21" s="7" t="inlineStr">
        <is>
          <t>registered — preliminary date, QC sets the real date at issue</t>
        </is>
      </c>
    </row>
    <row r="22">
      <c r="A22" s="2">
        <f>IF(C22="yes",COUNT(A$1:A21)+1,"")</f>
        <v/>
      </c>
      <c r="B22" s="3">
        <f>IF(A22="","— at issue —","iCoA-PP_26-"&amp;TEXT(A22,"000"))</f>
        <v/>
      </c>
      <c r="C22" s="4" t="inlineStr">
        <is>
          <t>yes</t>
        </is>
      </c>
      <c r="D22" s="5">
        <f>IF(A22="","",E22)</f>
        <v/>
      </c>
      <c r="E22" s="5">
        <f>IF(AND(C22="yes",ISNUMBER(G22)),MAX(DATE(2026,5,13),G22),"")</f>
        <v/>
      </c>
      <c r="F22" s="5">
        <f>IFERROR(INDEX('Batch Dates'!$F:$F,MATCH(J22,'Batch Dates'!$C:$C,0)),IFERROR(INDEX('Batch Dates'!$F:$F,MATCH(I22,'Batch Dates'!$B:$B,0)),""))</f>
        <v/>
      </c>
      <c r="G22" s="5">
        <f>IFERROR(INDEX('Batch Dates'!$G:$G,MATCH(J22,'Batch Dates'!$C:$C,0)),IFERROR(INDEX('Batch Dates'!$G:$G,MATCH(I22,'Batch Dates'!$B:$B,0)),""))</f>
        <v/>
      </c>
      <c r="H22" s="2" t="inlineStr">
        <is>
          <t>initial release</t>
        </is>
      </c>
      <c r="I22" s="3" t="inlineStr">
        <is>
          <t>HPA1024_01</t>
        </is>
      </c>
      <c r="J22" s="2" t="inlineStr">
        <is>
          <t>P050052</t>
        </is>
      </c>
      <c r="K22" s="2" t="inlineStr">
        <is>
          <t>High Pro Amnesia</t>
        </is>
      </c>
      <c r="L22" s="2" t="inlineStr">
        <is>
          <t>Ident A + Ident B</t>
        </is>
      </c>
      <c r="M22" s="2" t="inlineStr">
        <is>
          <t>iCoA_P01-02 · Appearance &amp; Identification A/B</t>
        </is>
      </c>
      <c r="N22" s="6" t="inlineStr">
        <is>
          <t>—</t>
        </is>
      </c>
      <c r="O22" s="2" t="inlineStr">
        <is>
          <t>ППК25155, (24.06.2025) [CNP]</t>
        </is>
      </c>
      <c r="P22" s="2" t="inlineStr">
        <is>
          <t>CoQ-PP-2025-0008</t>
        </is>
      </c>
      <c r="Q22" s="2" t="inlineStr">
        <is>
          <t>iCoA-PP-2025-0008</t>
        </is>
      </c>
      <c r="R22" s="2" t="inlineStr">
        <is>
          <t>P050052|AB|I</t>
        </is>
      </c>
      <c r="S22" s="7" t="inlineStr">
        <is>
          <t>registered — preliminary date, QC sets the real date at issue</t>
        </is>
      </c>
    </row>
    <row r="23">
      <c r="A23" s="2">
        <f>IF(C23="yes",COUNT(A$1:A22)+1,"")</f>
        <v/>
      </c>
      <c r="B23" s="3">
        <f>IF(A23="","— at issue —","iCoA-PP_26-"&amp;TEXT(A23,"000"))</f>
        <v/>
      </c>
      <c r="C23" s="4" t="inlineStr">
        <is>
          <t>yes</t>
        </is>
      </c>
      <c r="D23" s="5">
        <f>IF(A23="","",E23)</f>
        <v/>
      </c>
      <c r="E23" s="5">
        <f>IF(AND(C23="yes",ISNUMBER(G23)),MAX(DATE(2026,5,13),G23),"")</f>
        <v/>
      </c>
      <c r="F23" s="5">
        <f>IFERROR(INDEX('Batch Dates'!$F:$F,MATCH(J23,'Batch Dates'!$C:$C,0)),IFERROR(INDEX('Batch Dates'!$F:$F,MATCH(I23,'Batch Dates'!$B:$B,0)),""))</f>
        <v/>
      </c>
      <c r="G23" s="5">
        <f>IFERROR(INDEX('Batch Dates'!$G:$G,MATCH(J23,'Batch Dates'!$C:$C,0)),IFERROR(INDEX('Batch Dates'!$G:$G,MATCH(I23,'Batch Dates'!$B:$B,0)),""))</f>
        <v/>
      </c>
      <c r="H23" s="2" t="inlineStr">
        <is>
          <t>initial release</t>
        </is>
      </c>
      <c r="I23" s="3" t="inlineStr">
        <is>
          <t>HPA1024_01</t>
        </is>
      </c>
      <c r="J23" s="2" t="inlineStr">
        <is>
          <t>P050052</t>
        </is>
      </c>
      <c r="K23" s="2" t="inlineStr">
        <is>
          <t>High Pro Amnesia</t>
        </is>
      </c>
      <c r="L23" s="2" t="inlineStr">
        <is>
          <t>Foreign matter</t>
        </is>
      </c>
      <c r="M23" s="2" t="inlineStr">
        <is>
          <t>iCoA_P07 · Foreign matter</t>
        </is>
      </c>
      <c r="N23" s="6" t="inlineStr">
        <is>
          <t>—</t>
        </is>
      </c>
      <c r="O23" s="2" t="inlineStr">
        <is>
          <t>ППК25155, (24.06.2025) [CNP]</t>
        </is>
      </c>
      <c r="P23" s="2" t="inlineStr">
        <is>
          <t>CoQ-PP-2025-0008</t>
        </is>
      </c>
      <c r="Q23" s="2" t="inlineStr">
        <is>
          <t>iCoA-PP-2025-0008</t>
        </is>
      </c>
      <c r="R23" s="2" t="inlineStr">
        <is>
          <t>P050052|FM|I</t>
        </is>
      </c>
      <c r="S23" s="7" t="inlineStr">
        <is>
          <t>registered — preliminary date, QC sets the real date at issue</t>
        </is>
      </c>
    </row>
    <row r="24">
      <c r="A24" s="2">
        <f>IF(C24="yes",COUNT(A$1:A23)+1,"")</f>
        <v/>
      </c>
      <c r="B24" s="3">
        <f>IF(A24="","— at issue —","iCoA-PP_26-"&amp;TEXT(A24,"000"))</f>
        <v/>
      </c>
      <c r="C24" s="4" t="inlineStr">
        <is>
          <t>yes</t>
        </is>
      </c>
      <c r="D24" s="5">
        <f>IF(A24="","",E24)</f>
        <v/>
      </c>
      <c r="E24" s="5">
        <f>IF(AND(C24="yes",ISNUMBER(G24)),MAX(DATE(2026,5,13),G24),"")</f>
        <v/>
      </c>
      <c r="F24" s="5">
        <f>IFERROR(INDEX('Batch Dates'!$F:$F,MATCH(J24,'Batch Dates'!$C:$C,0)),IFERROR(INDEX('Batch Dates'!$F:$F,MATCH(I24,'Batch Dates'!$B:$B,0)),""))</f>
        <v/>
      </c>
      <c r="G24" s="5">
        <f>IFERROR(INDEX('Batch Dates'!$G:$G,MATCH(J24,'Batch Dates'!$C:$C,0)),IFERROR(INDEX('Batch Dates'!$G:$G,MATCH(I24,'Batch Dates'!$B:$B,0)),""))</f>
        <v/>
      </c>
      <c r="H24" s="2" t="inlineStr">
        <is>
          <t>initial release</t>
        </is>
      </c>
      <c r="I24" s="3" t="inlineStr">
        <is>
          <t>OPM1024_02</t>
        </is>
      </c>
      <c r="J24" s="2" t="inlineStr">
        <is>
          <t>P050062</t>
        </is>
      </c>
      <c r="K24" s="2" t="inlineStr">
        <is>
          <t>Orange Punch Mimosa</t>
        </is>
      </c>
      <c r="L24" s="2" t="inlineStr">
        <is>
          <t>Ident A + Ident B</t>
        </is>
      </c>
      <c r="M24" s="2" t="inlineStr">
        <is>
          <t>iCoA_P01-02 · Appearance &amp; Identification A/B</t>
        </is>
      </c>
      <c r="N24" s="6" t="inlineStr">
        <is>
          <t>—</t>
        </is>
      </c>
      <c r="O24" s="2" t="inlineStr">
        <is>
          <t>ППК25154, (24.06.2025) [CNP]</t>
        </is>
      </c>
      <c r="P24" s="2" t="inlineStr">
        <is>
          <t>CoQ-PP-2025-0009</t>
        </is>
      </c>
      <c r="Q24" s="2" t="inlineStr">
        <is>
          <t>iCoA-PP-2025-0009</t>
        </is>
      </c>
      <c r="R24" s="2" t="inlineStr">
        <is>
          <t>P050062|AB|I</t>
        </is>
      </c>
      <c r="S24" s="7" t="inlineStr">
        <is>
          <t>registered — preliminary date, QC sets the real date at issue</t>
        </is>
      </c>
    </row>
    <row r="25">
      <c r="A25" s="2">
        <f>IF(C25="yes",COUNT(A$1:A24)+1,"")</f>
        <v/>
      </c>
      <c r="B25" s="3">
        <f>IF(A25="","— at issue —","iCoA-PP_26-"&amp;TEXT(A25,"000"))</f>
        <v/>
      </c>
      <c r="C25" s="4" t="inlineStr">
        <is>
          <t>yes</t>
        </is>
      </c>
      <c r="D25" s="5">
        <f>IF(A25="","",E25)</f>
        <v/>
      </c>
      <c r="E25" s="5">
        <f>IF(AND(C25="yes",ISNUMBER(G25)),MAX(DATE(2026,5,13),G25),"")</f>
        <v/>
      </c>
      <c r="F25" s="5">
        <f>IFERROR(INDEX('Batch Dates'!$F:$F,MATCH(J25,'Batch Dates'!$C:$C,0)),IFERROR(INDEX('Batch Dates'!$F:$F,MATCH(I25,'Batch Dates'!$B:$B,0)),""))</f>
        <v/>
      </c>
      <c r="G25" s="5">
        <f>IFERROR(INDEX('Batch Dates'!$G:$G,MATCH(J25,'Batch Dates'!$C:$C,0)),IFERROR(INDEX('Batch Dates'!$G:$G,MATCH(I25,'Batch Dates'!$B:$B,0)),""))</f>
        <v/>
      </c>
      <c r="H25" s="2" t="inlineStr">
        <is>
          <t>initial release</t>
        </is>
      </c>
      <c r="I25" s="3" t="inlineStr">
        <is>
          <t>OPM1024_02</t>
        </is>
      </c>
      <c r="J25" s="2" t="inlineStr">
        <is>
          <t>P050062</t>
        </is>
      </c>
      <c r="K25" s="2" t="inlineStr">
        <is>
          <t>Orange Punch Mimosa</t>
        </is>
      </c>
      <c r="L25" s="2" t="inlineStr">
        <is>
          <t>Foreign matter</t>
        </is>
      </c>
      <c r="M25" s="2" t="inlineStr">
        <is>
          <t>iCoA_P07 · Foreign matter</t>
        </is>
      </c>
      <c r="N25" s="6" t="inlineStr">
        <is>
          <t>—</t>
        </is>
      </c>
      <c r="O25" s="2" t="inlineStr">
        <is>
          <t>ППК25154, (24.06.2025) [CNP]</t>
        </is>
      </c>
      <c r="P25" s="2" t="inlineStr">
        <is>
          <t>CoQ-PP-2025-0009</t>
        </is>
      </c>
      <c r="Q25" s="2" t="inlineStr">
        <is>
          <t>iCoA-PP-2025-0009</t>
        </is>
      </c>
      <c r="R25" s="2" t="inlineStr">
        <is>
          <t>P050062|FM|I</t>
        </is>
      </c>
      <c r="S25" s="7" t="inlineStr">
        <is>
          <t>registered — preliminary date, QC sets the real date at issue</t>
        </is>
      </c>
    </row>
    <row r="26">
      <c r="A26" s="2">
        <f>IF(C26="yes",COUNT(A$1:A25)+1,"")</f>
        <v/>
      </c>
      <c r="B26" s="3">
        <f>IF(A26="","— at issue —","iCoA-PP_26-"&amp;TEXT(A26,"000"))</f>
        <v/>
      </c>
      <c r="C26" s="4" t="inlineStr">
        <is>
          <t>yes</t>
        </is>
      </c>
      <c r="D26" s="5">
        <f>IF(A26="","",E26)</f>
        <v/>
      </c>
      <c r="E26" s="5">
        <f>IF(AND(C26="yes",ISNUMBER(G26)),MAX(DATE(2026,5,13),G26),"")</f>
        <v/>
      </c>
      <c r="F26" s="5">
        <f>IFERROR(INDEX('Batch Dates'!$F:$F,MATCH(J26,'Batch Dates'!$C:$C,0)),IFERROR(INDEX('Batch Dates'!$F:$F,MATCH(I26,'Batch Dates'!$B:$B,0)),""))</f>
        <v/>
      </c>
      <c r="G26" s="5">
        <f>IFERROR(INDEX('Batch Dates'!$G:$G,MATCH(J26,'Batch Dates'!$C:$C,0)),IFERROR(INDEX('Batch Dates'!$G:$G,MATCH(I26,'Batch Dates'!$B:$B,0)),""))</f>
        <v/>
      </c>
      <c r="H26" s="2" t="inlineStr">
        <is>
          <t>initial release</t>
        </is>
      </c>
      <c r="I26" s="3" t="inlineStr">
        <is>
          <t>GP0824_03</t>
        </is>
      </c>
      <c r="J26" s="2" t="inlineStr">
        <is>
          <t>P050072</t>
        </is>
      </c>
      <c r="K26" s="2" t="inlineStr">
        <is>
          <t>Grape Pie</t>
        </is>
      </c>
      <c r="L26" s="2" t="inlineStr">
        <is>
          <t>Ident A + Ident B</t>
        </is>
      </c>
      <c r="M26" s="2" t="inlineStr">
        <is>
          <t>iCoA_P01-02 · Appearance &amp; Identification A/B</t>
        </is>
      </c>
      <c r="N26" s="6" t="inlineStr">
        <is>
          <t>—</t>
        </is>
      </c>
      <c r="O26" s="2" t="inlineStr">
        <is>
          <t>ППК25175, (10.07.2025) [CNP]</t>
        </is>
      </c>
      <c r="P26" s="2" t="inlineStr">
        <is>
          <t>CoQ-PP-2025-0010</t>
        </is>
      </c>
      <c r="Q26" s="2" t="inlineStr">
        <is>
          <t>iCoA-PP-2025-0010</t>
        </is>
      </c>
      <c r="R26" s="2" t="inlineStr">
        <is>
          <t>P050072|AB|I</t>
        </is>
      </c>
      <c r="S26" s="7" t="inlineStr">
        <is>
          <t>registered — preliminary date, QC sets the real date at issue</t>
        </is>
      </c>
    </row>
    <row r="27">
      <c r="A27" s="2">
        <f>IF(C27="yes",COUNT(A$1:A26)+1,"")</f>
        <v/>
      </c>
      <c r="B27" s="3">
        <f>IF(A27="","— at issue —","iCoA-PP_26-"&amp;TEXT(A27,"000"))</f>
        <v/>
      </c>
      <c r="C27" s="4" t="inlineStr">
        <is>
          <t>yes</t>
        </is>
      </c>
      <c r="D27" s="5">
        <f>IF(A27="","",E27)</f>
        <v/>
      </c>
      <c r="E27" s="5">
        <f>IF(AND(C27="yes",ISNUMBER(G27)),MAX(DATE(2026,5,13),G27),"")</f>
        <v/>
      </c>
      <c r="F27" s="5">
        <f>IFERROR(INDEX('Batch Dates'!$F:$F,MATCH(J27,'Batch Dates'!$C:$C,0)),IFERROR(INDEX('Batch Dates'!$F:$F,MATCH(I27,'Batch Dates'!$B:$B,0)),""))</f>
        <v/>
      </c>
      <c r="G27" s="5">
        <f>IFERROR(INDEX('Batch Dates'!$G:$G,MATCH(J27,'Batch Dates'!$C:$C,0)),IFERROR(INDEX('Batch Dates'!$G:$G,MATCH(I27,'Batch Dates'!$B:$B,0)),""))</f>
        <v/>
      </c>
      <c r="H27" s="2" t="inlineStr">
        <is>
          <t>initial release</t>
        </is>
      </c>
      <c r="I27" s="3" t="inlineStr">
        <is>
          <t>GP0824_03</t>
        </is>
      </c>
      <c r="J27" s="2" t="inlineStr">
        <is>
          <t>P050072</t>
        </is>
      </c>
      <c r="K27" s="2" t="inlineStr">
        <is>
          <t>Grape Pie</t>
        </is>
      </c>
      <c r="L27" s="2" t="inlineStr">
        <is>
          <t>Foreign matter</t>
        </is>
      </c>
      <c r="M27" s="2" t="inlineStr">
        <is>
          <t>iCoA_P07 · Foreign matter</t>
        </is>
      </c>
      <c r="N27" s="6" t="inlineStr">
        <is>
          <t>—</t>
        </is>
      </c>
      <c r="O27" s="2" t="inlineStr">
        <is>
          <t>ППК25175, (10.07.2025) [CNP]</t>
        </is>
      </c>
      <c r="P27" s="2" t="inlineStr">
        <is>
          <t>CoQ-PP-2025-0010</t>
        </is>
      </c>
      <c r="Q27" s="2" t="inlineStr">
        <is>
          <t>iCoA-PP-2025-0010</t>
        </is>
      </c>
      <c r="R27" s="2" t="inlineStr">
        <is>
          <t>P050072|FM|I</t>
        </is>
      </c>
      <c r="S27" s="7" t="inlineStr">
        <is>
          <t>registered — preliminary date, QC sets the real date at issue</t>
        </is>
      </c>
    </row>
    <row r="28">
      <c r="A28" s="2">
        <f>IF(C28="yes",COUNT(A$1:A27)+1,"")</f>
        <v/>
      </c>
      <c r="B28" s="3">
        <f>IF(A28="","— at issue —","iCoA-PP_26-"&amp;TEXT(A28,"000"))</f>
        <v/>
      </c>
      <c r="C28" s="4" t="inlineStr">
        <is>
          <t>yes</t>
        </is>
      </c>
      <c r="D28" s="5">
        <f>IF(A28="","",E28)</f>
        <v/>
      </c>
      <c r="E28" s="5">
        <f>IF(AND(C28="yes",ISNUMBER(G28)),MAX(DATE(2026,5,13),G28),"")</f>
        <v/>
      </c>
      <c r="F28" s="5">
        <f>IFERROR(INDEX('Batch Dates'!$F:$F,MATCH(J28,'Batch Dates'!$C:$C,0)),IFERROR(INDEX('Batch Dates'!$F:$F,MATCH(I28,'Batch Dates'!$B:$B,0)),""))</f>
        <v/>
      </c>
      <c r="G28" s="5">
        <f>IFERROR(INDEX('Batch Dates'!$G:$G,MATCH(J28,'Batch Dates'!$C:$C,0)),IFERROR(INDEX('Batch Dates'!$G:$G,MATCH(I28,'Batch Dates'!$B:$B,0)),""))</f>
        <v/>
      </c>
      <c r="H28" s="2" t="inlineStr">
        <is>
          <t>initial release</t>
        </is>
      </c>
      <c r="I28" s="3" t="inlineStr">
        <is>
          <t>OPM1024_03</t>
        </is>
      </c>
      <c r="J28" s="2" t="inlineStr">
        <is>
          <t>P050082</t>
        </is>
      </c>
      <c r="K28" s="2" t="inlineStr">
        <is>
          <t>Orange Punch Mimosa</t>
        </is>
      </c>
      <c r="L28" s="2" t="inlineStr">
        <is>
          <t>Ident A + Ident B</t>
        </is>
      </c>
      <c r="M28" s="2" t="inlineStr">
        <is>
          <t>iCoA_P01-02 · Appearance &amp; Identification A/B</t>
        </is>
      </c>
      <c r="N28" s="6" t="inlineStr">
        <is>
          <t>—</t>
        </is>
      </c>
      <c r="O28" s="2" t="inlineStr">
        <is>
          <t>ППК25210, (28.07.2025) [CNP]</t>
        </is>
      </c>
      <c r="P28" s="2" t="inlineStr">
        <is>
          <t>CoQ-PP-2025-0011</t>
        </is>
      </c>
      <c r="Q28" s="2" t="inlineStr">
        <is>
          <t>iCoA-PP-2025-0011</t>
        </is>
      </c>
      <c r="R28" s="2" t="inlineStr">
        <is>
          <t>P050082|AB|I</t>
        </is>
      </c>
      <c r="S28" s="7" t="inlineStr">
        <is>
          <t>registered — preliminary date, QC sets the real date at issue</t>
        </is>
      </c>
    </row>
    <row r="29">
      <c r="A29" s="2">
        <f>IF(C29="yes",COUNT(A$1:A28)+1,"")</f>
        <v/>
      </c>
      <c r="B29" s="3">
        <f>IF(A29="","— at issue —","iCoA-PP_26-"&amp;TEXT(A29,"000"))</f>
        <v/>
      </c>
      <c r="C29" s="4" t="inlineStr">
        <is>
          <t>yes</t>
        </is>
      </c>
      <c r="D29" s="5">
        <f>IF(A29="","",E29)</f>
        <v/>
      </c>
      <c r="E29" s="5">
        <f>IF(AND(C29="yes",ISNUMBER(G29)),MAX(DATE(2026,5,13),G29),"")</f>
        <v/>
      </c>
      <c r="F29" s="5">
        <f>IFERROR(INDEX('Batch Dates'!$F:$F,MATCH(J29,'Batch Dates'!$C:$C,0)),IFERROR(INDEX('Batch Dates'!$F:$F,MATCH(I29,'Batch Dates'!$B:$B,0)),""))</f>
        <v/>
      </c>
      <c r="G29" s="5">
        <f>IFERROR(INDEX('Batch Dates'!$G:$G,MATCH(J29,'Batch Dates'!$C:$C,0)),IFERROR(INDEX('Batch Dates'!$G:$G,MATCH(I29,'Batch Dates'!$B:$B,0)),""))</f>
        <v/>
      </c>
      <c r="H29" s="2" t="inlineStr">
        <is>
          <t>initial release</t>
        </is>
      </c>
      <c r="I29" s="3" t="inlineStr">
        <is>
          <t>OPM1024_03</t>
        </is>
      </c>
      <c r="J29" s="2" t="inlineStr">
        <is>
          <t>P050082</t>
        </is>
      </c>
      <c r="K29" s="2" t="inlineStr">
        <is>
          <t>Orange Punch Mimosa</t>
        </is>
      </c>
      <c r="L29" s="2" t="inlineStr">
        <is>
          <t>Foreign matter</t>
        </is>
      </c>
      <c r="M29" s="2" t="inlineStr">
        <is>
          <t>iCoA_P07 · Foreign matter</t>
        </is>
      </c>
      <c r="N29" s="6" t="inlineStr">
        <is>
          <t>—</t>
        </is>
      </c>
      <c r="O29" s="2" t="inlineStr">
        <is>
          <t>ППК25210, (28.07.2025) [CNP]</t>
        </is>
      </c>
      <c r="P29" s="2" t="inlineStr">
        <is>
          <t>CoQ-PP-2025-0011</t>
        </is>
      </c>
      <c r="Q29" s="2" t="inlineStr">
        <is>
          <t>iCoA-PP-2025-0011</t>
        </is>
      </c>
      <c r="R29" s="2" t="inlineStr">
        <is>
          <t>P050082|FM|I</t>
        </is>
      </c>
      <c r="S29" s="7" t="inlineStr">
        <is>
          <t>registered — preliminary date, QC sets the real date at issue</t>
        </is>
      </c>
    </row>
    <row r="30">
      <c r="A30" s="2">
        <f>IF(C30="yes",COUNT(A$1:A29)+1,"")</f>
        <v/>
      </c>
      <c r="B30" s="3">
        <f>IF(A30="","— at issue —","iCoA-PP_26-"&amp;TEXT(A30,"000"))</f>
        <v/>
      </c>
      <c r="C30" s="4" t="inlineStr">
        <is>
          <t>yes</t>
        </is>
      </c>
      <c r="D30" s="5">
        <f>IF(A30="","",E30)</f>
        <v/>
      </c>
      <c r="E30" s="5">
        <f>IF(AND(C30="yes",ISNUMBER(G30)),MAX(DATE(2026,5,13),G30),"")</f>
        <v/>
      </c>
      <c r="F30" s="5">
        <f>IFERROR(INDEX('Batch Dates'!$F:$F,MATCH(J30,'Batch Dates'!$C:$C,0)),IFERROR(INDEX('Batch Dates'!$F:$F,MATCH(I30,'Batch Dates'!$B:$B,0)),""))</f>
        <v/>
      </c>
      <c r="G30" s="5">
        <f>IFERROR(INDEX('Batch Dates'!$G:$G,MATCH(J30,'Batch Dates'!$C:$C,0)),IFERROR(INDEX('Batch Dates'!$G:$G,MATCH(I30,'Batch Dates'!$B:$B,0)),""))</f>
        <v/>
      </c>
      <c r="H30" s="2" t="inlineStr">
        <is>
          <t>initial release</t>
        </is>
      </c>
      <c r="I30" s="3" t="inlineStr">
        <is>
          <t>GG1024_01</t>
        </is>
      </c>
      <c r="J30" s="2" t="inlineStr">
        <is>
          <t>P050092</t>
        </is>
      </c>
      <c r="K30" s="2" t="inlineStr">
        <is>
          <t>Gorilla Glue</t>
        </is>
      </c>
      <c r="L30" s="2" t="inlineStr">
        <is>
          <t>Ident A + Ident B</t>
        </is>
      </c>
      <c r="M30" s="2" t="inlineStr">
        <is>
          <t>iCoA_P01-02 · Appearance &amp; Identification A/B</t>
        </is>
      </c>
      <c r="N30" s="6" t="inlineStr">
        <is>
          <t>—</t>
        </is>
      </c>
      <c r="O30" s="2" t="inlineStr">
        <is>
          <t>ППК25104, (17.04.2025) [CNP]</t>
        </is>
      </c>
      <c r="P30" s="2" t="inlineStr">
        <is>
          <t>CoQ-PP-2025-0012</t>
        </is>
      </c>
      <c r="Q30" s="2" t="inlineStr">
        <is>
          <t>iCoA-PP-2025-0012</t>
        </is>
      </c>
      <c r="R30" s="2" t="inlineStr">
        <is>
          <t>P050092|AB|I</t>
        </is>
      </c>
      <c r="S30" s="7" t="inlineStr">
        <is>
          <t>registered — preliminary date, QC sets the real date at issue</t>
        </is>
      </c>
    </row>
    <row r="31">
      <c r="A31" s="2">
        <f>IF(C31="yes",COUNT(A$1:A30)+1,"")</f>
        <v/>
      </c>
      <c r="B31" s="3">
        <f>IF(A31="","— at issue —","iCoA-PP_26-"&amp;TEXT(A31,"000"))</f>
        <v/>
      </c>
      <c r="C31" s="4" t="inlineStr">
        <is>
          <t>yes</t>
        </is>
      </c>
      <c r="D31" s="5">
        <f>IF(A31="","",E31)</f>
        <v/>
      </c>
      <c r="E31" s="5">
        <f>IF(AND(C31="yes",ISNUMBER(G31)),MAX(DATE(2026,5,13),G31),"")</f>
        <v/>
      </c>
      <c r="F31" s="5">
        <f>IFERROR(INDEX('Batch Dates'!$F:$F,MATCH(J31,'Batch Dates'!$C:$C,0)),IFERROR(INDEX('Batch Dates'!$F:$F,MATCH(I31,'Batch Dates'!$B:$B,0)),""))</f>
        <v/>
      </c>
      <c r="G31" s="5">
        <f>IFERROR(INDEX('Batch Dates'!$G:$G,MATCH(J31,'Batch Dates'!$C:$C,0)),IFERROR(INDEX('Batch Dates'!$G:$G,MATCH(I31,'Batch Dates'!$B:$B,0)),""))</f>
        <v/>
      </c>
      <c r="H31" s="2" t="inlineStr">
        <is>
          <t>initial release</t>
        </is>
      </c>
      <c r="I31" s="3" t="inlineStr">
        <is>
          <t>GG1024_01</t>
        </is>
      </c>
      <c r="J31" s="2" t="inlineStr">
        <is>
          <t>P050092</t>
        </is>
      </c>
      <c r="K31" s="2" t="inlineStr">
        <is>
          <t>Gorilla Glue</t>
        </is>
      </c>
      <c r="L31" s="2" t="inlineStr">
        <is>
          <t>Foreign matter</t>
        </is>
      </c>
      <c r="M31" s="2" t="inlineStr">
        <is>
          <t>iCoA_P07 · Foreign matter</t>
        </is>
      </c>
      <c r="N31" s="6" t="inlineStr">
        <is>
          <t>—</t>
        </is>
      </c>
      <c r="O31" s="2" t="inlineStr">
        <is>
          <t>ППК25104, (17.04.2025) [CNP]</t>
        </is>
      </c>
      <c r="P31" s="2" t="inlineStr">
        <is>
          <t>CoQ-PP-2025-0012</t>
        </is>
      </c>
      <c r="Q31" s="2" t="inlineStr">
        <is>
          <t>iCoA-PP-2025-0012</t>
        </is>
      </c>
      <c r="R31" s="2" t="inlineStr">
        <is>
          <t>P050092|FM|I</t>
        </is>
      </c>
      <c r="S31" s="7" t="inlineStr">
        <is>
          <t>registered — preliminary date, QC sets the real date at issue</t>
        </is>
      </c>
    </row>
    <row r="32">
      <c r="A32" s="2">
        <f>IF(C32="yes",COUNT(A$1:A31)+1,"")</f>
        <v/>
      </c>
      <c r="B32" s="3">
        <f>IF(A32="","— at issue —","iCoA-PP_26-"&amp;TEXT(A32,"000"))</f>
        <v/>
      </c>
      <c r="C32" s="4" t="inlineStr">
        <is>
          <t>yes</t>
        </is>
      </c>
      <c r="D32" s="5">
        <f>IF(A32="","",E32)</f>
        <v/>
      </c>
      <c r="E32" s="5">
        <f>IF(AND(C32="yes",ISNUMBER(G32)),MAX(DATE(2026,5,13),G32),"")</f>
        <v/>
      </c>
      <c r="F32" s="5">
        <f>IFERROR(INDEX('Batch Dates'!$F:$F,MATCH(J32,'Batch Dates'!$C:$C,0)),IFERROR(INDEX('Batch Dates'!$F:$F,MATCH(I32,'Batch Dates'!$B:$B,0)),""))</f>
        <v/>
      </c>
      <c r="G32" s="5">
        <f>IFERROR(INDEX('Batch Dates'!$G:$G,MATCH(J32,'Batch Dates'!$C:$C,0)),IFERROR(INDEX('Batch Dates'!$G:$G,MATCH(I32,'Batch Dates'!$B:$B,0)),""))</f>
        <v/>
      </c>
      <c r="H32" s="2" t="inlineStr">
        <is>
          <t>initial release</t>
        </is>
      </c>
      <c r="I32" s="3" t="inlineStr">
        <is>
          <t>GP0824_01</t>
        </is>
      </c>
      <c r="J32" s="2" t="inlineStr">
        <is>
          <t>P050102</t>
        </is>
      </c>
      <c r="K32" s="2" t="inlineStr">
        <is>
          <t>Grape Pie</t>
        </is>
      </c>
      <c r="L32" s="2" t="inlineStr">
        <is>
          <t>Ident A + Ident B</t>
        </is>
      </c>
      <c r="M32" s="2" t="inlineStr">
        <is>
          <t>iCoA_P01-02 · Appearance &amp; Identification A/B</t>
        </is>
      </c>
      <c r="N32" s="6" t="inlineStr">
        <is>
          <t>—</t>
        </is>
      </c>
      <c r="O32" s="2" t="inlineStr">
        <is>
          <t>ППК25105, (17.04.2025) [CNP]</t>
        </is>
      </c>
      <c r="P32" s="2" t="inlineStr">
        <is>
          <t>(assigned on issue)</t>
        </is>
      </c>
      <c r="Q32" s="6" t="inlineStr">
        <is>
          <t>—</t>
        </is>
      </c>
      <c r="R32" s="2" t="inlineStr">
        <is>
          <t>P050102|AB|I</t>
        </is>
      </c>
      <c r="S32" s="7" t="inlineStr">
        <is>
          <t>registered — preliminary date, QC sets the real date at issue</t>
        </is>
      </c>
    </row>
    <row r="33">
      <c r="A33" s="2">
        <f>IF(C33="yes",COUNT(A$1:A32)+1,"")</f>
        <v/>
      </c>
      <c r="B33" s="3">
        <f>IF(A33="","— at issue —","iCoA-PP_26-"&amp;TEXT(A33,"000"))</f>
        <v/>
      </c>
      <c r="C33" s="4" t="inlineStr">
        <is>
          <t>yes</t>
        </is>
      </c>
      <c r="D33" s="5">
        <f>IF(A33="","",E33)</f>
        <v/>
      </c>
      <c r="E33" s="5">
        <f>IF(AND(C33="yes",ISNUMBER(G33)),MAX(DATE(2026,5,13),G33),"")</f>
        <v/>
      </c>
      <c r="F33" s="5">
        <f>IFERROR(INDEX('Batch Dates'!$F:$F,MATCH(J33,'Batch Dates'!$C:$C,0)),IFERROR(INDEX('Batch Dates'!$F:$F,MATCH(I33,'Batch Dates'!$B:$B,0)),""))</f>
        <v/>
      </c>
      <c r="G33" s="5">
        <f>IFERROR(INDEX('Batch Dates'!$G:$G,MATCH(J33,'Batch Dates'!$C:$C,0)),IFERROR(INDEX('Batch Dates'!$G:$G,MATCH(I33,'Batch Dates'!$B:$B,0)),""))</f>
        <v/>
      </c>
      <c r="H33" s="2" t="inlineStr">
        <is>
          <t>initial release</t>
        </is>
      </c>
      <c r="I33" s="3" t="inlineStr">
        <is>
          <t>GP0824_01</t>
        </is>
      </c>
      <c r="J33" s="2" t="inlineStr">
        <is>
          <t>P050102</t>
        </is>
      </c>
      <c r="K33" s="2" t="inlineStr">
        <is>
          <t>Grape Pie</t>
        </is>
      </c>
      <c r="L33" s="2" t="inlineStr">
        <is>
          <t>Foreign matter</t>
        </is>
      </c>
      <c r="M33" s="2" t="inlineStr">
        <is>
          <t>iCoA_P07 · Foreign matter</t>
        </is>
      </c>
      <c r="N33" s="6" t="inlineStr">
        <is>
          <t>—</t>
        </is>
      </c>
      <c r="O33" s="2" t="inlineStr">
        <is>
          <t>ППК25105, (17.04.2025) [CNP]</t>
        </is>
      </c>
      <c r="P33" s="2" t="inlineStr">
        <is>
          <t>(assigned on issue)</t>
        </is>
      </c>
      <c r="Q33" s="6" t="inlineStr">
        <is>
          <t>—</t>
        </is>
      </c>
      <c r="R33" s="2" t="inlineStr">
        <is>
          <t>P050102|FM|I</t>
        </is>
      </c>
      <c r="S33" s="7" t="inlineStr">
        <is>
          <t>registered — preliminary date, QC sets the real date at issue</t>
        </is>
      </c>
    </row>
    <row r="34">
      <c r="A34" s="2">
        <f>IF(C34="yes",COUNT(A$1:A33)+1,"")</f>
        <v/>
      </c>
      <c r="B34" s="3">
        <f>IF(A34="","— at issue —","iCoA-PP_26-"&amp;TEXT(A34,"000"))</f>
        <v/>
      </c>
      <c r="C34" s="4" t="inlineStr">
        <is>
          <t>yes</t>
        </is>
      </c>
      <c r="D34" s="5">
        <f>IF(A34="","",E34)</f>
        <v/>
      </c>
      <c r="E34" s="5">
        <f>IF(AND(C34="yes",ISNUMBER(G34)),MAX(DATE(2026,5,13),G34),"")</f>
        <v/>
      </c>
      <c r="F34" s="5">
        <f>IFERROR(INDEX('Batch Dates'!$F:$F,MATCH(J34,'Batch Dates'!$C:$C,0)),IFERROR(INDEX('Batch Dates'!$F:$F,MATCH(I34,'Batch Dates'!$B:$B,0)),""))</f>
        <v/>
      </c>
      <c r="G34" s="5">
        <f>IFERROR(INDEX('Batch Dates'!$G:$G,MATCH(J34,'Batch Dates'!$C:$C,0)),IFERROR(INDEX('Batch Dates'!$G:$G,MATCH(I34,'Batch Dates'!$B:$B,0)),""))</f>
        <v/>
      </c>
      <c r="H34" s="2" t="inlineStr">
        <is>
          <t>initial release</t>
        </is>
      </c>
      <c r="I34" s="3" t="inlineStr">
        <is>
          <t>MB0824_05</t>
        </is>
      </c>
      <c r="J34" s="2" t="inlineStr">
        <is>
          <t>P050112</t>
        </is>
      </c>
      <c r="K34" s="2" t="inlineStr">
        <is>
          <t>Motor Breath</t>
        </is>
      </c>
      <c r="L34" s="2" t="inlineStr">
        <is>
          <t>Ident A + Ident B</t>
        </is>
      </c>
      <c r="M34" s="2" t="inlineStr">
        <is>
          <t>iCoA_P01-02 · Appearance &amp; Identification A/B</t>
        </is>
      </c>
      <c r="N34" s="6" t="inlineStr">
        <is>
          <t>—</t>
        </is>
      </c>
      <c r="O34" s="2" t="inlineStr">
        <is>
          <t>ППК25211, (28.07.2025) [CNP]</t>
        </is>
      </c>
      <c r="P34" s="2" t="inlineStr">
        <is>
          <t>CoQ-PP-2025-0013</t>
        </is>
      </c>
      <c r="Q34" s="2" t="inlineStr">
        <is>
          <t>iCoA-PP-2025-0013</t>
        </is>
      </c>
      <c r="R34" s="2" t="inlineStr">
        <is>
          <t>P050112|AB|I</t>
        </is>
      </c>
      <c r="S34" s="7" t="inlineStr">
        <is>
          <t>registered — preliminary date, QC sets the real date at issue</t>
        </is>
      </c>
    </row>
    <row r="35">
      <c r="A35" s="2">
        <f>IF(C35="yes",COUNT(A$1:A34)+1,"")</f>
        <v/>
      </c>
      <c r="B35" s="3">
        <f>IF(A35="","— at issue —","iCoA-PP_26-"&amp;TEXT(A35,"000"))</f>
        <v/>
      </c>
      <c r="C35" s="4" t="inlineStr">
        <is>
          <t>yes</t>
        </is>
      </c>
      <c r="D35" s="5">
        <f>IF(A35="","",E35)</f>
        <v/>
      </c>
      <c r="E35" s="5">
        <f>IF(AND(C35="yes",ISNUMBER(G35)),MAX(DATE(2026,5,13),G35),"")</f>
        <v/>
      </c>
      <c r="F35" s="5">
        <f>IFERROR(INDEX('Batch Dates'!$F:$F,MATCH(J35,'Batch Dates'!$C:$C,0)),IFERROR(INDEX('Batch Dates'!$F:$F,MATCH(I35,'Batch Dates'!$B:$B,0)),""))</f>
        <v/>
      </c>
      <c r="G35" s="5">
        <f>IFERROR(INDEX('Batch Dates'!$G:$G,MATCH(J35,'Batch Dates'!$C:$C,0)),IFERROR(INDEX('Batch Dates'!$G:$G,MATCH(I35,'Batch Dates'!$B:$B,0)),""))</f>
        <v/>
      </c>
      <c r="H35" s="2" t="inlineStr">
        <is>
          <t>initial release</t>
        </is>
      </c>
      <c r="I35" s="3" t="inlineStr">
        <is>
          <t>MB0824_05</t>
        </is>
      </c>
      <c r="J35" s="2" t="inlineStr">
        <is>
          <t>P050112</t>
        </is>
      </c>
      <c r="K35" s="2" t="inlineStr">
        <is>
          <t>Motor Breath</t>
        </is>
      </c>
      <c r="L35" s="2" t="inlineStr">
        <is>
          <t>Foreign matter</t>
        </is>
      </c>
      <c r="M35" s="2" t="inlineStr">
        <is>
          <t>iCoA_P07 · Foreign matter</t>
        </is>
      </c>
      <c r="N35" s="6" t="inlineStr">
        <is>
          <t>—</t>
        </is>
      </c>
      <c r="O35" s="2" t="inlineStr">
        <is>
          <t>ППК25211, (28.07.2025) [CNP]</t>
        </is>
      </c>
      <c r="P35" s="2" t="inlineStr">
        <is>
          <t>CoQ-PP-2025-0013</t>
        </is>
      </c>
      <c r="Q35" s="2" t="inlineStr">
        <is>
          <t>iCoA-PP-2025-0013</t>
        </is>
      </c>
      <c r="R35" s="2" t="inlineStr">
        <is>
          <t>P050112|FM|I</t>
        </is>
      </c>
      <c r="S35" s="7" t="inlineStr">
        <is>
          <t>registered — preliminary date, QC sets the real date at issue</t>
        </is>
      </c>
    </row>
    <row r="36">
      <c r="A36" s="2">
        <f>IF(C36="yes",COUNT(A$1:A35)+1,"")</f>
        <v/>
      </c>
      <c r="B36" s="3">
        <f>IF(A36="","— at issue —","iCoA-PP_26-"&amp;TEXT(A36,"000"))</f>
        <v/>
      </c>
      <c r="C36" s="4" t="inlineStr">
        <is>
          <t>yes</t>
        </is>
      </c>
      <c r="D36" s="5">
        <f>IF(A36="","",E36)</f>
        <v/>
      </c>
      <c r="E36" s="5">
        <f>IF(AND(C36="yes",ISNUMBER(G36)),MAX(DATE(2026,5,13),G36),"")</f>
        <v/>
      </c>
      <c r="F36" s="5">
        <f>IFERROR(INDEX('Batch Dates'!$F:$F,MATCH(J36,'Batch Dates'!$C:$C,0)),IFERROR(INDEX('Batch Dates'!$F:$F,MATCH(I36,'Batch Dates'!$B:$B,0)),""))</f>
        <v/>
      </c>
      <c r="G36" s="5">
        <f>IFERROR(INDEX('Batch Dates'!$G:$G,MATCH(J36,'Batch Dates'!$C:$C,0)),IFERROR(INDEX('Batch Dates'!$G:$G,MATCH(I36,'Batch Dates'!$B:$B,0)),""))</f>
        <v/>
      </c>
      <c r="H36" s="2" t="inlineStr">
        <is>
          <t>initial release</t>
        </is>
      </c>
      <c r="I36" s="3" t="inlineStr">
        <is>
          <t>BSS1024_01/1</t>
        </is>
      </c>
      <c r="J36" s="2" t="inlineStr">
        <is>
          <t>P050122</t>
        </is>
      </c>
      <c r="K36" s="2" t="inlineStr">
        <is>
          <t>Blue Sunset Sherbet</t>
        </is>
      </c>
      <c r="L36" s="2" t="inlineStr">
        <is>
          <t>Ident A + Ident B</t>
        </is>
      </c>
      <c r="M36" s="2" t="inlineStr">
        <is>
          <t>iCoA_P01-02 · Appearance &amp; Identification A/B</t>
        </is>
      </c>
      <c r="N36" s="6" t="inlineStr">
        <is>
          <t>—</t>
        </is>
      </c>
      <c r="O36" s="2" t="inlineStr">
        <is>
          <t>ППК25176, (10.07.2025) [CNP]</t>
        </is>
      </c>
      <c r="P36" s="2" t="inlineStr">
        <is>
          <t>— not in the issuance plan —</t>
        </is>
      </c>
      <c r="Q36" s="6" t="inlineStr">
        <is>
          <t>—</t>
        </is>
      </c>
      <c r="R36" s="2" t="inlineStr">
        <is>
          <t>P050122|AB|I</t>
        </is>
      </c>
      <c r="S36" s="7" t="inlineStr">
        <is>
          <t>registered — preliminary date, QC sets the real date at issue</t>
        </is>
      </c>
    </row>
    <row r="37">
      <c r="A37" s="2">
        <f>IF(C37="yes",COUNT(A$1:A36)+1,"")</f>
        <v/>
      </c>
      <c r="B37" s="3">
        <f>IF(A37="","— at issue —","iCoA-PP_26-"&amp;TEXT(A37,"000"))</f>
        <v/>
      </c>
      <c r="C37" s="4" t="inlineStr">
        <is>
          <t>yes</t>
        </is>
      </c>
      <c r="D37" s="5">
        <f>IF(A37="","",E37)</f>
        <v/>
      </c>
      <c r="E37" s="5">
        <f>IF(AND(C37="yes",ISNUMBER(G37)),MAX(DATE(2026,5,13),G37),"")</f>
        <v/>
      </c>
      <c r="F37" s="5">
        <f>IFERROR(INDEX('Batch Dates'!$F:$F,MATCH(J37,'Batch Dates'!$C:$C,0)),IFERROR(INDEX('Batch Dates'!$F:$F,MATCH(I37,'Batch Dates'!$B:$B,0)),""))</f>
        <v/>
      </c>
      <c r="G37" s="5">
        <f>IFERROR(INDEX('Batch Dates'!$G:$G,MATCH(J37,'Batch Dates'!$C:$C,0)),IFERROR(INDEX('Batch Dates'!$G:$G,MATCH(I37,'Batch Dates'!$B:$B,0)),""))</f>
        <v/>
      </c>
      <c r="H37" s="2" t="inlineStr">
        <is>
          <t>initial release</t>
        </is>
      </c>
      <c r="I37" s="3" t="inlineStr">
        <is>
          <t>BSS1024_01/1</t>
        </is>
      </c>
      <c r="J37" s="2" t="inlineStr">
        <is>
          <t>P050122</t>
        </is>
      </c>
      <c r="K37" s="2" t="inlineStr">
        <is>
          <t>Blue Sunset Sherbet</t>
        </is>
      </c>
      <c r="L37" s="2" t="inlineStr">
        <is>
          <t>Foreign matter</t>
        </is>
      </c>
      <c r="M37" s="2" t="inlineStr">
        <is>
          <t>iCoA_P07 · Foreign matter</t>
        </is>
      </c>
      <c r="N37" s="6" t="inlineStr">
        <is>
          <t>—</t>
        </is>
      </c>
      <c r="O37" s="2" t="inlineStr">
        <is>
          <t>ППК25176, (10.07.2025) [CNP]</t>
        </is>
      </c>
      <c r="P37" s="2" t="inlineStr">
        <is>
          <t>— not in the issuance plan —</t>
        </is>
      </c>
      <c r="Q37" s="6" t="inlineStr">
        <is>
          <t>—</t>
        </is>
      </c>
      <c r="R37" s="2" t="inlineStr">
        <is>
          <t>P050122|FM|I</t>
        </is>
      </c>
      <c r="S37" s="7" t="inlineStr">
        <is>
          <t>registered — preliminary date, QC sets the real date at issue</t>
        </is>
      </c>
    </row>
    <row r="38">
      <c r="A38" s="2">
        <f>IF(C38="yes",COUNT(A$1:A37)+1,"")</f>
        <v/>
      </c>
      <c r="B38" s="3">
        <f>IF(A38="","— at issue —","iCoA-PP_26-"&amp;TEXT(A38,"000"))</f>
        <v/>
      </c>
      <c r="C38" s="4" t="inlineStr">
        <is>
          <t>yes</t>
        </is>
      </c>
      <c r="D38" s="5">
        <f>IF(A38="","",E38)</f>
        <v/>
      </c>
      <c r="E38" s="5">
        <f>IF(AND(C38="yes",ISNUMBER(G38)),MAX(DATE(2026,5,13),G38),"")</f>
        <v/>
      </c>
      <c r="F38" s="5">
        <f>IFERROR(INDEX('Batch Dates'!$F:$F,MATCH(J38,'Batch Dates'!$C:$C,0)),IFERROR(INDEX('Batch Dates'!$F:$F,MATCH(I38,'Batch Dates'!$B:$B,0)),""))</f>
        <v/>
      </c>
      <c r="G38" s="5">
        <f>IFERROR(INDEX('Batch Dates'!$G:$G,MATCH(J38,'Batch Dates'!$C:$C,0)),IFERROR(INDEX('Batch Dates'!$G:$G,MATCH(I38,'Batch Dates'!$B:$B,0)),""))</f>
        <v/>
      </c>
      <c r="H38" s="2" t="inlineStr">
        <is>
          <t>initial release</t>
        </is>
      </c>
      <c r="I38" s="3" t="inlineStr">
        <is>
          <t>OPM052501</t>
        </is>
      </c>
      <c r="J38" s="2" t="inlineStr">
        <is>
          <t>P050132</t>
        </is>
      </c>
      <c r="K38" s="2" t="inlineStr">
        <is>
          <t>Orange Punch Mimosa</t>
        </is>
      </c>
      <c r="L38" s="2" t="inlineStr">
        <is>
          <t>Ident A + Ident B</t>
        </is>
      </c>
      <c r="M38" s="2" t="inlineStr">
        <is>
          <t>iCoA_P01-02 · Appearance &amp; Identification A/B</t>
        </is>
      </c>
      <c r="N38" s="6" t="inlineStr">
        <is>
          <t>—</t>
        </is>
      </c>
      <c r="O38" s="2" t="inlineStr">
        <is>
          <t>ППК25257, (05.09.2025) [CNP]</t>
        </is>
      </c>
      <c r="P38" s="2" t="inlineStr">
        <is>
          <t>(assigned on issue)</t>
        </is>
      </c>
      <c r="Q38" s="6" t="inlineStr">
        <is>
          <t>—</t>
        </is>
      </c>
      <c r="R38" s="2" t="inlineStr">
        <is>
          <t>P050132|AB|I</t>
        </is>
      </c>
      <c r="S38" s="7" t="inlineStr">
        <is>
          <t>registered — preliminary date, QC sets the real date at issue</t>
        </is>
      </c>
    </row>
    <row r="39">
      <c r="A39" s="2">
        <f>IF(C39="yes",COUNT(A$1:A38)+1,"")</f>
        <v/>
      </c>
      <c r="B39" s="3">
        <f>IF(A39="","— at issue —","iCoA-PP_26-"&amp;TEXT(A39,"000"))</f>
        <v/>
      </c>
      <c r="C39" s="4" t="inlineStr">
        <is>
          <t>yes</t>
        </is>
      </c>
      <c r="D39" s="5">
        <f>IF(A39="","",E39)</f>
        <v/>
      </c>
      <c r="E39" s="5">
        <f>IF(AND(C39="yes",ISNUMBER(G39)),MAX(DATE(2026,5,13),G39),"")</f>
        <v/>
      </c>
      <c r="F39" s="5">
        <f>IFERROR(INDEX('Batch Dates'!$F:$F,MATCH(J39,'Batch Dates'!$C:$C,0)),IFERROR(INDEX('Batch Dates'!$F:$F,MATCH(I39,'Batch Dates'!$B:$B,0)),""))</f>
        <v/>
      </c>
      <c r="G39" s="5">
        <f>IFERROR(INDEX('Batch Dates'!$G:$G,MATCH(J39,'Batch Dates'!$C:$C,0)),IFERROR(INDEX('Batch Dates'!$G:$G,MATCH(I39,'Batch Dates'!$B:$B,0)),""))</f>
        <v/>
      </c>
      <c r="H39" s="2" t="inlineStr">
        <is>
          <t>initial release</t>
        </is>
      </c>
      <c r="I39" s="3" t="inlineStr">
        <is>
          <t>OPM052501</t>
        </is>
      </c>
      <c r="J39" s="2" t="inlineStr">
        <is>
          <t>P050132</t>
        </is>
      </c>
      <c r="K39" s="2" t="inlineStr">
        <is>
          <t>Orange Punch Mimosa</t>
        </is>
      </c>
      <c r="L39" s="2" t="inlineStr">
        <is>
          <t>Foreign matter</t>
        </is>
      </c>
      <c r="M39" s="2" t="inlineStr">
        <is>
          <t>iCoA_P07 · Foreign matter</t>
        </is>
      </c>
      <c r="N39" s="6" t="inlineStr">
        <is>
          <t>—</t>
        </is>
      </c>
      <c r="O39" s="2" t="inlineStr">
        <is>
          <t>ППК25257, (05.09.2025) [CNP]</t>
        </is>
      </c>
      <c r="P39" s="2" t="inlineStr">
        <is>
          <t>(assigned on issue)</t>
        </is>
      </c>
      <c r="Q39" s="6" t="inlineStr">
        <is>
          <t>—</t>
        </is>
      </c>
      <c r="R39" s="2" t="inlineStr">
        <is>
          <t>P050132|FM|I</t>
        </is>
      </c>
      <c r="S39" s="7" t="inlineStr">
        <is>
          <t>registered — preliminary date, QC sets the real date at issue</t>
        </is>
      </c>
    </row>
    <row r="40">
      <c r="A40" s="2">
        <f>IF(C40="yes",COUNT(A$1:A39)+1,"")</f>
        <v/>
      </c>
      <c r="B40" s="3">
        <f>IF(A40="","— at issue —","iCoA-PP_26-"&amp;TEXT(A40,"000"))</f>
        <v/>
      </c>
      <c r="C40" s="4" t="inlineStr">
        <is>
          <t>yes</t>
        </is>
      </c>
      <c r="D40" s="5">
        <f>IF(A40="","",E40)</f>
        <v/>
      </c>
      <c r="E40" s="5">
        <f>IF(AND(C40="yes",ISNUMBER(G40)),MAX(DATE(2026,5,13),G40),"")</f>
        <v/>
      </c>
      <c r="F40" s="5">
        <f>IFERROR(INDEX('Batch Dates'!$F:$F,MATCH(J40,'Batch Dates'!$C:$C,0)),IFERROR(INDEX('Batch Dates'!$F:$F,MATCH(I40,'Batch Dates'!$B:$B,0)),""))</f>
        <v/>
      </c>
      <c r="G40" s="5">
        <f>IFERROR(INDEX('Batch Dates'!$G:$G,MATCH(J40,'Batch Dates'!$C:$C,0)),IFERROR(INDEX('Batch Dates'!$G:$G,MATCH(I40,'Batch Dates'!$B:$B,0)),""))</f>
        <v/>
      </c>
      <c r="H40" s="2" t="inlineStr">
        <is>
          <t>initial release</t>
        </is>
      </c>
      <c r="I40" s="3" t="inlineStr">
        <is>
          <t>GP052501</t>
        </is>
      </c>
      <c r="J40" s="2" t="inlineStr">
        <is>
          <t>P050152</t>
        </is>
      </c>
      <c r="K40" s="2" t="inlineStr">
        <is>
          <t>Grape Pie</t>
        </is>
      </c>
      <c r="L40" s="2" t="inlineStr">
        <is>
          <t>Ident A + Ident B</t>
        </is>
      </c>
      <c r="M40" s="2" t="inlineStr">
        <is>
          <t>iCoA_P01-02 · Appearance &amp; Identification A/B</t>
        </is>
      </c>
      <c r="N40" s="6" t="inlineStr">
        <is>
          <t>—</t>
        </is>
      </c>
      <c r="O40" s="2" t="inlineStr">
        <is>
          <t>ППК25279, (19.09.2025) [CNP]</t>
        </is>
      </c>
      <c r="P40" s="2" t="inlineStr">
        <is>
          <t>CoQ-PP-2025-0014</t>
        </is>
      </c>
      <c r="Q40" s="2" t="inlineStr">
        <is>
          <t>iCoA-PP-2025-0014</t>
        </is>
      </c>
      <c r="R40" s="2" t="inlineStr">
        <is>
          <t>P050152|AB|I</t>
        </is>
      </c>
      <c r="S40" s="7" t="inlineStr">
        <is>
          <t>registered — preliminary date, QC sets the real date at issue</t>
        </is>
      </c>
    </row>
    <row r="41">
      <c r="A41" s="2">
        <f>IF(C41="yes",COUNT(A$1:A40)+1,"")</f>
        <v/>
      </c>
      <c r="B41" s="3">
        <f>IF(A41="","— at issue —","iCoA-PP_26-"&amp;TEXT(A41,"000"))</f>
        <v/>
      </c>
      <c r="C41" s="4" t="inlineStr">
        <is>
          <t>yes</t>
        </is>
      </c>
      <c r="D41" s="5">
        <f>IF(A41="","",E41)</f>
        <v/>
      </c>
      <c r="E41" s="5">
        <f>IF(AND(C41="yes",ISNUMBER(G41)),MAX(DATE(2026,5,13),G41),"")</f>
        <v/>
      </c>
      <c r="F41" s="5">
        <f>IFERROR(INDEX('Batch Dates'!$F:$F,MATCH(J41,'Batch Dates'!$C:$C,0)),IFERROR(INDEX('Batch Dates'!$F:$F,MATCH(I41,'Batch Dates'!$B:$B,0)),""))</f>
        <v/>
      </c>
      <c r="G41" s="5">
        <f>IFERROR(INDEX('Batch Dates'!$G:$G,MATCH(J41,'Batch Dates'!$C:$C,0)),IFERROR(INDEX('Batch Dates'!$G:$G,MATCH(I41,'Batch Dates'!$B:$B,0)),""))</f>
        <v/>
      </c>
      <c r="H41" s="2" t="inlineStr">
        <is>
          <t>initial release</t>
        </is>
      </c>
      <c r="I41" s="3" t="inlineStr">
        <is>
          <t>GP052501</t>
        </is>
      </c>
      <c r="J41" s="2" t="inlineStr">
        <is>
          <t>P050152</t>
        </is>
      </c>
      <c r="K41" s="2" t="inlineStr">
        <is>
          <t>Grape Pie</t>
        </is>
      </c>
      <c r="L41" s="2" t="inlineStr">
        <is>
          <t>Foreign matter</t>
        </is>
      </c>
      <c r="M41" s="2" t="inlineStr">
        <is>
          <t>iCoA_P07 · Foreign matter</t>
        </is>
      </c>
      <c r="N41" s="6" t="inlineStr">
        <is>
          <t>—</t>
        </is>
      </c>
      <c r="O41" s="2" t="inlineStr">
        <is>
          <t>ППК25279, (19.09.2025) [CNP]</t>
        </is>
      </c>
      <c r="P41" s="2" t="inlineStr">
        <is>
          <t>CoQ-PP-2025-0014</t>
        </is>
      </c>
      <c r="Q41" s="2" t="inlineStr">
        <is>
          <t>iCoA-PP-2025-0014</t>
        </is>
      </c>
      <c r="R41" s="2" t="inlineStr">
        <is>
          <t>P050152|FM|I</t>
        </is>
      </c>
      <c r="S41" s="7" t="inlineStr">
        <is>
          <t>registered — preliminary date, QC sets the real date at issue</t>
        </is>
      </c>
    </row>
    <row r="42">
      <c r="A42" s="2">
        <f>IF(C42="yes",COUNT(A$1:A41)+1,"")</f>
        <v/>
      </c>
      <c r="B42" s="3">
        <f>IF(A42="","— at issue —","iCoA-PP_26-"&amp;TEXT(A42,"000"))</f>
        <v/>
      </c>
      <c r="C42" s="4" t="inlineStr">
        <is>
          <t>yes</t>
        </is>
      </c>
      <c r="D42" s="5">
        <f>IF(A42="","",E42)</f>
        <v/>
      </c>
      <c r="E42" s="5">
        <f>IF(AND(C42="yes",ISNUMBER(G42)),MAX(DATE(2026,5,13),G42),"")</f>
        <v/>
      </c>
      <c r="F42" s="5">
        <f>IFERROR(INDEX('Batch Dates'!$F:$F,MATCH(J42,'Batch Dates'!$C:$C,0)),IFERROR(INDEX('Batch Dates'!$F:$F,MATCH(I42,'Batch Dates'!$B:$B,0)),""))</f>
        <v/>
      </c>
      <c r="G42" s="5">
        <f>IFERROR(INDEX('Batch Dates'!$G:$G,MATCH(J42,'Batch Dates'!$C:$C,0)),IFERROR(INDEX('Batch Dates'!$G:$G,MATCH(I42,'Batch Dates'!$B:$B,0)),""))</f>
        <v/>
      </c>
      <c r="H42" s="2" t="inlineStr">
        <is>
          <t>initial release</t>
        </is>
      </c>
      <c r="I42" s="3" t="inlineStr">
        <is>
          <t>BSS1024_01/2 (from the list)</t>
        </is>
      </c>
      <c r="J42" s="2" t="inlineStr">
        <is>
          <t>P050142</t>
        </is>
      </c>
      <c r="K42" s="2" t="inlineStr">
        <is>
          <t>Blue Sunset Sherbet</t>
        </is>
      </c>
      <c r="L42" s="2" t="inlineStr">
        <is>
          <t>Ident A + Ident B</t>
        </is>
      </c>
      <c r="M42" s="2" t="inlineStr">
        <is>
          <t>iCoA_P01-02 · Appearance &amp; Identification A/B</t>
        </is>
      </c>
      <c r="N42" s="6" t="inlineStr">
        <is>
          <t>—</t>
        </is>
      </c>
      <c r="O42" s="6" t="inlineStr">
        <is>
          <t>— no cannabinoid certificate —</t>
        </is>
      </c>
      <c r="P42" s="2" t="inlineStr">
        <is>
          <t>— not in the issuance plan —</t>
        </is>
      </c>
      <c r="Q42" s="6" t="inlineStr">
        <is>
          <t>—</t>
        </is>
      </c>
      <c r="R42" s="2" t="inlineStr">
        <is>
          <t>P050142|AB|I</t>
        </is>
      </c>
      <c r="S42" s="7" t="inlineStr">
        <is>
          <t>registered — preliminary date, QC sets the real date at issue</t>
        </is>
      </c>
    </row>
    <row r="43">
      <c r="A43" s="2">
        <f>IF(C43="yes",COUNT(A$1:A42)+1,"")</f>
        <v/>
      </c>
      <c r="B43" s="3">
        <f>IF(A43="","— at issue —","iCoA-PP_26-"&amp;TEXT(A43,"000"))</f>
        <v/>
      </c>
      <c r="C43" s="4" t="inlineStr">
        <is>
          <t>yes</t>
        </is>
      </c>
      <c r="D43" s="5">
        <f>IF(A43="","",E43)</f>
        <v/>
      </c>
      <c r="E43" s="5">
        <f>IF(AND(C43="yes",ISNUMBER(G43)),MAX(DATE(2026,5,13),G43),"")</f>
        <v/>
      </c>
      <c r="F43" s="5">
        <f>IFERROR(INDEX('Batch Dates'!$F:$F,MATCH(J43,'Batch Dates'!$C:$C,0)),IFERROR(INDEX('Batch Dates'!$F:$F,MATCH(I43,'Batch Dates'!$B:$B,0)),""))</f>
        <v/>
      </c>
      <c r="G43" s="5">
        <f>IFERROR(INDEX('Batch Dates'!$G:$G,MATCH(J43,'Batch Dates'!$C:$C,0)),IFERROR(INDEX('Batch Dates'!$G:$G,MATCH(I43,'Batch Dates'!$B:$B,0)),""))</f>
        <v/>
      </c>
      <c r="H43" s="2" t="inlineStr">
        <is>
          <t>initial release</t>
        </is>
      </c>
      <c r="I43" s="3" t="inlineStr">
        <is>
          <t>BSS1024_01/2 (from the list)</t>
        </is>
      </c>
      <c r="J43" s="2" t="inlineStr">
        <is>
          <t>P050142</t>
        </is>
      </c>
      <c r="K43" s="2" t="inlineStr">
        <is>
          <t>Blue Sunset Sherbet</t>
        </is>
      </c>
      <c r="L43" s="2" t="inlineStr">
        <is>
          <t>Foreign matter</t>
        </is>
      </c>
      <c r="M43" s="2" t="inlineStr">
        <is>
          <t>iCoA_P07 · Foreign matter</t>
        </is>
      </c>
      <c r="N43" s="6" t="inlineStr">
        <is>
          <t>—</t>
        </is>
      </c>
      <c r="O43" s="6" t="inlineStr">
        <is>
          <t>— no cannabinoid certificate —</t>
        </is>
      </c>
      <c r="P43" s="2" t="inlineStr">
        <is>
          <t>— not in the issuance plan —</t>
        </is>
      </c>
      <c r="Q43" s="6" t="inlineStr">
        <is>
          <t>—</t>
        </is>
      </c>
      <c r="R43" s="2" t="inlineStr">
        <is>
          <t>P050142|FM|I</t>
        </is>
      </c>
      <c r="S43" s="7" t="inlineStr">
        <is>
          <t>registered — preliminary date, QC sets the real date at issue</t>
        </is>
      </c>
    </row>
    <row r="44">
      <c r="A44" s="2">
        <f>IF(C44="yes",COUNT(A$1:A43)+1,"")</f>
        <v/>
      </c>
      <c r="B44" s="3">
        <f>IF(A44="","— at issue —","iCoA-PP_26-"&amp;TEXT(A44,"000"))</f>
        <v/>
      </c>
      <c r="C44" s="4" t="inlineStr">
        <is>
          <t>yes</t>
        </is>
      </c>
      <c r="D44" s="5">
        <f>IF(A44="","",E44)</f>
        <v/>
      </c>
      <c r="E44" s="5">
        <f>IF(AND(C44="yes",ISNUMBER(G44)),MAX(DATE(2026,5,13),G44),"")</f>
        <v/>
      </c>
      <c r="F44" s="5">
        <f>IFERROR(INDEX('Batch Dates'!$F:$F,MATCH(J44,'Batch Dates'!$C:$C,0)),IFERROR(INDEX('Batch Dates'!$F:$F,MATCH(I44,'Batch Dates'!$B:$B,0)),""))</f>
        <v/>
      </c>
      <c r="G44" s="5">
        <f>IFERROR(INDEX('Batch Dates'!$G:$G,MATCH(J44,'Batch Dates'!$C:$C,0)),IFERROR(INDEX('Batch Dates'!$G:$G,MATCH(I44,'Batch Dates'!$B:$B,0)),""))</f>
        <v/>
      </c>
      <c r="H44" s="2" t="inlineStr">
        <is>
          <t>initial release</t>
        </is>
      </c>
      <c r="I44" s="3" t="inlineStr">
        <is>
          <t>CJ052501/01</t>
        </is>
      </c>
      <c r="J44" s="2" t="inlineStr">
        <is>
          <t>P050162</t>
        </is>
      </c>
      <c r="K44" s="2" t="inlineStr">
        <is>
          <t>Cup Junky</t>
        </is>
      </c>
      <c r="L44" s="2" t="inlineStr">
        <is>
          <t>Ident A + Ident B</t>
        </is>
      </c>
      <c r="M44" s="2" t="inlineStr">
        <is>
          <t>iCoA_P01-02 · Appearance &amp; Identification A/B</t>
        </is>
      </c>
      <c r="N44" s="6" t="inlineStr">
        <is>
          <t>—</t>
        </is>
      </c>
      <c r="O44" s="2" t="inlineStr">
        <is>
          <t>ППК25280, (17.09.2025) [CNP]</t>
        </is>
      </c>
      <c r="P44" s="2" t="inlineStr">
        <is>
          <t>CoQ-PP-2025-0015</t>
        </is>
      </c>
      <c r="Q44" s="2" t="inlineStr">
        <is>
          <t>iCoA-PP-2025-0015</t>
        </is>
      </c>
      <c r="R44" s="2" t="inlineStr">
        <is>
          <t>P050162|AB|I</t>
        </is>
      </c>
      <c r="S44" s="7" t="inlineStr">
        <is>
          <t>registered — preliminary date, QC sets the real date at issue</t>
        </is>
      </c>
    </row>
    <row r="45">
      <c r="A45" s="2">
        <f>IF(C45="yes",COUNT(A$1:A44)+1,"")</f>
        <v/>
      </c>
      <c r="B45" s="3">
        <f>IF(A45="","— at issue —","iCoA-PP_26-"&amp;TEXT(A45,"000"))</f>
        <v/>
      </c>
      <c r="C45" s="4" t="inlineStr">
        <is>
          <t>yes</t>
        </is>
      </c>
      <c r="D45" s="5">
        <f>IF(A45="","",E45)</f>
        <v/>
      </c>
      <c r="E45" s="5">
        <f>IF(AND(C45="yes",ISNUMBER(G45)),MAX(DATE(2026,5,13),G45),"")</f>
        <v/>
      </c>
      <c r="F45" s="5">
        <f>IFERROR(INDEX('Batch Dates'!$F:$F,MATCH(J45,'Batch Dates'!$C:$C,0)),IFERROR(INDEX('Batch Dates'!$F:$F,MATCH(I45,'Batch Dates'!$B:$B,0)),""))</f>
        <v/>
      </c>
      <c r="G45" s="5">
        <f>IFERROR(INDEX('Batch Dates'!$G:$G,MATCH(J45,'Batch Dates'!$C:$C,0)),IFERROR(INDEX('Batch Dates'!$G:$G,MATCH(I45,'Batch Dates'!$B:$B,0)),""))</f>
        <v/>
      </c>
      <c r="H45" s="2" t="inlineStr">
        <is>
          <t>initial release</t>
        </is>
      </c>
      <c r="I45" s="3" t="inlineStr">
        <is>
          <t>CJ052501/01</t>
        </is>
      </c>
      <c r="J45" s="2" t="inlineStr">
        <is>
          <t>P050162</t>
        </is>
      </c>
      <c r="K45" s="2" t="inlineStr">
        <is>
          <t>Cup Junky</t>
        </is>
      </c>
      <c r="L45" s="2" t="inlineStr">
        <is>
          <t>Foreign matter</t>
        </is>
      </c>
      <c r="M45" s="2" t="inlineStr">
        <is>
          <t>iCoA_P07 · Foreign matter</t>
        </is>
      </c>
      <c r="N45" s="6" t="inlineStr">
        <is>
          <t>—</t>
        </is>
      </c>
      <c r="O45" s="2" t="inlineStr">
        <is>
          <t>ППК25280, (17.09.2025) [CNP]</t>
        </is>
      </c>
      <c r="P45" s="2" t="inlineStr">
        <is>
          <t>CoQ-PP-2025-0015</t>
        </is>
      </c>
      <c r="Q45" s="2" t="inlineStr">
        <is>
          <t>iCoA-PP-2025-0015</t>
        </is>
      </c>
      <c r="R45" s="2" t="inlineStr">
        <is>
          <t>P050162|FM|I</t>
        </is>
      </c>
      <c r="S45" s="7" t="inlineStr">
        <is>
          <t>registered — preliminary date, QC sets the real date at issue</t>
        </is>
      </c>
    </row>
    <row r="46">
      <c r="A46" s="2">
        <f>IF(C46="yes",COUNT(A$1:A45)+1,"")</f>
        <v/>
      </c>
      <c r="B46" s="3">
        <f>IF(A46="","— at issue —","iCoA-PP_26-"&amp;TEXT(A46,"000"))</f>
        <v/>
      </c>
      <c r="C46" s="4" t="inlineStr">
        <is>
          <t>yes</t>
        </is>
      </c>
      <c r="D46" s="5">
        <f>IF(A46="","",E46)</f>
        <v/>
      </c>
      <c r="E46" s="5">
        <f>IF(AND(C46="yes",ISNUMBER(G46)),MAX(DATE(2026,5,13),G46),"")</f>
        <v/>
      </c>
      <c r="F46" s="5">
        <f>IFERROR(INDEX('Batch Dates'!$F:$F,MATCH(J46,'Batch Dates'!$C:$C,0)),IFERROR(INDEX('Batch Dates'!$F:$F,MATCH(I46,'Batch Dates'!$B:$B,0)),""))</f>
        <v/>
      </c>
      <c r="G46" s="5">
        <f>IFERROR(INDEX('Batch Dates'!$G:$G,MATCH(J46,'Batch Dates'!$C:$C,0)),IFERROR(INDEX('Batch Dates'!$G:$G,MATCH(I46,'Batch Dates'!$B:$B,0)),""))</f>
        <v/>
      </c>
      <c r="H46" s="2" t="inlineStr">
        <is>
          <t>initial release</t>
        </is>
      </c>
      <c r="I46" s="3" t="inlineStr">
        <is>
          <t>CJ052501/02</t>
        </is>
      </c>
      <c r="J46" s="2" t="inlineStr">
        <is>
          <t>P050172</t>
        </is>
      </c>
      <c r="K46" s="2" t="inlineStr">
        <is>
          <t>Cap Junky</t>
        </is>
      </c>
      <c r="L46" s="2" t="inlineStr">
        <is>
          <t>Ident A + Ident B</t>
        </is>
      </c>
      <c r="M46" s="2" t="inlineStr">
        <is>
          <t>iCoA_P01-02 · Appearance &amp; Identification A/B</t>
        </is>
      </c>
      <c r="N46" s="6" t="inlineStr">
        <is>
          <t>—</t>
        </is>
      </c>
      <c r="O46" s="2" t="inlineStr">
        <is>
          <t>ППК25281, (17.09.2025) [CNP]</t>
        </is>
      </c>
      <c r="P46" s="2" t="inlineStr">
        <is>
          <t>(assigned on issue)</t>
        </is>
      </c>
      <c r="Q46" s="6" t="inlineStr">
        <is>
          <t>—</t>
        </is>
      </c>
      <c r="R46" s="2" t="inlineStr">
        <is>
          <t>P050172|AB|I</t>
        </is>
      </c>
      <c r="S46" s="7" t="inlineStr">
        <is>
          <t>registered — preliminary date, QC sets the real date at issue</t>
        </is>
      </c>
    </row>
    <row r="47">
      <c r="A47" s="2">
        <f>IF(C47="yes",COUNT(A$1:A46)+1,"")</f>
        <v/>
      </c>
      <c r="B47" s="3">
        <f>IF(A47="","— at issue —","iCoA-PP_26-"&amp;TEXT(A47,"000"))</f>
        <v/>
      </c>
      <c r="C47" s="4" t="inlineStr">
        <is>
          <t>yes</t>
        </is>
      </c>
      <c r="D47" s="5">
        <f>IF(A47="","",E47)</f>
        <v/>
      </c>
      <c r="E47" s="5">
        <f>IF(AND(C47="yes",ISNUMBER(G47)),MAX(DATE(2026,5,13),G47),"")</f>
        <v/>
      </c>
      <c r="F47" s="5">
        <f>IFERROR(INDEX('Batch Dates'!$F:$F,MATCH(J47,'Batch Dates'!$C:$C,0)),IFERROR(INDEX('Batch Dates'!$F:$F,MATCH(I47,'Batch Dates'!$B:$B,0)),""))</f>
        <v/>
      </c>
      <c r="G47" s="5">
        <f>IFERROR(INDEX('Batch Dates'!$G:$G,MATCH(J47,'Batch Dates'!$C:$C,0)),IFERROR(INDEX('Batch Dates'!$G:$G,MATCH(I47,'Batch Dates'!$B:$B,0)),""))</f>
        <v/>
      </c>
      <c r="H47" s="2" t="inlineStr">
        <is>
          <t>initial release</t>
        </is>
      </c>
      <c r="I47" s="3" t="inlineStr">
        <is>
          <t>CJ052501/02</t>
        </is>
      </c>
      <c r="J47" s="2" t="inlineStr">
        <is>
          <t>P050172</t>
        </is>
      </c>
      <c r="K47" s="2" t="inlineStr">
        <is>
          <t>Cap Junky</t>
        </is>
      </c>
      <c r="L47" s="2" t="inlineStr">
        <is>
          <t>Foreign matter</t>
        </is>
      </c>
      <c r="M47" s="2" t="inlineStr">
        <is>
          <t>iCoA_P07 · Foreign matter</t>
        </is>
      </c>
      <c r="N47" s="6" t="inlineStr">
        <is>
          <t>—</t>
        </is>
      </c>
      <c r="O47" s="2" t="inlineStr">
        <is>
          <t>ППК25281, (17.09.2025) [CNP]</t>
        </is>
      </c>
      <c r="P47" s="2" t="inlineStr">
        <is>
          <t>(assigned on issue)</t>
        </is>
      </c>
      <c r="Q47" s="6" t="inlineStr">
        <is>
          <t>—</t>
        </is>
      </c>
      <c r="R47" s="2" t="inlineStr">
        <is>
          <t>P050172|FM|I</t>
        </is>
      </c>
      <c r="S47" s="7" t="inlineStr">
        <is>
          <t>registered — preliminary date, QC sets the real date at issue</t>
        </is>
      </c>
    </row>
    <row r="48">
      <c r="A48" s="2">
        <f>IF(C48="yes",COUNT(A$1:A47)+1,"")</f>
        <v/>
      </c>
      <c r="B48" s="3">
        <f>IF(A48="","— at issue —","iCoA-PP_26-"&amp;TEXT(A48,"000"))</f>
        <v/>
      </c>
      <c r="C48" s="4" t="inlineStr">
        <is>
          <t>yes</t>
        </is>
      </c>
      <c r="D48" s="5">
        <f>IF(A48="","",E48)</f>
        <v/>
      </c>
      <c r="E48" s="5">
        <f>IF(AND(C48="yes",ISNUMBER(G48)),MAX(DATE(2026,5,13),G48),"")</f>
        <v/>
      </c>
      <c r="F48" s="5">
        <f>IFERROR(INDEX('Batch Dates'!$F:$F,MATCH(J48,'Batch Dates'!$C:$C,0)),IFERROR(INDEX('Batch Dates'!$F:$F,MATCH(I48,'Batch Dates'!$B:$B,0)),""))</f>
        <v/>
      </c>
      <c r="G48" s="5">
        <f>IFERROR(INDEX('Batch Dates'!$G:$G,MATCH(J48,'Batch Dates'!$C:$C,0)),IFERROR(INDEX('Batch Dates'!$G:$G,MATCH(I48,'Batch Dates'!$B:$B,0)),""))</f>
        <v/>
      </c>
      <c r="H48" s="2" t="inlineStr">
        <is>
          <t>initial release</t>
        </is>
      </c>
      <c r="I48" s="3" t="inlineStr">
        <is>
          <t>HPA052501</t>
        </is>
      </c>
      <c r="J48" s="2" t="inlineStr">
        <is>
          <t>P050182</t>
        </is>
      </c>
      <c r="K48" s="2" t="inlineStr">
        <is>
          <t>High Pro Amnesia</t>
        </is>
      </c>
      <c r="L48" s="2" t="inlineStr">
        <is>
          <t>Ident A + Ident B</t>
        </is>
      </c>
      <c r="M48" s="2" t="inlineStr">
        <is>
          <t>iCoA_P01-02 · Appearance &amp; Identification A/B</t>
        </is>
      </c>
      <c r="N48" s="6" t="inlineStr">
        <is>
          <t>—</t>
        </is>
      </c>
      <c r="O48" s="2" t="inlineStr">
        <is>
          <t>ППК25278, (19.09.2025) [CNP]</t>
        </is>
      </c>
      <c r="P48" s="2" t="inlineStr">
        <is>
          <t>CoQ-PP-2025-0016</t>
        </is>
      </c>
      <c r="Q48" s="2" t="inlineStr">
        <is>
          <t>iCoA-PP-2025-0016</t>
        </is>
      </c>
      <c r="R48" s="2" t="inlineStr">
        <is>
          <t>P050182|AB|I</t>
        </is>
      </c>
      <c r="S48" s="7" t="inlineStr">
        <is>
          <t>registered — preliminary date, QC sets the real date at issue</t>
        </is>
      </c>
    </row>
    <row r="49">
      <c r="A49" s="2">
        <f>IF(C49="yes",COUNT(A$1:A48)+1,"")</f>
        <v/>
      </c>
      <c r="B49" s="3">
        <f>IF(A49="","— at issue —","iCoA-PP_26-"&amp;TEXT(A49,"000"))</f>
        <v/>
      </c>
      <c r="C49" s="4" t="inlineStr">
        <is>
          <t>yes</t>
        </is>
      </c>
      <c r="D49" s="5">
        <f>IF(A49="","",E49)</f>
        <v/>
      </c>
      <c r="E49" s="5">
        <f>IF(AND(C49="yes",ISNUMBER(G49)),MAX(DATE(2026,5,13),G49),"")</f>
        <v/>
      </c>
      <c r="F49" s="5">
        <f>IFERROR(INDEX('Batch Dates'!$F:$F,MATCH(J49,'Batch Dates'!$C:$C,0)),IFERROR(INDEX('Batch Dates'!$F:$F,MATCH(I49,'Batch Dates'!$B:$B,0)),""))</f>
        <v/>
      </c>
      <c r="G49" s="5">
        <f>IFERROR(INDEX('Batch Dates'!$G:$G,MATCH(J49,'Batch Dates'!$C:$C,0)),IFERROR(INDEX('Batch Dates'!$G:$G,MATCH(I49,'Batch Dates'!$B:$B,0)),""))</f>
        <v/>
      </c>
      <c r="H49" s="2" t="inlineStr">
        <is>
          <t>initial release</t>
        </is>
      </c>
      <c r="I49" s="3" t="inlineStr">
        <is>
          <t>HPA052501</t>
        </is>
      </c>
      <c r="J49" s="2" t="inlineStr">
        <is>
          <t>P050182</t>
        </is>
      </c>
      <c r="K49" s="2" t="inlineStr">
        <is>
          <t>High Pro Amnesia</t>
        </is>
      </c>
      <c r="L49" s="2" t="inlineStr">
        <is>
          <t>Foreign matter</t>
        </is>
      </c>
      <c r="M49" s="2" t="inlineStr">
        <is>
          <t>iCoA_P07 · Foreign matter</t>
        </is>
      </c>
      <c r="N49" s="6" t="inlineStr">
        <is>
          <t>—</t>
        </is>
      </c>
      <c r="O49" s="2" t="inlineStr">
        <is>
          <t>ППК25278, (19.09.2025) [CNP]</t>
        </is>
      </c>
      <c r="P49" s="2" t="inlineStr">
        <is>
          <t>CoQ-PP-2025-0016</t>
        </is>
      </c>
      <c r="Q49" s="2" t="inlineStr">
        <is>
          <t>iCoA-PP-2025-0016</t>
        </is>
      </c>
      <c r="R49" s="2" t="inlineStr">
        <is>
          <t>P050182|FM|I</t>
        </is>
      </c>
      <c r="S49" s="7" t="inlineStr">
        <is>
          <t>registered — preliminary date, QC sets the real date at issue</t>
        </is>
      </c>
    </row>
    <row r="50">
      <c r="A50" s="2">
        <f>IF(C50="yes",COUNT(A$1:A49)+1,"")</f>
        <v/>
      </c>
      <c r="B50" s="3">
        <f>IF(A50="","— at issue —","iCoA-PP_26-"&amp;TEXT(A50,"000"))</f>
        <v/>
      </c>
      <c r="C50" s="4" t="inlineStr">
        <is>
          <t>yes</t>
        </is>
      </c>
      <c r="D50" s="5">
        <f>IF(A50="","",E50)</f>
        <v/>
      </c>
      <c r="E50" s="5">
        <f>IF(AND(C50="yes",ISNUMBER(G50)),MAX(DATE(2026,5,13),G50),"")</f>
        <v/>
      </c>
      <c r="F50" s="5">
        <f>IFERROR(INDEX('Batch Dates'!$F:$F,MATCH(J50,'Batch Dates'!$C:$C,0)),IFERROR(INDEX('Batch Dates'!$F:$F,MATCH(I50,'Batch Dates'!$B:$B,0)),""))</f>
        <v/>
      </c>
      <c r="G50" s="5">
        <f>IFERROR(INDEX('Batch Dates'!$G:$G,MATCH(J50,'Batch Dates'!$C:$C,0)),IFERROR(INDEX('Batch Dates'!$G:$G,MATCH(I50,'Batch Dates'!$B:$B,0)),""))</f>
        <v/>
      </c>
      <c r="H50" s="2" t="inlineStr">
        <is>
          <t>initial release</t>
        </is>
      </c>
      <c r="I50" s="3" t="inlineStr">
        <is>
          <t>BSS052501</t>
        </is>
      </c>
      <c r="J50" s="2" t="inlineStr">
        <is>
          <t>P050192</t>
        </is>
      </c>
      <c r="K50" s="2" t="inlineStr">
        <is>
          <t>Sleepy Joe</t>
        </is>
      </c>
      <c r="L50" s="2" t="inlineStr">
        <is>
          <t>Ident A + Ident B</t>
        </is>
      </c>
      <c r="M50" s="2" t="inlineStr">
        <is>
          <t>iCoA_P01-02 · Appearance &amp; Identification A/B</t>
        </is>
      </c>
      <c r="N50" s="6" t="inlineStr">
        <is>
          <t>—</t>
        </is>
      </c>
      <c r="O50" s="2" t="inlineStr">
        <is>
          <t>NGP-QCG-SOP-024 F3, (28.11.2025) [NGP]</t>
        </is>
      </c>
      <c r="P50" s="2" t="inlineStr">
        <is>
          <t>CoQ-PP-2025-0017</t>
        </is>
      </c>
      <c r="Q50" s="2" t="inlineStr">
        <is>
          <t>iCoA-PP-2025-0017</t>
        </is>
      </c>
      <c r="R50" s="2" t="inlineStr">
        <is>
          <t>P050192|AB|I</t>
        </is>
      </c>
      <c r="S50" s="7" t="inlineStr">
        <is>
          <t>registered — preliminary date, QC sets the real date at issue</t>
        </is>
      </c>
    </row>
    <row r="51">
      <c r="A51" s="2">
        <f>IF(C51="yes",COUNT(A$1:A50)+1,"")</f>
        <v/>
      </c>
      <c r="B51" s="3">
        <f>IF(A51="","— at issue —","iCoA-PP_26-"&amp;TEXT(A51,"000"))</f>
        <v/>
      </c>
      <c r="C51" s="4" t="inlineStr">
        <is>
          <t>yes</t>
        </is>
      </c>
      <c r="D51" s="5">
        <f>IF(A51="","",E51)</f>
        <v/>
      </c>
      <c r="E51" s="5">
        <f>IF(AND(C51="yes",ISNUMBER(G51)),MAX(DATE(2026,5,13),G51),"")</f>
        <v/>
      </c>
      <c r="F51" s="5">
        <f>IFERROR(INDEX('Batch Dates'!$F:$F,MATCH(J51,'Batch Dates'!$C:$C,0)),IFERROR(INDEX('Batch Dates'!$F:$F,MATCH(I51,'Batch Dates'!$B:$B,0)),""))</f>
        <v/>
      </c>
      <c r="G51" s="5">
        <f>IFERROR(INDEX('Batch Dates'!$G:$G,MATCH(J51,'Batch Dates'!$C:$C,0)),IFERROR(INDEX('Batch Dates'!$G:$G,MATCH(I51,'Batch Dates'!$B:$B,0)),""))</f>
        <v/>
      </c>
      <c r="H51" s="2" t="inlineStr">
        <is>
          <t>initial release</t>
        </is>
      </c>
      <c r="I51" s="3" t="inlineStr">
        <is>
          <t>BSS052501</t>
        </is>
      </c>
      <c r="J51" s="2" t="inlineStr">
        <is>
          <t>P050192</t>
        </is>
      </c>
      <c r="K51" s="2" t="inlineStr">
        <is>
          <t>Sleepy Joe</t>
        </is>
      </c>
      <c r="L51" s="2" t="inlineStr">
        <is>
          <t>Foreign matter</t>
        </is>
      </c>
      <c r="M51" s="2" t="inlineStr">
        <is>
          <t>iCoA_P07 · Foreign matter</t>
        </is>
      </c>
      <c r="N51" s="6" t="inlineStr">
        <is>
          <t>—</t>
        </is>
      </c>
      <c r="O51" s="2" t="inlineStr">
        <is>
          <t>NGP-QCG-SOP-024 F3, (28.11.2025) [NGP]</t>
        </is>
      </c>
      <c r="P51" s="2" t="inlineStr">
        <is>
          <t>CoQ-PP-2025-0017</t>
        </is>
      </c>
      <c r="Q51" s="2" t="inlineStr">
        <is>
          <t>iCoA-PP-2025-0017</t>
        </is>
      </c>
      <c r="R51" s="2" t="inlineStr">
        <is>
          <t>P050192|FM|I</t>
        </is>
      </c>
      <c r="S51" s="7" t="inlineStr">
        <is>
          <t>registered — preliminary date, QC sets the real date at issue</t>
        </is>
      </c>
    </row>
    <row r="52">
      <c r="A52" s="2">
        <f>IF(C52="yes",COUNT(A$1:A51)+1,"")</f>
        <v/>
      </c>
      <c r="B52" s="3">
        <f>IF(A52="","— at issue —","iCoA-PP_26-"&amp;TEXT(A52,"000"))</f>
        <v/>
      </c>
      <c r="C52" s="4" t="inlineStr">
        <is>
          <t>yes</t>
        </is>
      </c>
      <c r="D52" s="5">
        <f>IF(A52="","",E52)</f>
        <v/>
      </c>
      <c r="E52" s="5">
        <f>IF(AND(C52="yes",ISNUMBER(G52)),MAX(DATE(2026,5,13),G52),"")</f>
        <v/>
      </c>
      <c r="F52" s="5">
        <f>IFERROR(INDEX('Batch Dates'!$F:$F,MATCH(J52,'Batch Dates'!$C:$C,0)),IFERROR(INDEX('Batch Dates'!$F:$F,MATCH(I52,'Batch Dates'!$B:$B,0)),""))</f>
        <v/>
      </c>
      <c r="G52" s="5">
        <f>IFERROR(INDEX('Batch Dates'!$G:$G,MATCH(J52,'Batch Dates'!$C:$C,0)),IFERROR(INDEX('Batch Dates'!$G:$G,MATCH(I52,'Batch Dates'!$B:$B,0)),""))</f>
        <v/>
      </c>
      <c r="H52" s="2" t="inlineStr">
        <is>
          <t>initial release</t>
        </is>
      </c>
      <c r="I52" s="3" t="inlineStr">
        <is>
          <t>GP062501</t>
        </is>
      </c>
      <c r="J52" s="2" t="inlineStr">
        <is>
          <t>P050202</t>
        </is>
      </c>
      <c r="K52" s="2" t="inlineStr">
        <is>
          <t>Grape Pie</t>
        </is>
      </c>
      <c r="L52" s="2" t="inlineStr">
        <is>
          <t>Ident A + Ident B</t>
        </is>
      </c>
      <c r="M52" s="2" t="inlineStr">
        <is>
          <t>iCoA_P01-02 · Appearance &amp; Identification A/B</t>
        </is>
      </c>
      <c r="N52" s="6" t="inlineStr">
        <is>
          <t>—</t>
        </is>
      </c>
      <c r="O52" s="2" t="inlineStr">
        <is>
          <t>NGP-QCG-SOP-024 F3, (28.11.2025) [NGP]</t>
        </is>
      </c>
      <c r="P52" s="2" t="inlineStr">
        <is>
          <t>(assigned on issue)</t>
        </is>
      </c>
      <c r="Q52" s="6" t="inlineStr">
        <is>
          <t>—</t>
        </is>
      </c>
      <c r="R52" s="2" t="inlineStr">
        <is>
          <t>P050202|AB|I</t>
        </is>
      </c>
      <c r="S52" s="7" t="inlineStr">
        <is>
          <t>registered — preliminary date, QC sets the real date at issue</t>
        </is>
      </c>
    </row>
    <row r="53">
      <c r="A53" s="2">
        <f>IF(C53="yes",COUNT(A$1:A52)+1,"")</f>
        <v/>
      </c>
      <c r="B53" s="3">
        <f>IF(A53="","— at issue —","iCoA-PP_26-"&amp;TEXT(A53,"000"))</f>
        <v/>
      </c>
      <c r="C53" s="4" t="inlineStr">
        <is>
          <t>yes</t>
        </is>
      </c>
      <c r="D53" s="5">
        <f>IF(A53="","",E53)</f>
        <v/>
      </c>
      <c r="E53" s="5">
        <f>IF(AND(C53="yes",ISNUMBER(G53)),MAX(DATE(2026,5,13),G53),"")</f>
        <v/>
      </c>
      <c r="F53" s="5">
        <f>IFERROR(INDEX('Batch Dates'!$F:$F,MATCH(J53,'Batch Dates'!$C:$C,0)),IFERROR(INDEX('Batch Dates'!$F:$F,MATCH(I53,'Batch Dates'!$B:$B,0)),""))</f>
        <v/>
      </c>
      <c r="G53" s="5">
        <f>IFERROR(INDEX('Batch Dates'!$G:$G,MATCH(J53,'Batch Dates'!$C:$C,0)),IFERROR(INDEX('Batch Dates'!$G:$G,MATCH(I53,'Batch Dates'!$B:$B,0)),""))</f>
        <v/>
      </c>
      <c r="H53" s="2" t="inlineStr">
        <is>
          <t>initial release</t>
        </is>
      </c>
      <c r="I53" s="3" t="inlineStr">
        <is>
          <t>GP062501</t>
        </is>
      </c>
      <c r="J53" s="2" t="inlineStr">
        <is>
          <t>P050202</t>
        </is>
      </c>
      <c r="K53" s="2" t="inlineStr">
        <is>
          <t>Grape Pie</t>
        </is>
      </c>
      <c r="L53" s="2" t="inlineStr">
        <is>
          <t>Foreign matter</t>
        </is>
      </c>
      <c r="M53" s="2" t="inlineStr">
        <is>
          <t>iCoA_P07 · Foreign matter</t>
        </is>
      </c>
      <c r="N53" s="6" t="inlineStr">
        <is>
          <t>—</t>
        </is>
      </c>
      <c r="O53" s="2" t="inlineStr">
        <is>
          <t>NGP-QCG-SOP-024 F3, (28.11.2025) [NGP]</t>
        </is>
      </c>
      <c r="P53" s="2" t="inlineStr">
        <is>
          <t>(assigned on issue)</t>
        </is>
      </c>
      <c r="Q53" s="6" t="inlineStr">
        <is>
          <t>—</t>
        </is>
      </c>
      <c r="R53" s="2" t="inlineStr">
        <is>
          <t>P050202|FM|I</t>
        </is>
      </c>
      <c r="S53" s="7" t="inlineStr">
        <is>
          <t>registered — preliminary date, QC sets the real date at issue</t>
        </is>
      </c>
    </row>
    <row r="54">
      <c r="A54" s="2">
        <f>IF(C54="yes",COUNT(A$1:A53)+1,"")</f>
        <v/>
      </c>
      <c r="B54" s="3">
        <f>IF(A54="","— at issue —","iCoA-PP_26-"&amp;TEXT(A54,"000"))</f>
        <v/>
      </c>
      <c r="C54" s="4" t="inlineStr">
        <is>
          <t>yes</t>
        </is>
      </c>
      <c r="D54" s="5">
        <f>IF(A54="","",E54)</f>
        <v/>
      </c>
      <c r="E54" s="5">
        <f>IF(AND(C54="yes",ISNUMBER(G54)),MAX(DATE(2026,5,13),G54),"")</f>
        <v/>
      </c>
      <c r="F54" s="5">
        <f>IFERROR(INDEX('Batch Dates'!$F:$F,MATCH(J54,'Batch Dates'!$C:$C,0)),IFERROR(INDEX('Batch Dates'!$F:$F,MATCH(I54,'Batch Dates'!$B:$B,0)),""))</f>
        <v/>
      </c>
      <c r="G54" s="5">
        <f>IFERROR(INDEX('Batch Dates'!$G:$G,MATCH(J54,'Batch Dates'!$C:$C,0)),IFERROR(INDEX('Batch Dates'!$G:$G,MATCH(I54,'Batch Dates'!$B:$B,0)),""))</f>
        <v/>
      </c>
      <c r="H54" s="2" t="inlineStr">
        <is>
          <t>initial release</t>
        </is>
      </c>
      <c r="I54" s="3" t="inlineStr">
        <is>
          <t>CJ062501/2</t>
        </is>
      </c>
      <c r="J54" s="2" t="inlineStr">
        <is>
          <t>P050212</t>
        </is>
      </c>
      <c r="K54" s="2" t="inlineStr">
        <is>
          <t>Cap Junkie</t>
        </is>
      </c>
      <c r="L54" s="2" t="inlineStr">
        <is>
          <t>Ident A + Ident B</t>
        </is>
      </c>
      <c r="M54" s="2" t="inlineStr">
        <is>
          <t>iCoA_P01-02 · Appearance &amp; Identification A/B</t>
        </is>
      </c>
      <c r="N54" s="6" t="inlineStr">
        <is>
          <t>—</t>
        </is>
      </c>
      <c r="O54" s="2" t="inlineStr">
        <is>
          <t>ППК25322, (23.10.2025) [CNP]</t>
        </is>
      </c>
      <c r="P54" s="2" t="inlineStr">
        <is>
          <t>(assigned on issue)</t>
        </is>
      </c>
      <c r="Q54" s="6" t="inlineStr">
        <is>
          <t>—</t>
        </is>
      </c>
      <c r="R54" s="2" t="inlineStr">
        <is>
          <t>P050212|AB|I</t>
        </is>
      </c>
      <c r="S54" s="7" t="inlineStr">
        <is>
          <t>registered — preliminary date, QC sets the real date at issue</t>
        </is>
      </c>
    </row>
    <row r="55">
      <c r="A55" s="2">
        <f>IF(C55="yes",COUNT(A$1:A54)+1,"")</f>
        <v/>
      </c>
      <c r="B55" s="3">
        <f>IF(A55="","— at issue —","iCoA-PP_26-"&amp;TEXT(A55,"000"))</f>
        <v/>
      </c>
      <c r="C55" s="4" t="inlineStr">
        <is>
          <t>yes</t>
        </is>
      </c>
      <c r="D55" s="5">
        <f>IF(A55="","",E55)</f>
        <v/>
      </c>
      <c r="E55" s="5">
        <f>IF(AND(C55="yes",ISNUMBER(G55)),MAX(DATE(2026,5,13),G55),"")</f>
        <v/>
      </c>
      <c r="F55" s="5">
        <f>IFERROR(INDEX('Batch Dates'!$F:$F,MATCH(J55,'Batch Dates'!$C:$C,0)),IFERROR(INDEX('Batch Dates'!$F:$F,MATCH(I55,'Batch Dates'!$B:$B,0)),""))</f>
        <v/>
      </c>
      <c r="G55" s="5">
        <f>IFERROR(INDEX('Batch Dates'!$G:$G,MATCH(J55,'Batch Dates'!$C:$C,0)),IFERROR(INDEX('Batch Dates'!$G:$G,MATCH(I55,'Batch Dates'!$B:$B,0)),""))</f>
        <v/>
      </c>
      <c r="H55" s="2" t="inlineStr">
        <is>
          <t>initial release</t>
        </is>
      </c>
      <c r="I55" s="3" t="inlineStr">
        <is>
          <t>CJ062501/2</t>
        </is>
      </c>
      <c r="J55" s="2" t="inlineStr">
        <is>
          <t>P050212</t>
        </is>
      </c>
      <c r="K55" s="2" t="inlineStr">
        <is>
          <t>Cap Junkie</t>
        </is>
      </c>
      <c r="L55" s="2" t="inlineStr">
        <is>
          <t>Foreign matter</t>
        </is>
      </c>
      <c r="M55" s="2" t="inlineStr">
        <is>
          <t>iCoA_P07 · Foreign matter</t>
        </is>
      </c>
      <c r="N55" s="6" t="inlineStr">
        <is>
          <t>—</t>
        </is>
      </c>
      <c r="O55" s="2" t="inlineStr">
        <is>
          <t>ППК25322, (23.10.2025) [CNP]</t>
        </is>
      </c>
      <c r="P55" s="2" t="inlineStr">
        <is>
          <t>(assigned on issue)</t>
        </is>
      </c>
      <c r="Q55" s="6" t="inlineStr">
        <is>
          <t>—</t>
        </is>
      </c>
      <c r="R55" s="2" t="inlineStr">
        <is>
          <t>P050212|FM|I</t>
        </is>
      </c>
      <c r="S55" s="7" t="inlineStr">
        <is>
          <t>registered — preliminary date, QC sets the real date at issue</t>
        </is>
      </c>
    </row>
    <row r="56">
      <c r="A56" s="2">
        <f>IF(C56="yes",COUNT(A$1:A55)+1,"")</f>
        <v/>
      </c>
      <c r="B56" s="3">
        <f>IF(A56="","— at issue —","iCoA-PP_26-"&amp;TEXT(A56,"000"))</f>
        <v/>
      </c>
      <c r="C56" s="4" t="inlineStr">
        <is>
          <t>yes</t>
        </is>
      </c>
      <c r="D56" s="5">
        <f>IF(A56="","",E56)</f>
        <v/>
      </c>
      <c r="E56" s="5">
        <f>IF(AND(C56="yes",ISNUMBER(G56)),MAX(DATE(2026,5,13),G56),"")</f>
        <v/>
      </c>
      <c r="F56" s="5">
        <f>IFERROR(INDEX('Batch Dates'!$F:$F,MATCH(J56,'Batch Dates'!$C:$C,0)),IFERROR(INDEX('Batch Dates'!$F:$F,MATCH(I56,'Batch Dates'!$B:$B,0)),""))</f>
        <v/>
      </c>
      <c r="G56" s="5">
        <f>IFERROR(INDEX('Batch Dates'!$G:$G,MATCH(J56,'Batch Dates'!$C:$C,0)),IFERROR(INDEX('Batch Dates'!$G:$G,MATCH(I56,'Batch Dates'!$B:$B,0)),""))</f>
        <v/>
      </c>
      <c r="H56" s="2" t="inlineStr">
        <is>
          <t>initial release</t>
        </is>
      </c>
      <c r="I56" s="3" t="inlineStr">
        <is>
          <t>CJ062501/1</t>
        </is>
      </c>
      <c r="J56" s="2" t="inlineStr">
        <is>
          <t>P050222</t>
        </is>
      </c>
      <c r="K56" s="2" t="inlineStr">
        <is>
          <t>Cap Junkie</t>
        </is>
      </c>
      <c r="L56" s="2" t="inlineStr">
        <is>
          <t>Ident A + Ident B</t>
        </is>
      </c>
      <c r="M56" s="2" t="inlineStr">
        <is>
          <t>iCoA_P01-02 · Appearance &amp; Identification A/B</t>
        </is>
      </c>
      <c r="N56" s="6" t="inlineStr">
        <is>
          <t>—</t>
        </is>
      </c>
      <c r="O56" s="2" t="inlineStr">
        <is>
          <t>ППК25321, (23.10.2025) [CNP]</t>
        </is>
      </c>
      <c r="P56" s="2" t="inlineStr">
        <is>
          <t>CoQ-PP-2025-0018</t>
        </is>
      </c>
      <c r="Q56" s="2" t="inlineStr">
        <is>
          <t>iCoA-PP-2025-0018</t>
        </is>
      </c>
      <c r="R56" s="2" t="inlineStr">
        <is>
          <t>P050222|AB|I</t>
        </is>
      </c>
      <c r="S56" s="7" t="inlineStr">
        <is>
          <t>registered — preliminary date, QC sets the real date at issue</t>
        </is>
      </c>
    </row>
    <row r="57">
      <c r="A57" s="2">
        <f>IF(C57="yes",COUNT(A$1:A56)+1,"")</f>
        <v/>
      </c>
      <c r="B57" s="3">
        <f>IF(A57="","— at issue —","iCoA-PP_26-"&amp;TEXT(A57,"000"))</f>
        <v/>
      </c>
      <c r="C57" s="4" t="inlineStr">
        <is>
          <t>yes</t>
        </is>
      </c>
      <c r="D57" s="5">
        <f>IF(A57="","",E57)</f>
        <v/>
      </c>
      <c r="E57" s="5">
        <f>IF(AND(C57="yes",ISNUMBER(G57)),MAX(DATE(2026,5,13),G57),"")</f>
        <v/>
      </c>
      <c r="F57" s="5">
        <f>IFERROR(INDEX('Batch Dates'!$F:$F,MATCH(J57,'Batch Dates'!$C:$C,0)),IFERROR(INDEX('Batch Dates'!$F:$F,MATCH(I57,'Batch Dates'!$B:$B,0)),""))</f>
        <v/>
      </c>
      <c r="G57" s="5">
        <f>IFERROR(INDEX('Batch Dates'!$G:$G,MATCH(J57,'Batch Dates'!$C:$C,0)),IFERROR(INDEX('Batch Dates'!$G:$G,MATCH(I57,'Batch Dates'!$B:$B,0)),""))</f>
        <v/>
      </c>
      <c r="H57" s="2" t="inlineStr">
        <is>
          <t>initial release</t>
        </is>
      </c>
      <c r="I57" s="3" t="inlineStr">
        <is>
          <t>CJ062501/1</t>
        </is>
      </c>
      <c r="J57" s="2" t="inlineStr">
        <is>
          <t>P050222</t>
        </is>
      </c>
      <c r="K57" s="2" t="inlineStr">
        <is>
          <t>Cap Junkie</t>
        </is>
      </c>
      <c r="L57" s="2" t="inlineStr">
        <is>
          <t>Foreign matter</t>
        </is>
      </c>
      <c r="M57" s="2" t="inlineStr">
        <is>
          <t>iCoA_P07 · Foreign matter</t>
        </is>
      </c>
      <c r="N57" s="6" t="inlineStr">
        <is>
          <t>—</t>
        </is>
      </c>
      <c r="O57" s="2" t="inlineStr">
        <is>
          <t>ППК25321, (23.10.2025) [CNP]</t>
        </is>
      </c>
      <c r="P57" s="2" t="inlineStr">
        <is>
          <t>CoQ-PP-2025-0018</t>
        </is>
      </c>
      <c r="Q57" s="2" t="inlineStr">
        <is>
          <t>iCoA-PP-2025-0018</t>
        </is>
      </c>
      <c r="R57" s="2" t="inlineStr">
        <is>
          <t>P050222|FM|I</t>
        </is>
      </c>
      <c r="S57" s="7" t="inlineStr">
        <is>
          <t>registered — preliminary date, QC sets the real date at issue</t>
        </is>
      </c>
    </row>
    <row r="58">
      <c r="A58" s="2">
        <f>IF(C58="yes",COUNT(A$1:A57)+1,"")</f>
        <v/>
      </c>
      <c r="B58" s="3">
        <f>IF(A58="","— at issue —","iCoA-PP_26-"&amp;TEXT(A58,"000"))</f>
        <v/>
      </c>
      <c r="C58" s="4" t="inlineStr">
        <is>
          <t>yes</t>
        </is>
      </c>
      <c r="D58" s="5">
        <f>IF(A58="","",E58)</f>
        <v/>
      </c>
      <c r="E58" s="5">
        <f>IF(AND(C58="yes",ISNUMBER(G58)),MAX(DATE(2026,5,13),G58),"")</f>
        <v/>
      </c>
      <c r="F58" s="5">
        <f>IFERROR(INDEX('Batch Dates'!$F:$F,MATCH(J58,'Batch Dates'!$C:$C,0)),IFERROR(INDEX('Batch Dates'!$F:$F,MATCH(I58,'Batch Dates'!$B:$B,0)),""))</f>
        <v/>
      </c>
      <c r="G58" s="5">
        <f>IFERROR(INDEX('Batch Dates'!$G:$G,MATCH(J58,'Batch Dates'!$C:$C,0)),IFERROR(INDEX('Batch Dates'!$G:$G,MATCH(I58,'Batch Dates'!$B:$B,0)),""))</f>
        <v/>
      </c>
      <c r="H58" s="2" t="inlineStr">
        <is>
          <t>initial release</t>
        </is>
      </c>
      <c r="I58" s="3" t="inlineStr">
        <is>
          <t>CJ072501</t>
        </is>
      </c>
      <c r="J58" s="2" t="inlineStr">
        <is>
          <t>P050252</t>
        </is>
      </c>
      <c r="K58" s="2" t="inlineStr">
        <is>
          <t>Cap Junky</t>
        </is>
      </c>
      <c r="L58" s="2" t="inlineStr">
        <is>
          <t>Ident A + Ident B</t>
        </is>
      </c>
      <c r="M58" s="2" t="inlineStr">
        <is>
          <t>iCoA_P01-02 · Appearance &amp; Identification A/B</t>
        </is>
      </c>
      <c r="N58" s="6" t="inlineStr">
        <is>
          <t>—</t>
        </is>
      </c>
      <c r="O58" s="2" t="inlineStr">
        <is>
          <t>ППК25367, (28.11.2025) [CNP]</t>
        </is>
      </c>
      <c r="P58" s="2" t="inlineStr">
        <is>
          <t>(assigned on issue)</t>
        </is>
      </c>
      <c r="Q58" s="6" t="inlineStr">
        <is>
          <t>—</t>
        </is>
      </c>
      <c r="R58" s="2" t="inlineStr">
        <is>
          <t>P050252|AB|I</t>
        </is>
      </c>
      <c r="S58" s="7" t="inlineStr">
        <is>
          <t>registered — preliminary date, QC sets the real date at issue</t>
        </is>
      </c>
    </row>
    <row r="59">
      <c r="A59" s="2">
        <f>IF(C59="yes",COUNT(A$1:A58)+1,"")</f>
        <v/>
      </c>
      <c r="B59" s="3">
        <f>IF(A59="","— at issue —","iCoA-PP_26-"&amp;TEXT(A59,"000"))</f>
        <v/>
      </c>
      <c r="C59" s="4" t="inlineStr">
        <is>
          <t>yes</t>
        </is>
      </c>
      <c r="D59" s="5">
        <f>IF(A59="","",E59)</f>
        <v/>
      </c>
      <c r="E59" s="5">
        <f>IF(AND(C59="yes",ISNUMBER(G59)),MAX(DATE(2026,5,13),G59),"")</f>
        <v/>
      </c>
      <c r="F59" s="5">
        <f>IFERROR(INDEX('Batch Dates'!$F:$F,MATCH(J59,'Batch Dates'!$C:$C,0)),IFERROR(INDEX('Batch Dates'!$F:$F,MATCH(I59,'Batch Dates'!$B:$B,0)),""))</f>
        <v/>
      </c>
      <c r="G59" s="5">
        <f>IFERROR(INDEX('Batch Dates'!$G:$G,MATCH(J59,'Batch Dates'!$C:$C,0)),IFERROR(INDEX('Batch Dates'!$G:$G,MATCH(I59,'Batch Dates'!$B:$B,0)),""))</f>
        <v/>
      </c>
      <c r="H59" s="2" t="inlineStr">
        <is>
          <t>initial release</t>
        </is>
      </c>
      <c r="I59" s="3" t="inlineStr">
        <is>
          <t>CJ072501</t>
        </is>
      </c>
      <c r="J59" s="2" t="inlineStr">
        <is>
          <t>P050252</t>
        </is>
      </c>
      <c r="K59" s="2" t="inlineStr">
        <is>
          <t>Cap Junky</t>
        </is>
      </c>
      <c r="L59" s="2" t="inlineStr">
        <is>
          <t>Foreign matter</t>
        </is>
      </c>
      <c r="M59" s="2" t="inlineStr">
        <is>
          <t>iCoA_P07 · Foreign matter</t>
        </is>
      </c>
      <c r="N59" s="6" t="inlineStr">
        <is>
          <t>—</t>
        </is>
      </c>
      <c r="O59" s="2" t="inlineStr">
        <is>
          <t>ППК25367, (28.11.2025) [CNP]</t>
        </is>
      </c>
      <c r="P59" s="2" t="inlineStr">
        <is>
          <t>(assigned on issue)</t>
        </is>
      </c>
      <c r="Q59" s="6" t="inlineStr">
        <is>
          <t>—</t>
        </is>
      </c>
      <c r="R59" s="2" t="inlineStr">
        <is>
          <t>P050252|FM|I</t>
        </is>
      </c>
      <c r="S59" s="7" t="inlineStr">
        <is>
          <t>registered — preliminary date, QC sets the real date at issue</t>
        </is>
      </c>
    </row>
    <row r="60">
      <c r="A60" s="2">
        <f>IF(C60="yes",COUNT(A$1:A59)+1,"")</f>
        <v/>
      </c>
      <c r="B60" s="3">
        <f>IF(A60="","— at issue —","iCoA-PP_26-"&amp;TEXT(A60,"000"))</f>
        <v/>
      </c>
      <c r="C60" s="4" t="inlineStr">
        <is>
          <t>yes</t>
        </is>
      </c>
      <c r="D60" s="5">
        <f>IF(A60="","",E60)</f>
        <v/>
      </c>
      <c r="E60" s="5">
        <f>IF(AND(C60="yes",ISNUMBER(G60)),MAX(DATE(2026,5,13),G60),"")</f>
        <v/>
      </c>
      <c r="F60" s="5">
        <f>IFERROR(INDEX('Batch Dates'!$F:$F,MATCH(J60,'Batch Dates'!$C:$C,0)),IFERROR(INDEX('Batch Dates'!$F:$F,MATCH(I60,'Batch Dates'!$B:$B,0)),""))</f>
        <v/>
      </c>
      <c r="G60" s="5">
        <f>IFERROR(INDEX('Batch Dates'!$G:$G,MATCH(J60,'Batch Dates'!$C:$C,0)),IFERROR(INDEX('Batch Dates'!$G:$G,MATCH(I60,'Batch Dates'!$B:$B,0)),""))</f>
        <v/>
      </c>
      <c r="H60" s="2" t="inlineStr">
        <is>
          <t>initial release</t>
        </is>
      </c>
      <c r="I60" s="3" t="inlineStr">
        <is>
          <t>WC072501</t>
        </is>
      </c>
      <c r="J60" s="2" t="inlineStr">
        <is>
          <t>P050262</t>
        </is>
      </c>
      <c r="K60" s="2" t="inlineStr">
        <is>
          <t>Wedding Crusher</t>
        </is>
      </c>
      <c r="L60" s="2" t="inlineStr">
        <is>
          <t>Ident A + Ident B</t>
        </is>
      </c>
      <c r="M60" s="2" t="inlineStr">
        <is>
          <t>iCoA_P01-02 · Appearance &amp; Identification A/B</t>
        </is>
      </c>
      <c r="N60" s="6" t="inlineStr">
        <is>
          <t>—</t>
        </is>
      </c>
      <c r="O60" s="2" t="inlineStr">
        <is>
          <t>ППК25369, (28.11.2025) [CNP]</t>
        </is>
      </c>
      <c r="P60" s="2" t="inlineStr">
        <is>
          <t>(assigned on issue)</t>
        </is>
      </c>
      <c r="Q60" s="6" t="inlineStr">
        <is>
          <t>—</t>
        </is>
      </c>
      <c r="R60" s="2" t="inlineStr">
        <is>
          <t>P050262|AB|I</t>
        </is>
      </c>
      <c r="S60" s="7" t="inlineStr">
        <is>
          <t>registered — preliminary date, QC sets the real date at issue</t>
        </is>
      </c>
    </row>
    <row r="61">
      <c r="A61" s="2">
        <f>IF(C61="yes",COUNT(A$1:A60)+1,"")</f>
        <v/>
      </c>
      <c r="B61" s="3">
        <f>IF(A61="","— at issue —","iCoA-PP_26-"&amp;TEXT(A61,"000"))</f>
        <v/>
      </c>
      <c r="C61" s="4" t="inlineStr">
        <is>
          <t>yes</t>
        </is>
      </c>
      <c r="D61" s="5">
        <f>IF(A61="","",E61)</f>
        <v/>
      </c>
      <c r="E61" s="5">
        <f>IF(AND(C61="yes",ISNUMBER(G61)),MAX(DATE(2026,5,13),G61),"")</f>
        <v/>
      </c>
      <c r="F61" s="5">
        <f>IFERROR(INDEX('Batch Dates'!$F:$F,MATCH(J61,'Batch Dates'!$C:$C,0)),IFERROR(INDEX('Batch Dates'!$F:$F,MATCH(I61,'Batch Dates'!$B:$B,0)),""))</f>
        <v/>
      </c>
      <c r="G61" s="5">
        <f>IFERROR(INDEX('Batch Dates'!$G:$G,MATCH(J61,'Batch Dates'!$C:$C,0)),IFERROR(INDEX('Batch Dates'!$G:$G,MATCH(I61,'Batch Dates'!$B:$B,0)),""))</f>
        <v/>
      </c>
      <c r="H61" s="2" t="inlineStr">
        <is>
          <t>initial release</t>
        </is>
      </c>
      <c r="I61" s="3" t="inlineStr">
        <is>
          <t>WC072501</t>
        </is>
      </c>
      <c r="J61" s="2" t="inlineStr">
        <is>
          <t>P050262</t>
        </is>
      </c>
      <c r="K61" s="2" t="inlineStr">
        <is>
          <t>Wedding Crusher</t>
        </is>
      </c>
      <c r="L61" s="2" t="inlineStr">
        <is>
          <t>Foreign matter</t>
        </is>
      </c>
      <c r="M61" s="2" t="inlineStr">
        <is>
          <t>iCoA_P07 · Foreign matter</t>
        </is>
      </c>
      <c r="N61" s="6" t="inlineStr">
        <is>
          <t>—</t>
        </is>
      </c>
      <c r="O61" s="2" t="inlineStr">
        <is>
          <t>ППК25369, (28.11.2025) [CNP]</t>
        </is>
      </c>
      <c r="P61" s="2" t="inlineStr">
        <is>
          <t>(assigned on issue)</t>
        </is>
      </c>
      <c r="Q61" s="6" t="inlineStr">
        <is>
          <t>—</t>
        </is>
      </c>
      <c r="R61" s="2" t="inlineStr">
        <is>
          <t>P050262|FM|I</t>
        </is>
      </c>
      <c r="S61" s="7" t="inlineStr">
        <is>
          <t>registered — preliminary date, QC sets the real date at issue</t>
        </is>
      </c>
    </row>
    <row r="62">
      <c r="A62" s="2">
        <f>IF(C62="yes",COUNT(A$1:A61)+1,"")</f>
        <v/>
      </c>
      <c r="B62" s="3">
        <f>IF(A62="","— at issue —","iCoA-PP_26-"&amp;TEXT(A62,"000"))</f>
        <v/>
      </c>
      <c r="C62" s="4" t="inlineStr">
        <is>
          <t>yes</t>
        </is>
      </c>
      <c r="D62" s="5">
        <f>IF(A62="","",E62)</f>
        <v/>
      </c>
      <c r="E62" s="5">
        <f>IF(AND(C62="yes",ISNUMBER(G62)),MAX(DATE(2026,5,13),G62),"")</f>
        <v/>
      </c>
      <c r="F62" s="5">
        <f>IFERROR(INDEX('Batch Dates'!$F:$F,MATCH(J62,'Batch Dates'!$C:$C,0)),IFERROR(INDEX('Batch Dates'!$F:$F,MATCH(I62,'Batch Dates'!$B:$B,0)),""))</f>
        <v/>
      </c>
      <c r="G62" s="5">
        <f>IFERROR(INDEX('Batch Dates'!$G:$G,MATCH(J62,'Batch Dates'!$C:$C,0)),IFERROR(INDEX('Batch Dates'!$G:$G,MATCH(I62,'Batch Dates'!$B:$B,0)),""))</f>
        <v/>
      </c>
      <c r="H62" s="2" t="inlineStr">
        <is>
          <t>initial release</t>
        </is>
      </c>
      <c r="I62" s="3" t="inlineStr">
        <is>
          <t>PM072501</t>
        </is>
      </c>
      <c r="J62" s="2" t="inlineStr">
        <is>
          <t>P050272</t>
        </is>
      </c>
      <c r="K62" s="2" t="inlineStr">
        <is>
          <t>Permanent Marker</t>
        </is>
      </c>
      <c r="L62" s="2" t="inlineStr">
        <is>
          <t>Ident A + Ident B</t>
        </is>
      </c>
      <c r="M62" s="2" t="inlineStr">
        <is>
          <t>iCoA_P01-02 · Appearance &amp; Identification A/B</t>
        </is>
      </c>
      <c r="N62" s="6" t="inlineStr">
        <is>
          <t>—</t>
        </is>
      </c>
      <c r="O62" s="2" t="inlineStr">
        <is>
          <t>ППК25368, (28.11.2025) [CNP]</t>
        </is>
      </c>
      <c r="P62" s="2" t="inlineStr">
        <is>
          <t>(assigned on issue)</t>
        </is>
      </c>
      <c r="Q62" s="6" t="inlineStr">
        <is>
          <t>—</t>
        </is>
      </c>
      <c r="R62" s="2" t="inlineStr">
        <is>
          <t>P050272|AB|I</t>
        </is>
      </c>
      <c r="S62" s="7" t="inlineStr">
        <is>
          <t>registered — preliminary date, QC sets the real date at issue</t>
        </is>
      </c>
    </row>
    <row r="63">
      <c r="A63" s="2">
        <f>IF(C63="yes",COUNT(A$1:A62)+1,"")</f>
        <v/>
      </c>
      <c r="B63" s="3">
        <f>IF(A63="","— at issue —","iCoA-PP_26-"&amp;TEXT(A63,"000"))</f>
        <v/>
      </c>
      <c r="C63" s="4" t="inlineStr">
        <is>
          <t>yes</t>
        </is>
      </c>
      <c r="D63" s="5">
        <f>IF(A63="","",E63)</f>
        <v/>
      </c>
      <c r="E63" s="5">
        <f>IF(AND(C63="yes",ISNUMBER(G63)),MAX(DATE(2026,5,13),G63),"")</f>
        <v/>
      </c>
      <c r="F63" s="5">
        <f>IFERROR(INDEX('Batch Dates'!$F:$F,MATCH(J63,'Batch Dates'!$C:$C,0)),IFERROR(INDEX('Batch Dates'!$F:$F,MATCH(I63,'Batch Dates'!$B:$B,0)),""))</f>
        <v/>
      </c>
      <c r="G63" s="5">
        <f>IFERROR(INDEX('Batch Dates'!$G:$G,MATCH(J63,'Batch Dates'!$C:$C,0)),IFERROR(INDEX('Batch Dates'!$G:$G,MATCH(I63,'Batch Dates'!$B:$B,0)),""))</f>
        <v/>
      </c>
      <c r="H63" s="2" t="inlineStr">
        <is>
          <t>initial release</t>
        </is>
      </c>
      <c r="I63" s="3" t="inlineStr">
        <is>
          <t>PM072501</t>
        </is>
      </c>
      <c r="J63" s="2" t="inlineStr">
        <is>
          <t>P050272</t>
        </is>
      </c>
      <c r="K63" s="2" t="inlineStr">
        <is>
          <t>Permanent Marker</t>
        </is>
      </c>
      <c r="L63" s="2" t="inlineStr">
        <is>
          <t>Foreign matter</t>
        </is>
      </c>
      <c r="M63" s="2" t="inlineStr">
        <is>
          <t>iCoA_P07 · Foreign matter</t>
        </is>
      </c>
      <c r="N63" s="6" t="inlineStr">
        <is>
          <t>—</t>
        </is>
      </c>
      <c r="O63" s="2" t="inlineStr">
        <is>
          <t>ППК25368, (28.11.2025) [CNP]</t>
        </is>
      </c>
      <c r="P63" s="2" t="inlineStr">
        <is>
          <t>(assigned on issue)</t>
        </is>
      </c>
      <c r="Q63" s="6" t="inlineStr">
        <is>
          <t>—</t>
        </is>
      </c>
      <c r="R63" s="2" t="inlineStr">
        <is>
          <t>P050272|FM|I</t>
        </is>
      </c>
      <c r="S63" s="7" t="inlineStr">
        <is>
          <t>registered — preliminary date, QC sets the real date at issue</t>
        </is>
      </c>
    </row>
    <row r="64">
      <c r="A64" s="2">
        <f>IF(C64="yes",COUNT(A$1:A63)+1,"")</f>
        <v/>
      </c>
      <c r="B64" s="3">
        <f>IF(A64="","— at issue —","iCoA-PP_26-"&amp;TEXT(A64,"000"))</f>
        <v/>
      </c>
      <c r="C64" s="4" t="inlineStr">
        <is>
          <t>yes</t>
        </is>
      </c>
      <c r="D64" s="5">
        <f>IF(A64="","",E64)</f>
        <v/>
      </c>
      <c r="E64" s="5">
        <f>IF(AND(C64="yes",ISNUMBER(G64)),MAX(DATE(2026,5,13),G64),"")</f>
        <v/>
      </c>
      <c r="F64" s="5">
        <f>IFERROR(INDEX('Batch Dates'!$F:$F,MATCH(J64,'Batch Dates'!$C:$C,0)),IFERROR(INDEX('Batch Dates'!$F:$F,MATCH(I64,'Batch Dates'!$B:$B,0)),""))</f>
        <v/>
      </c>
      <c r="G64" s="5">
        <f>IFERROR(INDEX('Batch Dates'!$G:$G,MATCH(J64,'Batch Dates'!$C:$C,0)),IFERROR(INDEX('Batch Dates'!$G:$G,MATCH(I64,'Batch Dates'!$B:$B,0)),""))</f>
        <v/>
      </c>
      <c r="H64" s="2" t="inlineStr">
        <is>
          <t>initial release</t>
        </is>
      </c>
      <c r="I64" s="3" t="inlineStr">
        <is>
          <t>CLE072501</t>
        </is>
      </c>
      <c r="J64" s="2" t="inlineStr">
        <is>
          <t>P050282</t>
        </is>
      </c>
      <c r="K64" s="2" t="inlineStr">
        <is>
          <t>Clemosa a bud</t>
        </is>
      </c>
      <c r="L64" s="2" t="inlineStr">
        <is>
          <t>Ident A + Ident B</t>
        </is>
      </c>
      <c r="M64" s="2" t="inlineStr">
        <is>
          <t>iCoA_P01-02 · Appearance &amp; Identification A/B</t>
        </is>
      </c>
      <c r="N64" s="6" t="inlineStr">
        <is>
          <t>—</t>
        </is>
      </c>
      <c r="O64" s="2" t="inlineStr">
        <is>
          <t>ППК25370, (28.11.2025) [CNP]</t>
        </is>
      </c>
      <c r="P64" s="2" t="inlineStr">
        <is>
          <t>CoQ-PP-2025-0019</t>
        </is>
      </c>
      <c r="Q64" s="2" t="inlineStr">
        <is>
          <t>iCoA-PP-2025-0019</t>
        </is>
      </c>
      <c r="R64" s="2" t="inlineStr">
        <is>
          <t>P050282|AB|I</t>
        </is>
      </c>
      <c r="S64" s="7" t="inlineStr">
        <is>
          <t>registered — preliminary date, QC sets the real date at issue</t>
        </is>
      </c>
    </row>
    <row r="65">
      <c r="A65" s="2">
        <f>IF(C65="yes",COUNT(A$1:A64)+1,"")</f>
        <v/>
      </c>
      <c r="B65" s="3">
        <f>IF(A65="","— at issue —","iCoA-PP_26-"&amp;TEXT(A65,"000"))</f>
        <v/>
      </c>
      <c r="C65" s="4" t="inlineStr">
        <is>
          <t>yes</t>
        </is>
      </c>
      <c r="D65" s="5">
        <f>IF(A65="","",E65)</f>
        <v/>
      </c>
      <c r="E65" s="5">
        <f>IF(AND(C65="yes",ISNUMBER(G65)),MAX(DATE(2026,5,13),G65),"")</f>
        <v/>
      </c>
      <c r="F65" s="5">
        <f>IFERROR(INDEX('Batch Dates'!$F:$F,MATCH(J65,'Batch Dates'!$C:$C,0)),IFERROR(INDEX('Batch Dates'!$F:$F,MATCH(I65,'Batch Dates'!$B:$B,0)),""))</f>
        <v/>
      </c>
      <c r="G65" s="5">
        <f>IFERROR(INDEX('Batch Dates'!$G:$G,MATCH(J65,'Batch Dates'!$C:$C,0)),IFERROR(INDEX('Batch Dates'!$G:$G,MATCH(I65,'Batch Dates'!$B:$B,0)),""))</f>
        <v/>
      </c>
      <c r="H65" s="2" t="inlineStr">
        <is>
          <t>initial release</t>
        </is>
      </c>
      <c r="I65" s="3" t="inlineStr">
        <is>
          <t>CLE072501</t>
        </is>
      </c>
      <c r="J65" s="2" t="inlineStr">
        <is>
          <t>P050282</t>
        </is>
      </c>
      <c r="K65" s="2" t="inlineStr">
        <is>
          <t>Clemosa a bud</t>
        </is>
      </c>
      <c r="L65" s="2" t="inlineStr">
        <is>
          <t>Foreign matter</t>
        </is>
      </c>
      <c r="M65" s="2" t="inlineStr">
        <is>
          <t>iCoA_P07 · Foreign matter</t>
        </is>
      </c>
      <c r="N65" s="6" t="inlineStr">
        <is>
          <t>—</t>
        </is>
      </c>
      <c r="O65" s="2" t="inlineStr">
        <is>
          <t>ППК25370, (28.11.2025) [CNP]</t>
        </is>
      </c>
      <c r="P65" s="2" t="inlineStr">
        <is>
          <t>CoQ-PP-2025-0019</t>
        </is>
      </c>
      <c r="Q65" s="2" t="inlineStr">
        <is>
          <t>iCoA-PP-2025-0019</t>
        </is>
      </c>
      <c r="R65" s="2" t="inlineStr">
        <is>
          <t>P050282|FM|I</t>
        </is>
      </c>
      <c r="S65" s="7" t="inlineStr">
        <is>
          <t>registered — preliminary date, QC sets the real date at issue</t>
        </is>
      </c>
    </row>
    <row r="66">
      <c r="A66" s="2">
        <f>IF(C66="yes",COUNT(A$1:A65)+1,"")</f>
        <v/>
      </c>
      <c r="B66" s="3">
        <f>IF(A66="","— at issue —","iCoA-PP_26-"&amp;TEXT(A66,"000"))</f>
        <v/>
      </c>
      <c r="C66" s="4" t="inlineStr">
        <is>
          <t>yes</t>
        </is>
      </c>
      <c r="D66" s="5">
        <f>IF(A66="","",E66)</f>
        <v/>
      </c>
      <c r="E66" s="5">
        <f>IF(AND(C66="yes",ISNUMBER(G66)),MAX(DATE(2026,5,13),G66),"")</f>
        <v/>
      </c>
      <c r="F66" s="5">
        <f>IFERROR(INDEX('Batch Dates'!$F:$F,MATCH(J66,'Batch Dates'!$C:$C,0)),IFERROR(INDEX('Batch Dates'!$F:$F,MATCH(I66,'Batch Dates'!$B:$B,0)),""))</f>
        <v/>
      </c>
      <c r="G66" s="5">
        <f>IFERROR(INDEX('Batch Dates'!$G:$G,MATCH(J66,'Batch Dates'!$C:$C,0)),IFERROR(INDEX('Batch Dates'!$G:$G,MATCH(I66,'Batch Dates'!$B:$B,0)),""))</f>
        <v/>
      </c>
      <c r="H66" s="2" t="inlineStr">
        <is>
          <t>initial release</t>
        </is>
      </c>
      <c r="I66" s="3" t="inlineStr">
        <is>
          <t>GP072501/1</t>
        </is>
      </c>
      <c r="J66" s="2" t="inlineStr">
        <is>
          <t>P050292</t>
        </is>
      </c>
      <c r="K66" s="2" t="inlineStr">
        <is>
          <t>Grape Pie</t>
        </is>
      </c>
      <c r="L66" s="2" t="inlineStr">
        <is>
          <t>Ident A + Ident B</t>
        </is>
      </c>
      <c r="M66" s="2" t="inlineStr">
        <is>
          <t>iCoA_P01-02 · Appearance &amp; Identification A/B</t>
        </is>
      </c>
      <c r="N66" s="6" t="inlineStr">
        <is>
          <t>—</t>
        </is>
      </c>
      <c r="O66" s="2" t="inlineStr">
        <is>
          <t>ППК25378, (12.12.2025) [CNP]</t>
        </is>
      </c>
      <c r="P66" s="2" t="inlineStr">
        <is>
          <t>(assigned on issue)</t>
        </is>
      </c>
      <c r="Q66" s="6" t="inlineStr">
        <is>
          <t>—</t>
        </is>
      </c>
      <c r="R66" s="2" t="inlineStr">
        <is>
          <t>P050292|AB|I</t>
        </is>
      </c>
      <c r="S66" s="7" t="inlineStr">
        <is>
          <t>registered — preliminary date, QC sets the real date at issue</t>
        </is>
      </c>
    </row>
    <row r="67">
      <c r="A67" s="2">
        <f>IF(C67="yes",COUNT(A$1:A66)+1,"")</f>
        <v/>
      </c>
      <c r="B67" s="3">
        <f>IF(A67="","— at issue —","iCoA-PP_26-"&amp;TEXT(A67,"000"))</f>
        <v/>
      </c>
      <c r="C67" s="4" t="inlineStr">
        <is>
          <t>yes</t>
        </is>
      </c>
      <c r="D67" s="5">
        <f>IF(A67="","",E67)</f>
        <v/>
      </c>
      <c r="E67" s="5">
        <f>IF(AND(C67="yes",ISNUMBER(G67)),MAX(DATE(2026,5,13),G67),"")</f>
        <v/>
      </c>
      <c r="F67" s="5">
        <f>IFERROR(INDEX('Batch Dates'!$F:$F,MATCH(J67,'Batch Dates'!$C:$C,0)),IFERROR(INDEX('Batch Dates'!$F:$F,MATCH(I67,'Batch Dates'!$B:$B,0)),""))</f>
        <v/>
      </c>
      <c r="G67" s="5">
        <f>IFERROR(INDEX('Batch Dates'!$G:$G,MATCH(J67,'Batch Dates'!$C:$C,0)),IFERROR(INDEX('Batch Dates'!$G:$G,MATCH(I67,'Batch Dates'!$B:$B,0)),""))</f>
        <v/>
      </c>
      <c r="H67" s="2" t="inlineStr">
        <is>
          <t>initial release</t>
        </is>
      </c>
      <c r="I67" s="3" t="inlineStr">
        <is>
          <t>GP072501/1</t>
        </is>
      </c>
      <c r="J67" s="2" t="inlineStr">
        <is>
          <t>P050292</t>
        </is>
      </c>
      <c r="K67" s="2" t="inlineStr">
        <is>
          <t>Grape Pie</t>
        </is>
      </c>
      <c r="L67" s="2" t="inlineStr">
        <is>
          <t>Foreign matter</t>
        </is>
      </c>
      <c r="M67" s="2" t="inlineStr">
        <is>
          <t>iCoA_P07 · Foreign matter</t>
        </is>
      </c>
      <c r="N67" s="6" t="inlineStr">
        <is>
          <t>—</t>
        </is>
      </c>
      <c r="O67" s="2" t="inlineStr">
        <is>
          <t>ППК25378, (12.12.2025) [CNP]</t>
        </is>
      </c>
      <c r="P67" s="2" t="inlineStr">
        <is>
          <t>(assigned on issue)</t>
        </is>
      </c>
      <c r="Q67" s="6" t="inlineStr">
        <is>
          <t>—</t>
        </is>
      </c>
      <c r="R67" s="2" t="inlineStr">
        <is>
          <t>P050292|FM|I</t>
        </is>
      </c>
      <c r="S67" s="7" t="inlineStr">
        <is>
          <t>registered — preliminary date, QC sets the real date at issue</t>
        </is>
      </c>
    </row>
    <row r="68">
      <c r="A68" s="2">
        <f>IF(C68="yes",COUNT(A$1:A67)+1,"")</f>
        <v/>
      </c>
      <c r="B68" s="3">
        <f>IF(A68="","— at issue —","iCoA-PP_26-"&amp;TEXT(A68,"000"))</f>
        <v/>
      </c>
      <c r="C68" s="4" t="inlineStr">
        <is>
          <t>yes</t>
        </is>
      </c>
      <c r="D68" s="5">
        <f>IF(A68="","",E68)</f>
        <v/>
      </c>
      <c r="E68" s="5">
        <f>IF(AND(C68="yes",ISNUMBER(G68)),MAX(DATE(2026,5,13),G68),"")</f>
        <v/>
      </c>
      <c r="F68" s="5">
        <f>IFERROR(INDEX('Batch Dates'!$F:$F,MATCH(J68,'Batch Dates'!$C:$C,0)),IFERROR(INDEX('Batch Dates'!$F:$F,MATCH(I68,'Batch Dates'!$B:$B,0)),""))</f>
        <v/>
      </c>
      <c r="G68" s="5">
        <f>IFERROR(INDEX('Batch Dates'!$G:$G,MATCH(J68,'Batch Dates'!$C:$C,0)),IFERROR(INDEX('Batch Dates'!$G:$G,MATCH(I68,'Batch Dates'!$B:$B,0)),""))</f>
        <v/>
      </c>
      <c r="H68" s="2" t="inlineStr">
        <is>
          <t>initial release</t>
        </is>
      </c>
      <c r="I68" s="3" t="inlineStr">
        <is>
          <t>GP072501/2</t>
        </is>
      </c>
      <c r="J68" s="2" t="inlineStr">
        <is>
          <t>P050302</t>
        </is>
      </c>
      <c r="K68" s="2" t="inlineStr">
        <is>
          <t>Grape Pie</t>
        </is>
      </c>
      <c r="L68" s="2" t="inlineStr">
        <is>
          <t>Ident A + Ident B</t>
        </is>
      </c>
      <c r="M68" s="2" t="inlineStr">
        <is>
          <t>iCoA_P01-02 · Appearance &amp; Identification A/B</t>
        </is>
      </c>
      <c r="N68" s="6" t="inlineStr">
        <is>
          <t>—</t>
        </is>
      </c>
      <c r="O68" s="2" t="inlineStr">
        <is>
          <t>ППК25379, (12.12.2025) [CNP]</t>
        </is>
      </c>
      <c r="P68" s="2" t="inlineStr">
        <is>
          <t>CoQ-PP-2025-0020</t>
        </is>
      </c>
      <c r="Q68" s="2" t="inlineStr">
        <is>
          <t>iCoA-PP-2025-0020</t>
        </is>
      </c>
      <c r="R68" s="2" t="inlineStr">
        <is>
          <t>P050302|AB|I</t>
        </is>
      </c>
      <c r="S68" s="7" t="inlineStr">
        <is>
          <t>registered — preliminary date, QC sets the real date at issue</t>
        </is>
      </c>
    </row>
    <row r="69">
      <c r="A69" s="2">
        <f>IF(C69="yes",COUNT(A$1:A68)+1,"")</f>
        <v/>
      </c>
      <c r="B69" s="3">
        <f>IF(A69="","— at issue —","iCoA-PP_26-"&amp;TEXT(A69,"000"))</f>
        <v/>
      </c>
      <c r="C69" s="4" t="inlineStr">
        <is>
          <t>yes</t>
        </is>
      </c>
      <c r="D69" s="5">
        <f>IF(A69="","",E69)</f>
        <v/>
      </c>
      <c r="E69" s="5">
        <f>IF(AND(C69="yes",ISNUMBER(G69)),MAX(DATE(2026,5,13),G69),"")</f>
        <v/>
      </c>
      <c r="F69" s="5">
        <f>IFERROR(INDEX('Batch Dates'!$F:$F,MATCH(J69,'Batch Dates'!$C:$C,0)),IFERROR(INDEX('Batch Dates'!$F:$F,MATCH(I69,'Batch Dates'!$B:$B,0)),""))</f>
        <v/>
      </c>
      <c r="G69" s="5">
        <f>IFERROR(INDEX('Batch Dates'!$G:$G,MATCH(J69,'Batch Dates'!$C:$C,0)),IFERROR(INDEX('Batch Dates'!$G:$G,MATCH(I69,'Batch Dates'!$B:$B,0)),""))</f>
        <v/>
      </c>
      <c r="H69" s="2" t="inlineStr">
        <is>
          <t>initial release</t>
        </is>
      </c>
      <c r="I69" s="3" t="inlineStr">
        <is>
          <t>GP072501/2</t>
        </is>
      </c>
      <c r="J69" s="2" t="inlineStr">
        <is>
          <t>P050302</t>
        </is>
      </c>
      <c r="K69" s="2" t="inlineStr">
        <is>
          <t>Grape Pie</t>
        </is>
      </c>
      <c r="L69" s="2" t="inlineStr">
        <is>
          <t>Foreign matter</t>
        </is>
      </c>
      <c r="M69" s="2" t="inlineStr">
        <is>
          <t>iCoA_P07 · Foreign matter</t>
        </is>
      </c>
      <c r="N69" s="6" t="inlineStr">
        <is>
          <t>—</t>
        </is>
      </c>
      <c r="O69" s="2" t="inlineStr">
        <is>
          <t>ППК25379, (12.12.2025) [CNP]</t>
        </is>
      </c>
      <c r="P69" s="2" t="inlineStr">
        <is>
          <t>CoQ-PP-2025-0020</t>
        </is>
      </c>
      <c r="Q69" s="2" t="inlineStr">
        <is>
          <t>iCoA-PP-2025-0020</t>
        </is>
      </c>
      <c r="R69" s="2" t="inlineStr">
        <is>
          <t>P050302|FM|I</t>
        </is>
      </c>
      <c r="S69" s="7" t="inlineStr">
        <is>
          <t>registered — preliminary date, QC sets the real date at issue</t>
        </is>
      </c>
    </row>
    <row r="70">
      <c r="A70" s="2">
        <f>IF(C70="yes",COUNT(A$1:A69)+1,"")</f>
        <v/>
      </c>
      <c r="B70" s="3">
        <f>IF(A70="","— at issue —","iCoA-PP_26-"&amp;TEXT(A70,"000"))</f>
        <v/>
      </c>
      <c r="C70" s="4" t="inlineStr">
        <is>
          <t>yes</t>
        </is>
      </c>
      <c r="D70" s="5">
        <f>IF(A70="","",E70)</f>
        <v/>
      </c>
      <c r="E70" s="5">
        <f>IF(AND(C70="yes",ISNUMBER(G70)),MAX(DATE(2026,5,13),G70),"")</f>
        <v/>
      </c>
      <c r="F70" s="5">
        <f>IFERROR(INDEX('Batch Dates'!$F:$F,MATCH(J70,'Batch Dates'!$C:$C,0)),IFERROR(INDEX('Batch Dates'!$F:$F,MATCH(I70,'Batch Dates'!$B:$B,0)),""))</f>
        <v/>
      </c>
      <c r="G70" s="5">
        <f>IFERROR(INDEX('Batch Dates'!$G:$G,MATCH(J70,'Batch Dates'!$C:$C,0)),IFERROR(INDEX('Batch Dates'!$G:$G,MATCH(I70,'Batch Dates'!$B:$B,0)),""))</f>
        <v/>
      </c>
      <c r="H70" s="2" t="inlineStr">
        <is>
          <t>initial release</t>
        </is>
      </c>
      <c r="I70" s="3" t="inlineStr">
        <is>
          <t>GP082501/1</t>
        </is>
      </c>
      <c r="J70" s="2" t="inlineStr">
        <is>
          <t>P050312</t>
        </is>
      </c>
      <c r="K70" s="2" t="inlineStr">
        <is>
          <t>Grape Pie</t>
        </is>
      </c>
      <c r="L70" s="2" t="inlineStr">
        <is>
          <t>Ident A + Ident B</t>
        </is>
      </c>
      <c r="M70" s="2" t="inlineStr">
        <is>
          <t>iCoA_P01-02 · Appearance &amp; Identification A/B</t>
        </is>
      </c>
      <c r="N70" s="6" t="inlineStr">
        <is>
          <t>—</t>
        </is>
      </c>
      <c r="O70" s="2" t="inlineStr">
        <is>
          <t>ППК25380, (12.12.2025) [CNP]</t>
        </is>
      </c>
      <c r="P70" s="2" t="inlineStr">
        <is>
          <t>CoQ-PP-2025-0021</t>
        </is>
      </c>
      <c r="Q70" s="2" t="inlineStr">
        <is>
          <t>iCoA-PP-2025-0021</t>
        </is>
      </c>
      <c r="R70" s="2" t="inlineStr">
        <is>
          <t>P050312|AB|I</t>
        </is>
      </c>
      <c r="S70" s="7" t="inlineStr">
        <is>
          <t>registered — preliminary date, QC sets the real date at issue</t>
        </is>
      </c>
    </row>
    <row r="71">
      <c r="A71" s="2">
        <f>IF(C71="yes",COUNT(A$1:A70)+1,"")</f>
        <v/>
      </c>
      <c r="B71" s="3">
        <f>IF(A71="","— at issue —","iCoA-PP_26-"&amp;TEXT(A71,"000"))</f>
        <v/>
      </c>
      <c r="C71" s="4" t="inlineStr">
        <is>
          <t>yes</t>
        </is>
      </c>
      <c r="D71" s="5">
        <f>IF(A71="","",E71)</f>
        <v/>
      </c>
      <c r="E71" s="5">
        <f>IF(AND(C71="yes",ISNUMBER(G71)),MAX(DATE(2026,5,13),G71),"")</f>
        <v/>
      </c>
      <c r="F71" s="5">
        <f>IFERROR(INDEX('Batch Dates'!$F:$F,MATCH(J71,'Batch Dates'!$C:$C,0)),IFERROR(INDEX('Batch Dates'!$F:$F,MATCH(I71,'Batch Dates'!$B:$B,0)),""))</f>
        <v/>
      </c>
      <c r="G71" s="5">
        <f>IFERROR(INDEX('Batch Dates'!$G:$G,MATCH(J71,'Batch Dates'!$C:$C,0)),IFERROR(INDEX('Batch Dates'!$G:$G,MATCH(I71,'Batch Dates'!$B:$B,0)),""))</f>
        <v/>
      </c>
      <c r="H71" s="2" t="inlineStr">
        <is>
          <t>initial release</t>
        </is>
      </c>
      <c r="I71" s="3" t="inlineStr">
        <is>
          <t>GP082501/1</t>
        </is>
      </c>
      <c r="J71" s="2" t="inlineStr">
        <is>
          <t>P050312</t>
        </is>
      </c>
      <c r="K71" s="2" t="inlineStr">
        <is>
          <t>Grape Pie</t>
        </is>
      </c>
      <c r="L71" s="2" t="inlineStr">
        <is>
          <t>Foreign matter</t>
        </is>
      </c>
      <c r="M71" s="2" t="inlineStr">
        <is>
          <t>iCoA_P07 · Foreign matter</t>
        </is>
      </c>
      <c r="N71" s="6" t="inlineStr">
        <is>
          <t>—</t>
        </is>
      </c>
      <c r="O71" s="2" t="inlineStr">
        <is>
          <t>ППК25380, (12.12.2025) [CNP]</t>
        </is>
      </c>
      <c r="P71" s="2" t="inlineStr">
        <is>
          <t>CoQ-PP-2025-0021</t>
        </is>
      </c>
      <c r="Q71" s="2" t="inlineStr">
        <is>
          <t>iCoA-PP-2025-0021</t>
        </is>
      </c>
      <c r="R71" s="2" t="inlineStr">
        <is>
          <t>P050312|FM|I</t>
        </is>
      </c>
      <c r="S71" s="7" t="inlineStr">
        <is>
          <t>registered — preliminary date, QC sets the real date at issue</t>
        </is>
      </c>
    </row>
    <row r="72">
      <c r="A72" s="2">
        <f>IF(C72="yes",COUNT(A$1:A71)+1,"")</f>
        <v/>
      </c>
      <c r="B72" s="3">
        <f>IF(A72="","— at issue —","iCoA-PP_26-"&amp;TEXT(A72,"000"))</f>
        <v/>
      </c>
      <c r="C72" s="4" t="inlineStr">
        <is>
          <t>yes</t>
        </is>
      </c>
      <c r="D72" s="5">
        <f>IF(A72="","",E72)</f>
        <v/>
      </c>
      <c r="E72" s="5">
        <f>IF(AND(C72="yes",ISNUMBER(G72)),MAX(DATE(2026,5,13),G72),"")</f>
        <v/>
      </c>
      <c r="F72" s="5">
        <f>IFERROR(INDEX('Batch Dates'!$F:$F,MATCH(J72,'Batch Dates'!$C:$C,0)),IFERROR(INDEX('Batch Dates'!$F:$F,MATCH(I72,'Batch Dates'!$B:$B,0)),""))</f>
        <v/>
      </c>
      <c r="G72" s="5">
        <f>IFERROR(INDEX('Batch Dates'!$G:$G,MATCH(J72,'Batch Dates'!$C:$C,0)),IFERROR(INDEX('Batch Dates'!$G:$G,MATCH(I72,'Batch Dates'!$B:$B,0)),""))</f>
        <v/>
      </c>
      <c r="H72" s="2" t="inlineStr">
        <is>
          <t>initial release</t>
        </is>
      </c>
      <c r="I72" s="3" t="inlineStr">
        <is>
          <t>GP082501/2</t>
        </is>
      </c>
      <c r="J72" s="2" t="inlineStr">
        <is>
          <t>P050322</t>
        </is>
      </c>
      <c r="K72" s="2" t="inlineStr">
        <is>
          <t>Grape Pie</t>
        </is>
      </c>
      <c r="L72" s="2" t="inlineStr">
        <is>
          <t>Ident A + Ident B</t>
        </is>
      </c>
      <c r="M72" s="2" t="inlineStr">
        <is>
          <t>iCoA_P01-02 · Appearance &amp; Identification A/B</t>
        </is>
      </c>
      <c r="N72" s="6" t="inlineStr">
        <is>
          <t>—</t>
        </is>
      </c>
      <c r="O72" s="2" t="inlineStr">
        <is>
          <t>ППК25381, (12.12.2025) [CNP]</t>
        </is>
      </c>
      <c r="P72" s="2" t="inlineStr">
        <is>
          <t>CoQ-PP-2025-0022</t>
        </is>
      </c>
      <c r="Q72" s="2" t="inlineStr">
        <is>
          <t>iCoA-PP-2025-0022</t>
        </is>
      </c>
      <c r="R72" s="2" t="inlineStr">
        <is>
          <t>P050322|AB|I</t>
        </is>
      </c>
      <c r="S72" s="7" t="inlineStr">
        <is>
          <t>registered — preliminary date, QC sets the real date at issue</t>
        </is>
      </c>
    </row>
    <row r="73">
      <c r="A73" s="2">
        <f>IF(C73="yes",COUNT(A$1:A72)+1,"")</f>
        <v/>
      </c>
      <c r="B73" s="3">
        <f>IF(A73="","— at issue —","iCoA-PP_26-"&amp;TEXT(A73,"000"))</f>
        <v/>
      </c>
      <c r="C73" s="4" t="inlineStr">
        <is>
          <t>yes</t>
        </is>
      </c>
      <c r="D73" s="5">
        <f>IF(A73="","",E73)</f>
        <v/>
      </c>
      <c r="E73" s="5">
        <f>IF(AND(C73="yes",ISNUMBER(G73)),MAX(DATE(2026,5,13),G73),"")</f>
        <v/>
      </c>
      <c r="F73" s="5">
        <f>IFERROR(INDEX('Batch Dates'!$F:$F,MATCH(J73,'Batch Dates'!$C:$C,0)),IFERROR(INDEX('Batch Dates'!$F:$F,MATCH(I73,'Batch Dates'!$B:$B,0)),""))</f>
        <v/>
      </c>
      <c r="G73" s="5">
        <f>IFERROR(INDEX('Batch Dates'!$G:$G,MATCH(J73,'Batch Dates'!$C:$C,0)),IFERROR(INDEX('Batch Dates'!$G:$G,MATCH(I73,'Batch Dates'!$B:$B,0)),""))</f>
        <v/>
      </c>
      <c r="H73" s="2" t="inlineStr">
        <is>
          <t>initial release</t>
        </is>
      </c>
      <c r="I73" s="3" t="inlineStr">
        <is>
          <t>GP082501/2</t>
        </is>
      </c>
      <c r="J73" s="2" t="inlineStr">
        <is>
          <t>P050322</t>
        </is>
      </c>
      <c r="K73" s="2" t="inlineStr">
        <is>
          <t>Grape Pie</t>
        </is>
      </c>
      <c r="L73" s="2" t="inlineStr">
        <is>
          <t>Foreign matter</t>
        </is>
      </c>
      <c r="M73" s="2" t="inlineStr">
        <is>
          <t>iCoA_P07 · Foreign matter</t>
        </is>
      </c>
      <c r="N73" s="6" t="inlineStr">
        <is>
          <t>—</t>
        </is>
      </c>
      <c r="O73" s="2" t="inlineStr">
        <is>
          <t>ППК25381, (12.12.2025) [CNP]</t>
        </is>
      </c>
      <c r="P73" s="2" t="inlineStr">
        <is>
          <t>CoQ-PP-2025-0022</t>
        </is>
      </c>
      <c r="Q73" s="2" t="inlineStr">
        <is>
          <t>iCoA-PP-2025-0022</t>
        </is>
      </c>
      <c r="R73" s="2" t="inlineStr">
        <is>
          <t>P050322|FM|I</t>
        </is>
      </c>
      <c r="S73" s="7" t="inlineStr">
        <is>
          <t>registered — preliminary date, QC sets the real date at issue</t>
        </is>
      </c>
    </row>
    <row r="74">
      <c r="A74" s="2">
        <f>IF(C74="yes",COUNT(A$1:A73)+1,"")</f>
        <v/>
      </c>
      <c r="B74" s="3">
        <f>IF(A74="","— at issue —","iCoA-PP_26-"&amp;TEXT(A74,"000"))</f>
        <v/>
      </c>
      <c r="C74" s="4" t="inlineStr">
        <is>
          <t>yes</t>
        </is>
      </c>
      <c r="D74" s="5">
        <f>IF(A74="","",E74)</f>
        <v/>
      </c>
      <c r="E74" s="5">
        <f>IF(AND(C74="yes",ISNUMBER(G74)),MAX(DATE(2026,5,13),G74),"")</f>
        <v/>
      </c>
      <c r="F74" s="5">
        <f>IFERROR(INDEX('Batch Dates'!$F:$F,MATCH(J74,'Batch Dates'!$C:$C,0)),IFERROR(INDEX('Batch Dates'!$F:$F,MATCH(I74,'Batch Dates'!$B:$B,0)),""))</f>
        <v/>
      </c>
      <c r="G74" s="5">
        <f>IFERROR(INDEX('Batch Dates'!$G:$G,MATCH(J74,'Batch Dates'!$C:$C,0)),IFERROR(INDEX('Batch Dates'!$G:$G,MATCH(I74,'Batch Dates'!$B:$B,0)),""))</f>
        <v/>
      </c>
      <c r="H74" s="2" t="inlineStr">
        <is>
          <t>initial release</t>
        </is>
      </c>
      <c r="I74" s="3" t="inlineStr">
        <is>
          <t>WC082501</t>
        </is>
      </c>
      <c r="J74" s="2" t="inlineStr">
        <is>
          <t>P060012</t>
        </is>
      </c>
      <c r="K74" s="2" t="inlineStr">
        <is>
          <t>Wedding Crasher</t>
        </is>
      </c>
      <c r="L74" s="2" t="inlineStr">
        <is>
          <t>Ident A + Ident B</t>
        </is>
      </c>
      <c r="M74" s="2" t="inlineStr">
        <is>
          <t>iCoA_P01-02 · Appearance &amp; Identification A/B</t>
        </is>
      </c>
      <c r="N74" s="6" t="inlineStr">
        <is>
          <t>—</t>
        </is>
      </c>
      <c r="O74" s="2" t="inlineStr">
        <is>
          <t>ППК26001, (21.01.2026) [CNP]</t>
        </is>
      </c>
      <c r="P74" s="2" t="inlineStr">
        <is>
          <t>CoQ-PP-2026-0001</t>
        </is>
      </c>
      <c r="Q74" s="2" t="inlineStr">
        <is>
          <t>iCoA-PP-2026-0001</t>
        </is>
      </c>
      <c r="R74" s="2" t="inlineStr">
        <is>
          <t>P060012|AB|I</t>
        </is>
      </c>
      <c r="S74" s="7" t="inlineStr">
        <is>
          <t>registered — preliminary date, QC sets the real date at issue</t>
        </is>
      </c>
    </row>
    <row r="75">
      <c r="A75" s="2">
        <f>IF(C75="yes",COUNT(A$1:A74)+1,"")</f>
        <v/>
      </c>
      <c r="B75" s="3">
        <f>IF(A75="","— at issue —","iCoA-PP_26-"&amp;TEXT(A75,"000"))</f>
        <v/>
      </c>
      <c r="C75" s="4" t="inlineStr">
        <is>
          <t>yes</t>
        </is>
      </c>
      <c r="D75" s="5">
        <f>IF(A75="","",E75)</f>
        <v/>
      </c>
      <c r="E75" s="5">
        <f>IF(AND(C75="yes",ISNUMBER(G75)),MAX(DATE(2026,5,13),G75),"")</f>
        <v/>
      </c>
      <c r="F75" s="5">
        <f>IFERROR(INDEX('Batch Dates'!$F:$F,MATCH(J75,'Batch Dates'!$C:$C,0)),IFERROR(INDEX('Batch Dates'!$F:$F,MATCH(I75,'Batch Dates'!$B:$B,0)),""))</f>
        <v/>
      </c>
      <c r="G75" s="5">
        <f>IFERROR(INDEX('Batch Dates'!$G:$G,MATCH(J75,'Batch Dates'!$C:$C,0)),IFERROR(INDEX('Batch Dates'!$G:$G,MATCH(I75,'Batch Dates'!$B:$B,0)),""))</f>
        <v/>
      </c>
      <c r="H75" s="2" t="inlineStr">
        <is>
          <t>initial release</t>
        </is>
      </c>
      <c r="I75" s="3" t="inlineStr">
        <is>
          <t>WC082501</t>
        </is>
      </c>
      <c r="J75" s="2" t="inlineStr">
        <is>
          <t>P060012</t>
        </is>
      </c>
      <c r="K75" s="2" t="inlineStr">
        <is>
          <t>Wedding Crasher</t>
        </is>
      </c>
      <c r="L75" s="2" t="inlineStr">
        <is>
          <t>Foreign matter</t>
        </is>
      </c>
      <c r="M75" s="2" t="inlineStr">
        <is>
          <t>iCoA_P07 · Foreign matter</t>
        </is>
      </c>
      <c r="N75" s="6" t="inlineStr">
        <is>
          <t>—</t>
        </is>
      </c>
      <c r="O75" s="2" t="inlineStr">
        <is>
          <t>ППК26001, (21.01.2026) [CNP]</t>
        </is>
      </c>
      <c r="P75" s="2" t="inlineStr">
        <is>
          <t>CoQ-PP-2026-0001</t>
        </is>
      </c>
      <c r="Q75" s="2" t="inlineStr">
        <is>
          <t>iCoA-PP-2026-0001</t>
        </is>
      </c>
      <c r="R75" s="2" t="inlineStr">
        <is>
          <t>P060012|FM|I</t>
        </is>
      </c>
      <c r="S75" s="7" t="inlineStr">
        <is>
          <t>registered — preliminary date, QC sets the real date at issue</t>
        </is>
      </c>
    </row>
    <row r="76">
      <c r="A76" s="2">
        <f>IF(C76="yes",COUNT(A$1:A75)+1,"")</f>
        <v/>
      </c>
      <c r="B76" s="3">
        <f>IF(A76="","— at issue —","iCoA-PP_26-"&amp;TEXT(A76,"000"))</f>
        <v/>
      </c>
      <c r="C76" s="4" t="inlineStr">
        <is>
          <t>yes</t>
        </is>
      </c>
      <c r="D76" s="5">
        <f>IF(A76="","",E76)</f>
        <v/>
      </c>
      <c r="E76" s="5">
        <f>IF(AND(C76="yes",ISNUMBER(G76)),MAX(DATE(2026,5,13),G76),"")</f>
        <v/>
      </c>
      <c r="F76" s="5">
        <f>IFERROR(INDEX('Batch Dates'!$F:$F,MATCH(J76,'Batch Dates'!$C:$C,0)),IFERROR(INDEX('Batch Dates'!$F:$F,MATCH(I76,'Batch Dates'!$B:$B,0)),""))</f>
        <v/>
      </c>
      <c r="G76" s="5">
        <f>IFERROR(INDEX('Batch Dates'!$G:$G,MATCH(J76,'Batch Dates'!$C:$C,0)),IFERROR(INDEX('Batch Dates'!$G:$G,MATCH(I76,'Batch Dates'!$B:$B,0)),""))</f>
        <v/>
      </c>
      <c r="H76" s="2" t="inlineStr">
        <is>
          <t>initial release</t>
        </is>
      </c>
      <c r="I76" s="3" t="inlineStr">
        <is>
          <t>CJ082501/1</t>
        </is>
      </c>
      <c r="J76" s="2" t="inlineStr">
        <is>
          <t>P060022</t>
        </is>
      </c>
      <c r="K76" s="2" t="inlineStr">
        <is>
          <t>Cap Junky</t>
        </is>
      </c>
      <c r="L76" s="2" t="inlineStr">
        <is>
          <t>Ident A + Ident B</t>
        </is>
      </c>
      <c r="M76" s="2" t="inlineStr">
        <is>
          <t>iCoA_P01-02 · Appearance &amp; Identification A/B</t>
        </is>
      </c>
      <c r="N76" s="6" t="inlineStr">
        <is>
          <t>—</t>
        </is>
      </c>
      <c r="O76" s="2" t="inlineStr">
        <is>
          <t>ППК26002, (21.01.2026) [CNP]</t>
        </is>
      </c>
      <c r="P76" s="2" t="inlineStr">
        <is>
          <t>CoQ-PP-2026-0002</t>
        </is>
      </c>
      <c r="Q76" s="2" t="inlineStr">
        <is>
          <t>iCoA-PP-2026-0002</t>
        </is>
      </c>
      <c r="R76" s="2" t="inlineStr">
        <is>
          <t>P060022|AB|I</t>
        </is>
      </c>
      <c r="S76" s="7" t="inlineStr">
        <is>
          <t>registered — preliminary date, QC sets the real date at issue</t>
        </is>
      </c>
    </row>
    <row r="77">
      <c r="A77" s="2">
        <f>IF(C77="yes",COUNT(A$1:A76)+1,"")</f>
        <v/>
      </c>
      <c r="B77" s="3">
        <f>IF(A77="","— at issue —","iCoA-PP_26-"&amp;TEXT(A77,"000"))</f>
        <v/>
      </c>
      <c r="C77" s="4" t="inlineStr">
        <is>
          <t>yes</t>
        </is>
      </c>
      <c r="D77" s="5">
        <f>IF(A77="","",E77)</f>
        <v/>
      </c>
      <c r="E77" s="5">
        <f>IF(AND(C77="yes",ISNUMBER(G77)),MAX(DATE(2026,5,13),G77),"")</f>
        <v/>
      </c>
      <c r="F77" s="5">
        <f>IFERROR(INDEX('Batch Dates'!$F:$F,MATCH(J77,'Batch Dates'!$C:$C,0)),IFERROR(INDEX('Batch Dates'!$F:$F,MATCH(I77,'Batch Dates'!$B:$B,0)),""))</f>
        <v/>
      </c>
      <c r="G77" s="5">
        <f>IFERROR(INDEX('Batch Dates'!$G:$G,MATCH(J77,'Batch Dates'!$C:$C,0)),IFERROR(INDEX('Batch Dates'!$G:$G,MATCH(I77,'Batch Dates'!$B:$B,0)),""))</f>
        <v/>
      </c>
      <c r="H77" s="2" t="inlineStr">
        <is>
          <t>initial release</t>
        </is>
      </c>
      <c r="I77" s="3" t="inlineStr">
        <is>
          <t>CJ082501/1</t>
        </is>
      </c>
      <c r="J77" s="2" t="inlineStr">
        <is>
          <t>P060022</t>
        </is>
      </c>
      <c r="K77" s="2" t="inlineStr">
        <is>
          <t>Cap Junky</t>
        </is>
      </c>
      <c r="L77" s="2" t="inlineStr">
        <is>
          <t>Foreign matter</t>
        </is>
      </c>
      <c r="M77" s="2" t="inlineStr">
        <is>
          <t>iCoA_P07 · Foreign matter</t>
        </is>
      </c>
      <c r="N77" s="6" t="inlineStr">
        <is>
          <t>—</t>
        </is>
      </c>
      <c r="O77" s="2" t="inlineStr">
        <is>
          <t>ППК26002, (21.01.2026) [CNP]</t>
        </is>
      </c>
      <c r="P77" s="2" t="inlineStr">
        <is>
          <t>CoQ-PP-2026-0002</t>
        </is>
      </c>
      <c r="Q77" s="2" t="inlineStr">
        <is>
          <t>iCoA-PP-2026-0002</t>
        </is>
      </c>
      <c r="R77" s="2" t="inlineStr">
        <is>
          <t>P060022|FM|I</t>
        </is>
      </c>
      <c r="S77" s="7" t="inlineStr">
        <is>
          <t>registered — preliminary date, QC sets the real date at issue</t>
        </is>
      </c>
    </row>
    <row r="78">
      <c r="A78" s="2">
        <f>IF(C78="yes",COUNT(A$1:A77)+1,"")</f>
        <v/>
      </c>
      <c r="B78" s="3">
        <f>IF(A78="","— at issue —","iCoA-PP_26-"&amp;TEXT(A78,"000"))</f>
        <v/>
      </c>
      <c r="C78" s="4" t="inlineStr">
        <is>
          <t>yes</t>
        </is>
      </c>
      <c r="D78" s="5">
        <f>IF(A78="","",E78)</f>
        <v/>
      </c>
      <c r="E78" s="5">
        <f>IF(AND(C78="yes",ISNUMBER(G78)),MAX(DATE(2026,5,13),G78),"")</f>
        <v/>
      </c>
      <c r="F78" s="5">
        <f>IFERROR(INDEX('Batch Dates'!$F:$F,MATCH(J78,'Batch Dates'!$C:$C,0)),IFERROR(INDEX('Batch Dates'!$F:$F,MATCH(I78,'Batch Dates'!$B:$B,0)),""))</f>
        <v/>
      </c>
      <c r="G78" s="5">
        <f>IFERROR(INDEX('Batch Dates'!$G:$G,MATCH(J78,'Batch Dates'!$C:$C,0)),IFERROR(INDEX('Batch Dates'!$G:$G,MATCH(I78,'Batch Dates'!$B:$B,0)),""))</f>
        <v/>
      </c>
      <c r="H78" s="2" t="inlineStr">
        <is>
          <t>initial release</t>
        </is>
      </c>
      <c r="I78" s="3" t="inlineStr">
        <is>
          <t>CJ082501/2</t>
        </is>
      </c>
      <c r="J78" s="2" t="inlineStr">
        <is>
          <t>P060032</t>
        </is>
      </c>
      <c r="K78" s="2" t="inlineStr">
        <is>
          <t>Cap Junky</t>
        </is>
      </c>
      <c r="L78" s="2" t="inlineStr">
        <is>
          <t>Ident A + Ident B</t>
        </is>
      </c>
      <c r="M78" s="2" t="inlineStr">
        <is>
          <t>iCoA_P01-02 · Appearance &amp; Identification A/B</t>
        </is>
      </c>
      <c r="N78" s="6" t="inlineStr">
        <is>
          <t>—</t>
        </is>
      </c>
      <c r="O78" s="2" t="inlineStr">
        <is>
          <t>ППК26003, (21.01.2026) [CNP]</t>
        </is>
      </c>
      <c r="P78" s="2" t="inlineStr">
        <is>
          <t>CoQ-PP-2026-0003</t>
        </is>
      </c>
      <c r="Q78" s="2" t="inlineStr">
        <is>
          <t>iCoA-PP-2026-0003</t>
        </is>
      </c>
      <c r="R78" s="2" t="inlineStr">
        <is>
          <t>P060032|AB|I</t>
        </is>
      </c>
      <c r="S78" s="7" t="inlineStr">
        <is>
          <t>registered — preliminary date, QC sets the real date at issue</t>
        </is>
      </c>
    </row>
    <row r="79">
      <c r="A79" s="2">
        <f>IF(C79="yes",COUNT(A$1:A78)+1,"")</f>
        <v/>
      </c>
      <c r="B79" s="3">
        <f>IF(A79="","— at issue —","iCoA-PP_26-"&amp;TEXT(A79,"000"))</f>
        <v/>
      </c>
      <c r="C79" s="4" t="inlineStr">
        <is>
          <t>yes</t>
        </is>
      </c>
      <c r="D79" s="5">
        <f>IF(A79="","",E79)</f>
        <v/>
      </c>
      <c r="E79" s="5">
        <f>IF(AND(C79="yes",ISNUMBER(G79)),MAX(DATE(2026,5,13),G79),"")</f>
        <v/>
      </c>
      <c r="F79" s="5">
        <f>IFERROR(INDEX('Batch Dates'!$F:$F,MATCH(J79,'Batch Dates'!$C:$C,0)),IFERROR(INDEX('Batch Dates'!$F:$F,MATCH(I79,'Batch Dates'!$B:$B,0)),""))</f>
        <v/>
      </c>
      <c r="G79" s="5">
        <f>IFERROR(INDEX('Batch Dates'!$G:$G,MATCH(J79,'Batch Dates'!$C:$C,0)),IFERROR(INDEX('Batch Dates'!$G:$G,MATCH(I79,'Batch Dates'!$B:$B,0)),""))</f>
        <v/>
      </c>
      <c r="H79" s="2" t="inlineStr">
        <is>
          <t>initial release</t>
        </is>
      </c>
      <c r="I79" s="3" t="inlineStr">
        <is>
          <t>CJ082501/2</t>
        </is>
      </c>
      <c r="J79" s="2" t="inlineStr">
        <is>
          <t>P060032</t>
        </is>
      </c>
      <c r="K79" s="2" t="inlineStr">
        <is>
          <t>Cap Junky</t>
        </is>
      </c>
      <c r="L79" s="2" t="inlineStr">
        <is>
          <t>Foreign matter</t>
        </is>
      </c>
      <c r="M79" s="2" t="inlineStr">
        <is>
          <t>iCoA_P07 · Foreign matter</t>
        </is>
      </c>
      <c r="N79" s="6" t="inlineStr">
        <is>
          <t>—</t>
        </is>
      </c>
      <c r="O79" s="2" t="inlineStr">
        <is>
          <t>ППК26003, (21.01.2026) [CNP]</t>
        </is>
      </c>
      <c r="P79" s="2" t="inlineStr">
        <is>
          <t>CoQ-PP-2026-0003</t>
        </is>
      </c>
      <c r="Q79" s="2" t="inlineStr">
        <is>
          <t>iCoA-PP-2026-0003</t>
        </is>
      </c>
      <c r="R79" s="2" t="inlineStr">
        <is>
          <t>P060032|FM|I</t>
        </is>
      </c>
      <c r="S79" s="7" t="inlineStr">
        <is>
          <t>registered — preliminary date, QC sets the real date at issue</t>
        </is>
      </c>
    </row>
    <row r="80">
      <c r="A80" s="2">
        <f>IF(C80="yes",COUNT(A$1:A79)+1,"")</f>
        <v/>
      </c>
      <c r="B80" s="3">
        <f>IF(A80="","— at issue —","iCoA-PP_26-"&amp;TEXT(A80,"000"))</f>
        <v/>
      </c>
      <c r="C80" s="4" t="inlineStr">
        <is>
          <t>yes</t>
        </is>
      </c>
      <c r="D80" s="5">
        <f>IF(A80="","",E80)</f>
        <v/>
      </c>
      <c r="E80" s="5">
        <f>IF(AND(C80="yes",ISNUMBER(G80)),MAX(DATE(2026,5,13),G80),"")</f>
        <v/>
      </c>
      <c r="F80" s="5">
        <f>IFERROR(INDEX('Batch Dates'!$F:$F,MATCH(J80,'Batch Dates'!$C:$C,0)),IFERROR(INDEX('Batch Dates'!$F:$F,MATCH(I80,'Batch Dates'!$B:$B,0)),""))</f>
        <v/>
      </c>
      <c r="G80" s="5">
        <f>IFERROR(INDEX('Batch Dates'!$G:$G,MATCH(J80,'Batch Dates'!$C:$C,0)),IFERROR(INDEX('Batch Dates'!$G:$G,MATCH(I80,'Batch Dates'!$B:$B,0)),""))</f>
        <v/>
      </c>
      <c r="H80" s="2" t="inlineStr">
        <is>
          <t>initial release</t>
        </is>
      </c>
      <c r="I80" s="3" t="inlineStr">
        <is>
          <t>OPM092501</t>
        </is>
      </c>
      <c r="J80" s="2" t="inlineStr">
        <is>
          <t>P060042</t>
        </is>
      </c>
      <c r="K80" s="2" t="inlineStr">
        <is>
          <t>Orange Punch Mimosa</t>
        </is>
      </c>
      <c r="L80" s="2" t="inlineStr">
        <is>
          <t>Ident A + Ident B</t>
        </is>
      </c>
      <c r="M80" s="2" t="inlineStr">
        <is>
          <t>iCoA_P01-02 · Appearance &amp; Identification A/B</t>
        </is>
      </c>
      <c r="N80" s="6" t="inlineStr">
        <is>
          <t>—</t>
        </is>
      </c>
      <c r="O80" s="2" t="inlineStr">
        <is>
          <t>ППК26008, (21.01.2026) [CNP]</t>
        </is>
      </c>
      <c r="P80" s="2" t="inlineStr">
        <is>
          <t>CoQ-PP-2026-0004</t>
        </is>
      </c>
      <c r="Q80" s="2" t="inlineStr">
        <is>
          <t>iCoA-PP-2026-0004</t>
        </is>
      </c>
      <c r="R80" s="2" t="inlineStr">
        <is>
          <t>P060042|AB|I</t>
        </is>
      </c>
      <c r="S80" s="7" t="inlineStr">
        <is>
          <t>registered — preliminary date, QC sets the real date at issue</t>
        </is>
      </c>
    </row>
    <row r="81">
      <c r="A81" s="2">
        <f>IF(C81="yes",COUNT(A$1:A80)+1,"")</f>
        <v/>
      </c>
      <c r="B81" s="3">
        <f>IF(A81="","— at issue —","iCoA-PP_26-"&amp;TEXT(A81,"000"))</f>
        <v/>
      </c>
      <c r="C81" s="4" t="inlineStr">
        <is>
          <t>yes</t>
        </is>
      </c>
      <c r="D81" s="5">
        <f>IF(A81="","",E81)</f>
        <v/>
      </c>
      <c r="E81" s="5">
        <f>IF(AND(C81="yes",ISNUMBER(G81)),MAX(DATE(2026,5,13),G81),"")</f>
        <v/>
      </c>
      <c r="F81" s="5">
        <f>IFERROR(INDEX('Batch Dates'!$F:$F,MATCH(J81,'Batch Dates'!$C:$C,0)),IFERROR(INDEX('Batch Dates'!$F:$F,MATCH(I81,'Batch Dates'!$B:$B,0)),""))</f>
        <v/>
      </c>
      <c r="G81" s="5">
        <f>IFERROR(INDEX('Batch Dates'!$G:$G,MATCH(J81,'Batch Dates'!$C:$C,0)),IFERROR(INDEX('Batch Dates'!$G:$G,MATCH(I81,'Batch Dates'!$B:$B,0)),""))</f>
        <v/>
      </c>
      <c r="H81" s="2" t="inlineStr">
        <is>
          <t>initial release</t>
        </is>
      </c>
      <c r="I81" s="3" t="inlineStr">
        <is>
          <t>OPM092501</t>
        </is>
      </c>
      <c r="J81" s="2" t="inlineStr">
        <is>
          <t>P060042</t>
        </is>
      </c>
      <c r="K81" s="2" t="inlineStr">
        <is>
          <t>Orange Punch Mimosa</t>
        </is>
      </c>
      <c r="L81" s="2" t="inlineStr">
        <is>
          <t>Foreign matter</t>
        </is>
      </c>
      <c r="M81" s="2" t="inlineStr">
        <is>
          <t>iCoA_P07 · Foreign matter</t>
        </is>
      </c>
      <c r="N81" s="6" t="inlineStr">
        <is>
          <t>—</t>
        </is>
      </c>
      <c r="O81" s="2" t="inlineStr">
        <is>
          <t>ППК26008, (21.01.2026) [CNP]</t>
        </is>
      </c>
      <c r="P81" s="2" t="inlineStr">
        <is>
          <t>CoQ-PP-2026-0004</t>
        </is>
      </c>
      <c r="Q81" s="2" t="inlineStr">
        <is>
          <t>iCoA-PP-2026-0004</t>
        </is>
      </c>
      <c r="R81" s="2" t="inlineStr">
        <is>
          <t>P060042|FM|I</t>
        </is>
      </c>
      <c r="S81" s="7" t="inlineStr">
        <is>
          <t>registered — preliminary date, QC sets the real date at issue</t>
        </is>
      </c>
    </row>
    <row r="82">
      <c r="A82" s="2">
        <f>IF(C82="yes",COUNT(A$1:A81)+1,"")</f>
        <v/>
      </c>
      <c r="B82" s="3">
        <f>IF(A82="","— at issue —","iCoA-PP_26-"&amp;TEXT(A82,"000"))</f>
        <v/>
      </c>
      <c r="C82" s="4" t="inlineStr">
        <is>
          <t>yes</t>
        </is>
      </c>
      <c r="D82" s="5">
        <f>IF(A82="","",E82)</f>
        <v/>
      </c>
      <c r="E82" s="5">
        <f>IF(AND(C82="yes",ISNUMBER(G82)),MAX(DATE(2026,5,13),G82),"")</f>
        <v/>
      </c>
      <c r="F82" s="5">
        <f>IFERROR(INDEX('Batch Dates'!$F:$F,MATCH(J82,'Batch Dates'!$C:$C,0)),IFERROR(INDEX('Batch Dates'!$F:$F,MATCH(I82,'Batch Dates'!$B:$B,0)),""))</f>
        <v/>
      </c>
      <c r="G82" s="5">
        <f>IFERROR(INDEX('Batch Dates'!$G:$G,MATCH(J82,'Batch Dates'!$C:$C,0)),IFERROR(INDEX('Batch Dates'!$G:$G,MATCH(I82,'Batch Dates'!$B:$B,0)),""))</f>
        <v/>
      </c>
      <c r="H82" s="2" t="inlineStr">
        <is>
          <t>initial release</t>
        </is>
      </c>
      <c r="I82" s="3" t="inlineStr">
        <is>
          <t>AB092501</t>
        </is>
      </c>
      <c r="J82" s="2" t="inlineStr">
        <is>
          <t>P060052</t>
        </is>
      </c>
      <c r="K82" s="2" t="inlineStr">
        <is>
          <t>Apple and Banana</t>
        </is>
      </c>
      <c r="L82" s="2" t="inlineStr">
        <is>
          <t>Ident A + Ident B</t>
        </is>
      </c>
      <c r="M82" s="2" t="inlineStr">
        <is>
          <t>iCoA_P01-02 · Appearance &amp; Identification A/B</t>
        </is>
      </c>
      <c r="N82" s="6" t="inlineStr">
        <is>
          <t>—</t>
        </is>
      </c>
      <c r="O82" s="2" t="inlineStr">
        <is>
          <t>ППК26005, (21.01.2026) [CNP]</t>
        </is>
      </c>
      <c r="P82" s="2" t="inlineStr">
        <is>
          <t>(assigned on issue)</t>
        </is>
      </c>
      <c r="Q82" s="6" t="inlineStr">
        <is>
          <t>—</t>
        </is>
      </c>
      <c r="R82" s="2" t="inlineStr">
        <is>
          <t>P060052|AB|I</t>
        </is>
      </c>
      <c r="S82" s="7" t="inlineStr">
        <is>
          <t>registered — preliminary date, QC sets the real date at issue</t>
        </is>
      </c>
    </row>
    <row r="83">
      <c r="A83" s="2">
        <f>IF(C83="yes",COUNT(A$1:A82)+1,"")</f>
        <v/>
      </c>
      <c r="B83" s="3">
        <f>IF(A83="","— at issue —","iCoA-PP_26-"&amp;TEXT(A83,"000"))</f>
        <v/>
      </c>
      <c r="C83" s="4" t="inlineStr">
        <is>
          <t>yes</t>
        </is>
      </c>
      <c r="D83" s="5">
        <f>IF(A83="","",E83)</f>
        <v/>
      </c>
      <c r="E83" s="5">
        <f>IF(AND(C83="yes",ISNUMBER(G83)),MAX(DATE(2026,5,13),G83),"")</f>
        <v/>
      </c>
      <c r="F83" s="5">
        <f>IFERROR(INDEX('Batch Dates'!$F:$F,MATCH(J83,'Batch Dates'!$C:$C,0)),IFERROR(INDEX('Batch Dates'!$F:$F,MATCH(I83,'Batch Dates'!$B:$B,0)),""))</f>
        <v/>
      </c>
      <c r="G83" s="5">
        <f>IFERROR(INDEX('Batch Dates'!$G:$G,MATCH(J83,'Batch Dates'!$C:$C,0)),IFERROR(INDEX('Batch Dates'!$G:$G,MATCH(I83,'Batch Dates'!$B:$B,0)),""))</f>
        <v/>
      </c>
      <c r="H83" s="2" t="inlineStr">
        <is>
          <t>initial release</t>
        </is>
      </c>
      <c r="I83" s="3" t="inlineStr">
        <is>
          <t>AB092501</t>
        </is>
      </c>
      <c r="J83" s="2" t="inlineStr">
        <is>
          <t>P060052</t>
        </is>
      </c>
      <c r="K83" s="2" t="inlineStr">
        <is>
          <t>Apple and Banana</t>
        </is>
      </c>
      <c r="L83" s="2" t="inlineStr">
        <is>
          <t>Foreign matter</t>
        </is>
      </c>
      <c r="M83" s="2" t="inlineStr">
        <is>
          <t>iCoA_P07 · Foreign matter</t>
        </is>
      </c>
      <c r="N83" s="6" t="inlineStr">
        <is>
          <t>—</t>
        </is>
      </c>
      <c r="O83" s="2" t="inlineStr">
        <is>
          <t>ППК26005, (21.01.2026) [CNP]</t>
        </is>
      </c>
      <c r="P83" s="2" t="inlineStr">
        <is>
          <t>(assigned on issue)</t>
        </is>
      </c>
      <c r="Q83" s="6" t="inlineStr">
        <is>
          <t>—</t>
        </is>
      </c>
      <c r="R83" s="2" t="inlineStr">
        <is>
          <t>P060052|FM|I</t>
        </is>
      </c>
      <c r="S83" s="7" t="inlineStr">
        <is>
          <t>registered — preliminary date, QC sets the real date at issue</t>
        </is>
      </c>
    </row>
    <row r="84">
      <c r="A84" s="2">
        <f>IF(C84="yes",COUNT(A$1:A83)+1,"")</f>
        <v/>
      </c>
      <c r="B84" s="3">
        <f>IF(A84="","— at issue —","iCoA-PP_26-"&amp;TEXT(A84,"000"))</f>
        <v/>
      </c>
      <c r="C84" s="4" t="inlineStr">
        <is>
          <t>yes</t>
        </is>
      </c>
      <c r="D84" s="5">
        <f>IF(A84="","",E84)</f>
        <v/>
      </c>
      <c r="E84" s="5">
        <f>IF(AND(C84="yes",ISNUMBER(G84)),MAX(DATE(2026,5,13),G84),"")</f>
        <v/>
      </c>
      <c r="F84" s="5">
        <f>IFERROR(INDEX('Batch Dates'!$F:$F,MATCH(J84,'Batch Dates'!$C:$C,0)),IFERROR(INDEX('Batch Dates'!$F:$F,MATCH(I84,'Batch Dates'!$B:$B,0)),""))</f>
        <v/>
      </c>
      <c r="G84" s="5">
        <f>IFERROR(INDEX('Batch Dates'!$G:$G,MATCH(J84,'Batch Dates'!$C:$C,0)),IFERROR(INDEX('Batch Dates'!$G:$G,MATCH(I84,'Batch Dates'!$B:$B,0)),""))</f>
        <v/>
      </c>
      <c r="H84" s="2" t="inlineStr">
        <is>
          <t>initial release</t>
        </is>
      </c>
      <c r="I84" s="3" t="inlineStr">
        <is>
          <t>PM092501</t>
        </is>
      </c>
      <c r="J84" s="2" t="inlineStr">
        <is>
          <t>P060062</t>
        </is>
      </c>
      <c r="K84" s="2" t="inlineStr">
        <is>
          <t>Permanent Market</t>
        </is>
      </c>
      <c r="L84" s="2" t="inlineStr">
        <is>
          <t>Ident A + Ident B</t>
        </is>
      </c>
      <c r="M84" s="2" t="inlineStr">
        <is>
          <t>iCoA_P01-02 · Appearance &amp; Identification A/B</t>
        </is>
      </c>
      <c r="N84" s="6" t="inlineStr">
        <is>
          <t>—</t>
        </is>
      </c>
      <c r="O84" s="2" t="inlineStr">
        <is>
          <t>ППК26004, (21.01.2026) [CNP]</t>
        </is>
      </c>
      <c r="P84" s="2" t="inlineStr">
        <is>
          <t>CoQ-PP-2026-0005</t>
        </is>
      </c>
      <c r="Q84" s="2" t="inlineStr">
        <is>
          <t>iCoA-PP-2026-0005</t>
        </is>
      </c>
      <c r="R84" s="2" t="inlineStr">
        <is>
          <t>P060062|AB|I</t>
        </is>
      </c>
      <c r="S84" s="7" t="inlineStr">
        <is>
          <t>registered — preliminary date, QC sets the real date at issue</t>
        </is>
      </c>
    </row>
    <row r="85">
      <c r="A85" s="2">
        <f>IF(C85="yes",COUNT(A$1:A84)+1,"")</f>
        <v/>
      </c>
      <c r="B85" s="3">
        <f>IF(A85="","— at issue —","iCoA-PP_26-"&amp;TEXT(A85,"000"))</f>
        <v/>
      </c>
      <c r="C85" s="4" t="inlineStr">
        <is>
          <t>yes</t>
        </is>
      </c>
      <c r="D85" s="5">
        <f>IF(A85="","",E85)</f>
        <v/>
      </c>
      <c r="E85" s="5">
        <f>IF(AND(C85="yes",ISNUMBER(G85)),MAX(DATE(2026,5,13),G85),"")</f>
        <v/>
      </c>
      <c r="F85" s="5">
        <f>IFERROR(INDEX('Batch Dates'!$F:$F,MATCH(J85,'Batch Dates'!$C:$C,0)),IFERROR(INDEX('Batch Dates'!$F:$F,MATCH(I85,'Batch Dates'!$B:$B,0)),""))</f>
        <v/>
      </c>
      <c r="G85" s="5">
        <f>IFERROR(INDEX('Batch Dates'!$G:$G,MATCH(J85,'Batch Dates'!$C:$C,0)),IFERROR(INDEX('Batch Dates'!$G:$G,MATCH(I85,'Batch Dates'!$B:$B,0)),""))</f>
        <v/>
      </c>
      <c r="H85" s="2" t="inlineStr">
        <is>
          <t>initial release</t>
        </is>
      </c>
      <c r="I85" s="3" t="inlineStr">
        <is>
          <t>PM092501</t>
        </is>
      </c>
      <c r="J85" s="2" t="inlineStr">
        <is>
          <t>P060062</t>
        </is>
      </c>
      <c r="K85" s="2" t="inlineStr">
        <is>
          <t>Permanent Market</t>
        </is>
      </c>
      <c r="L85" s="2" t="inlineStr">
        <is>
          <t>Foreign matter</t>
        </is>
      </c>
      <c r="M85" s="2" t="inlineStr">
        <is>
          <t>iCoA_P07 · Foreign matter</t>
        </is>
      </c>
      <c r="N85" s="6" t="inlineStr">
        <is>
          <t>—</t>
        </is>
      </c>
      <c r="O85" s="2" t="inlineStr">
        <is>
          <t>ППК26004, (21.01.2026) [CNP]</t>
        </is>
      </c>
      <c r="P85" s="2" t="inlineStr">
        <is>
          <t>CoQ-PP-2026-0005</t>
        </is>
      </c>
      <c r="Q85" s="2" t="inlineStr">
        <is>
          <t>iCoA-PP-2026-0005</t>
        </is>
      </c>
      <c r="R85" s="2" t="inlineStr">
        <is>
          <t>P060062|FM|I</t>
        </is>
      </c>
      <c r="S85" s="7" t="inlineStr">
        <is>
          <t>registered — preliminary date, QC sets the real date at issue</t>
        </is>
      </c>
    </row>
    <row r="86">
      <c r="A86" s="2">
        <f>IF(C86="yes",COUNT(A$1:A85)+1,"")</f>
        <v/>
      </c>
      <c r="B86" s="3">
        <f>IF(A86="","— at issue —","iCoA-PP_26-"&amp;TEXT(A86,"000"))</f>
        <v/>
      </c>
      <c r="C86" s="4" t="inlineStr">
        <is>
          <t>yes</t>
        </is>
      </c>
      <c r="D86" s="5">
        <f>IF(A86="","",E86)</f>
        <v/>
      </c>
      <c r="E86" s="5">
        <f>IF(AND(C86="yes",ISNUMBER(G86)),MAX(DATE(2026,5,13),G86),"")</f>
        <v/>
      </c>
      <c r="F86" s="5">
        <f>IFERROR(INDEX('Batch Dates'!$F:$F,MATCH(J86,'Batch Dates'!$C:$C,0)),IFERROR(INDEX('Batch Dates'!$F:$F,MATCH(I86,'Batch Dates'!$B:$B,0)),""))</f>
        <v/>
      </c>
      <c r="G86" s="5">
        <f>IFERROR(INDEX('Batch Dates'!$G:$G,MATCH(J86,'Batch Dates'!$C:$C,0)),IFERROR(INDEX('Batch Dates'!$G:$G,MATCH(I86,'Batch Dates'!$B:$B,0)),""))</f>
        <v/>
      </c>
      <c r="H86" s="2" t="inlineStr">
        <is>
          <t>initial release</t>
        </is>
      </c>
      <c r="I86" s="3" t="inlineStr">
        <is>
          <t>CJ092501</t>
        </is>
      </c>
      <c r="J86" s="2" t="inlineStr">
        <is>
          <t>P060072</t>
        </is>
      </c>
      <c r="K86" s="2" t="inlineStr">
        <is>
          <t>Cap Junky</t>
        </is>
      </c>
      <c r="L86" s="2" t="inlineStr">
        <is>
          <t>Ident A + Ident B</t>
        </is>
      </c>
      <c r="M86" s="2" t="inlineStr">
        <is>
          <t>iCoA_P01-02 · Appearance &amp; Identification A/B</t>
        </is>
      </c>
      <c r="N86" s="6" t="inlineStr">
        <is>
          <t>—</t>
        </is>
      </c>
      <c r="O86" s="2" t="inlineStr">
        <is>
          <t>ППК26007, (21.01.2026) [CNP]</t>
        </is>
      </c>
      <c r="P86" s="2" t="inlineStr">
        <is>
          <t>CoQ-PP-2026-0006</t>
        </is>
      </c>
      <c r="Q86" s="2" t="inlineStr">
        <is>
          <t>iCoA-PP-2026-0006</t>
        </is>
      </c>
      <c r="R86" s="2" t="inlineStr">
        <is>
          <t>P060072|AB|I</t>
        </is>
      </c>
      <c r="S86" s="7" t="inlineStr">
        <is>
          <t>registered — preliminary date, QC sets the real date at issue</t>
        </is>
      </c>
    </row>
    <row r="87">
      <c r="A87" s="2">
        <f>IF(C87="yes",COUNT(A$1:A86)+1,"")</f>
        <v/>
      </c>
      <c r="B87" s="3">
        <f>IF(A87="","— at issue —","iCoA-PP_26-"&amp;TEXT(A87,"000"))</f>
        <v/>
      </c>
      <c r="C87" s="4" t="inlineStr">
        <is>
          <t>yes</t>
        </is>
      </c>
      <c r="D87" s="5">
        <f>IF(A87="","",E87)</f>
        <v/>
      </c>
      <c r="E87" s="5">
        <f>IF(AND(C87="yes",ISNUMBER(G87)),MAX(DATE(2026,5,13),G87),"")</f>
        <v/>
      </c>
      <c r="F87" s="5">
        <f>IFERROR(INDEX('Batch Dates'!$F:$F,MATCH(J87,'Batch Dates'!$C:$C,0)),IFERROR(INDEX('Batch Dates'!$F:$F,MATCH(I87,'Batch Dates'!$B:$B,0)),""))</f>
        <v/>
      </c>
      <c r="G87" s="5">
        <f>IFERROR(INDEX('Batch Dates'!$G:$G,MATCH(J87,'Batch Dates'!$C:$C,0)),IFERROR(INDEX('Batch Dates'!$G:$G,MATCH(I87,'Batch Dates'!$B:$B,0)),""))</f>
        <v/>
      </c>
      <c r="H87" s="2" t="inlineStr">
        <is>
          <t>initial release</t>
        </is>
      </c>
      <c r="I87" s="3" t="inlineStr">
        <is>
          <t>CJ092501</t>
        </is>
      </c>
      <c r="J87" s="2" t="inlineStr">
        <is>
          <t>P060072</t>
        </is>
      </c>
      <c r="K87" s="2" t="inlineStr">
        <is>
          <t>Cap Junky</t>
        </is>
      </c>
      <c r="L87" s="2" t="inlineStr">
        <is>
          <t>Foreign matter</t>
        </is>
      </c>
      <c r="M87" s="2" t="inlineStr">
        <is>
          <t>iCoA_P07 · Foreign matter</t>
        </is>
      </c>
      <c r="N87" s="6" t="inlineStr">
        <is>
          <t>—</t>
        </is>
      </c>
      <c r="O87" s="2" t="inlineStr">
        <is>
          <t>ППК26007, (21.01.2026) [CNP]</t>
        </is>
      </c>
      <c r="P87" s="2" t="inlineStr">
        <is>
          <t>CoQ-PP-2026-0006</t>
        </is>
      </c>
      <c r="Q87" s="2" t="inlineStr">
        <is>
          <t>iCoA-PP-2026-0006</t>
        </is>
      </c>
      <c r="R87" s="2" t="inlineStr">
        <is>
          <t>P060072|FM|I</t>
        </is>
      </c>
      <c r="S87" s="7" t="inlineStr">
        <is>
          <t>registered — preliminary date, QC sets the real date at issue</t>
        </is>
      </c>
    </row>
    <row r="88">
      <c r="A88" s="2">
        <f>IF(C88="yes",COUNT(A$1:A87)+1,"")</f>
        <v/>
      </c>
      <c r="B88" s="3">
        <f>IF(A88="","— at issue —","iCoA-PP_26-"&amp;TEXT(A88,"000"))</f>
        <v/>
      </c>
      <c r="C88" s="4" t="inlineStr">
        <is>
          <t>yes</t>
        </is>
      </c>
      <c r="D88" s="5">
        <f>IF(A88="","",E88)</f>
        <v/>
      </c>
      <c r="E88" s="5">
        <f>IF(AND(C88="yes",ISNUMBER(G88)),MAX(DATE(2026,5,13),G88),"")</f>
        <v/>
      </c>
      <c r="F88" s="5">
        <f>IFERROR(INDEX('Batch Dates'!$F:$F,MATCH(J88,'Batch Dates'!$C:$C,0)),IFERROR(INDEX('Batch Dates'!$F:$F,MATCH(I88,'Batch Dates'!$B:$B,0)),""))</f>
        <v/>
      </c>
      <c r="G88" s="5">
        <f>IFERROR(INDEX('Batch Dates'!$G:$G,MATCH(J88,'Batch Dates'!$C:$C,0)),IFERROR(INDEX('Batch Dates'!$G:$G,MATCH(I88,'Batch Dates'!$B:$B,0)),""))</f>
        <v/>
      </c>
      <c r="H88" s="2" t="inlineStr">
        <is>
          <t>initial release</t>
        </is>
      </c>
      <c r="I88" s="3" t="inlineStr">
        <is>
          <t>SJ0925021</t>
        </is>
      </c>
      <c r="J88" s="2" t="inlineStr">
        <is>
          <t>P060082</t>
        </is>
      </c>
      <c r="K88" s="2" t="inlineStr"/>
      <c r="L88" s="2" t="inlineStr">
        <is>
          <t>Ident A + Ident B</t>
        </is>
      </c>
      <c r="M88" s="2" t="inlineStr">
        <is>
          <t>iCoA_P01-02 · Appearance &amp; Identification A/B</t>
        </is>
      </c>
      <c r="N88" s="6" t="inlineStr">
        <is>
          <t>—</t>
        </is>
      </c>
      <c r="O88" s="2" t="inlineStr">
        <is>
          <t>ППК26006, (21.01.2026) [CNP]</t>
        </is>
      </c>
      <c r="P88" s="2" t="inlineStr">
        <is>
          <t>CoQ-PP-2026-0007</t>
        </is>
      </c>
      <c r="Q88" s="2" t="inlineStr">
        <is>
          <t>iCoA-PP-2026-0007</t>
        </is>
      </c>
      <c r="R88" s="2" t="inlineStr">
        <is>
          <t>P060082|AB|I</t>
        </is>
      </c>
      <c r="S88" s="7" t="inlineStr">
        <is>
          <t>registered — preliminary date, QC sets the real date at issue</t>
        </is>
      </c>
    </row>
    <row r="89">
      <c r="A89" s="2">
        <f>IF(C89="yes",COUNT(A$1:A88)+1,"")</f>
        <v/>
      </c>
      <c r="B89" s="3">
        <f>IF(A89="","— at issue —","iCoA-PP_26-"&amp;TEXT(A89,"000"))</f>
        <v/>
      </c>
      <c r="C89" s="4" t="inlineStr">
        <is>
          <t>yes</t>
        </is>
      </c>
      <c r="D89" s="5">
        <f>IF(A89="","",E89)</f>
        <v/>
      </c>
      <c r="E89" s="5">
        <f>IF(AND(C89="yes",ISNUMBER(G89)),MAX(DATE(2026,5,13),G89),"")</f>
        <v/>
      </c>
      <c r="F89" s="5">
        <f>IFERROR(INDEX('Batch Dates'!$F:$F,MATCH(J89,'Batch Dates'!$C:$C,0)),IFERROR(INDEX('Batch Dates'!$F:$F,MATCH(I89,'Batch Dates'!$B:$B,0)),""))</f>
        <v/>
      </c>
      <c r="G89" s="5">
        <f>IFERROR(INDEX('Batch Dates'!$G:$G,MATCH(J89,'Batch Dates'!$C:$C,0)),IFERROR(INDEX('Batch Dates'!$G:$G,MATCH(I89,'Batch Dates'!$B:$B,0)),""))</f>
        <v/>
      </c>
      <c r="H89" s="2" t="inlineStr">
        <is>
          <t>initial release</t>
        </is>
      </c>
      <c r="I89" s="3" t="inlineStr">
        <is>
          <t>SJ0925021</t>
        </is>
      </c>
      <c r="J89" s="2" t="inlineStr">
        <is>
          <t>P060082</t>
        </is>
      </c>
      <c r="K89" s="2" t="inlineStr"/>
      <c r="L89" s="2" t="inlineStr">
        <is>
          <t>Foreign matter</t>
        </is>
      </c>
      <c r="M89" s="2" t="inlineStr">
        <is>
          <t>iCoA_P07 · Foreign matter</t>
        </is>
      </c>
      <c r="N89" s="6" t="inlineStr">
        <is>
          <t>—</t>
        </is>
      </c>
      <c r="O89" s="2" t="inlineStr">
        <is>
          <t>ППК26006, (21.01.2026) [CNP]</t>
        </is>
      </c>
      <c r="P89" s="2" t="inlineStr">
        <is>
          <t>CoQ-PP-2026-0007</t>
        </is>
      </c>
      <c r="Q89" s="2" t="inlineStr">
        <is>
          <t>iCoA-PP-2026-0007</t>
        </is>
      </c>
      <c r="R89" s="2" t="inlineStr">
        <is>
          <t>P060082|FM|I</t>
        </is>
      </c>
      <c r="S89" s="7" t="inlineStr">
        <is>
          <t>registered — preliminary date, QC sets the real date at issue</t>
        </is>
      </c>
    </row>
    <row r="90">
      <c r="A90" s="2">
        <f>IF(C90="yes",COUNT(A$1:A89)+1,"")</f>
        <v/>
      </c>
      <c r="B90" s="3">
        <f>IF(A90="","— at issue —","iCoA-PP_26-"&amp;TEXT(A90,"000"))</f>
        <v/>
      </c>
      <c r="C90" s="4" t="inlineStr">
        <is>
          <t>yes</t>
        </is>
      </c>
      <c r="D90" s="5">
        <f>IF(A90="","",E90)</f>
        <v/>
      </c>
      <c r="E90" s="5">
        <f>IF(AND(C90="yes",ISNUMBER(G90)),MAX(DATE(2026,5,13),G90),"")</f>
        <v/>
      </c>
      <c r="F90" s="5">
        <f>IFERROR(INDEX('Batch Dates'!$F:$F,MATCH(J90,'Batch Dates'!$C:$C,0)),IFERROR(INDEX('Batch Dates'!$F:$F,MATCH(I90,'Batch Dates'!$B:$B,0)),""))</f>
        <v/>
      </c>
      <c r="G90" s="5">
        <f>IFERROR(INDEX('Batch Dates'!$G:$G,MATCH(J90,'Batch Dates'!$C:$C,0)),IFERROR(INDEX('Batch Dates'!$G:$G,MATCH(I90,'Batch Dates'!$B:$B,0)),""))</f>
        <v/>
      </c>
      <c r="H90" s="2" t="inlineStr">
        <is>
          <t>initial release</t>
        </is>
      </c>
      <c r="I90" s="3" t="inlineStr">
        <is>
          <t>GP092501</t>
        </is>
      </c>
      <c r="J90" s="2" t="inlineStr">
        <is>
          <t>P060092</t>
        </is>
      </c>
      <c r="K90" s="2" t="inlineStr">
        <is>
          <t>Grape Pie</t>
        </is>
      </c>
      <c r="L90" s="2" t="inlineStr">
        <is>
          <t>Ident A + Ident B</t>
        </is>
      </c>
      <c r="M90" s="2" t="inlineStr">
        <is>
          <t>iCoA_P01-02 · Appearance &amp; Identification A/B</t>
        </is>
      </c>
      <c r="N90" s="6" t="inlineStr">
        <is>
          <t>—</t>
        </is>
      </c>
      <c r="O90" s="2" t="inlineStr">
        <is>
          <t>ППК26009, (21.01.2026) [CNP]</t>
        </is>
      </c>
      <c r="P90" s="2" t="inlineStr">
        <is>
          <t>CoQ-PP-2026-0008</t>
        </is>
      </c>
      <c r="Q90" s="2" t="inlineStr">
        <is>
          <t>iCoA-PP-2026-0008</t>
        </is>
      </c>
      <c r="R90" s="2" t="inlineStr">
        <is>
          <t>P060092|AB|I</t>
        </is>
      </c>
      <c r="S90" s="7" t="inlineStr">
        <is>
          <t>registered — preliminary date, QC sets the real date at issue</t>
        </is>
      </c>
    </row>
    <row r="91">
      <c r="A91" s="2">
        <f>IF(C91="yes",COUNT(A$1:A90)+1,"")</f>
        <v/>
      </c>
      <c r="B91" s="3">
        <f>IF(A91="","— at issue —","iCoA-PP_26-"&amp;TEXT(A91,"000"))</f>
        <v/>
      </c>
      <c r="C91" s="4" t="inlineStr">
        <is>
          <t>yes</t>
        </is>
      </c>
      <c r="D91" s="5">
        <f>IF(A91="","",E91)</f>
        <v/>
      </c>
      <c r="E91" s="5">
        <f>IF(AND(C91="yes",ISNUMBER(G91)),MAX(DATE(2026,5,13),G91),"")</f>
        <v/>
      </c>
      <c r="F91" s="5">
        <f>IFERROR(INDEX('Batch Dates'!$F:$F,MATCH(J91,'Batch Dates'!$C:$C,0)),IFERROR(INDEX('Batch Dates'!$F:$F,MATCH(I91,'Batch Dates'!$B:$B,0)),""))</f>
        <v/>
      </c>
      <c r="G91" s="5">
        <f>IFERROR(INDEX('Batch Dates'!$G:$G,MATCH(J91,'Batch Dates'!$C:$C,0)),IFERROR(INDEX('Batch Dates'!$G:$G,MATCH(I91,'Batch Dates'!$B:$B,0)),""))</f>
        <v/>
      </c>
      <c r="H91" s="2" t="inlineStr">
        <is>
          <t>initial release</t>
        </is>
      </c>
      <c r="I91" s="3" t="inlineStr">
        <is>
          <t>GP092501</t>
        </is>
      </c>
      <c r="J91" s="2" t="inlineStr">
        <is>
          <t>P060092</t>
        </is>
      </c>
      <c r="K91" s="2" t="inlineStr">
        <is>
          <t>Grape Pie</t>
        </is>
      </c>
      <c r="L91" s="2" t="inlineStr">
        <is>
          <t>Foreign matter</t>
        </is>
      </c>
      <c r="M91" s="2" t="inlineStr">
        <is>
          <t>iCoA_P07 · Foreign matter</t>
        </is>
      </c>
      <c r="N91" s="6" t="inlineStr">
        <is>
          <t>—</t>
        </is>
      </c>
      <c r="O91" s="2" t="inlineStr">
        <is>
          <t>ППК26009, (21.01.2026) [CNP]</t>
        </is>
      </c>
      <c r="P91" s="2" t="inlineStr">
        <is>
          <t>CoQ-PP-2026-0008</t>
        </is>
      </c>
      <c r="Q91" s="2" t="inlineStr">
        <is>
          <t>iCoA-PP-2026-0008</t>
        </is>
      </c>
      <c r="R91" s="2" t="inlineStr">
        <is>
          <t>P060092|FM|I</t>
        </is>
      </c>
      <c r="S91" s="7" t="inlineStr">
        <is>
          <t>registered — preliminary date, QC sets the real date at issue</t>
        </is>
      </c>
    </row>
    <row r="92">
      <c r="A92" s="2">
        <f>IF(C92="yes",COUNT(A$1:A91)+1,"")</f>
        <v/>
      </c>
      <c r="B92" s="3">
        <f>IF(A92="","— at issue —","iCoA-PP_26-"&amp;TEXT(A92,"000"))</f>
        <v/>
      </c>
      <c r="C92" s="4" t="inlineStr">
        <is>
          <t>yes</t>
        </is>
      </c>
      <c r="D92" s="5">
        <f>IF(A92="","",E92)</f>
        <v/>
      </c>
      <c r="E92" s="5">
        <f>IF(AND(C92="yes",ISNUMBER(G92)),MAX(DATE(2026,5,13),G92),"")</f>
        <v/>
      </c>
      <c r="F92" s="5">
        <f>IFERROR(INDEX('Batch Dates'!$F:$F,MATCH(J92,'Batch Dates'!$C:$C,0)),IFERROR(INDEX('Batch Dates'!$F:$F,MATCH(I92,'Batch Dates'!$B:$B,0)),""))</f>
        <v/>
      </c>
      <c r="G92" s="5">
        <f>IFERROR(INDEX('Batch Dates'!$G:$G,MATCH(J92,'Batch Dates'!$C:$C,0)),IFERROR(INDEX('Batch Dates'!$G:$G,MATCH(I92,'Batch Dates'!$B:$B,0)),""))</f>
        <v/>
      </c>
      <c r="H92" s="2" t="inlineStr">
        <is>
          <t>initial release</t>
        </is>
      </c>
      <c r="I92" s="3" t="inlineStr">
        <is>
          <t>WED102501 (from the list)</t>
        </is>
      </c>
      <c r="J92" s="2" t="inlineStr">
        <is>
          <t>P060102</t>
        </is>
      </c>
      <c r="K92" s="2" t="inlineStr">
        <is>
          <t>Wedding Cake</t>
        </is>
      </c>
      <c r="L92" s="2" t="inlineStr">
        <is>
          <t>Ident A + Ident B</t>
        </is>
      </c>
      <c r="M92" s="2" t="inlineStr">
        <is>
          <t>iCoA_P01-02 · Appearance &amp; Identification A/B</t>
        </is>
      </c>
      <c r="N92" s="6" t="inlineStr">
        <is>
          <t>—</t>
        </is>
      </c>
      <c r="O92" s="6" t="inlineStr">
        <is>
          <t>— no cannabinoid certificate —</t>
        </is>
      </c>
      <c r="P92" s="2" t="inlineStr">
        <is>
          <t>— not in the issuance plan —</t>
        </is>
      </c>
      <c r="Q92" s="6" t="inlineStr">
        <is>
          <t>—</t>
        </is>
      </c>
      <c r="R92" s="2" t="inlineStr">
        <is>
          <t>P060102|AB|I</t>
        </is>
      </c>
      <c r="S92" s="7" t="inlineStr">
        <is>
          <t>registered — preliminary date, QC sets the real date at issue</t>
        </is>
      </c>
    </row>
    <row r="93">
      <c r="A93" s="2">
        <f>IF(C93="yes",COUNT(A$1:A92)+1,"")</f>
        <v/>
      </c>
      <c r="B93" s="3">
        <f>IF(A93="","— at issue —","iCoA-PP_26-"&amp;TEXT(A93,"000"))</f>
        <v/>
      </c>
      <c r="C93" s="4" t="inlineStr">
        <is>
          <t>yes</t>
        </is>
      </c>
      <c r="D93" s="5">
        <f>IF(A93="","",E93)</f>
        <v/>
      </c>
      <c r="E93" s="5">
        <f>IF(AND(C93="yes",ISNUMBER(G93)),MAX(DATE(2026,5,13),G93),"")</f>
        <v/>
      </c>
      <c r="F93" s="5">
        <f>IFERROR(INDEX('Batch Dates'!$F:$F,MATCH(J93,'Batch Dates'!$C:$C,0)),IFERROR(INDEX('Batch Dates'!$F:$F,MATCH(I93,'Batch Dates'!$B:$B,0)),""))</f>
        <v/>
      </c>
      <c r="G93" s="5">
        <f>IFERROR(INDEX('Batch Dates'!$G:$G,MATCH(J93,'Batch Dates'!$C:$C,0)),IFERROR(INDEX('Batch Dates'!$G:$G,MATCH(I93,'Batch Dates'!$B:$B,0)),""))</f>
        <v/>
      </c>
      <c r="H93" s="2" t="inlineStr">
        <is>
          <t>initial release</t>
        </is>
      </c>
      <c r="I93" s="3" t="inlineStr">
        <is>
          <t>WED102501 (from the list)</t>
        </is>
      </c>
      <c r="J93" s="2" t="inlineStr">
        <is>
          <t>P060102</t>
        </is>
      </c>
      <c r="K93" s="2" t="inlineStr">
        <is>
          <t>Wedding Cake</t>
        </is>
      </c>
      <c r="L93" s="2" t="inlineStr">
        <is>
          <t>Foreign matter</t>
        </is>
      </c>
      <c r="M93" s="2" t="inlineStr">
        <is>
          <t>iCoA_P07 · Foreign matter</t>
        </is>
      </c>
      <c r="N93" s="6" t="inlineStr">
        <is>
          <t>—</t>
        </is>
      </c>
      <c r="O93" s="6" t="inlineStr">
        <is>
          <t>— no cannabinoid certificate —</t>
        </is>
      </c>
      <c r="P93" s="2" t="inlineStr">
        <is>
          <t>— not in the issuance plan —</t>
        </is>
      </c>
      <c r="Q93" s="6" t="inlineStr">
        <is>
          <t>—</t>
        </is>
      </c>
      <c r="R93" s="2" t="inlineStr">
        <is>
          <t>P060102|FM|I</t>
        </is>
      </c>
      <c r="S93" s="7" t="inlineStr">
        <is>
          <t>registered — preliminary date, QC sets the real date at issue</t>
        </is>
      </c>
    </row>
    <row r="94">
      <c r="A94" s="2">
        <f>IF(C94="yes",COUNT(A$1:A93)+1,"")</f>
        <v/>
      </c>
      <c r="B94" s="3">
        <f>IF(A94="","— at issue —","iCoA-PP_26-"&amp;TEXT(A94,"000"))</f>
        <v/>
      </c>
      <c r="C94" s="4" t="inlineStr">
        <is>
          <t>yes</t>
        </is>
      </c>
      <c r="D94" s="5">
        <f>IF(A94="","",E94)</f>
        <v/>
      </c>
      <c r="E94" s="5">
        <f>IF(AND(C94="yes",ISNUMBER(G94)),MAX(DATE(2026,5,13),G94),"")</f>
        <v/>
      </c>
      <c r="F94" s="5">
        <f>IFERROR(INDEX('Batch Dates'!$F:$F,MATCH(J94,'Batch Dates'!$C:$C,0)),IFERROR(INDEX('Batch Dates'!$F:$F,MATCH(I94,'Batch Dates'!$B:$B,0)),""))</f>
        <v/>
      </c>
      <c r="G94" s="5">
        <f>IFERROR(INDEX('Batch Dates'!$G:$G,MATCH(J94,'Batch Dates'!$C:$C,0)),IFERROR(INDEX('Batch Dates'!$G:$G,MATCH(I94,'Batch Dates'!$B:$B,0)),""))</f>
        <v/>
      </c>
      <c r="H94" s="2" t="inlineStr">
        <is>
          <t>initial release</t>
        </is>
      </c>
      <c r="I94" s="3" t="inlineStr">
        <is>
          <t>GRC102501</t>
        </is>
      </c>
      <c r="J94" s="2" t="inlineStr">
        <is>
          <t>P060142</t>
        </is>
      </c>
      <c r="K94" s="2" t="inlineStr">
        <is>
          <t>Graps &amp; Creme</t>
        </is>
      </c>
      <c r="L94" s="2" t="inlineStr">
        <is>
          <t>Ident A + Ident B</t>
        </is>
      </c>
      <c r="M94" s="2" t="inlineStr">
        <is>
          <t>iCoA_P01-02 · Appearance &amp; Identification A/B</t>
        </is>
      </c>
      <c r="N94" s="6" t="inlineStr">
        <is>
          <t>—</t>
        </is>
      </c>
      <c r="O94" s="2" t="inlineStr">
        <is>
          <t>051-6-K-26, (04.03.2026) [FHM-K]</t>
        </is>
      </c>
      <c r="P94" s="2" t="inlineStr">
        <is>
          <t>— not in the issuance plan —</t>
        </is>
      </c>
      <c r="Q94" s="6" t="inlineStr">
        <is>
          <t>—</t>
        </is>
      </c>
      <c r="R94" s="2" t="inlineStr">
        <is>
          <t>P060142|AB|I</t>
        </is>
      </c>
      <c r="S94" s="7" t="inlineStr">
        <is>
          <t>registered — preliminary date, QC sets the real date at issue</t>
        </is>
      </c>
    </row>
    <row r="95">
      <c r="A95" s="2">
        <f>IF(C95="yes",COUNT(A$1:A94)+1,"")</f>
        <v/>
      </c>
      <c r="B95" s="3">
        <f>IF(A95="","— at issue —","iCoA-PP_26-"&amp;TEXT(A95,"000"))</f>
        <v/>
      </c>
      <c r="C95" s="4" t="inlineStr">
        <is>
          <t>yes</t>
        </is>
      </c>
      <c r="D95" s="5">
        <f>IF(A95="","",E95)</f>
        <v/>
      </c>
      <c r="E95" s="5">
        <f>IF(AND(C95="yes",ISNUMBER(G95)),MAX(DATE(2026,5,13),G95),"")</f>
        <v/>
      </c>
      <c r="F95" s="5">
        <f>IFERROR(INDEX('Batch Dates'!$F:$F,MATCH(J95,'Batch Dates'!$C:$C,0)),IFERROR(INDEX('Batch Dates'!$F:$F,MATCH(I95,'Batch Dates'!$B:$B,0)),""))</f>
        <v/>
      </c>
      <c r="G95" s="5">
        <f>IFERROR(INDEX('Batch Dates'!$G:$G,MATCH(J95,'Batch Dates'!$C:$C,0)),IFERROR(INDEX('Batch Dates'!$G:$G,MATCH(I95,'Batch Dates'!$B:$B,0)),""))</f>
        <v/>
      </c>
      <c r="H95" s="2" t="inlineStr">
        <is>
          <t>initial release</t>
        </is>
      </c>
      <c r="I95" s="3" t="inlineStr">
        <is>
          <t>GRC102501</t>
        </is>
      </c>
      <c r="J95" s="2" t="inlineStr">
        <is>
          <t>P060142</t>
        </is>
      </c>
      <c r="K95" s="2" t="inlineStr">
        <is>
          <t>Graps &amp; Creme</t>
        </is>
      </c>
      <c r="L95" s="2" t="inlineStr">
        <is>
          <t>Foreign matter</t>
        </is>
      </c>
      <c r="M95" s="2" t="inlineStr">
        <is>
          <t>iCoA_P07 · Foreign matter</t>
        </is>
      </c>
      <c r="N95" s="6" t="inlineStr">
        <is>
          <t>—</t>
        </is>
      </c>
      <c r="O95" s="2" t="inlineStr">
        <is>
          <t>051-6-K-26, (04.03.2026) [FHM-K]</t>
        </is>
      </c>
      <c r="P95" s="2" t="inlineStr">
        <is>
          <t>— not in the issuance plan —</t>
        </is>
      </c>
      <c r="Q95" s="6" t="inlineStr">
        <is>
          <t>—</t>
        </is>
      </c>
      <c r="R95" s="2" t="inlineStr">
        <is>
          <t>P060142|FM|I</t>
        </is>
      </c>
      <c r="S95" s="7" t="inlineStr">
        <is>
          <t>registered — preliminary date, QC sets the real date at issue</t>
        </is>
      </c>
    </row>
    <row r="96">
      <c r="A96" s="2">
        <f>IF(C96="yes",COUNT(A$1:A95)+1,"")</f>
        <v/>
      </c>
      <c r="B96" s="3">
        <f>IF(A96="","— at issue —","iCoA-PP_26-"&amp;TEXT(A96,"000"))</f>
        <v/>
      </c>
      <c r="C96" s="4" t="inlineStr">
        <is>
          <t>yes</t>
        </is>
      </c>
      <c r="D96" s="5">
        <f>IF(A96="","",E96)</f>
        <v/>
      </c>
      <c r="E96" s="5">
        <f>IF(AND(C96="yes",ISNUMBER(G96)),MAX(DATE(2026,5,13),G96),"")</f>
        <v/>
      </c>
      <c r="F96" s="5">
        <f>IFERROR(INDEX('Batch Dates'!$F:$F,MATCH(J96,'Batch Dates'!$C:$C,0)),IFERROR(INDEX('Batch Dates'!$F:$F,MATCH(I96,'Batch Dates'!$B:$B,0)),""))</f>
        <v/>
      </c>
      <c r="G96" s="5">
        <f>IFERROR(INDEX('Batch Dates'!$G:$G,MATCH(J96,'Batch Dates'!$C:$C,0)),IFERROR(INDEX('Batch Dates'!$G:$G,MATCH(I96,'Batch Dates'!$B:$B,0)),""))</f>
        <v/>
      </c>
      <c r="H96" s="2" t="inlineStr">
        <is>
          <t>initial release</t>
        </is>
      </c>
      <c r="I96" s="3" t="inlineStr">
        <is>
          <t>J31102501</t>
        </is>
      </c>
      <c r="J96" s="2" t="inlineStr">
        <is>
          <t>P060152</t>
        </is>
      </c>
      <c r="K96" s="2" t="inlineStr">
        <is>
          <t>Jokerz 31</t>
        </is>
      </c>
      <c r="L96" s="2" t="inlineStr">
        <is>
          <t>Ident A + Ident B</t>
        </is>
      </c>
      <c r="M96" s="2" t="inlineStr">
        <is>
          <t>iCoA_P01-02 · Appearance &amp; Identification A/B</t>
        </is>
      </c>
      <c r="N96" s="6" t="inlineStr">
        <is>
          <t>—</t>
        </is>
      </c>
      <c r="O96" s="2" t="inlineStr">
        <is>
          <t>051-1-K-26, (04.03.2026) [FHM-K]</t>
        </is>
      </c>
      <c r="P96" s="2" t="inlineStr">
        <is>
          <t>CoQ-PP-2026-0012</t>
        </is>
      </c>
      <c r="Q96" s="2" t="inlineStr">
        <is>
          <t>iCoA-PP-2026-0012</t>
        </is>
      </c>
      <c r="R96" s="2" t="inlineStr">
        <is>
          <t>P060152|AB|I</t>
        </is>
      </c>
      <c r="S96" s="7" t="inlineStr">
        <is>
          <t>registered — preliminary date, QC sets the real date at issue</t>
        </is>
      </c>
    </row>
    <row r="97">
      <c r="A97" s="2">
        <f>IF(C97="yes",COUNT(A$1:A96)+1,"")</f>
        <v/>
      </c>
      <c r="B97" s="3">
        <f>IF(A97="","— at issue —","iCoA-PP_26-"&amp;TEXT(A97,"000"))</f>
        <v/>
      </c>
      <c r="C97" s="4" t="inlineStr">
        <is>
          <t>yes</t>
        </is>
      </c>
      <c r="D97" s="5">
        <f>IF(A97="","",E97)</f>
        <v/>
      </c>
      <c r="E97" s="5">
        <f>IF(AND(C97="yes",ISNUMBER(G97)),MAX(DATE(2026,5,13),G97),"")</f>
        <v/>
      </c>
      <c r="F97" s="5">
        <f>IFERROR(INDEX('Batch Dates'!$F:$F,MATCH(J97,'Batch Dates'!$C:$C,0)),IFERROR(INDEX('Batch Dates'!$F:$F,MATCH(I97,'Batch Dates'!$B:$B,0)),""))</f>
        <v/>
      </c>
      <c r="G97" s="5">
        <f>IFERROR(INDEX('Batch Dates'!$G:$G,MATCH(J97,'Batch Dates'!$C:$C,0)),IFERROR(INDEX('Batch Dates'!$G:$G,MATCH(I97,'Batch Dates'!$B:$B,0)),""))</f>
        <v/>
      </c>
      <c r="H97" s="2" t="inlineStr">
        <is>
          <t>initial release</t>
        </is>
      </c>
      <c r="I97" s="3" t="inlineStr">
        <is>
          <t>J31102501</t>
        </is>
      </c>
      <c r="J97" s="2" t="inlineStr">
        <is>
          <t>P060152</t>
        </is>
      </c>
      <c r="K97" s="2" t="inlineStr">
        <is>
          <t>Jokerz 31</t>
        </is>
      </c>
      <c r="L97" s="2" t="inlineStr">
        <is>
          <t>Foreign matter</t>
        </is>
      </c>
      <c r="M97" s="2" t="inlineStr">
        <is>
          <t>iCoA_P07 · Foreign matter</t>
        </is>
      </c>
      <c r="N97" s="6" t="inlineStr">
        <is>
          <t>—</t>
        </is>
      </c>
      <c r="O97" s="2" t="inlineStr">
        <is>
          <t>051-1-K-26, (04.03.2026) [FHM-K]</t>
        </is>
      </c>
      <c r="P97" s="2" t="inlineStr">
        <is>
          <t>CoQ-PP-2026-0012</t>
        </is>
      </c>
      <c r="Q97" s="2" t="inlineStr">
        <is>
          <t>iCoA-PP-2026-0012</t>
        </is>
      </c>
      <c r="R97" s="2" t="inlineStr">
        <is>
          <t>P060152|FM|I</t>
        </is>
      </c>
      <c r="S97" s="7" t="inlineStr">
        <is>
          <t>registered — preliminary date, QC sets the real date at issue</t>
        </is>
      </c>
    </row>
    <row r="98">
      <c r="A98" s="2">
        <f>IF(C98="yes",COUNT(A$1:A97)+1,"")</f>
        <v/>
      </c>
      <c r="B98" s="3">
        <f>IF(A98="","— at issue —","iCoA-PP_26-"&amp;TEXT(A98,"000"))</f>
        <v/>
      </c>
      <c r="C98" s="4" t="inlineStr">
        <is>
          <t>yes</t>
        </is>
      </c>
      <c r="D98" s="5">
        <f>IF(A98="","",E98)</f>
        <v/>
      </c>
      <c r="E98" s="5">
        <f>IF(AND(C98="yes",ISNUMBER(G98)),MAX(DATE(2026,5,13),G98),"")</f>
        <v/>
      </c>
      <c r="F98" s="5">
        <f>IFERROR(INDEX('Batch Dates'!$F:$F,MATCH(J98,'Batch Dates'!$C:$C,0)),IFERROR(INDEX('Batch Dates'!$F:$F,MATCH(I98,'Batch Dates'!$B:$B,0)),""))</f>
        <v/>
      </c>
      <c r="G98" s="5">
        <f>IFERROR(INDEX('Batch Dates'!$G:$G,MATCH(J98,'Batch Dates'!$C:$C,0)),IFERROR(INDEX('Batch Dates'!$G:$G,MATCH(I98,'Batch Dates'!$B:$B,0)),""))</f>
        <v/>
      </c>
      <c r="H98" s="2" t="inlineStr">
        <is>
          <t>initial release</t>
        </is>
      </c>
      <c r="I98" s="3" t="inlineStr">
        <is>
          <t>SJ102501</t>
        </is>
      </c>
      <c r="J98" s="2" t="inlineStr">
        <is>
          <t>P060162</t>
        </is>
      </c>
      <c r="K98" s="2" t="inlineStr">
        <is>
          <t>Sleepy Joe</t>
        </is>
      </c>
      <c r="L98" s="2" t="inlineStr">
        <is>
          <t>Ident A + Ident B</t>
        </is>
      </c>
      <c r="M98" s="2" t="inlineStr">
        <is>
          <t>iCoA_P01-02 · Appearance &amp; Identification A/B</t>
        </is>
      </c>
      <c r="N98" s="6" t="inlineStr">
        <is>
          <t>—</t>
        </is>
      </c>
      <c r="O98" s="2" t="inlineStr">
        <is>
          <t>051-3-K-26, (04.03.2026) [FHM-K]</t>
        </is>
      </c>
      <c r="P98" s="2" t="inlineStr">
        <is>
          <t>(assigned on issue)</t>
        </is>
      </c>
      <c r="Q98" s="6" t="inlineStr">
        <is>
          <t>—</t>
        </is>
      </c>
      <c r="R98" s="2" t="inlineStr">
        <is>
          <t>P060162|AB|I</t>
        </is>
      </c>
      <c r="S98" s="7" t="inlineStr">
        <is>
          <t>registered — preliminary date, QC sets the real date at issue</t>
        </is>
      </c>
    </row>
    <row r="99">
      <c r="A99" s="2">
        <f>IF(C99="yes",COUNT(A$1:A98)+1,"")</f>
        <v/>
      </c>
      <c r="B99" s="3">
        <f>IF(A99="","— at issue —","iCoA-PP_26-"&amp;TEXT(A99,"000"))</f>
        <v/>
      </c>
      <c r="C99" s="4" t="inlineStr">
        <is>
          <t>yes</t>
        </is>
      </c>
      <c r="D99" s="5">
        <f>IF(A99="","",E99)</f>
        <v/>
      </c>
      <c r="E99" s="5">
        <f>IF(AND(C99="yes",ISNUMBER(G99)),MAX(DATE(2026,5,13),G99),"")</f>
        <v/>
      </c>
      <c r="F99" s="5">
        <f>IFERROR(INDEX('Batch Dates'!$F:$F,MATCH(J99,'Batch Dates'!$C:$C,0)),IFERROR(INDEX('Batch Dates'!$F:$F,MATCH(I99,'Batch Dates'!$B:$B,0)),""))</f>
        <v/>
      </c>
      <c r="G99" s="5">
        <f>IFERROR(INDEX('Batch Dates'!$G:$G,MATCH(J99,'Batch Dates'!$C:$C,0)),IFERROR(INDEX('Batch Dates'!$G:$G,MATCH(I99,'Batch Dates'!$B:$B,0)),""))</f>
        <v/>
      </c>
      <c r="H99" s="2" t="inlineStr">
        <is>
          <t>initial release</t>
        </is>
      </c>
      <c r="I99" s="3" t="inlineStr">
        <is>
          <t>SJ102501</t>
        </is>
      </c>
      <c r="J99" s="2" t="inlineStr">
        <is>
          <t>P060162</t>
        </is>
      </c>
      <c r="K99" s="2" t="inlineStr">
        <is>
          <t>Sleepy Joe</t>
        </is>
      </c>
      <c r="L99" s="2" t="inlineStr">
        <is>
          <t>Foreign matter</t>
        </is>
      </c>
      <c r="M99" s="2" t="inlineStr">
        <is>
          <t>iCoA_P07 · Foreign matter</t>
        </is>
      </c>
      <c r="N99" s="6" t="inlineStr">
        <is>
          <t>—</t>
        </is>
      </c>
      <c r="O99" s="2" t="inlineStr">
        <is>
          <t>051-3-K-26, (04.03.2026) [FHM-K]</t>
        </is>
      </c>
      <c r="P99" s="2" t="inlineStr">
        <is>
          <t>(assigned on issue)</t>
        </is>
      </c>
      <c r="Q99" s="6" t="inlineStr">
        <is>
          <t>—</t>
        </is>
      </c>
      <c r="R99" s="2" t="inlineStr">
        <is>
          <t>P060162|FM|I</t>
        </is>
      </c>
      <c r="S99" s="7" t="inlineStr">
        <is>
          <t>registered — preliminary date, QC sets the real date at issue</t>
        </is>
      </c>
    </row>
    <row r="100">
      <c r="A100" s="2">
        <f>IF(C100="yes",COUNT(A$1:A99)+1,"")</f>
        <v/>
      </c>
      <c r="B100" s="3">
        <f>IF(A100="","— at issue —","iCoA-PP_26-"&amp;TEXT(A100,"000"))</f>
        <v/>
      </c>
      <c r="C100" s="4" t="inlineStr">
        <is>
          <t>yes</t>
        </is>
      </c>
      <c r="D100" s="5">
        <f>IF(A100="","",E100)</f>
        <v/>
      </c>
      <c r="E100" s="5">
        <f>IF(AND(C100="yes",ISNUMBER(G100)),MAX(DATE(2026,5,13),G100),"")</f>
        <v/>
      </c>
      <c r="F100" s="5">
        <f>IFERROR(INDEX('Batch Dates'!$F:$F,MATCH(J100,'Batch Dates'!$C:$C,0)),IFERROR(INDEX('Batch Dates'!$F:$F,MATCH(I100,'Batch Dates'!$B:$B,0)),""))</f>
        <v/>
      </c>
      <c r="G100" s="5">
        <f>IFERROR(INDEX('Batch Dates'!$G:$G,MATCH(J100,'Batch Dates'!$C:$C,0)),IFERROR(INDEX('Batch Dates'!$G:$G,MATCH(I100,'Batch Dates'!$B:$B,0)),""))</f>
        <v/>
      </c>
      <c r="H100" s="2" t="inlineStr">
        <is>
          <t>initial release</t>
        </is>
      </c>
      <c r="I100" s="3" t="inlineStr">
        <is>
          <t>KC102501</t>
        </is>
      </c>
      <c r="J100" s="2" t="inlineStr">
        <is>
          <t>P060172</t>
        </is>
      </c>
      <c r="K100" s="2" t="inlineStr">
        <is>
          <t>Kush Crasher</t>
        </is>
      </c>
      <c r="L100" s="2" t="inlineStr">
        <is>
          <t>Ident A + Ident B</t>
        </is>
      </c>
      <c r="M100" s="2" t="inlineStr">
        <is>
          <t>iCoA_P01-02 · Appearance &amp; Identification A/B</t>
        </is>
      </c>
      <c r="N100" s="6" t="inlineStr">
        <is>
          <t>—</t>
        </is>
      </c>
      <c r="O100" s="2" t="inlineStr">
        <is>
          <t>051-4-K-26, (04.03.2026) [FHM-K]</t>
        </is>
      </c>
      <c r="P100" s="2" t="inlineStr">
        <is>
          <t>CoQ-PP-2026-0013</t>
        </is>
      </c>
      <c r="Q100" s="2" t="inlineStr">
        <is>
          <t>iCoA-PP-2026-0013</t>
        </is>
      </c>
      <c r="R100" s="2" t="inlineStr">
        <is>
          <t>P060172|AB|I</t>
        </is>
      </c>
      <c r="S100" s="7" t="inlineStr">
        <is>
          <t>registered — preliminary date, QC sets the real date at issue</t>
        </is>
      </c>
    </row>
    <row r="101">
      <c r="A101" s="2">
        <f>IF(C101="yes",COUNT(A$1:A100)+1,"")</f>
        <v/>
      </c>
      <c r="B101" s="3">
        <f>IF(A101="","— at issue —","iCoA-PP_26-"&amp;TEXT(A101,"000"))</f>
        <v/>
      </c>
      <c r="C101" s="4" t="inlineStr">
        <is>
          <t>yes</t>
        </is>
      </c>
      <c r="D101" s="5">
        <f>IF(A101="","",E101)</f>
        <v/>
      </c>
      <c r="E101" s="5">
        <f>IF(AND(C101="yes",ISNUMBER(G101)),MAX(DATE(2026,5,13),G101),"")</f>
        <v/>
      </c>
      <c r="F101" s="5">
        <f>IFERROR(INDEX('Batch Dates'!$F:$F,MATCH(J101,'Batch Dates'!$C:$C,0)),IFERROR(INDEX('Batch Dates'!$F:$F,MATCH(I101,'Batch Dates'!$B:$B,0)),""))</f>
        <v/>
      </c>
      <c r="G101" s="5">
        <f>IFERROR(INDEX('Batch Dates'!$G:$G,MATCH(J101,'Batch Dates'!$C:$C,0)),IFERROR(INDEX('Batch Dates'!$G:$G,MATCH(I101,'Batch Dates'!$B:$B,0)),""))</f>
        <v/>
      </c>
      <c r="H101" s="2" t="inlineStr">
        <is>
          <t>initial release</t>
        </is>
      </c>
      <c r="I101" s="3" t="inlineStr">
        <is>
          <t>KC102501</t>
        </is>
      </c>
      <c r="J101" s="2" t="inlineStr">
        <is>
          <t>P060172</t>
        </is>
      </c>
      <c r="K101" s="2" t="inlineStr">
        <is>
          <t>Kush Crasher</t>
        </is>
      </c>
      <c r="L101" s="2" t="inlineStr">
        <is>
          <t>Foreign matter</t>
        </is>
      </c>
      <c r="M101" s="2" t="inlineStr">
        <is>
          <t>iCoA_P07 · Foreign matter</t>
        </is>
      </c>
      <c r="N101" s="6" t="inlineStr">
        <is>
          <t>—</t>
        </is>
      </c>
      <c r="O101" s="2" t="inlineStr">
        <is>
          <t>051-4-K-26, (04.03.2026) [FHM-K]</t>
        </is>
      </c>
      <c r="P101" s="2" t="inlineStr">
        <is>
          <t>CoQ-PP-2026-0013</t>
        </is>
      </c>
      <c r="Q101" s="2" t="inlineStr">
        <is>
          <t>iCoA-PP-2026-0013</t>
        </is>
      </c>
      <c r="R101" s="2" t="inlineStr">
        <is>
          <t>P060172|FM|I</t>
        </is>
      </c>
      <c r="S101" s="7" t="inlineStr">
        <is>
          <t>registered — preliminary date, QC sets the real date at issue</t>
        </is>
      </c>
    </row>
    <row r="102">
      <c r="A102" s="2">
        <f>IF(C102="yes",COUNT(A$1:A101)+1,"")</f>
        <v/>
      </c>
      <c r="B102" s="3">
        <f>IF(A102="","— at issue —","iCoA-PP_26-"&amp;TEXT(A102,"000"))</f>
        <v/>
      </c>
      <c r="C102" s="4" t="inlineStr">
        <is>
          <t>yes</t>
        </is>
      </c>
      <c r="D102" s="5">
        <f>IF(A102="","",E102)</f>
        <v/>
      </c>
      <c r="E102" s="5">
        <f>IF(AND(C102="yes",ISNUMBER(G102)),MAX(DATE(2026,5,13),G102),"")</f>
        <v/>
      </c>
      <c r="F102" s="5">
        <f>IFERROR(INDEX('Batch Dates'!$F:$F,MATCH(J102,'Batch Dates'!$C:$C,0)),IFERROR(INDEX('Batch Dates'!$F:$F,MATCH(I102,'Batch Dates'!$B:$B,0)),""))</f>
        <v/>
      </c>
      <c r="G102" s="5">
        <f>IFERROR(INDEX('Batch Dates'!$G:$G,MATCH(J102,'Batch Dates'!$C:$C,0)),IFERROR(INDEX('Batch Dates'!$G:$G,MATCH(I102,'Batch Dates'!$B:$B,0)),""))</f>
        <v/>
      </c>
      <c r="H102" s="2" t="inlineStr">
        <is>
          <t>initial release</t>
        </is>
      </c>
      <c r="I102" s="3" t="inlineStr">
        <is>
          <t>GRC102501</t>
        </is>
      </c>
      <c r="J102" s="2" t="inlineStr">
        <is>
          <t>P060182</t>
        </is>
      </c>
      <c r="K102" s="2" t="inlineStr">
        <is>
          <t>Graps &amp; Creme</t>
        </is>
      </c>
      <c r="L102" s="2" t="inlineStr">
        <is>
          <t>Ident A + Ident B</t>
        </is>
      </c>
      <c r="M102" s="2" t="inlineStr">
        <is>
          <t>iCoA_P01-02 · Appearance &amp; Identification A/B</t>
        </is>
      </c>
      <c r="N102" s="6" t="inlineStr">
        <is>
          <t>—</t>
        </is>
      </c>
      <c r="O102" s="2" t="inlineStr">
        <is>
          <t>051-6-K-26, (04.03.2026) [FHM-K]</t>
        </is>
      </c>
      <c r="P102" s="2" t="inlineStr">
        <is>
          <t>CoQ-PP-2026-0014</t>
        </is>
      </c>
      <c r="Q102" s="2" t="inlineStr">
        <is>
          <t>iCoA-PP-2026-0014</t>
        </is>
      </c>
      <c r="R102" s="2" t="inlineStr">
        <is>
          <t>P060182|AB|I</t>
        </is>
      </c>
      <c r="S102" s="7" t="inlineStr">
        <is>
          <t>registered — preliminary date, QC sets the real date at issue</t>
        </is>
      </c>
    </row>
    <row r="103">
      <c r="A103" s="2">
        <f>IF(C103="yes",COUNT(A$1:A102)+1,"")</f>
        <v/>
      </c>
      <c r="B103" s="3">
        <f>IF(A103="","— at issue —","iCoA-PP_26-"&amp;TEXT(A103,"000"))</f>
        <v/>
      </c>
      <c r="C103" s="4" t="inlineStr">
        <is>
          <t>yes</t>
        </is>
      </c>
      <c r="D103" s="5">
        <f>IF(A103="","",E103)</f>
        <v/>
      </c>
      <c r="E103" s="5">
        <f>IF(AND(C103="yes",ISNUMBER(G103)),MAX(DATE(2026,5,13),G103),"")</f>
        <v/>
      </c>
      <c r="F103" s="5">
        <f>IFERROR(INDEX('Batch Dates'!$F:$F,MATCH(J103,'Batch Dates'!$C:$C,0)),IFERROR(INDEX('Batch Dates'!$F:$F,MATCH(I103,'Batch Dates'!$B:$B,0)),""))</f>
        <v/>
      </c>
      <c r="G103" s="5">
        <f>IFERROR(INDEX('Batch Dates'!$G:$G,MATCH(J103,'Batch Dates'!$C:$C,0)),IFERROR(INDEX('Batch Dates'!$G:$G,MATCH(I103,'Batch Dates'!$B:$B,0)),""))</f>
        <v/>
      </c>
      <c r="H103" s="2" t="inlineStr">
        <is>
          <t>initial release</t>
        </is>
      </c>
      <c r="I103" s="3" t="inlineStr">
        <is>
          <t>GRC102501</t>
        </is>
      </c>
      <c r="J103" s="2" t="inlineStr">
        <is>
          <t>P060182</t>
        </is>
      </c>
      <c r="K103" s="2" t="inlineStr">
        <is>
          <t>Graps &amp; Creme</t>
        </is>
      </c>
      <c r="L103" s="2" t="inlineStr">
        <is>
          <t>Foreign matter</t>
        </is>
      </c>
      <c r="M103" s="2" t="inlineStr">
        <is>
          <t>iCoA_P07 · Foreign matter</t>
        </is>
      </c>
      <c r="N103" s="6" t="inlineStr">
        <is>
          <t>—</t>
        </is>
      </c>
      <c r="O103" s="2" t="inlineStr">
        <is>
          <t>051-6-K-26, (04.03.2026) [FHM-K]</t>
        </is>
      </c>
      <c r="P103" s="2" t="inlineStr">
        <is>
          <t>CoQ-PP-2026-0014</t>
        </is>
      </c>
      <c r="Q103" s="2" t="inlineStr">
        <is>
          <t>iCoA-PP-2026-0014</t>
        </is>
      </c>
      <c r="R103" s="2" t="inlineStr">
        <is>
          <t>P060182|FM|I</t>
        </is>
      </c>
      <c r="S103" s="7" t="inlineStr">
        <is>
          <t>registered — preliminary date, QC sets the real date at issue</t>
        </is>
      </c>
    </row>
    <row r="104">
      <c r="A104" s="2">
        <f>IF(C104="yes",COUNT(A$1:A103)+1,"")</f>
        <v/>
      </c>
      <c r="B104" s="3">
        <f>IF(A104="","— at issue —","iCoA-PP_26-"&amp;TEXT(A104,"000"))</f>
        <v/>
      </c>
      <c r="C104" s="4" t="inlineStr">
        <is>
          <t>yes</t>
        </is>
      </c>
      <c r="D104" s="5">
        <f>IF(A104="","",E104)</f>
        <v/>
      </c>
      <c r="E104" s="5">
        <f>IF(AND(C104="yes",ISNUMBER(G104)),MAX(DATE(2026,5,13),G104),"")</f>
        <v/>
      </c>
      <c r="F104" s="5">
        <f>IFERROR(INDEX('Batch Dates'!$F:$F,MATCH(J104,'Batch Dates'!$C:$C,0)),IFERROR(INDEX('Batch Dates'!$F:$F,MATCH(I104,'Batch Dates'!$B:$B,0)),""))</f>
        <v/>
      </c>
      <c r="G104" s="5">
        <f>IFERROR(INDEX('Batch Dates'!$G:$G,MATCH(J104,'Batch Dates'!$C:$C,0)),IFERROR(INDEX('Batch Dates'!$G:$G,MATCH(I104,'Batch Dates'!$B:$B,0)),""))</f>
        <v/>
      </c>
      <c r="H104" s="2" t="inlineStr">
        <is>
          <t>initial release</t>
        </is>
      </c>
      <c r="I104" s="3" t="inlineStr">
        <is>
          <t>SJ112501</t>
        </is>
      </c>
      <c r="J104" s="2" t="inlineStr">
        <is>
          <t>P060192</t>
        </is>
      </c>
      <c r="K104" s="2" t="inlineStr">
        <is>
          <t>Sleepy Joy</t>
        </is>
      </c>
      <c r="L104" s="2" t="inlineStr">
        <is>
          <t>Ident A + Ident B</t>
        </is>
      </c>
      <c r="M104" s="2" t="inlineStr">
        <is>
          <t>iCoA_P01-02 · Appearance &amp; Identification A/B</t>
        </is>
      </c>
      <c r="N104" s="6" t="inlineStr">
        <is>
          <t>—</t>
        </is>
      </c>
      <c r="O104" s="2" t="inlineStr">
        <is>
          <t>051-2-K-26, (04.03.2026) [FHM-K]</t>
        </is>
      </c>
      <c r="P104" s="2" t="inlineStr">
        <is>
          <t>(assigned on issue)</t>
        </is>
      </c>
      <c r="Q104" s="6" t="inlineStr">
        <is>
          <t>—</t>
        </is>
      </c>
      <c r="R104" s="2" t="inlineStr">
        <is>
          <t>P060192|AB|I</t>
        </is>
      </c>
      <c r="S104" s="7" t="inlineStr">
        <is>
          <t>registered — preliminary date, QC sets the real date at issue</t>
        </is>
      </c>
    </row>
    <row r="105">
      <c r="A105" s="2">
        <f>IF(C105="yes",COUNT(A$1:A104)+1,"")</f>
        <v/>
      </c>
      <c r="B105" s="3">
        <f>IF(A105="","— at issue —","iCoA-PP_26-"&amp;TEXT(A105,"000"))</f>
        <v/>
      </c>
      <c r="C105" s="4" t="inlineStr">
        <is>
          <t>yes</t>
        </is>
      </c>
      <c r="D105" s="5">
        <f>IF(A105="","",E105)</f>
        <v/>
      </c>
      <c r="E105" s="5">
        <f>IF(AND(C105="yes",ISNUMBER(G105)),MAX(DATE(2026,5,13),G105),"")</f>
        <v/>
      </c>
      <c r="F105" s="5">
        <f>IFERROR(INDEX('Batch Dates'!$F:$F,MATCH(J105,'Batch Dates'!$C:$C,0)),IFERROR(INDEX('Batch Dates'!$F:$F,MATCH(I105,'Batch Dates'!$B:$B,0)),""))</f>
        <v/>
      </c>
      <c r="G105" s="5">
        <f>IFERROR(INDEX('Batch Dates'!$G:$G,MATCH(J105,'Batch Dates'!$C:$C,0)),IFERROR(INDEX('Batch Dates'!$G:$G,MATCH(I105,'Batch Dates'!$B:$B,0)),""))</f>
        <v/>
      </c>
      <c r="H105" s="2" t="inlineStr">
        <is>
          <t>initial release</t>
        </is>
      </c>
      <c r="I105" s="3" t="inlineStr">
        <is>
          <t>SJ112501</t>
        </is>
      </c>
      <c r="J105" s="2" t="inlineStr">
        <is>
          <t>P060192</t>
        </is>
      </c>
      <c r="K105" s="2" t="inlineStr">
        <is>
          <t>Sleepy Joy</t>
        </is>
      </c>
      <c r="L105" s="2" t="inlineStr">
        <is>
          <t>Foreign matter</t>
        </is>
      </c>
      <c r="M105" s="2" t="inlineStr">
        <is>
          <t>iCoA_P07 · Foreign matter</t>
        </is>
      </c>
      <c r="N105" s="6" t="inlineStr">
        <is>
          <t>—</t>
        </is>
      </c>
      <c r="O105" s="2" t="inlineStr">
        <is>
          <t>051-2-K-26, (04.03.2026) [FHM-K]</t>
        </is>
      </c>
      <c r="P105" s="2" t="inlineStr">
        <is>
          <t>(assigned on issue)</t>
        </is>
      </c>
      <c r="Q105" s="6" t="inlineStr">
        <is>
          <t>—</t>
        </is>
      </c>
      <c r="R105" s="2" t="inlineStr">
        <is>
          <t>P060192|FM|I</t>
        </is>
      </c>
      <c r="S105" s="7" t="inlineStr">
        <is>
          <t>registered — preliminary date, QC sets the real date at issue</t>
        </is>
      </c>
    </row>
    <row r="106">
      <c r="A106" s="2">
        <f>IF(C106="yes",COUNT(A$1:A105)+1,"")</f>
        <v/>
      </c>
      <c r="B106" s="3">
        <f>IF(A106="","— at issue —","iCoA-PP_26-"&amp;TEXT(A106,"000"))</f>
        <v/>
      </c>
      <c r="C106" s="4" t="inlineStr">
        <is>
          <t>yes</t>
        </is>
      </c>
      <c r="D106" s="5">
        <f>IF(A106="","",E106)</f>
        <v/>
      </c>
      <c r="E106" s="5">
        <f>IF(AND(C106="yes",ISNUMBER(G106)),MAX(DATE(2026,5,13),G106),"")</f>
        <v/>
      </c>
      <c r="F106" s="5">
        <f>IFERROR(INDEX('Batch Dates'!$F:$F,MATCH(J106,'Batch Dates'!$C:$C,0)),IFERROR(INDEX('Batch Dates'!$F:$F,MATCH(I106,'Batch Dates'!$B:$B,0)),""))</f>
        <v/>
      </c>
      <c r="G106" s="5">
        <f>IFERROR(INDEX('Batch Dates'!$G:$G,MATCH(J106,'Batch Dates'!$C:$C,0)),IFERROR(INDEX('Batch Dates'!$G:$G,MATCH(I106,'Batch Dates'!$B:$B,0)),""))</f>
        <v/>
      </c>
      <c r="H106" s="2" t="inlineStr">
        <is>
          <t>initial release</t>
        </is>
      </c>
      <c r="I106" s="3" t="inlineStr">
        <is>
          <t>J31112501</t>
        </is>
      </c>
      <c r="J106" s="2" t="inlineStr">
        <is>
          <t>P060202</t>
        </is>
      </c>
      <c r="K106" s="2" t="inlineStr">
        <is>
          <t>Jokerz 31</t>
        </is>
      </c>
      <c r="L106" s="2" t="inlineStr">
        <is>
          <t>Ident A + Ident B</t>
        </is>
      </c>
      <c r="M106" s="2" t="inlineStr">
        <is>
          <t>iCoA_P01-02 · Appearance &amp; Identification A/B</t>
        </is>
      </c>
      <c r="N106" s="6" t="inlineStr">
        <is>
          <t>—</t>
        </is>
      </c>
      <c r="O106" s="2" t="inlineStr">
        <is>
          <t>051-5-K-26, (04.03.2026) [FHM-K]</t>
        </is>
      </c>
      <c r="P106" s="2" t="inlineStr">
        <is>
          <t>(assigned on issue)</t>
        </is>
      </c>
      <c r="Q106" s="6" t="inlineStr">
        <is>
          <t>—</t>
        </is>
      </c>
      <c r="R106" s="2" t="inlineStr">
        <is>
          <t>P060202|AB|I</t>
        </is>
      </c>
      <c r="S106" s="7" t="inlineStr">
        <is>
          <t>registered — preliminary date, QC sets the real date at issue</t>
        </is>
      </c>
    </row>
    <row r="107">
      <c r="A107" s="2">
        <f>IF(C107="yes",COUNT(A$1:A106)+1,"")</f>
        <v/>
      </c>
      <c r="B107" s="3">
        <f>IF(A107="","— at issue —","iCoA-PP_26-"&amp;TEXT(A107,"000"))</f>
        <v/>
      </c>
      <c r="C107" s="4" t="inlineStr">
        <is>
          <t>yes</t>
        </is>
      </c>
      <c r="D107" s="5">
        <f>IF(A107="","",E107)</f>
        <v/>
      </c>
      <c r="E107" s="5">
        <f>IF(AND(C107="yes",ISNUMBER(G107)),MAX(DATE(2026,5,13),G107),"")</f>
        <v/>
      </c>
      <c r="F107" s="5">
        <f>IFERROR(INDEX('Batch Dates'!$F:$F,MATCH(J107,'Batch Dates'!$C:$C,0)),IFERROR(INDEX('Batch Dates'!$F:$F,MATCH(I107,'Batch Dates'!$B:$B,0)),""))</f>
        <v/>
      </c>
      <c r="G107" s="5">
        <f>IFERROR(INDEX('Batch Dates'!$G:$G,MATCH(J107,'Batch Dates'!$C:$C,0)),IFERROR(INDEX('Batch Dates'!$G:$G,MATCH(I107,'Batch Dates'!$B:$B,0)),""))</f>
        <v/>
      </c>
      <c r="H107" s="2" t="inlineStr">
        <is>
          <t>initial release</t>
        </is>
      </c>
      <c r="I107" s="3" t="inlineStr">
        <is>
          <t>J31112501</t>
        </is>
      </c>
      <c r="J107" s="2" t="inlineStr">
        <is>
          <t>P060202</t>
        </is>
      </c>
      <c r="K107" s="2" t="inlineStr">
        <is>
          <t>Jokerz 31</t>
        </is>
      </c>
      <c r="L107" s="2" t="inlineStr">
        <is>
          <t>Foreign matter</t>
        </is>
      </c>
      <c r="M107" s="2" t="inlineStr">
        <is>
          <t>iCoA_P07 · Foreign matter</t>
        </is>
      </c>
      <c r="N107" s="6" t="inlineStr">
        <is>
          <t>—</t>
        </is>
      </c>
      <c r="O107" s="2" t="inlineStr">
        <is>
          <t>051-5-K-26, (04.03.2026) [FHM-K]</t>
        </is>
      </c>
      <c r="P107" s="2" t="inlineStr">
        <is>
          <t>(assigned on issue)</t>
        </is>
      </c>
      <c r="Q107" s="6" t="inlineStr">
        <is>
          <t>—</t>
        </is>
      </c>
      <c r="R107" s="2" t="inlineStr">
        <is>
          <t>P060202|FM|I</t>
        </is>
      </c>
      <c r="S107" s="7" t="inlineStr">
        <is>
          <t>registered — preliminary date, QC sets the real date at issue</t>
        </is>
      </c>
    </row>
    <row r="108">
      <c r="A108" s="2">
        <f>IF(C108="yes",COUNT(A$1:A107)+1,"")</f>
        <v/>
      </c>
      <c r="B108" s="3">
        <f>IF(A108="","— at issue —","iCoA-PP_26-"&amp;TEXT(A108,"000"))</f>
        <v/>
      </c>
      <c r="C108" s="4" t="inlineStr">
        <is>
          <t>yes</t>
        </is>
      </c>
      <c r="D108" s="5">
        <f>IF(A108="","",E108)</f>
        <v/>
      </c>
      <c r="E108" s="5">
        <f>IF(AND(C108="yes",ISNUMBER(G108)),MAX(DATE(2026,5,13),G108),"")</f>
        <v/>
      </c>
      <c r="F108" s="5">
        <f>IFERROR(INDEX('Batch Dates'!$F:$F,MATCH(J108,'Batch Dates'!$C:$C,0)),IFERROR(INDEX('Batch Dates'!$F:$F,MATCH(I108,'Batch Dates'!$B:$B,0)),""))</f>
        <v/>
      </c>
      <c r="G108" s="5">
        <f>IFERROR(INDEX('Batch Dates'!$G:$G,MATCH(J108,'Batch Dates'!$C:$C,0)),IFERROR(INDEX('Batch Dates'!$G:$G,MATCH(I108,'Batch Dates'!$B:$B,0)),""))</f>
        <v/>
      </c>
      <c r="H108" s="2" t="inlineStr">
        <is>
          <t>initial release</t>
        </is>
      </c>
      <c r="I108" s="3" t="inlineStr">
        <is>
          <t>JD112501</t>
        </is>
      </c>
      <c r="J108" s="2" t="inlineStr">
        <is>
          <t>P060212</t>
        </is>
      </c>
      <c r="K108" s="2" t="inlineStr">
        <is>
          <t>Jelly Donutz</t>
        </is>
      </c>
      <c r="L108" s="2" t="inlineStr">
        <is>
          <t>Ident A + Ident B</t>
        </is>
      </c>
      <c r="M108" s="2" t="inlineStr">
        <is>
          <t>iCoA_P01-02 · Appearance &amp; Identification A/B</t>
        </is>
      </c>
      <c r="N108" s="6" t="inlineStr">
        <is>
          <t>—</t>
        </is>
      </c>
      <c r="O108" s="2" t="inlineStr">
        <is>
          <t>ППК26063, (11.05.2026) [CNP]</t>
        </is>
      </c>
      <c r="P108" s="2" t="inlineStr">
        <is>
          <t>CoQ-PP-2026-0015</t>
        </is>
      </c>
      <c r="Q108" s="2" t="inlineStr">
        <is>
          <t>iCoA-PP-2026-0015</t>
        </is>
      </c>
      <c r="R108" s="2" t="inlineStr">
        <is>
          <t>P060212|AB|I</t>
        </is>
      </c>
      <c r="S108" s="7" t="inlineStr">
        <is>
          <t>registered — preliminary date, QC sets the real date at issue</t>
        </is>
      </c>
    </row>
    <row r="109">
      <c r="A109" s="2">
        <f>IF(C109="yes",COUNT(A$1:A108)+1,"")</f>
        <v/>
      </c>
      <c r="B109" s="3">
        <f>IF(A109="","— at issue —","iCoA-PP_26-"&amp;TEXT(A109,"000"))</f>
        <v/>
      </c>
      <c r="C109" s="4" t="inlineStr">
        <is>
          <t>yes</t>
        </is>
      </c>
      <c r="D109" s="5">
        <f>IF(A109="","",E109)</f>
        <v/>
      </c>
      <c r="E109" s="5">
        <f>IF(AND(C109="yes",ISNUMBER(G109)),MAX(DATE(2026,5,13),G109),"")</f>
        <v/>
      </c>
      <c r="F109" s="5">
        <f>IFERROR(INDEX('Batch Dates'!$F:$F,MATCH(J109,'Batch Dates'!$C:$C,0)),IFERROR(INDEX('Batch Dates'!$F:$F,MATCH(I109,'Batch Dates'!$B:$B,0)),""))</f>
        <v/>
      </c>
      <c r="G109" s="5">
        <f>IFERROR(INDEX('Batch Dates'!$G:$G,MATCH(J109,'Batch Dates'!$C:$C,0)),IFERROR(INDEX('Batch Dates'!$G:$G,MATCH(I109,'Batch Dates'!$B:$B,0)),""))</f>
        <v/>
      </c>
      <c r="H109" s="2" t="inlineStr">
        <is>
          <t>initial release</t>
        </is>
      </c>
      <c r="I109" s="3" t="inlineStr">
        <is>
          <t>JD112501</t>
        </is>
      </c>
      <c r="J109" s="2" t="inlineStr">
        <is>
          <t>P060212</t>
        </is>
      </c>
      <c r="K109" s="2" t="inlineStr">
        <is>
          <t>Jelly Donutz</t>
        </is>
      </c>
      <c r="L109" s="2" t="inlineStr">
        <is>
          <t>Foreign matter</t>
        </is>
      </c>
      <c r="M109" s="2" t="inlineStr">
        <is>
          <t>iCoA_P07 · Foreign matter</t>
        </is>
      </c>
      <c r="N109" s="6" t="inlineStr">
        <is>
          <t>—</t>
        </is>
      </c>
      <c r="O109" s="2" t="inlineStr">
        <is>
          <t>ППК26063, (11.05.2026) [CNP]</t>
        </is>
      </c>
      <c r="P109" s="2" t="inlineStr">
        <is>
          <t>CoQ-PP-2026-0015</t>
        </is>
      </c>
      <c r="Q109" s="2" t="inlineStr">
        <is>
          <t>iCoA-PP-2026-0015</t>
        </is>
      </c>
      <c r="R109" s="2" t="inlineStr">
        <is>
          <t>P060212|FM|I</t>
        </is>
      </c>
      <c r="S109" s="7" t="inlineStr">
        <is>
          <t>registered — preliminary date, QC sets the real date at issue</t>
        </is>
      </c>
    </row>
    <row r="110">
      <c r="A110" s="2">
        <f>IF(C110="yes",COUNT(A$1:A109)+1,"")</f>
        <v/>
      </c>
      <c r="B110" s="3">
        <f>IF(A110="","— at issue —","iCoA-PP_26-"&amp;TEXT(A110,"000"))</f>
        <v/>
      </c>
      <c r="C110" s="4" t="inlineStr">
        <is>
          <t>yes</t>
        </is>
      </c>
      <c r="D110" s="5">
        <f>IF(A110="","",E110)</f>
        <v/>
      </c>
      <c r="E110" s="5">
        <f>IF(AND(C110="yes",ISNUMBER(G110)),MAX(DATE(2026,5,13),G110),"")</f>
        <v/>
      </c>
      <c r="F110" s="5">
        <f>IFERROR(INDEX('Batch Dates'!$F:$F,MATCH(J110,'Batch Dates'!$C:$C,0)),IFERROR(INDEX('Batch Dates'!$F:$F,MATCH(I110,'Batch Dates'!$B:$B,0)),""))</f>
        <v/>
      </c>
      <c r="G110" s="5">
        <f>IFERROR(INDEX('Batch Dates'!$G:$G,MATCH(J110,'Batch Dates'!$C:$C,0)),IFERROR(INDEX('Batch Dates'!$G:$G,MATCH(I110,'Batch Dates'!$B:$B,0)),""))</f>
        <v/>
      </c>
      <c r="H110" s="2" t="inlineStr">
        <is>
          <t>initial release</t>
        </is>
      </c>
      <c r="I110" s="3" t="inlineStr">
        <is>
          <t>JD112501＊</t>
        </is>
      </c>
      <c r="J110" s="2" t="inlineStr">
        <is>
          <t>P060212</t>
        </is>
      </c>
      <c r="K110" s="2" t="inlineStr">
        <is>
          <t>Jelly Donutz</t>
        </is>
      </c>
      <c r="L110" s="2" t="inlineStr">
        <is>
          <t>Ident A + Ident B</t>
        </is>
      </c>
      <c r="M110" s="2" t="inlineStr">
        <is>
          <t>iCoA_P01-02 · Appearance &amp; Identification A/B</t>
        </is>
      </c>
      <c r="N110" s="6" t="inlineStr">
        <is>
          <t>—</t>
        </is>
      </c>
      <c r="O110" s="2" t="inlineStr">
        <is>
          <t>ППК26065, (11.05.2026) [CNP]</t>
        </is>
      </c>
      <c r="P110" s="2" t="inlineStr">
        <is>
          <t>CoQ-PP-2026-0015</t>
        </is>
      </c>
      <c r="Q110" s="2" t="inlineStr">
        <is>
          <t>iCoA-PP-2026-0015</t>
        </is>
      </c>
      <c r="R110" s="2" t="inlineStr">
        <is>
          <t>JD112501|AB|I</t>
        </is>
      </c>
      <c r="S110" s="7" t="inlineStr">
        <is>
          <t>registered — preliminary date, QC sets the real date at issue</t>
        </is>
      </c>
    </row>
    <row r="111">
      <c r="A111" s="2">
        <f>IF(C111="yes",COUNT(A$1:A110)+1,"")</f>
        <v/>
      </c>
      <c r="B111" s="3">
        <f>IF(A111="","— at issue —","iCoA-PP_26-"&amp;TEXT(A111,"000"))</f>
        <v/>
      </c>
      <c r="C111" s="4" t="inlineStr">
        <is>
          <t>yes</t>
        </is>
      </c>
      <c r="D111" s="5">
        <f>IF(A111="","",E111)</f>
        <v/>
      </c>
      <c r="E111" s="5">
        <f>IF(AND(C111="yes",ISNUMBER(G111)),MAX(DATE(2026,5,13),G111),"")</f>
        <v/>
      </c>
      <c r="F111" s="5">
        <f>IFERROR(INDEX('Batch Dates'!$F:$F,MATCH(J111,'Batch Dates'!$C:$C,0)),IFERROR(INDEX('Batch Dates'!$F:$F,MATCH(I111,'Batch Dates'!$B:$B,0)),""))</f>
        <v/>
      </c>
      <c r="G111" s="5">
        <f>IFERROR(INDEX('Batch Dates'!$G:$G,MATCH(J111,'Batch Dates'!$C:$C,0)),IFERROR(INDEX('Batch Dates'!$G:$G,MATCH(I111,'Batch Dates'!$B:$B,0)),""))</f>
        <v/>
      </c>
      <c r="H111" s="2" t="inlineStr">
        <is>
          <t>initial release</t>
        </is>
      </c>
      <c r="I111" s="3" t="inlineStr">
        <is>
          <t>JD112501＊</t>
        </is>
      </c>
      <c r="J111" s="2" t="inlineStr">
        <is>
          <t>P060212</t>
        </is>
      </c>
      <c r="K111" s="2" t="inlineStr">
        <is>
          <t>Jelly Donutz</t>
        </is>
      </c>
      <c r="L111" s="2" t="inlineStr">
        <is>
          <t>Foreign matter</t>
        </is>
      </c>
      <c r="M111" s="2" t="inlineStr">
        <is>
          <t>iCoA_P07 · Foreign matter</t>
        </is>
      </c>
      <c r="N111" s="6" t="inlineStr">
        <is>
          <t>—</t>
        </is>
      </c>
      <c r="O111" s="2" t="inlineStr">
        <is>
          <t>ППК26065, (11.05.2026) [CNP]</t>
        </is>
      </c>
      <c r="P111" s="2" t="inlineStr">
        <is>
          <t>CoQ-PP-2026-0015</t>
        </is>
      </c>
      <c r="Q111" s="2" t="inlineStr">
        <is>
          <t>iCoA-PP-2026-0015</t>
        </is>
      </c>
      <c r="R111" s="2" t="inlineStr">
        <is>
          <t>JD112501|FM|I</t>
        </is>
      </c>
      <c r="S111" s="7" t="inlineStr">
        <is>
          <t>registered — preliminary date, QC sets the real date at issue</t>
        </is>
      </c>
    </row>
    <row r="112">
      <c r="A112" s="2">
        <f>IF(C112="yes",COUNT(A$1:A111)+1,"")</f>
        <v/>
      </c>
      <c r="B112" s="3">
        <f>IF(A112="","— at issue —","iCoA-PP_26-"&amp;TEXT(A112,"000"))</f>
        <v/>
      </c>
      <c r="C112" s="4" t="inlineStr">
        <is>
          <t>yes</t>
        </is>
      </c>
      <c r="D112" s="5">
        <f>IF(A112="","",E112)</f>
        <v/>
      </c>
      <c r="E112" s="5">
        <f>IF(AND(C112="yes",ISNUMBER(G112)),MAX(DATE(2026,5,13),G112),"")</f>
        <v/>
      </c>
      <c r="F112" s="5">
        <f>IFERROR(INDEX('Batch Dates'!$F:$F,MATCH(J112,'Batch Dates'!$C:$C,0)),IFERROR(INDEX('Batch Dates'!$F:$F,MATCH(I112,'Batch Dates'!$B:$B,0)),""))</f>
        <v/>
      </c>
      <c r="G112" s="5">
        <f>IFERROR(INDEX('Batch Dates'!$G:$G,MATCH(J112,'Batch Dates'!$C:$C,0)),IFERROR(INDEX('Batch Dates'!$G:$G,MATCH(I112,'Batch Dates'!$B:$B,0)),""))</f>
        <v/>
      </c>
      <c r="H112" s="2" t="inlineStr">
        <is>
          <t>initial release</t>
        </is>
      </c>
      <c r="I112" s="3" t="inlineStr">
        <is>
          <t>OPM112501</t>
        </is>
      </c>
      <c r="J112" s="2" t="inlineStr">
        <is>
          <t>P060222</t>
        </is>
      </c>
      <c r="K112" s="2" t="inlineStr">
        <is>
          <t>Orange Punch Mimosa</t>
        </is>
      </c>
      <c r="L112" s="2" t="inlineStr">
        <is>
          <t>Ident A + Ident B</t>
        </is>
      </c>
      <c r="M112" s="2" t="inlineStr">
        <is>
          <t>iCoA_P01-02 · Appearance &amp; Identification A/B</t>
        </is>
      </c>
      <c r="N112" s="6" t="inlineStr">
        <is>
          <t>—</t>
        </is>
      </c>
      <c r="O112" s="2" t="inlineStr">
        <is>
          <t>ППК26031, (05.03.2026) [CNP]</t>
        </is>
      </c>
      <c r="P112" s="2" t="inlineStr">
        <is>
          <t>(assigned on issue)</t>
        </is>
      </c>
      <c r="Q112" s="6" t="inlineStr">
        <is>
          <t>—</t>
        </is>
      </c>
      <c r="R112" s="2" t="inlineStr">
        <is>
          <t>P060222|AB|I</t>
        </is>
      </c>
      <c r="S112" s="7" t="inlineStr">
        <is>
          <t>registered — preliminary date, QC sets the real date at issue</t>
        </is>
      </c>
    </row>
    <row r="113">
      <c r="A113" s="2">
        <f>IF(C113="yes",COUNT(A$1:A112)+1,"")</f>
        <v/>
      </c>
      <c r="B113" s="3">
        <f>IF(A113="","— at issue —","iCoA-PP_26-"&amp;TEXT(A113,"000"))</f>
        <v/>
      </c>
      <c r="C113" s="4" t="inlineStr">
        <is>
          <t>yes</t>
        </is>
      </c>
      <c r="D113" s="5">
        <f>IF(A113="","",E113)</f>
        <v/>
      </c>
      <c r="E113" s="5">
        <f>IF(AND(C113="yes",ISNUMBER(G113)),MAX(DATE(2026,5,13),G113),"")</f>
        <v/>
      </c>
      <c r="F113" s="5">
        <f>IFERROR(INDEX('Batch Dates'!$F:$F,MATCH(J113,'Batch Dates'!$C:$C,0)),IFERROR(INDEX('Batch Dates'!$F:$F,MATCH(I113,'Batch Dates'!$B:$B,0)),""))</f>
        <v/>
      </c>
      <c r="G113" s="5">
        <f>IFERROR(INDEX('Batch Dates'!$G:$G,MATCH(J113,'Batch Dates'!$C:$C,0)),IFERROR(INDEX('Batch Dates'!$G:$G,MATCH(I113,'Batch Dates'!$B:$B,0)),""))</f>
        <v/>
      </c>
      <c r="H113" s="2" t="inlineStr">
        <is>
          <t>initial release</t>
        </is>
      </c>
      <c r="I113" s="3" t="inlineStr">
        <is>
          <t>OPM112501</t>
        </is>
      </c>
      <c r="J113" s="2" t="inlineStr">
        <is>
          <t>P060222</t>
        </is>
      </c>
      <c r="K113" s="2" t="inlineStr">
        <is>
          <t>Orange Punch Mimosa</t>
        </is>
      </c>
      <c r="L113" s="2" t="inlineStr">
        <is>
          <t>Foreign matter</t>
        </is>
      </c>
      <c r="M113" s="2" t="inlineStr">
        <is>
          <t>iCoA_P07 · Foreign matter</t>
        </is>
      </c>
      <c r="N113" s="6" t="inlineStr">
        <is>
          <t>—</t>
        </is>
      </c>
      <c r="O113" s="2" t="inlineStr">
        <is>
          <t>ППК26031, (05.03.2026) [CNP]</t>
        </is>
      </c>
      <c r="P113" s="2" t="inlineStr">
        <is>
          <t>(assigned on issue)</t>
        </is>
      </c>
      <c r="Q113" s="6" t="inlineStr">
        <is>
          <t>—</t>
        </is>
      </c>
      <c r="R113" s="2" t="inlineStr">
        <is>
          <t>P060222|FM|I</t>
        </is>
      </c>
      <c r="S113" s="7" t="inlineStr">
        <is>
          <t>registered — preliminary date, QC sets the real date at issue</t>
        </is>
      </c>
    </row>
    <row r="114">
      <c r="A114" s="2">
        <f>IF(C114="yes",COUNT(A$1:A113)+1,"")</f>
        <v/>
      </c>
      <c r="B114" s="3">
        <f>IF(A114="","— at issue —","iCoA-PP_26-"&amp;TEXT(A114,"000"))</f>
        <v/>
      </c>
      <c r="C114" s="4" t="inlineStr">
        <is>
          <t>yes</t>
        </is>
      </c>
      <c r="D114" s="5">
        <f>IF(A114="","",E114)</f>
        <v/>
      </c>
      <c r="E114" s="5">
        <f>IF(AND(C114="yes",ISNUMBER(G114)),MAX(DATE(2026,5,13),G114),"")</f>
        <v/>
      </c>
      <c r="F114" s="5">
        <f>IFERROR(INDEX('Batch Dates'!$F:$F,MATCH(J114,'Batch Dates'!$C:$C,0)),IFERROR(INDEX('Batch Dates'!$F:$F,MATCH(I114,'Batch Dates'!$B:$B,0)),""))</f>
        <v/>
      </c>
      <c r="G114" s="5">
        <f>IFERROR(INDEX('Batch Dates'!$G:$G,MATCH(J114,'Batch Dates'!$C:$C,0)),IFERROR(INDEX('Batch Dates'!$G:$G,MATCH(I114,'Batch Dates'!$B:$B,0)),""))</f>
        <v/>
      </c>
      <c r="H114" s="2" t="inlineStr">
        <is>
          <t>initial release</t>
        </is>
      </c>
      <c r="I114" s="3" t="inlineStr">
        <is>
          <t>PM112501</t>
        </is>
      </c>
      <c r="J114" s="2" t="inlineStr">
        <is>
          <t>P060232</t>
        </is>
      </c>
      <c r="K114" s="2" t="inlineStr">
        <is>
          <t>Permanent Market</t>
        </is>
      </c>
      <c r="L114" s="2" t="inlineStr">
        <is>
          <t>Ident A + Ident B</t>
        </is>
      </c>
      <c r="M114" s="2" t="inlineStr">
        <is>
          <t>iCoA_P01-02 · Appearance &amp; Identification A/B</t>
        </is>
      </c>
      <c r="N114" s="6" t="inlineStr">
        <is>
          <t>—</t>
        </is>
      </c>
      <c r="O114" s="2" t="inlineStr">
        <is>
          <t>ППК26030, (05.03.2026) [CNP]</t>
        </is>
      </c>
      <c r="P114" s="2" t="inlineStr">
        <is>
          <t>CoQ-PP-2026-0016</t>
        </is>
      </c>
      <c r="Q114" s="2" t="inlineStr">
        <is>
          <t>iCoA-PP-2026-0016</t>
        </is>
      </c>
      <c r="R114" s="2" t="inlineStr">
        <is>
          <t>P060232|AB|I</t>
        </is>
      </c>
      <c r="S114" s="7" t="inlineStr">
        <is>
          <t>registered — preliminary date, QC sets the real date at issue</t>
        </is>
      </c>
    </row>
    <row r="115">
      <c r="A115" s="2">
        <f>IF(C115="yes",COUNT(A$1:A114)+1,"")</f>
        <v/>
      </c>
      <c r="B115" s="3">
        <f>IF(A115="","— at issue —","iCoA-PP_26-"&amp;TEXT(A115,"000"))</f>
        <v/>
      </c>
      <c r="C115" s="4" t="inlineStr">
        <is>
          <t>yes</t>
        </is>
      </c>
      <c r="D115" s="5">
        <f>IF(A115="","",E115)</f>
        <v/>
      </c>
      <c r="E115" s="5">
        <f>IF(AND(C115="yes",ISNUMBER(G115)),MAX(DATE(2026,5,13),G115),"")</f>
        <v/>
      </c>
      <c r="F115" s="5">
        <f>IFERROR(INDEX('Batch Dates'!$F:$F,MATCH(J115,'Batch Dates'!$C:$C,0)),IFERROR(INDEX('Batch Dates'!$F:$F,MATCH(I115,'Batch Dates'!$B:$B,0)),""))</f>
        <v/>
      </c>
      <c r="G115" s="5">
        <f>IFERROR(INDEX('Batch Dates'!$G:$G,MATCH(J115,'Batch Dates'!$C:$C,0)),IFERROR(INDEX('Batch Dates'!$G:$G,MATCH(I115,'Batch Dates'!$B:$B,0)),""))</f>
        <v/>
      </c>
      <c r="H115" s="2" t="inlineStr">
        <is>
          <t>initial release</t>
        </is>
      </c>
      <c r="I115" s="3" t="inlineStr">
        <is>
          <t>PM112501</t>
        </is>
      </c>
      <c r="J115" s="2" t="inlineStr">
        <is>
          <t>P060232</t>
        </is>
      </c>
      <c r="K115" s="2" t="inlineStr">
        <is>
          <t>Permanent Market</t>
        </is>
      </c>
      <c r="L115" s="2" t="inlineStr">
        <is>
          <t>Foreign matter</t>
        </is>
      </c>
      <c r="M115" s="2" t="inlineStr">
        <is>
          <t>iCoA_P07 · Foreign matter</t>
        </is>
      </c>
      <c r="N115" s="6" t="inlineStr">
        <is>
          <t>—</t>
        </is>
      </c>
      <c r="O115" s="2" t="inlineStr">
        <is>
          <t>ППК26030, (05.03.2026) [CNP]</t>
        </is>
      </c>
      <c r="P115" s="2" t="inlineStr">
        <is>
          <t>CoQ-PP-2026-0016</t>
        </is>
      </c>
      <c r="Q115" s="2" t="inlineStr">
        <is>
          <t>iCoA-PP-2026-0016</t>
        </is>
      </c>
      <c r="R115" s="2" t="inlineStr">
        <is>
          <t>P060232|FM|I</t>
        </is>
      </c>
      <c r="S115" s="7" t="inlineStr">
        <is>
          <t>registered — preliminary date, QC sets the real date at issue</t>
        </is>
      </c>
    </row>
    <row r="116">
      <c r="A116" s="2">
        <f>IF(C116="yes",COUNT(A$1:A115)+1,"")</f>
        <v/>
      </c>
      <c r="B116" s="3">
        <f>IF(A116="","— at issue —","iCoA-PP_26-"&amp;TEXT(A116,"000"))</f>
        <v/>
      </c>
      <c r="C116" s="4" t="inlineStr">
        <is>
          <t>yes</t>
        </is>
      </c>
      <c r="D116" s="5">
        <f>IF(A116="","",E116)</f>
        <v/>
      </c>
      <c r="E116" s="5">
        <f>IF(AND(C116="yes",ISNUMBER(G116)),MAX(DATE(2026,5,13),G116),"")</f>
        <v/>
      </c>
      <c r="F116" s="5">
        <f>IFERROR(INDEX('Batch Dates'!$F:$F,MATCH(J116,'Batch Dates'!$C:$C,0)),IFERROR(INDEX('Batch Dates'!$F:$F,MATCH(I116,'Batch Dates'!$B:$B,0)),""))</f>
        <v/>
      </c>
      <c r="G116" s="5">
        <f>IFERROR(INDEX('Batch Dates'!$G:$G,MATCH(J116,'Batch Dates'!$C:$C,0)),IFERROR(INDEX('Batch Dates'!$G:$G,MATCH(I116,'Batch Dates'!$B:$B,0)),""))</f>
        <v/>
      </c>
      <c r="H116" s="2" t="inlineStr">
        <is>
          <t>initial release</t>
        </is>
      </c>
      <c r="I116" s="3" t="inlineStr">
        <is>
          <t>OPM122501</t>
        </is>
      </c>
      <c r="J116" s="2" t="inlineStr">
        <is>
          <t>P060242</t>
        </is>
      </c>
      <c r="K116" s="2" t="inlineStr">
        <is>
          <t>Orange Punch Mimosa</t>
        </is>
      </c>
      <c r="L116" s="2" t="inlineStr">
        <is>
          <t>Ident A + Ident B</t>
        </is>
      </c>
      <c r="M116" s="2" t="inlineStr">
        <is>
          <t>iCoA_P01-02 · Appearance &amp; Identification A/B</t>
        </is>
      </c>
      <c r="N116" s="6" t="inlineStr">
        <is>
          <t>—</t>
        </is>
      </c>
      <c r="O116" s="2" t="inlineStr">
        <is>
          <t>100-4-K-26, (09.04.2026) [FHM-K]</t>
        </is>
      </c>
      <c r="P116" s="2" t="inlineStr">
        <is>
          <t>CoQ-PP-2026-0017</t>
        </is>
      </c>
      <c r="Q116" s="2" t="inlineStr">
        <is>
          <t>iCoA-PP-2026-0017</t>
        </is>
      </c>
      <c r="R116" s="2" t="inlineStr">
        <is>
          <t>P060242|AB|I</t>
        </is>
      </c>
      <c r="S116" s="7" t="inlineStr">
        <is>
          <t>registered — preliminary date, QC sets the real date at issue</t>
        </is>
      </c>
    </row>
    <row r="117">
      <c r="A117" s="2">
        <f>IF(C117="yes",COUNT(A$1:A116)+1,"")</f>
        <v/>
      </c>
      <c r="B117" s="3">
        <f>IF(A117="","— at issue —","iCoA-PP_26-"&amp;TEXT(A117,"000"))</f>
        <v/>
      </c>
      <c r="C117" s="4" t="inlineStr">
        <is>
          <t>yes</t>
        </is>
      </c>
      <c r="D117" s="5">
        <f>IF(A117="","",E117)</f>
        <v/>
      </c>
      <c r="E117" s="5">
        <f>IF(AND(C117="yes",ISNUMBER(G117)),MAX(DATE(2026,5,13),G117),"")</f>
        <v/>
      </c>
      <c r="F117" s="5">
        <f>IFERROR(INDEX('Batch Dates'!$F:$F,MATCH(J117,'Batch Dates'!$C:$C,0)),IFERROR(INDEX('Batch Dates'!$F:$F,MATCH(I117,'Batch Dates'!$B:$B,0)),""))</f>
        <v/>
      </c>
      <c r="G117" s="5">
        <f>IFERROR(INDEX('Batch Dates'!$G:$G,MATCH(J117,'Batch Dates'!$C:$C,0)),IFERROR(INDEX('Batch Dates'!$G:$G,MATCH(I117,'Batch Dates'!$B:$B,0)),""))</f>
        <v/>
      </c>
      <c r="H117" s="2" t="inlineStr">
        <is>
          <t>initial release</t>
        </is>
      </c>
      <c r="I117" s="3" t="inlineStr">
        <is>
          <t>OPM122501</t>
        </is>
      </c>
      <c r="J117" s="2" t="inlineStr">
        <is>
          <t>P060242</t>
        </is>
      </c>
      <c r="K117" s="2" t="inlineStr">
        <is>
          <t>Orange Punch Mimosa</t>
        </is>
      </c>
      <c r="L117" s="2" t="inlineStr">
        <is>
          <t>Foreign matter</t>
        </is>
      </c>
      <c r="M117" s="2" t="inlineStr">
        <is>
          <t>iCoA_P07 · Foreign matter</t>
        </is>
      </c>
      <c r="N117" s="6" t="inlineStr">
        <is>
          <t>—</t>
        </is>
      </c>
      <c r="O117" s="2" t="inlineStr">
        <is>
          <t>100-4-K-26, (09.04.2026) [FHM-K]</t>
        </is>
      </c>
      <c r="P117" s="2" t="inlineStr">
        <is>
          <t>CoQ-PP-2026-0017</t>
        </is>
      </c>
      <c r="Q117" s="2" t="inlineStr">
        <is>
          <t>iCoA-PP-2026-0017</t>
        </is>
      </c>
      <c r="R117" s="2" t="inlineStr">
        <is>
          <t>P060242|FM|I</t>
        </is>
      </c>
      <c r="S117" s="7" t="inlineStr">
        <is>
          <t>registered — preliminary date, QC sets the real date at issue</t>
        </is>
      </c>
    </row>
    <row r="118">
      <c r="A118" s="2">
        <f>IF(C118="yes",COUNT(A$1:A117)+1,"")</f>
        <v/>
      </c>
      <c r="B118" s="3">
        <f>IF(A118="","— at issue —","iCoA-PP_26-"&amp;TEXT(A118,"000"))</f>
        <v/>
      </c>
      <c r="C118" s="4" t="inlineStr">
        <is>
          <t>yes</t>
        </is>
      </c>
      <c r="D118" s="5">
        <f>IF(A118="","",E118)</f>
        <v/>
      </c>
      <c r="E118" s="5">
        <f>IF(AND(C118="yes",ISNUMBER(G118)),MAX(DATE(2026,5,13),G118),"")</f>
        <v/>
      </c>
      <c r="F118" s="5">
        <f>IFERROR(INDEX('Batch Dates'!$F:$F,MATCH(J118,'Batch Dates'!$C:$C,0)),IFERROR(INDEX('Batch Dates'!$F:$F,MATCH(I118,'Batch Dates'!$B:$B,0)),""))</f>
        <v/>
      </c>
      <c r="G118" s="5">
        <f>IFERROR(INDEX('Batch Dates'!$G:$G,MATCH(J118,'Batch Dates'!$C:$C,0)),IFERROR(INDEX('Batch Dates'!$G:$G,MATCH(I118,'Batch Dates'!$B:$B,0)),""))</f>
        <v/>
      </c>
      <c r="H118" s="2" t="inlineStr">
        <is>
          <t>initial release</t>
        </is>
      </c>
      <c r="I118" s="3" t="inlineStr">
        <is>
          <t>GG112501</t>
        </is>
      </c>
      <c r="J118" s="2" t="inlineStr">
        <is>
          <t>P060252</t>
        </is>
      </c>
      <c r="K118" s="2" t="inlineStr">
        <is>
          <t>Gorilla Glue</t>
        </is>
      </c>
      <c r="L118" s="2" t="inlineStr">
        <is>
          <t>Ident A + Ident B</t>
        </is>
      </c>
      <c r="M118" s="2" t="inlineStr">
        <is>
          <t>iCoA_P01-02 · Appearance &amp; Identification A/B</t>
        </is>
      </c>
      <c r="N118" s="6" t="inlineStr">
        <is>
          <t>—</t>
        </is>
      </c>
      <c r="O118" s="2" t="inlineStr">
        <is>
          <t>ППК26061, (11.05.2026) [CNP]</t>
        </is>
      </c>
      <c r="P118" s="2" t="inlineStr">
        <is>
          <t>(assigned on issue)</t>
        </is>
      </c>
      <c r="Q118" s="6" t="inlineStr">
        <is>
          <t>—</t>
        </is>
      </c>
      <c r="R118" s="2" t="inlineStr">
        <is>
          <t>P060252|AB|I</t>
        </is>
      </c>
      <c r="S118" s="7" t="inlineStr">
        <is>
          <t>registered — preliminary date, QC sets the real date at issue</t>
        </is>
      </c>
    </row>
    <row r="119">
      <c r="A119" s="2">
        <f>IF(C119="yes",COUNT(A$1:A118)+1,"")</f>
        <v/>
      </c>
      <c r="B119" s="3">
        <f>IF(A119="","— at issue —","iCoA-PP_26-"&amp;TEXT(A119,"000"))</f>
        <v/>
      </c>
      <c r="C119" s="4" t="inlineStr">
        <is>
          <t>yes</t>
        </is>
      </c>
      <c r="D119" s="5">
        <f>IF(A119="","",E119)</f>
        <v/>
      </c>
      <c r="E119" s="5">
        <f>IF(AND(C119="yes",ISNUMBER(G119)),MAX(DATE(2026,5,13),G119),"")</f>
        <v/>
      </c>
      <c r="F119" s="5">
        <f>IFERROR(INDEX('Batch Dates'!$F:$F,MATCH(J119,'Batch Dates'!$C:$C,0)),IFERROR(INDEX('Batch Dates'!$F:$F,MATCH(I119,'Batch Dates'!$B:$B,0)),""))</f>
        <v/>
      </c>
      <c r="G119" s="5">
        <f>IFERROR(INDEX('Batch Dates'!$G:$G,MATCH(J119,'Batch Dates'!$C:$C,0)),IFERROR(INDEX('Batch Dates'!$G:$G,MATCH(I119,'Batch Dates'!$B:$B,0)),""))</f>
        <v/>
      </c>
      <c r="H119" s="2" t="inlineStr">
        <is>
          <t>initial release</t>
        </is>
      </c>
      <c r="I119" s="3" t="inlineStr">
        <is>
          <t>GG112501</t>
        </is>
      </c>
      <c r="J119" s="2" t="inlineStr">
        <is>
          <t>P060252</t>
        </is>
      </c>
      <c r="K119" s="2" t="inlineStr">
        <is>
          <t>Gorilla Glue</t>
        </is>
      </c>
      <c r="L119" s="2" t="inlineStr">
        <is>
          <t>Foreign matter</t>
        </is>
      </c>
      <c r="M119" s="2" t="inlineStr">
        <is>
          <t>iCoA_P07 · Foreign matter</t>
        </is>
      </c>
      <c r="N119" s="6" t="inlineStr">
        <is>
          <t>—</t>
        </is>
      </c>
      <c r="O119" s="2" t="inlineStr">
        <is>
          <t>ППК26061, (11.05.2026) [CNP]</t>
        </is>
      </c>
      <c r="P119" s="2" t="inlineStr">
        <is>
          <t>(assigned on issue)</t>
        </is>
      </c>
      <c r="Q119" s="6" t="inlineStr">
        <is>
          <t>—</t>
        </is>
      </c>
      <c r="R119" s="2" t="inlineStr">
        <is>
          <t>P060252|FM|I</t>
        </is>
      </c>
      <c r="S119" s="7" t="inlineStr">
        <is>
          <t>registered — preliminary date, QC sets the real date at issue</t>
        </is>
      </c>
    </row>
    <row r="120">
      <c r="A120" s="2">
        <f>IF(C120="yes",COUNT(A$1:A119)+1,"")</f>
        <v/>
      </c>
      <c r="B120" s="3">
        <f>IF(A120="","— at issue —","iCoA-PP_26-"&amp;TEXT(A120,"000"))</f>
        <v/>
      </c>
      <c r="C120" s="4" t="inlineStr">
        <is>
          <t>yes</t>
        </is>
      </c>
      <c r="D120" s="5">
        <f>IF(A120="","",E120)</f>
        <v/>
      </c>
      <c r="E120" s="5">
        <f>IF(AND(C120="yes",ISNUMBER(G120)),MAX(DATE(2026,5,13),G120),"")</f>
        <v/>
      </c>
      <c r="F120" s="5">
        <f>IFERROR(INDEX('Batch Dates'!$F:$F,MATCH(J120,'Batch Dates'!$C:$C,0)),IFERROR(INDEX('Batch Dates'!$F:$F,MATCH(I120,'Batch Dates'!$B:$B,0)),""))</f>
        <v/>
      </c>
      <c r="G120" s="5">
        <f>IFERROR(INDEX('Batch Dates'!$G:$G,MATCH(J120,'Batch Dates'!$C:$C,0)),IFERROR(INDEX('Batch Dates'!$G:$G,MATCH(I120,'Batch Dates'!$B:$B,0)),""))</f>
        <v/>
      </c>
      <c r="H120" s="2" t="inlineStr">
        <is>
          <t>initial release</t>
        </is>
      </c>
      <c r="I120" s="3" t="inlineStr">
        <is>
          <t>J31122501</t>
        </is>
      </c>
      <c r="J120" s="2" t="inlineStr">
        <is>
          <t>P060262</t>
        </is>
      </c>
      <c r="K120" s="2" t="inlineStr">
        <is>
          <t>Jokerz 31</t>
        </is>
      </c>
      <c r="L120" s="2" t="inlineStr">
        <is>
          <t>Ident A + Ident B</t>
        </is>
      </c>
      <c r="M120" s="2" t="inlineStr">
        <is>
          <t>iCoA_P01-02 · Appearance &amp; Identification A/B</t>
        </is>
      </c>
      <c r="N120" s="6" t="inlineStr">
        <is>
          <t>—</t>
        </is>
      </c>
      <c r="O120" s="2" t="inlineStr">
        <is>
          <t>100-2-K-26, (09.04.2026) [FHM-K]</t>
        </is>
      </c>
      <c r="P120" s="2" t="inlineStr">
        <is>
          <t>(assigned on issue)</t>
        </is>
      </c>
      <c r="Q120" s="6" t="inlineStr">
        <is>
          <t>—</t>
        </is>
      </c>
      <c r="R120" s="2" t="inlineStr">
        <is>
          <t>P060262|AB|I</t>
        </is>
      </c>
      <c r="S120" s="7" t="inlineStr">
        <is>
          <t>registered — preliminary date, QC sets the real date at issue</t>
        </is>
      </c>
    </row>
    <row r="121">
      <c r="A121" s="2">
        <f>IF(C121="yes",COUNT(A$1:A120)+1,"")</f>
        <v/>
      </c>
      <c r="B121" s="3">
        <f>IF(A121="","— at issue —","iCoA-PP_26-"&amp;TEXT(A121,"000"))</f>
        <v/>
      </c>
      <c r="C121" s="4" t="inlineStr">
        <is>
          <t>yes</t>
        </is>
      </c>
      <c r="D121" s="5">
        <f>IF(A121="","",E121)</f>
        <v/>
      </c>
      <c r="E121" s="5">
        <f>IF(AND(C121="yes",ISNUMBER(G121)),MAX(DATE(2026,5,13),G121),"")</f>
        <v/>
      </c>
      <c r="F121" s="5">
        <f>IFERROR(INDEX('Batch Dates'!$F:$F,MATCH(J121,'Batch Dates'!$C:$C,0)),IFERROR(INDEX('Batch Dates'!$F:$F,MATCH(I121,'Batch Dates'!$B:$B,0)),""))</f>
        <v/>
      </c>
      <c r="G121" s="5">
        <f>IFERROR(INDEX('Batch Dates'!$G:$G,MATCH(J121,'Batch Dates'!$C:$C,0)),IFERROR(INDEX('Batch Dates'!$G:$G,MATCH(I121,'Batch Dates'!$B:$B,0)),""))</f>
        <v/>
      </c>
      <c r="H121" s="2" t="inlineStr">
        <is>
          <t>initial release</t>
        </is>
      </c>
      <c r="I121" s="3" t="inlineStr">
        <is>
          <t>J31122501</t>
        </is>
      </c>
      <c r="J121" s="2" t="inlineStr">
        <is>
          <t>P060262</t>
        </is>
      </c>
      <c r="K121" s="2" t="inlineStr">
        <is>
          <t>Jokerz 31</t>
        </is>
      </c>
      <c r="L121" s="2" t="inlineStr">
        <is>
          <t>Foreign matter</t>
        </is>
      </c>
      <c r="M121" s="2" t="inlineStr">
        <is>
          <t>iCoA_P07 · Foreign matter</t>
        </is>
      </c>
      <c r="N121" s="6" t="inlineStr">
        <is>
          <t>—</t>
        </is>
      </c>
      <c r="O121" s="2" t="inlineStr">
        <is>
          <t>100-2-K-26, (09.04.2026) [FHM-K]</t>
        </is>
      </c>
      <c r="P121" s="2" t="inlineStr">
        <is>
          <t>(assigned on issue)</t>
        </is>
      </c>
      <c r="Q121" s="6" t="inlineStr">
        <is>
          <t>—</t>
        </is>
      </c>
      <c r="R121" s="2" t="inlineStr">
        <is>
          <t>P060262|FM|I</t>
        </is>
      </c>
      <c r="S121" s="7" t="inlineStr">
        <is>
          <t>registered — preliminary date, QC sets the real date at issue</t>
        </is>
      </c>
    </row>
    <row r="122">
      <c r="A122" s="2">
        <f>IF(C122="yes",COUNT(A$1:A121)+1,"")</f>
        <v/>
      </c>
      <c r="B122" s="3">
        <f>IF(A122="","— at issue —","iCoA-PP_26-"&amp;TEXT(A122,"000"))</f>
        <v/>
      </c>
      <c r="C122" s="4" t="inlineStr">
        <is>
          <t>yes</t>
        </is>
      </c>
      <c r="D122" s="5">
        <f>IF(A122="","",E122)</f>
        <v/>
      </c>
      <c r="E122" s="5">
        <f>IF(AND(C122="yes",ISNUMBER(G122)),MAX(DATE(2026,5,13),G122),"")</f>
        <v/>
      </c>
      <c r="F122" s="5">
        <f>IFERROR(INDEX('Batch Dates'!$F:$F,MATCH(J122,'Batch Dates'!$C:$C,0)),IFERROR(INDEX('Batch Dates'!$F:$F,MATCH(I122,'Batch Dates'!$B:$B,0)),""))</f>
        <v/>
      </c>
      <c r="G122" s="5">
        <f>IFERROR(INDEX('Batch Dates'!$G:$G,MATCH(J122,'Batch Dates'!$C:$C,0)),IFERROR(INDEX('Batch Dates'!$G:$G,MATCH(I122,'Batch Dates'!$B:$B,0)),""))</f>
        <v/>
      </c>
      <c r="H122" s="2" t="inlineStr">
        <is>
          <t>initial release</t>
        </is>
      </c>
      <c r="I122" s="3" t="inlineStr">
        <is>
          <t>CC112501</t>
        </is>
      </c>
      <c r="J122" s="2" t="inlineStr">
        <is>
          <t>P060272</t>
        </is>
      </c>
      <c r="K122" s="2" t="inlineStr">
        <is>
          <t>Cash Cow</t>
        </is>
      </c>
      <c r="L122" s="2" t="inlineStr">
        <is>
          <t>Ident A + Ident B</t>
        </is>
      </c>
      <c r="M122" s="2" t="inlineStr">
        <is>
          <t>iCoA_P01-02 · Appearance &amp; Identification A/B</t>
        </is>
      </c>
      <c r="N122" s="6" t="inlineStr">
        <is>
          <t>—</t>
        </is>
      </c>
      <c r="O122" s="2" t="inlineStr">
        <is>
          <t>ППК26068, (11.05.2026) [CNP]</t>
        </is>
      </c>
      <c r="P122" s="2" t="inlineStr">
        <is>
          <t>(assigned on issue)</t>
        </is>
      </c>
      <c r="Q122" s="6" t="inlineStr">
        <is>
          <t>—</t>
        </is>
      </c>
      <c r="R122" s="2" t="inlineStr">
        <is>
          <t>P060272|AB|I</t>
        </is>
      </c>
      <c r="S122" s="7" t="inlineStr">
        <is>
          <t>registered — preliminary date, QC sets the real date at issue</t>
        </is>
      </c>
    </row>
    <row r="123">
      <c r="A123" s="2">
        <f>IF(C123="yes",COUNT(A$1:A122)+1,"")</f>
        <v/>
      </c>
      <c r="B123" s="3">
        <f>IF(A123="","— at issue —","iCoA-PP_26-"&amp;TEXT(A123,"000"))</f>
        <v/>
      </c>
      <c r="C123" s="4" t="inlineStr">
        <is>
          <t>yes</t>
        </is>
      </c>
      <c r="D123" s="5">
        <f>IF(A123="","",E123)</f>
        <v/>
      </c>
      <c r="E123" s="5">
        <f>IF(AND(C123="yes",ISNUMBER(G123)),MAX(DATE(2026,5,13),G123),"")</f>
        <v/>
      </c>
      <c r="F123" s="5">
        <f>IFERROR(INDEX('Batch Dates'!$F:$F,MATCH(J123,'Batch Dates'!$C:$C,0)),IFERROR(INDEX('Batch Dates'!$F:$F,MATCH(I123,'Batch Dates'!$B:$B,0)),""))</f>
        <v/>
      </c>
      <c r="G123" s="5">
        <f>IFERROR(INDEX('Batch Dates'!$G:$G,MATCH(J123,'Batch Dates'!$C:$C,0)),IFERROR(INDEX('Batch Dates'!$G:$G,MATCH(I123,'Batch Dates'!$B:$B,0)),""))</f>
        <v/>
      </c>
      <c r="H123" s="2" t="inlineStr">
        <is>
          <t>initial release</t>
        </is>
      </c>
      <c r="I123" s="3" t="inlineStr">
        <is>
          <t>CC112501</t>
        </is>
      </c>
      <c r="J123" s="2" t="inlineStr">
        <is>
          <t>P060272</t>
        </is>
      </c>
      <c r="K123" s="2" t="inlineStr">
        <is>
          <t>Cash Cow</t>
        </is>
      </c>
      <c r="L123" s="2" t="inlineStr">
        <is>
          <t>Foreign matter</t>
        </is>
      </c>
      <c r="M123" s="2" t="inlineStr">
        <is>
          <t>iCoA_P07 · Foreign matter</t>
        </is>
      </c>
      <c r="N123" s="6" t="inlineStr">
        <is>
          <t>—</t>
        </is>
      </c>
      <c r="O123" s="2" t="inlineStr">
        <is>
          <t>ППК26068, (11.05.2026) [CNP]</t>
        </is>
      </c>
      <c r="P123" s="2" t="inlineStr">
        <is>
          <t>(assigned on issue)</t>
        </is>
      </c>
      <c r="Q123" s="6" t="inlineStr">
        <is>
          <t>—</t>
        </is>
      </c>
      <c r="R123" s="2" t="inlineStr">
        <is>
          <t>P060272|FM|I</t>
        </is>
      </c>
      <c r="S123" s="7" t="inlineStr">
        <is>
          <t>registered — preliminary date, QC sets the real date at issue</t>
        </is>
      </c>
    </row>
    <row r="124">
      <c r="A124" s="2">
        <f>IF(C124="yes",COUNT(A$1:A123)+1,"")</f>
        <v/>
      </c>
      <c r="B124" s="3">
        <f>IF(A124="","— at issue —","iCoA-PP_26-"&amp;TEXT(A124,"000"))</f>
        <v/>
      </c>
      <c r="C124" s="4" t="inlineStr">
        <is>
          <t>yes</t>
        </is>
      </c>
      <c r="D124" s="5">
        <f>IF(A124="","",E124)</f>
        <v/>
      </c>
      <c r="E124" s="5">
        <f>IF(AND(C124="yes",ISNUMBER(G124)),MAX(DATE(2026,5,13),G124),"")</f>
        <v/>
      </c>
      <c r="F124" s="5">
        <f>IFERROR(INDEX('Batch Dates'!$F:$F,MATCH(J124,'Batch Dates'!$C:$C,0)),IFERROR(INDEX('Batch Dates'!$F:$F,MATCH(I124,'Batch Dates'!$B:$B,0)),""))</f>
        <v/>
      </c>
      <c r="G124" s="5">
        <f>IFERROR(INDEX('Batch Dates'!$G:$G,MATCH(J124,'Batch Dates'!$C:$C,0)),IFERROR(INDEX('Batch Dates'!$G:$G,MATCH(I124,'Batch Dates'!$B:$B,0)),""))</f>
        <v/>
      </c>
      <c r="H124" s="2" t="inlineStr">
        <is>
          <t>initial release</t>
        </is>
      </c>
      <c r="I124" s="3" t="inlineStr">
        <is>
          <t>SCR112501</t>
        </is>
      </c>
      <c r="J124" s="2" t="inlineStr">
        <is>
          <t>P060282</t>
        </is>
      </c>
      <c r="K124" s="2" t="inlineStr">
        <is>
          <t>Scrambler</t>
        </is>
      </c>
      <c r="L124" s="2" t="inlineStr">
        <is>
          <t>Ident A + Ident B</t>
        </is>
      </c>
      <c r="M124" s="2" t="inlineStr">
        <is>
          <t>iCoA_P01-02 · Appearance &amp; Identification A/B</t>
        </is>
      </c>
      <c r="N124" s="6" t="inlineStr">
        <is>
          <t>—</t>
        </is>
      </c>
      <c r="O124" s="2" t="inlineStr">
        <is>
          <t>ППК26069, (11.05.2026) [CNP]</t>
        </is>
      </c>
      <c r="P124" s="2" t="inlineStr">
        <is>
          <t>CoQ-PP-2026-0018</t>
        </is>
      </c>
      <c r="Q124" s="2" t="inlineStr">
        <is>
          <t>iCoA-PP-2026-0018</t>
        </is>
      </c>
      <c r="R124" s="2" t="inlineStr">
        <is>
          <t>P060282|AB|I</t>
        </is>
      </c>
      <c r="S124" s="7" t="inlineStr">
        <is>
          <t>registered — preliminary date, QC sets the real date at issue</t>
        </is>
      </c>
    </row>
    <row r="125">
      <c r="A125" s="2">
        <f>IF(C125="yes",COUNT(A$1:A124)+1,"")</f>
        <v/>
      </c>
      <c r="B125" s="3">
        <f>IF(A125="","— at issue —","iCoA-PP_26-"&amp;TEXT(A125,"000"))</f>
        <v/>
      </c>
      <c r="C125" s="4" t="inlineStr">
        <is>
          <t>yes</t>
        </is>
      </c>
      <c r="D125" s="5">
        <f>IF(A125="","",E125)</f>
        <v/>
      </c>
      <c r="E125" s="5">
        <f>IF(AND(C125="yes",ISNUMBER(G125)),MAX(DATE(2026,5,13),G125),"")</f>
        <v/>
      </c>
      <c r="F125" s="5">
        <f>IFERROR(INDEX('Batch Dates'!$F:$F,MATCH(J125,'Batch Dates'!$C:$C,0)),IFERROR(INDEX('Batch Dates'!$F:$F,MATCH(I125,'Batch Dates'!$B:$B,0)),""))</f>
        <v/>
      </c>
      <c r="G125" s="5">
        <f>IFERROR(INDEX('Batch Dates'!$G:$G,MATCH(J125,'Batch Dates'!$C:$C,0)),IFERROR(INDEX('Batch Dates'!$G:$G,MATCH(I125,'Batch Dates'!$B:$B,0)),""))</f>
        <v/>
      </c>
      <c r="H125" s="2" t="inlineStr">
        <is>
          <t>initial release</t>
        </is>
      </c>
      <c r="I125" s="3" t="inlineStr">
        <is>
          <t>SCR112501</t>
        </is>
      </c>
      <c r="J125" s="2" t="inlineStr">
        <is>
          <t>P060282</t>
        </is>
      </c>
      <c r="K125" s="2" t="inlineStr">
        <is>
          <t>Scrambler</t>
        </is>
      </c>
      <c r="L125" s="2" t="inlineStr">
        <is>
          <t>Foreign matter</t>
        </is>
      </c>
      <c r="M125" s="2" t="inlineStr">
        <is>
          <t>iCoA_P07 · Foreign matter</t>
        </is>
      </c>
      <c r="N125" s="6" t="inlineStr">
        <is>
          <t>—</t>
        </is>
      </c>
      <c r="O125" s="2" t="inlineStr">
        <is>
          <t>ППК26069, (11.05.2026) [CNP]</t>
        </is>
      </c>
      <c r="P125" s="2" t="inlineStr">
        <is>
          <t>CoQ-PP-2026-0018</t>
        </is>
      </c>
      <c r="Q125" s="2" t="inlineStr">
        <is>
          <t>iCoA-PP-2026-0018</t>
        </is>
      </c>
      <c r="R125" s="2" t="inlineStr">
        <is>
          <t>P060282|FM|I</t>
        </is>
      </c>
      <c r="S125" s="7" t="inlineStr">
        <is>
          <t>registered — preliminary date, QC sets the real date at issue</t>
        </is>
      </c>
    </row>
    <row r="126">
      <c r="A126" s="2">
        <f>IF(C126="yes",COUNT(A$1:A125)+1,"")</f>
        <v/>
      </c>
      <c r="B126" s="3">
        <f>IF(A126="","— at issue —","iCoA-PP_26-"&amp;TEXT(A126,"000"))</f>
        <v/>
      </c>
      <c r="C126" s="4" t="inlineStr">
        <is>
          <t>yes</t>
        </is>
      </c>
      <c r="D126" s="5">
        <f>IF(A126="","",E126)</f>
        <v/>
      </c>
      <c r="E126" s="5">
        <f>IF(AND(C126="yes",ISNUMBER(G126)),MAX(DATE(2026,5,13),G126),"")</f>
        <v/>
      </c>
      <c r="F126" s="5">
        <f>IFERROR(INDEX('Batch Dates'!$F:$F,MATCH(J126,'Batch Dates'!$C:$C,0)),IFERROR(INDEX('Batch Dates'!$F:$F,MATCH(I126,'Batch Dates'!$B:$B,0)),""))</f>
        <v/>
      </c>
      <c r="G126" s="5">
        <f>IFERROR(INDEX('Batch Dates'!$G:$G,MATCH(J126,'Batch Dates'!$C:$C,0)),IFERROR(INDEX('Batch Dates'!$G:$G,MATCH(I126,'Batch Dates'!$B:$B,0)),""))</f>
        <v/>
      </c>
      <c r="H126" s="2" t="inlineStr">
        <is>
          <t>initial release</t>
        </is>
      </c>
      <c r="I126" s="3" t="inlineStr">
        <is>
          <t>FB112501</t>
        </is>
      </c>
      <c r="J126" s="2" t="inlineStr">
        <is>
          <t>P060292</t>
        </is>
      </c>
      <c r="K126" s="2" t="inlineStr">
        <is>
          <t>Fat Bastard</t>
        </is>
      </c>
      <c r="L126" s="2" t="inlineStr">
        <is>
          <t>Ident A + Ident B</t>
        </is>
      </c>
      <c r="M126" s="2" t="inlineStr">
        <is>
          <t>iCoA_P01-02 · Appearance &amp; Identification A/B</t>
        </is>
      </c>
      <c r="N126" s="6" t="inlineStr">
        <is>
          <t>—</t>
        </is>
      </c>
      <c r="O126" s="2" t="inlineStr">
        <is>
          <t>ППК26066, (11.05.2026) [CNP]</t>
        </is>
      </c>
      <c r="P126" s="2" t="inlineStr">
        <is>
          <t>(assigned on issue)</t>
        </is>
      </c>
      <c r="Q126" s="6" t="inlineStr">
        <is>
          <t>—</t>
        </is>
      </c>
      <c r="R126" s="2" t="inlineStr">
        <is>
          <t>P060292|AB|I</t>
        </is>
      </c>
      <c r="S126" s="7" t="inlineStr">
        <is>
          <t>registered — preliminary date, QC sets the real date at issue</t>
        </is>
      </c>
    </row>
    <row r="127">
      <c r="A127" s="2">
        <f>IF(C127="yes",COUNT(A$1:A126)+1,"")</f>
        <v/>
      </c>
      <c r="B127" s="3">
        <f>IF(A127="","— at issue —","iCoA-PP_26-"&amp;TEXT(A127,"000"))</f>
        <v/>
      </c>
      <c r="C127" s="4" t="inlineStr">
        <is>
          <t>yes</t>
        </is>
      </c>
      <c r="D127" s="5">
        <f>IF(A127="","",E127)</f>
        <v/>
      </c>
      <c r="E127" s="5">
        <f>IF(AND(C127="yes",ISNUMBER(G127)),MAX(DATE(2026,5,13),G127),"")</f>
        <v/>
      </c>
      <c r="F127" s="5">
        <f>IFERROR(INDEX('Batch Dates'!$F:$F,MATCH(J127,'Batch Dates'!$C:$C,0)),IFERROR(INDEX('Batch Dates'!$F:$F,MATCH(I127,'Batch Dates'!$B:$B,0)),""))</f>
        <v/>
      </c>
      <c r="G127" s="5">
        <f>IFERROR(INDEX('Batch Dates'!$G:$G,MATCH(J127,'Batch Dates'!$C:$C,0)),IFERROR(INDEX('Batch Dates'!$G:$G,MATCH(I127,'Batch Dates'!$B:$B,0)),""))</f>
        <v/>
      </c>
      <c r="H127" s="2" t="inlineStr">
        <is>
          <t>initial release</t>
        </is>
      </c>
      <c r="I127" s="3" t="inlineStr">
        <is>
          <t>FB112501</t>
        </is>
      </c>
      <c r="J127" s="2" t="inlineStr">
        <is>
          <t>P060292</t>
        </is>
      </c>
      <c r="K127" s="2" t="inlineStr">
        <is>
          <t>Fat Bastard</t>
        </is>
      </c>
      <c r="L127" s="2" t="inlineStr">
        <is>
          <t>Foreign matter</t>
        </is>
      </c>
      <c r="M127" s="2" t="inlineStr">
        <is>
          <t>iCoA_P07 · Foreign matter</t>
        </is>
      </c>
      <c r="N127" s="6" t="inlineStr">
        <is>
          <t>—</t>
        </is>
      </c>
      <c r="O127" s="2" t="inlineStr">
        <is>
          <t>ППК26066, (11.05.2026) [CNP]</t>
        </is>
      </c>
      <c r="P127" s="2" t="inlineStr">
        <is>
          <t>(assigned on issue)</t>
        </is>
      </c>
      <c r="Q127" s="6" t="inlineStr">
        <is>
          <t>—</t>
        </is>
      </c>
      <c r="R127" s="2" t="inlineStr">
        <is>
          <t>P060292|FM|I</t>
        </is>
      </c>
      <c r="S127" s="7" t="inlineStr">
        <is>
          <t>registered — preliminary date, QC sets the real date at issue</t>
        </is>
      </c>
    </row>
    <row r="128">
      <c r="A128" s="2">
        <f>IF(C128="yes",COUNT(A$1:A127)+1,"")</f>
        <v/>
      </c>
      <c r="B128" s="3">
        <f>IF(A128="","— at issue —","iCoA-PP_26-"&amp;TEXT(A128,"000"))</f>
        <v/>
      </c>
      <c r="C128" s="4" t="inlineStr">
        <is>
          <t>yes</t>
        </is>
      </c>
      <c r="D128" s="5">
        <f>IF(A128="","",E128)</f>
        <v/>
      </c>
      <c r="E128" s="5">
        <f>IF(AND(C128="yes",ISNUMBER(G128)),MAX(DATE(2026,5,13),G128),"")</f>
        <v/>
      </c>
      <c r="F128" s="5">
        <f>IFERROR(INDEX('Batch Dates'!$F:$F,MATCH(J128,'Batch Dates'!$C:$C,0)),IFERROR(INDEX('Batch Dates'!$F:$F,MATCH(I128,'Batch Dates'!$B:$B,0)),""))</f>
        <v/>
      </c>
      <c r="G128" s="5">
        <f>IFERROR(INDEX('Batch Dates'!$G:$G,MATCH(J128,'Batch Dates'!$C:$C,0)),IFERROR(INDEX('Batch Dates'!$G:$G,MATCH(I128,'Batch Dates'!$B:$B,0)),""))</f>
        <v/>
      </c>
      <c r="H128" s="2" t="inlineStr">
        <is>
          <t>initial release</t>
        </is>
      </c>
      <c r="I128" s="3" t="inlineStr">
        <is>
          <t>GG012601＊</t>
        </is>
      </c>
      <c r="J128" s="2" t="inlineStr">
        <is>
          <t>P060302</t>
        </is>
      </c>
      <c r="K128" s="2" t="inlineStr">
        <is>
          <t>Gorilla Glue</t>
        </is>
      </c>
      <c r="L128" s="2" t="inlineStr">
        <is>
          <t>Ident A + Ident B</t>
        </is>
      </c>
      <c r="M128" s="2" t="inlineStr">
        <is>
          <t>iCoA_P01-02 · Appearance &amp; Identification A/B</t>
        </is>
      </c>
      <c r="N128" s="6" t="inlineStr">
        <is>
          <t>—</t>
        </is>
      </c>
      <c r="O128" s="2" t="inlineStr">
        <is>
          <t>ППК26062, (11.05.2026) [CNP]</t>
        </is>
      </c>
      <c r="P128" s="2" t="inlineStr">
        <is>
          <t>(assigned on issue)</t>
        </is>
      </c>
      <c r="Q128" s="6" t="inlineStr">
        <is>
          <t>—</t>
        </is>
      </c>
      <c r="R128" s="2" t="inlineStr">
        <is>
          <t>P060302|AB|I</t>
        </is>
      </c>
      <c r="S128" s="7" t="inlineStr">
        <is>
          <t>registered — preliminary date, QC sets the real date at issue</t>
        </is>
      </c>
    </row>
    <row r="129">
      <c r="A129" s="2">
        <f>IF(C129="yes",COUNT(A$1:A128)+1,"")</f>
        <v/>
      </c>
      <c r="B129" s="3">
        <f>IF(A129="","— at issue —","iCoA-PP_26-"&amp;TEXT(A129,"000"))</f>
        <v/>
      </c>
      <c r="C129" s="4" t="inlineStr">
        <is>
          <t>yes</t>
        </is>
      </c>
      <c r="D129" s="5">
        <f>IF(A129="","",E129)</f>
        <v/>
      </c>
      <c r="E129" s="5">
        <f>IF(AND(C129="yes",ISNUMBER(G129)),MAX(DATE(2026,5,13),G129),"")</f>
        <v/>
      </c>
      <c r="F129" s="5">
        <f>IFERROR(INDEX('Batch Dates'!$F:$F,MATCH(J129,'Batch Dates'!$C:$C,0)),IFERROR(INDEX('Batch Dates'!$F:$F,MATCH(I129,'Batch Dates'!$B:$B,0)),""))</f>
        <v/>
      </c>
      <c r="G129" s="5">
        <f>IFERROR(INDEX('Batch Dates'!$G:$G,MATCH(J129,'Batch Dates'!$C:$C,0)),IFERROR(INDEX('Batch Dates'!$G:$G,MATCH(I129,'Batch Dates'!$B:$B,0)),""))</f>
        <v/>
      </c>
      <c r="H129" s="2" t="inlineStr">
        <is>
          <t>initial release</t>
        </is>
      </c>
      <c r="I129" s="3" t="inlineStr">
        <is>
          <t>GG012601＊</t>
        </is>
      </c>
      <c r="J129" s="2" t="inlineStr">
        <is>
          <t>P060302</t>
        </is>
      </c>
      <c r="K129" s="2" t="inlineStr">
        <is>
          <t>Gorilla Glue</t>
        </is>
      </c>
      <c r="L129" s="2" t="inlineStr">
        <is>
          <t>Foreign matter</t>
        </is>
      </c>
      <c r="M129" s="2" t="inlineStr">
        <is>
          <t>iCoA_P07 · Foreign matter</t>
        </is>
      </c>
      <c r="N129" s="6" t="inlineStr">
        <is>
          <t>—</t>
        </is>
      </c>
      <c r="O129" s="2" t="inlineStr">
        <is>
          <t>ППК26062, (11.05.2026) [CNP]</t>
        </is>
      </c>
      <c r="P129" s="2" t="inlineStr">
        <is>
          <t>(assigned on issue)</t>
        </is>
      </c>
      <c r="Q129" s="6" t="inlineStr">
        <is>
          <t>—</t>
        </is>
      </c>
      <c r="R129" s="2" t="inlineStr">
        <is>
          <t>P060302|FM|I</t>
        </is>
      </c>
      <c r="S129" s="7" t="inlineStr">
        <is>
          <t>registered — preliminary date, QC sets the real date at issue</t>
        </is>
      </c>
    </row>
    <row r="130">
      <c r="A130" s="2">
        <f>IF(C130="yes",COUNT(A$1:A129)+1,"")</f>
        <v/>
      </c>
      <c r="B130" s="3">
        <f>IF(A130="","— at issue —","iCoA-PP_26-"&amp;TEXT(A130,"000"))</f>
        <v/>
      </c>
      <c r="C130" s="4" t="inlineStr">
        <is>
          <t>yes</t>
        </is>
      </c>
      <c r="D130" s="5">
        <f>IF(A130="","",E130)</f>
        <v/>
      </c>
      <c r="E130" s="5">
        <f>IF(AND(C130="yes",ISNUMBER(G130)),MAX(DATE(2026,5,13),G130),"")</f>
        <v/>
      </c>
      <c r="F130" s="5">
        <f>IFERROR(INDEX('Batch Dates'!$F:$F,MATCH(J130,'Batch Dates'!$C:$C,0)),IFERROR(INDEX('Batch Dates'!$F:$F,MATCH(I130,'Batch Dates'!$B:$B,0)),""))</f>
        <v/>
      </c>
      <c r="G130" s="5">
        <f>IFERROR(INDEX('Batch Dates'!$G:$G,MATCH(J130,'Batch Dates'!$C:$C,0)),IFERROR(INDEX('Batch Dates'!$G:$G,MATCH(I130,'Batch Dates'!$B:$B,0)),""))</f>
        <v/>
      </c>
      <c r="H130" s="2" t="inlineStr">
        <is>
          <t>initial release</t>
        </is>
      </c>
      <c r="I130" s="3" t="inlineStr">
        <is>
          <t>JD012601＊</t>
        </is>
      </c>
      <c r="J130" s="2" t="inlineStr">
        <is>
          <t>P060312</t>
        </is>
      </c>
      <c r="K130" s="2" t="inlineStr">
        <is>
          <t>Jelly Donutz</t>
        </is>
      </c>
      <c r="L130" s="2" t="inlineStr">
        <is>
          <t>Ident A + Ident B</t>
        </is>
      </c>
      <c r="M130" s="2" t="inlineStr">
        <is>
          <t>iCoA_P01-02 · Appearance &amp; Identification A/B</t>
        </is>
      </c>
      <c r="N130" s="6" t="inlineStr">
        <is>
          <t>—</t>
        </is>
      </c>
      <c r="O130" s="2" t="inlineStr">
        <is>
          <t>ППК26064, (11.05.2026) [CNP]</t>
        </is>
      </c>
      <c r="P130" s="2" t="inlineStr">
        <is>
          <t>(assigned on issue)</t>
        </is>
      </c>
      <c r="Q130" s="6" t="inlineStr">
        <is>
          <t>—</t>
        </is>
      </c>
      <c r="R130" s="2" t="inlineStr">
        <is>
          <t>P060312|AB|I</t>
        </is>
      </c>
      <c r="S130" s="7" t="inlineStr">
        <is>
          <t>registered — preliminary date, QC sets the real date at issue</t>
        </is>
      </c>
    </row>
    <row r="131">
      <c r="A131" s="2">
        <f>IF(C131="yes",COUNT(A$1:A130)+1,"")</f>
        <v/>
      </c>
      <c r="B131" s="3">
        <f>IF(A131="","— at issue —","iCoA-PP_26-"&amp;TEXT(A131,"000"))</f>
        <v/>
      </c>
      <c r="C131" s="4" t="inlineStr">
        <is>
          <t>yes</t>
        </is>
      </c>
      <c r="D131" s="5">
        <f>IF(A131="","",E131)</f>
        <v/>
      </c>
      <c r="E131" s="5">
        <f>IF(AND(C131="yes",ISNUMBER(G131)),MAX(DATE(2026,5,13),G131),"")</f>
        <v/>
      </c>
      <c r="F131" s="5">
        <f>IFERROR(INDEX('Batch Dates'!$F:$F,MATCH(J131,'Batch Dates'!$C:$C,0)),IFERROR(INDEX('Batch Dates'!$F:$F,MATCH(I131,'Batch Dates'!$B:$B,0)),""))</f>
        <v/>
      </c>
      <c r="G131" s="5">
        <f>IFERROR(INDEX('Batch Dates'!$G:$G,MATCH(J131,'Batch Dates'!$C:$C,0)),IFERROR(INDEX('Batch Dates'!$G:$G,MATCH(I131,'Batch Dates'!$B:$B,0)),""))</f>
        <v/>
      </c>
      <c r="H131" s="2" t="inlineStr">
        <is>
          <t>initial release</t>
        </is>
      </c>
      <c r="I131" s="3" t="inlineStr">
        <is>
          <t>JD012601＊</t>
        </is>
      </c>
      <c r="J131" s="2" t="inlineStr">
        <is>
          <t>P060312</t>
        </is>
      </c>
      <c r="K131" s="2" t="inlineStr">
        <is>
          <t>Jelly Donutz</t>
        </is>
      </c>
      <c r="L131" s="2" t="inlineStr">
        <is>
          <t>Foreign matter</t>
        </is>
      </c>
      <c r="M131" s="2" t="inlineStr">
        <is>
          <t>iCoA_P07 · Foreign matter</t>
        </is>
      </c>
      <c r="N131" s="6" t="inlineStr">
        <is>
          <t>—</t>
        </is>
      </c>
      <c r="O131" s="2" t="inlineStr">
        <is>
          <t>ППК26064, (11.05.2026) [CNP]</t>
        </is>
      </c>
      <c r="P131" s="2" t="inlineStr">
        <is>
          <t>(assigned on issue)</t>
        </is>
      </c>
      <c r="Q131" s="6" t="inlineStr">
        <is>
          <t>—</t>
        </is>
      </c>
      <c r="R131" s="2" t="inlineStr">
        <is>
          <t>P060312|FM|I</t>
        </is>
      </c>
      <c r="S131" s="7" t="inlineStr">
        <is>
          <t>registered — preliminary date, QC sets the real date at issue</t>
        </is>
      </c>
    </row>
    <row r="132">
      <c r="A132" s="2">
        <f>IF(C132="yes",COUNT(A$1:A131)+1,"")</f>
        <v/>
      </c>
      <c r="B132" s="3">
        <f>IF(A132="","— at issue —","iCoA-PP_26-"&amp;TEXT(A132,"000"))</f>
        <v/>
      </c>
      <c r="C132" s="4" t="inlineStr">
        <is>
          <t>yes</t>
        </is>
      </c>
      <c r="D132" s="5">
        <f>IF(A132="","",E132)</f>
        <v/>
      </c>
      <c r="E132" s="5">
        <f>IF(AND(C132="yes",ISNUMBER(G132)),MAX(DATE(2026,5,13),G132),"")</f>
        <v/>
      </c>
      <c r="F132" s="5">
        <f>IFERROR(INDEX('Batch Dates'!$F:$F,MATCH(J132,'Batch Dates'!$C:$C,0)),IFERROR(INDEX('Batch Dates'!$F:$F,MATCH(I132,'Batch Dates'!$B:$B,0)),""))</f>
        <v/>
      </c>
      <c r="G132" s="5">
        <f>IFERROR(INDEX('Batch Dates'!$G:$G,MATCH(J132,'Batch Dates'!$C:$C,0)),IFERROR(INDEX('Batch Dates'!$G:$G,MATCH(I132,'Batch Dates'!$B:$B,0)),""))</f>
        <v/>
      </c>
      <c r="H132" s="2" t="inlineStr">
        <is>
          <t>initial release</t>
        </is>
      </c>
      <c r="I132" s="3" t="inlineStr">
        <is>
          <t>CC012601/1</t>
        </is>
      </c>
      <c r="J132" s="2" t="inlineStr">
        <is>
          <t>P060332</t>
        </is>
      </c>
      <c r="K132" s="2" t="inlineStr"/>
      <c r="L132" s="2" t="inlineStr">
        <is>
          <t>Ident A + Ident B</t>
        </is>
      </c>
      <c r="M132" s="2" t="inlineStr">
        <is>
          <t>iCoA_P01-02 · Appearance &amp; Identification A/B</t>
        </is>
      </c>
      <c r="N132" s="6" t="inlineStr">
        <is>
          <t>—</t>
        </is>
      </c>
      <c r="O132" s="2" t="inlineStr">
        <is>
          <t>197-6-K-26, (07.08.2026) [FHM-K]</t>
        </is>
      </c>
      <c r="P132" s="2" t="inlineStr">
        <is>
          <t>— not in the issuance plan —</t>
        </is>
      </c>
      <c r="Q132" s="6" t="inlineStr">
        <is>
          <t>—</t>
        </is>
      </c>
      <c r="R132" s="2" t="inlineStr">
        <is>
          <t>P060332|AB|I</t>
        </is>
      </c>
      <c r="S132" s="7" t="inlineStr">
        <is>
          <t>registered — preliminary date, QC sets the real date at issue</t>
        </is>
      </c>
    </row>
    <row r="133">
      <c r="A133" s="2">
        <f>IF(C133="yes",COUNT(A$1:A132)+1,"")</f>
        <v/>
      </c>
      <c r="B133" s="3">
        <f>IF(A133="","— at issue —","iCoA-PP_26-"&amp;TEXT(A133,"000"))</f>
        <v/>
      </c>
      <c r="C133" s="4" t="inlineStr">
        <is>
          <t>yes</t>
        </is>
      </c>
      <c r="D133" s="5">
        <f>IF(A133="","",E133)</f>
        <v/>
      </c>
      <c r="E133" s="5">
        <f>IF(AND(C133="yes",ISNUMBER(G133)),MAX(DATE(2026,5,13),G133),"")</f>
        <v/>
      </c>
      <c r="F133" s="5">
        <f>IFERROR(INDEX('Batch Dates'!$F:$F,MATCH(J133,'Batch Dates'!$C:$C,0)),IFERROR(INDEX('Batch Dates'!$F:$F,MATCH(I133,'Batch Dates'!$B:$B,0)),""))</f>
        <v/>
      </c>
      <c r="G133" s="5">
        <f>IFERROR(INDEX('Batch Dates'!$G:$G,MATCH(J133,'Batch Dates'!$C:$C,0)),IFERROR(INDEX('Batch Dates'!$G:$G,MATCH(I133,'Batch Dates'!$B:$B,0)),""))</f>
        <v/>
      </c>
      <c r="H133" s="2" t="inlineStr">
        <is>
          <t>initial release</t>
        </is>
      </c>
      <c r="I133" s="3" t="inlineStr">
        <is>
          <t>CC012601/1</t>
        </is>
      </c>
      <c r="J133" s="2" t="inlineStr">
        <is>
          <t>P060332</t>
        </is>
      </c>
      <c r="K133" s="2" t="inlineStr"/>
      <c r="L133" s="2" t="inlineStr">
        <is>
          <t>Foreign matter</t>
        </is>
      </c>
      <c r="M133" s="2" t="inlineStr">
        <is>
          <t>iCoA_P07 · Foreign matter</t>
        </is>
      </c>
      <c r="N133" s="6" t="inlineStr">
        <is>
          <t>—</t>
        </is>
      </c>
      <c r="O133" s="2" t="inlineStr">
        <is>
          <t>197-6-K-26, (07.08.2026) [FHM-K]</t>
        </is>
      </c>
      <c r="P133" s="2" t="inlineStr">
        <is>
          <t>— not in the issuance plan —</t>
        </is>
      </c>
      <c r="Q133" s="6" t="inlineStr">
        <is>
          <t>—</t>
        </is>
      </c>
      <c r="R133" s="2" t="inlineStr">
        <is>
          <t>P060332|FM|I</t>
        </is>
      </c>
      <c r="S133" s="7" t="inlineStr">
        <is>
          <t>registered — preliminary date, QC sets the real date at issue</t>
        </is>
      </c>
    </row>
    <row r="134">
      <c r="A134" s="2">
        <f>IF(C134="yes",COUNT(A$1:A133)+1,"")</f>
        <v/>
      </c>
      <c r="B134" s="3">
        <f>IF(A134="","— at issue —","iCoA-PP_26-"&amp;TEXT(A134,"000"))</f>
        <v/>
      </c>
      <c r="C134" s="4" t="inlineStr">
        <is>
          <t>yes</t>
        </is>
      </c>
      <c r="D134" s="5">
        <f>IF(A134="","",E134)</f>
        <v/>
      </c>
      <c r="E134" s="5">
        <f>IF(AND(C134="yes",ISNUMBER(G134)),MAX(DATE(2026,5,13),G134),"")</f>
        <v/>
      </c>
      <c r="F134" s="5">
        <f>IFERROR(INDEX('Batch Dates'!$F:$F,MATCH(J134,'Batch Dates'!$C:$C,0)),IFERROR(INDEX('Batch Dates'!$F:$F,MATCH(I134,'Batch Dates'!$B:$B,0)),""))</f>
        <v/>
      </c>
      <c r="G134" s="5">
        <f>IFERROR(INDEX('Batch Dates'!$G:$G,MATCH(J134,'Batch Dates'!$C:$C,0)),IFERROR(INDEX('Batch Dates'!$G:$G,MATCH(I134,'Batch Dates'!$B:$B,0)),""))</f>
        <v/>
      </c>
      <c r="H134" s="2" t="inlineStr">
        <is>
          <t>initial release</t>
        </is>
      </c>
      <c r="I134" s="3" t="inlineStr">
        <is>
          <t>FB012601_1</t>
        </is>
      </c>
      <c r="J134" s="2" t="inlineStr">
        <is>
          <t>P060322</t>
        </is>
      </c>
      <c r="K134" s="2" t="inlineStr">
        <is>
          <t>Fat Bastard</t>
        </is>
      </c>
      <c r="L134" s="2" t="inlineStr">
        <is>
          <t>Ident A + Ident B</t>
        </is>
      </c>
      <c r="M134" s="2" t="inlineStr">
        <is>
          <t>iCoA_P01-02 · Appearance &amp; Identification A/B</t>
        </is>
      </c>
      <c r="N134" s="6" t="inlineStr">
        <is>
          <t>—</t>
        </is>
      </c>
      <c r="O134" s="2" t="inlineStr">
        <is>
          <t>ППК26067, (11.05.2026) [CNP]</t>
        </is>
      </c>
      <c r="P134" s="2" t="inlineStr">
        <is>
          <t>CoQ-PP-2026-0019</t>
        </is>
      </c>
      <c r="Q134" s="2" t="inlineStr">
        <is>
          <t>iCoA-PP-2026-0019</t>
        </is>
      </c>
      <c r="R134" s="2" t="inlineStr">
        <is>
          <t>P060322|AB|I</t>
        </is>
      </c>
      <c r="S134" s="7" t="inlineStr">
        <is>
          <t>registered — preliminary date, QC sets the real date at issue</t>
        </is>
      </c>
    </row>
    <row r="135">
      <c r="A135" s="2">
        <f>IF(C135="yes",COUNT(A$1:A134)+1,"")</f>
        <v/>
      </c>
      <c r="B135" s="3">
        <f>IF(A135="","— at issue —","iCoA-PP_26-"&amp;TEXT(A135,"000"))</f>
        <v/>
      </c>
      <c r="C135" s="4" t="inlineStr">
        <is>
          <t>yes</t>
        </is>
      </c>
      <c r="D135" s="5">
        <f>IF(A135="","",E135)</f>
        <v/>
      </c>
      <c r="E135" s="5">
        <f>IF(AND(C135="yes",ISNUMBER(G135)),MAX(DATE(2026,5,13),G135),"")</f>
        <v/>
      </c>
      <c r="F135" s="5">
        <f>IFERROR(INDEX('Batch Dates'!$F:$F,MATCH(J135,'Batch Dates'!$C:$C,0)),IFERROR(INDEX('Batch Dates'!$F:$F,MATCH(I135,'Batch Dates'!$B:$B,0)),""))</f>
        <v/>
      </c>
      <c r="G135" s="5">
        <f>IFERROR(INDEX('Batch Dates'!$G:$G,MATCH(J135,'Batch Dates'!$C:$C,0)),IFERROR(INDEX('Batch Dates'!$G:$G,MATCH(I135,'Batch Dates'!$B:$B,0)),""))</f>
        <v/>
      </c>
      <c r="H135" s="2" t="inlineStr">
        <is>
          <t>initial release</t>
        </is>
      </c>
      <c r="I135" s="3" t="inlineStr">
        <is>
          <t>FB012601_1</t>
        </is>
      </c>
      <c r="J135" s="2" t="inlineStr">
        <is>
          <t>P060322</t>
        </is>
      </c>
      <c r="K135" s="2" t="inlineStr">
        <is>
          <t>Fat Bastard</t>
        </is>
      </c>
      <c r="L135" s="2" t="inlineStr">
        <is>
          <t>Foreign matter</t>
        </is>
      </c>
      <c r="M135" s="2" t="inlineStr">
        <is>
          <t>iCoA_P07 · Foreign matter</t>
        </is>
      </c>
      <c r="N135" s="6" t="inlineStr">
        <is>
          <t>—</t>
        </is>
      </c>
      <c r="O135" s="2" t="inlineStr">
        <is>
          <t>ППК26067, (11.05.2026) [CNP]</t>
        </is>
      </c>
      <c r="P135" s="2" t="inlineStr">
        <is>
          <t>CoQ-PP-2026-0019</t>
        </is>
      </c>
      <c r="Q135" s="2" t="inlineStr">
        <is>
          <t>iCoA-PP-2026-0019</t>
        </is>
      </c>
      <c r="R135" s="2" t="inlineStr">
        <is>
          <t>P060322|FM|I</t>
        </is>
      </c>
      <c r="S135" s="7" t="inlineStr">
        <is>
          <t>registered — preliminary date, QC sets the real date at issue</t>
        </is>
      </c>
    </row>
    <row r="136">
      <c r="A136" s="2">
        <f>IF(C136="yes",COUNT(A$1:A135)+1,"")</f>
        <v/>
      </c>
      <c r="B136" s="3">
        <f>IF(A136="","— at issue —","iCoA-PP_26-"&amp;TEXT(A136,"000"))</f>
        <v/>
      </c>
      <c r="C136" s="4" t="inlineStr">
        <is>
          <t>yes</t>
        </is>
      </c>
      <c r="D136" s="5">
        <f>IF(A136="","",E136)</f>
        <v/>
      </c>
      <c r="E136" s="5">
        <f>IF(AND(C136="yes",ISNUMBER(G136)),MAX(DATE(2026,5,13),G136),"")</f>
        <v/>
      </c>
      <c r="F136" s="5">
        <f>IFERROR(INDEX('Batch Dates'!$F:$F,MATCH(J136,'Batch Dates'!$C:$C,0)),IFERROR(INDEX('Batch Dates'!$F:$F,MATCH(I136,'Batch Dates'!$B:$B,0)),""))</f>
        <v/>
      </c>
      <c r="G136" s="5">
        <f>IFERROR(INDEX('Batch Dates'!$G:$G,MATCH(J136,'Batch Dates'!$C:$C,0)),IFERROR(INDEX('Batch Dates'!$G:$G,MATCH(I136,'Batch Dates'!$B:$B,0)),""))</f>
        <v/>
      </c>
      <c r="H136" s="2" t="inlineStr">
        <is>
          <t>initial release</t>
        </is>
      </c>
      <c r="I136" s="3" t="inlineStr">
        <is>
          <t>FB012602*</t>
        </is>
      </c>
      <c r="J136" s="2" t="inlineStr">
        <is>
          <t>P060352</t>
        </is>
      </c>
      <c r="K136" s="2" t="inlineStr">
        <is>
          <t>Fat Bastard</t>
        </is>
      </c>
      <c r="L136" s="2" t="inlineStr">
        <is>
          <t>Ident A + Ident B</t>
        </is>
      </c>
      <c r="M136" s="2" t="inlineStr">
        <is>
          <t>iCoA_P01-02 · Appearance &amp; Identification A/B</t>
        </is>
      </c>
      <c r="N136" s="6" t="inlineStr">
        <is>
          <t>—</t>
        </is>
      </c>
      <c r="O136" s="2" t="inlineStr">
        <is>
          <t>197-7-K-26, (07.08.2026) [FHM-K]</t>
        </is>
      </c>
      <c r="P136" s="2" t="inlineStr">
        <is>
          <t>CoQ-PP-2026-0021</t>
        </is>
      </c>
      <c r="Q136" s="2" t="inlineStr">
        <is>
          <t>iCoA-PP-2026-0021</t>
        </is>
      </c>
      <c r="R136" s="2" t="inlineStr">
        <is>
          <t>P060352|AB|I</t>
        </is>
      </c>
      <c r="S136" s="7" t="inlineStr">
        <is>
          <t>registered — preliminary date, QC sets the real date at issue</t>
        </is>
      </c>
    </row>
    <row r="137">
      <c r="A137" s="2">
        <f>IF(C137="yes",COUNT(A$1:A136)+1,"")</f>
        <v/>
      </c>
      <c r="B137" s="3">
        <f>IF(A137="","— at issue —","iCoA-PP_26-"&amp;TEXT(A137,"000"))</f>
        <v/>
      </c>
      <c r="C137" s="4" t="inlineStr">
        <is>
          <t>yes</t>
        </is>
      </c>
      <c r="D137" s="5">
        <f>IF(A137="","",E137)</f>
        <v/>
      </c>
      <c r="E137" s="5">
        <f>IF(AND(C137="yes",ISNUMBER(G137)),MAX(DATE(2026,5,13),G137),"")</f>
        <v/>
      </c>
      <c r="F137" s="5">
        <f>IFERROR(INDEX('Batch Dates'!$F:$F,MATCH(J137,'Batch Dates'!$C:$C,0)),IFERROR(INDEX('Batch Dates'!$F:$F,MATCH(I137,'Batch Dates'!$B:$B,0)),""))</f>
        <v/>
      </c>
      <c r="G137" s="5">
        <f>IFERROR(INDEX('Batch Dates'!$G:$G,MATCH(J137,'Batch Dates'!$C:$C,0)),IFERROR(INDEX('Batch Dates'!$G:$G,MATCH(I137,'Batch Dates'!$B:$B,0)),""))</f>
        <v/>
      </c>
      <c r="H137" s="2" t="inlineStr">
        <is>
          <t>initial release</t>
        </is>
      </c>
      <c r="I137" s="3" t="inlineStr">
        <is>
          <t>FB012602*</t>
        </is>
      </c>
      <c r="J137" s="2" t="inlineStr">
        <is>
          <t>P060352</t>
        </is>
      </c>
      <c r="K137" s="2" t="inlineStr">
        <is>
          <t>Fat Bastard</t>
        </is>
      </c>
      <c r="L137" s="2" t="inlineStr">
        <is>
          <t>Foreign matter</t>
        </is>
      </c>
      <c r="M137" s="2" t="inlineStr">
        <is>
          <t>iCoA_P07 · Foreign matter</t>
        </is>
      </c>
      <c r="N137" s="6" t="inlineStr">
        <is>
          <t>—</t>
        </is>
      </c>
      <c r="O137" s="2" t="inlineStr">
        <is>
          <t>197-7-K-26, (07.08.2026) [FHM-K]</t>
        </is>
      </c>
      <c r="P137" s="2" t="inlineStr">
        <is>
          <t>CoQ-PP-2026-0021</t>
        </is>
      </c>
      <c r="Q137" s="2" t="inlineStr">
        <is>
          <t>iCoA-PP-2026-0021</t>
        </is>
      </c>
      <c r="R137" s="2" t="inlineStr">
        <is>
          <t>P060352|FM|I</t>
        </is>
      </c>
      <c r="S137" s="7" t="inlineStr">
        <is>
          <t>registered — preliminary date, QC sets the real date at issue</t>
        </is>
      </c>
    </row>
    <row r="138">
      <c r="A138" s="2">
        <f>IF(C138="yes",COUNT(A$1:A137)+1,"")</f>
        <v/>
      </c>
      <c r="B138" s="3">
        <f>IF(A138="","— at issue —","iCoA-PP_26-"&amp;TEXT(A138,"000"))</f>
        <v/>
      </c>
      <c r="C138" s="4" t="inlineStr">
        <is>
          <t>yes</t>
        </is>
      </c>
      <c r="D138" s="5">
        <f>IF(A138="","",E138)</f>
        <v/>
      </c>
      <c r="E138" s="5">
        <f>IF(AND(C138="yes",ISNUMBER(G138)),MAX(DATE(2026,5,13),G138),"")</f>
        <v/>
      </c>
      <c r="F138" s="5">
        <f>IFERROR(INDEX('Batch Dates'!$F:$F,MATCH(J138,'Batch Dates'!$C:$C,0)),IFERROR(INDEX('Batch Dates'!$F:$F,MATCH(I138,'Batch Dates'!$B:$B,0)),""))</f>
        <v/>
      </c>
      <c r="G138" s="5">
        <f>IFERROR(INDEX('Batch Dates'!$G:$G,MATCH(J138,'Batch Dates'!$C:$C,0)),IFERROR(INDEX('Batch Dates'!$G:$G,MATCH(I138,'Batch Dates'!$B:$B,0)),""))</f>
        <v/>
      </c>
      <c r="H138" s="2" t="inlineStr">
        <is>
          <t>initial release</t>
        </is>
      </c>
      <c r="I138" s="3" t="inlineStr">
        <is>
          <t>SCR012601* (from the list)</t>
        </is>
      </c>
      <c r="J138" s="2" t="inlineStr">
        <is>
          <t>P060342</t>
        </is>
      </c>
      <c r="K138" s="2" t="inlineStr">
        <is>
          <t>Scrambler</t>
        </is>
      </c>
      <c r="L138" s="2" t="inlineStr">
        <is>
          <t>Ident A + Ident B</t>
        </is>
      </c>
      <c r="M138" s="2" t="inlineStr">
        <is>
          <t>iCoA_P01-02 · Appearance &amp; Identification A/B</t>
        </is>
      </c>
      <c r="N138" s="6" t="inlineStr">
        <is>
          <t>—</t>
        </is>
      </c>
      <c r="O138" s="6" t="inlineStr">
        <is>
          <t>— no cannabinoid certificate —</t>
        </is>
      </c>
      <c r="P138" s="2" t="inlineStr">
        <is>
          <t>— not in the issuance plan —</t>
        </is>
      </c>
      <c r="Q138" s="6" t="inlineStr">
        <is>
          <t>—</t>
        </is>
      </c>
      <c r="R138" s="2" t="inlineStr">
        <is>
          <t>P060342|AB|I</t>
        </is>
      </c>
      <c r="S138" s="7" t="inlineStr">
        <is>
          <t>registered — preliminary date, QC sets the real date at issue</t>
        </is>
      </c>
    </row>
    <row r="139">
      <c r="A139" s="2">
        <f>IF(C139="yes",COUNT(A$1:A138)+1,"")</f>
        <v/>
      </c>
      <c r="B139" s="3">
        <f>IF(A139="","— at issue —","iCoA-PP_26-"&amp;TEXT(A139,"000"))</f>
        <v/>
      </c>
      <c r="C139" s="4" t="inlineStr">
        <is>
          <t>yes</t>
        </is>
      </c>
      <c r="D139" s="5">
        <f>IF(A139="","",E139)</f>
        <v/>
      </c>
      <c r="E139" s="5">
        <f>IF(AND(C139="yes",ISNUMBER(G139)),MAX(DATE(2026,5,13),G139),"")</f>
        <v/>
      </c>
      <c r="F139" s="5">
        <f>IFERROR(INDEX('Batch Dates'!$F:$F,MATCH(J139,'Batch Dates'!$C:$C,0)),IFERROR(INDEX('Batch Dates'!$F:$F,MATCH(I139,'Batch Dates'!$B:$B,0)),""))</f>
        <v/>
      </c>
      <c r="G139" s="5">
        <f>IFERROR(INDEX('Batch Dates'!$G:$G,MATCH(J139,'Batch Dates'!$C:$C,0)),IFERROR(INDEX('Batch Dates'!$G:$G,MATCH(I139,'Batch Dates'!$B:$B,0)),""))</f>
        <v/>
      </c>
      <c r="H139" s="2" t="inlineStr">
        <is>
          <t>initial release</t>
        </is>
      </c>
      <c r="I139" s="3" t="inlineStr">
        <is>
          <t>SCR012601* (from the list)</t>
        </is>
      </c>
      <c r="J139" s="2" t="inlineStr">
        <is>
          <t>P060342</t>
        </is>
      </c>
      <c r="K139" s="2" t="inlineStr">
        <is>
          <t>Scrambler</t>
        </is>
      </c>
      <c r="L139" s="2" t="inlineStr">
        <is>
          <t>Foreign matter</t>
        </is>
      </c>
      <c r="M139" s="2" t="inlineStr">
        <is>
          <t>iCoA_P07 · Foreign matter</t>
        </is>
      </c>
      <c r="N139" s="6" t="inlineStr">
        <is>
          <t>—</t>
        </is>
      </c>
      <c r="O139" s="6" t="inlineStr">
        <is>
          <t>— no cannabinoid certificate —</t>
        </is>
      </c>
      <c r="P139" s="2" t="inlineStr">
        <is>
          <t>— not in the issuance plan —</t>
        </is>
      </c>
      <c r="Q139" s="6" t="inlineStr">
        <is>
          <t>—</t>
        </is>
      </c>
      <c r="R139" s="2" t="inlineStr">
        <is>
          <t>P060342|FM|I</t>
        </is>
      </c>
      <c r="S139" s="7" t="inlineStr">
        <is>
          <t>registered — preliminary date, QC sets the real date at issue</t>
        </is>
      </c>
    </row>
    <row r="140">
      <c r="A140" s="2">
        <f>IF(C140="yes",COUNT(A$1:A139)+1,"")</f>
        <v/>
      </c>
      <c r="B140" s="3">
        <f>IF(A140="","— at issue —","iCoA-PP_26-"&amp;TEXT(A140,"000"))</f>
        <v/>
      </c>
      <c r="C140" s="4" t="inlineStr">
        <is>
          <t>yes</t>
        </is>
      </c>
      <c r="D140" s="5">
        <f>IF(A140="","",E140)</f>
        <v/>
      </c>
      <c r="E140" s="5">
        <f>IF(AND(C140="yes",ISNUMBER(G140)),MAX(DATE(2026,5,13),G140),"")</f>
        <v/>
      </c>
      <c r="F140" s="5">
        <f>IFERROR(INDEX('Batch Dates'!$F:$F,MATCH(J140,'Batch Dates'!$C:$C,0)),IFERROR(INDEX('Batch Dates'!$F:$F,MATCH(I140,'Batch Dates'!$B:$B,0)),""))</f>
        <v/>
      </c>
      <c r="G140" s="5">
        <f>IFERROR(INDEX('Batch Dates'!$G:$G,MATCH(J140,'Batch Dates'!$C:$C,0)),IFERROR(INDEX('Batch Dates'!$G:$G,MATCH(I140,'Batch Dates'!$B:$B,0)),""))</f>
        <v/>
      </c>
      <c r="H140" s="2" t="inlineStr">
        <is>
          <t>initial release</t>
        </is>
      </c>
      <c r="I140" s="3" t="inlineStr">
        <is>
          <t>SCR012603</t>
        </is>
      </c>
      <c r="J140" s="2" t="inlineStr">
        <is>
          <t>P060382</t>
        </is>
      </c>
      <c r="K140" s="2" t="inlineStr">
        <is>
          <t>Scrambler</t>
        </is>
      </c>
      <c r="L140" s="2" t="inlineStr">
        <is>
          <t>Ident A + Ident B</t>
        </is>
      </c>
      <c r="M140" s="2" t="inlineStr">
        <is>
          <t>iCoA_P01-02 · Appearance &amp; Identification A/B</t>
        </is>
      </c>
      <c r="N140" s="6" t="inlineStr">
        <is>
          <t>—</t>
        </is>
      </c>
      <c r="O140" s="2" t="inlineStr">
        <is>
          <t>197-21-K-26, (07.08.2026) [FHM-K]</t>
        </is>
      </c>
      <c r="P140" s="2" t="inlineStr">
        <is>
          <t>CoQ-PP-2026-0026</t>
        </is>
      </c>
      <c r="Q140" s="2" t="inlineStr">
        <is>
          <t>iCoA-PP-2026-0026</t>
        </is>
      </c>
      <c r="R140" s="2" t="inlineStr">
        <is>
          <t>P060382|AB|I</t>
        </is>
      </c>
      <c r="S140" s="7" t="inlineStr">
        <is>
          <t>registered — preliminary date, QC sets the real date at issue</t>
        </is>
      </c>
    </row>
    <row r="141">
      <c r="A141" s="2">
        <f>IF(C141="yes",COUNT(A$1:A140)+1,"")</f>
        <v/>
      </c>
      <c r="B141" s="3">
        <f>IF(A141="","— at issue —","iCoA-PP_26-"&amp;TEXT(A141,"000"))</f>
        <v/>
      </c>
      <c r="C141" s="4" t="inlineStr">
        <is>
          <t>yes</t>
        </is>
      </c>
      <c r="D141" s="5">
        <f>IF(A141="","",E141)</f>
        <v/>
      </c>
      <c r="E141" s="5">
        <f>IF(AND(C141="yes",ISNUMBER(G141)),MAX(DATE(2026,5,13),G141),"")</f>
        <v/>
      </c>
      <c r="F141" s="5">
        <f>IFERROR(INDEX('Batch Dates'!$F:$F,MATCH(J141,'Batch Dates'!$C:$C,0)),IFERROR(INDEX('Batch Dates'!$F:$F,MATCH(I141,'Batch Dates'!$B:$B,0)),""))</f>
        <v/>
      </c>
      <c r="G141" s="5">
        <f>IFERROR(INDEX('Batch Dates'!$G:$G,MATCH(J141,'Batch Dates'!$C:$C,0)),IFERROR(INDEX('Batch Dates'!$G:$G,MATCH(I141,'Batch Dates'!$B:$B,0)),""))</f>
        <v/>
      </c>
      <c r="H141" s="2" t="inlineStr">
        <is>
          <t>initial release</t>
        </is>
      </c>
      <c r="I141" s="3" t="inlineStr">
        <is>
          <t>SCR012603</t>
        </is>
      </c>
      <c r="J141" s="2" t="inlineStr">
        <is>
          <t>P060382</t>
        </is>
      </c>
      <c r="K141" s="2" t="inlineStr">
        <is>
          <t>Scrambler</t>
        </is>
      </c>
      <c r="L141" s="2" t="inlineStr">
        <is>
          <t>Foreign matter</t>
        </is>
      </c>
      <c r="M141" s="2" t="inlineStr">
        <is>
          <t>iCoA_P07 · Foreign matter</t>
        </is>
      </c>
      <c r="N141" s="6" t="inlineStr">
        <is>
          <t>—</t>
        </is>
      </c>
      <c r="O141" s="2" t="inlineStr">
        <is>
          <t>197-21-K-26, (07.08.2026) [FHM-K]</t>
        </is>
      </c>
      <c r="P141" s="2" t="inlineStr">
        <is>
          <t>CoQ-PP-2026-0026</t>
        </is>
      </c>
      <c r="Q141" s="2" t="inlineStr">
        <is>
          <t>iCoA-PP-2026-0026</t>
        </is>
      </c>
      <c r="R141" s="2" t="inlineStr">
        <is>
          <t>P060382|FM|I</t>
        </is>
      </c>
      <c r="S141" s="7" t="inlineStr">
        <is>
          <t>registered — preliminary date, QC sets the real date at issue</t>
        </is>
      </c>
    </row>
    <row r="142">
      <c r="A142" s="2">
        <f>IF(C142="yes",COUNT(A$1:A141)+1,"")</f>
        <v/>
      </c>
      <c r="B142" s="3">
        <f>IF(A142="","— at issue —","iCoA-PP_26-"&amp;TEXT(A142,"000"))</f>
        <v/>
      </c>
      <c r="C142" s="6" t="inlineStr">
        <is>
          <t>no</t>
        </is>
      </c>
      <c r="D142" s="5">
        <f>IF(A142="","",E142)</f>
        <v/>
      </c>
      <c r="E142" s="5">
        <f>IF(AND(C142="yes",ISNUMBER(G142)),MAX(DATE(2026,5,13),G142),"")</f>
        <v/>
      </c>
      <c r="F142" s="5">
        <f>IFERROR(INDEX('Batch Dates'!$F:$F,MATCH(J142,'Batch Dates'!$C:$C,0)),IFERROR(INDEX('Batch Dates'!$F:$F,MATCH(I142,'Batch Dates'!$B:$B,0)),""))</f>
        <v/>
      </c>
      <c r="G142" s="5">
        <f>IFERROR(INDEX('Batch Dates'!$G:$G,MATCH(J142,'Batch Dates'!$C:$C,0)),IFERROR(INDEX('Batch Dates'!$G:$G,MATCH(I142,'Batch Dates'!$B:$B,0)),""))</f>
        <v/>
      </c>
      <c r="H142" s="2" t="inlineStr">
        <is>
          <t>retest — QP campaign</t>
        </is>
      </c>
      <c r="I142" s="3" t="inlineStr">
        <is>
          <t>BSS1024</t>
        </is>
      </c>
      <c r="J142" s="2" t="inlineStr">
        <is>
          <t>N/A — no P batch assigned</t>
        </is>
      </c>
      <c r="K142" s="2" t="inlineStr">
        <is>
          <t>Blue Sunset Sherbet</t>
        </is>
      </c>
      <c r="L142" s="2" t="inlineStr">
        <is>
          <t>Ident A + Ident B</t>
        </is>
      </c>
      <c r="M142" s="2" t="inlineStr">
        <is>
          <t>iCoA_P01-02 · Appearance &amp; Identification A/B</t>
        </is>
      </c>
      <c r="N142" s="6" t="inlineStr">
        <is>
          <t>—</t>
        </is>
      </c>
      <c r="O142" s="2" t="inlineStr">
        <is>
          <t>197-2-K-26, (07.08.2026) [FHM-K]</t>
        </is>
      </c>
      <c r="P142" s="2" t="inlineStr">
        <is>
          <t>CoQ-PP-2026-0027</t>
        </is>
      </c>
      <c r="Q142" s="6" t="inlineStr">
        <is>
          <t>—</t>
        </is>
      </c>
      <c r="R142" s="2" t="inlineStr">
        <is>
          <t>BSS1024|AB|R</t>
        </is>
      </c>
      <c r="S142" s="8" t="inlineStr">
        <is>
          <t>not yet issuable — retest assay on file; identification A and B to test at the retest sampling</t>
        </is>
      </c>
    </row>
    <row r="143">
      <c r="A143" s="2">
        <f>IF(C143="yes",COUNT(A$1:A142)+1,"")</f>
        <v/>
      </c>
      <c r="B143" s="3">
        <f>IF(A143="","— at issue —","iCoA-PP_26-"&amp;TEXT(A143,"000"))</f>
        <v/>
      </c>
      <c r="C143" s="6" t="inlineStr">
        <is>
          <t>no</t>
        </is>
      </c>
      <c r="D143" s="5">
        <f>IF(A143="","",E143)</f>
        <v/>
      </c>
      <c r="E143" s="5">
        <f>IF(AND(C143="yes",ISNUMBER(G143)),MAX(DATE(2026,5,13),G143),"")</f>
        <v/>
      </c>
      <c r="F143" s="5">
        <f>IFERROR(INDEX('Batch Dates'!$F:$F,MATCH(J143,'Batch Dates'!$C:$C,0)),IFERROR(INDEX('Batch Dates'!$F:$F,MATCH(I143,'Batch Dates'!$B:$B,0)),""))</f>
        <v/>
      </c>
      <c r="G143" s="5">
        <f>IFERROR(INDEX('Batch Dates'!$G:$G,MATCH(J143,'Batch Dates'!$C:$C,0)),IFERROR(INDEX('Batch Dates'!$G:$G,MATCH(I143,'Batch Dates'!$B:$B,0)),""))</f>
        <v/>
      </c>
      <c r="H143" s="2" t="inlineStr">
        <is>
          <t>retest — QP campaign</t>
        </is>
      </c>
      <c r="I143" s="3" t="inlineStr">
        <is>
          <t>BSS1024</t>
        </is>
      </c>
      <c r="J143" s="2" t="inlineStr">
        <is>
          <t>N/A — no P batch assigned</t>
        </is>
      </c>
      <c r="K143" s="2" t="inlineStr">
        <is>
          <t>Blue Sunset Sherbet</t>
        </is>
      </c>
      <c r="L143" s="2" t="inlineStr">
        <is>
          <t>Foreign matter</t>
        </is>
      </c>
      <c r="M143" s="2" t="inlineStr">
        <is>
          <t>iCoA_P07 · Foreign matter</t>
        </is>
      </c>
      <c r="N143" s="6" t="inlineStr">
        <is>
          <t>—</t>
        </is>
      </c>
      <c r="O143" s="2" t="inlineStr">
        <is>
          <t>197-2-K-26, (07.08.2026) [FHM-K]</t>
        </is>
      </c>
      <c r="P143" s="2" t="inlineStr">
        <is>
          <t>CoQ-PP-2026-0027</t>
        </is>
      </c>
      <c r="Q143" s="6" t="inlineStr">
        <is>
          <t>—</t>
        </is>
      </c>
      <c r="R143" s="2" t="inlineStr">
        <is>
          <t>BSS1024|FM|R</t>
        </is>
      </c>
      <c r="S143" s="8" t="inlineStr">
        <is>
          <t>not yet issuable — retest assay on file; foreign matter to test at the retest sampling</t>
        </is>
      </c>
    </row>
    <row r="144">
      <c r="A144" s="2">
        <f>IF(C144="yes",COUNT(A$1:A143)+1,"")</f>
        <v/>
      </c>
      <c r="B144" s="3">
        <f>IF(A144="","— at issue —","iCoA-PP_26-"&amp;TEXT(A144,"000"))</f>
        <v/>
      </c>
      <c r="C144" s="6" t="inlineStr">
        <is>
          <t>no</t>
        </is>
      </c>
      <c r="D144" s="5">
        <f>IF(A144="","",E144)</f>
        <v/>
      </c>
      <c r="E144" s="5">
        <f>IF(AND(C144="yes",ISNUMBER(G144)),MAX(DATE(2026,5,13),G144),"")</f>
        <v/>
      </c>
      <c r="F144" s="5">
        <f>IFERROR(INDEX('Batch Dates'!$F:$F,MATCH(J144,'Batch Dates'!$C:$C,0)),IFERROR(INDEX('Batch Dates'!$F:$F,MATCH(I144,'Batch Dates'!$B:$B,0)),""))</f>
        <v/>
      </c>
      <c r="G144" s="5">
        <f>IFERROR(INDEX('Batch Dates'!$G:$G,MATCH(J144,'Batch Dates'!$C:$C,0)),IFERROR(INDEX('Batch Dates'!$G:$G,MATCH(I144,'Batch Dates'!$B:$B,0)),""))</f>
        <v/>
      </c>
      <c r="H144" s="2" t="inlineStr">
        <is>
          <t>retest — QP campaign</t>
        </is>
      </c>
      <c r="I144" s="3" t="inlineStr">
        <is>
          <t>BG1024</t>
        </is>
      </c>
      <c r="J144" s="2" t="inlineStr">
        <is>
          <t>N/A — no P batch assigned</t>
        </is>
      </c>
      <c r="K144" s="2" t="inlineStr">
        <is>
          <t>Blue Gelato</t>
        </is>
      </c>
      <c r="L144" s="2" t="inlineStr">
        <is>
          <t>Ident A + Ident B</t>
        </is>
      </c>
      <c r="M144" s="2" t="inlineStr">
        <is>
          <t>iCoA_P01-02 · Appearance &amp; Identification A/B</t>
        </is>
      </c>
      <c r="N144" s="6" t="inlineStr">
        <is>
          <t>—</t>
        </is>
      </c>
      <c r="O144" s="2" t="inlineStr">
        <is>
          <t>197-1-K-26, (07.08.2026) [FHM-K]</t>
        </is>
      </c>
      <c r="P144" s="2" t="inlineStr">
        <is>
          <t>CoQ-PP-2026-0028</t>
        </is>
      </c>
      <c r="Q144" s="6" t="inlineStr">
        <is>
          <t>—</t>
        </is>
      </c>
      <c r="R144" s="2" t="inlineStr">
        <is>
          <t>BG1024|AB|R</t>
        </is>
      </c>
      <c r="S144" s="8" t="inlineStr">
        <is>
          <t>not yet issuable — retest assay on file; identification A and B to test at the retest sampling</t>
        </is>
      </c>
    </row>
    <row r="145">
      <c r="A145" s="2">
        <f>IF(C145="yes",COUNT(A$1:A144)+1,"")</f>
        <v/>
      </c>
      <c r="B145" s="3">
        <f>IF(A145="","— at issue —","iCoA-PP_26-"&amp;TEXT(A145,"000"))</f>
        <v/>
      </c>
      <c r="C145" s="6" t="inlineStr">
        <is>
          <t>no</t>
        </is>
      </c>
      <c r="D145" s="5">
        <f>IF(A145="","",E145)</f>
        <v/>
      </c>
      <c r="E145" s="5">
        <f>IF(AND(C145="yes",ISNUMBER(G145)),MAX(DATE(2026,5,13),G145),"")</f>
        <v/>
      </c>
      <c r="F145" s="5">
        <f>IFERROR(INDEX('Batch Dates'!$F:$F,MATCH(J145,'Batch Dates'!$C:$C,0)),IFERROR(INDEX('Batch Dates'!$F:$F,MATCH(I145,'Batch Dates'!$B:$B,0)),""))</f>
        <v/>
      </c>
      <c r="G145" s="5">
        <f>IFERROR(INDEX('Batch Dates'!$G:$G,MATCH(J145,'Batch Dates'!$C:$C,0)),IFERROR(INDEX('Batch Dates'!$G:$G,MATCH(I145,'Batch Dates'!$B:$B,0)),""))</f>
        <v/>
      </c>
      <c r="H145" s="2" t="inlineStr">
        <is>
          <t>retest — QP campaign</t>
        </is>
      </c>
      <c r="I145" s="3" t="inlineStr">
        <is>
          <t>BG1024</t>
        </is>
      </c>
      <c r="J145" s="2" t="inlineStr">
        <is>
          <t>N/A — no P batch assigned</t>
        </is>
      </c>
      <c r="K145" s="2" t="inlineStr">
        <is>
          <t>Blue Gelato</t>
        </is>
      </c>
      <c r="L145" s="2" t="inlineStr">
        <is>
          <t>Foreign matter</t>
        </is>
      </c>
      <c r="M145" s="2" t="inlineStr">
        <is>
          <t>iCoA_P07 · Foreign matter</t>
        </is>
      </c>
      <c r="N145" s="6" t="inlineStr">
        <is>
          <t>—</t>
        </is>
      </c>
      <c r="O145" s="2" t="inlineStr">
        <is>
          <t>197-1-K-26, (07.08.2026) [FHM-K]</t>
        </is>
      </c>
      <c r="P145" s="2" t="inlineStr">
        <is>
          <t>CoQ-PP-2026-0028</t>
        </is>
      </c>
      <c r="Q145" s="6" t="inlineStr">
        <is>
          <t>—</t>
        </is>
      </c>
      <c r="R145" s="2" t="inlineStr">
        <is>
          <t>BG1024|FM|R</t>
        </is>
      </c>
      <c r="S145" s="8" t="inlineStr">
        <is>
          <t>not yet issuable — retest assay on file; foreign matter to test at the retest sampling</t>
        </is>
      </c>
    </row>
    <row r="146">
      <c r="A146" s="2">
        <f>IF(C146="yes",COUNT(A$1:A145)+1,"")</f>
        <v/>
      </c>
      <c r="B146" s="3">
        <f>IF(A146="","— at issue —","iCoA-PP_26-"&amp;TEXT(A146,"000"))</f>
        <v/>
      </c>
      <c r="C146" s="6" t="inlineStr">
        <is>
          <t>no</t>
        </is>
      </c>
      <c r="D146" s="5">
        <f>IF(A146="","",E146)</f>
        <v/>
      </c>
      <c r="E146" s="5">
        <f>IF(AND(C146="yes",ISNUMBER(G146)),MAX(DATE(2026,5,13),G146),"")</f>
        <v/>
      </c>
      <c r="F146" s="5">
        <f>IFERROR(INDEX('Batch Dates'!$F:$F,MATCH(J146,'Batch Dates'!$C:$C,0)),IFERROR(INDEX('Batch Dates'!$F:$F,MATCH(I146,'Batch Dates'!$B:$B,0)),""))</f>
        <v/>
      </c>
      <c r="G146" s="5">
        <f>IFERROR(INDEX('Batch Dates'!$G:$G,MATCH(J146,'Batch Dates'!$C:$C,0)),IFERROR(INDEX('Batch Dates'!$G:$G,MATCH(I146,'Batch Dates'!$B:$B,0)),""))</f>
        <v/>
      </c>
      <c r="H146" s="2" t="inlineStr">
        <is>
          <t>retest — QP campaign</t>
        </is>
      </c>
      <c r="I146" s="3" t="inlineStr">
        <is>
          <t>HPA1024</t>
        </is>
      </c>
      <c r="J146" s="2" t="inlineStr">
        <is>
          <t>N/A — no P batch assigned</t>
        </is>
      </c>
      <c r="K146" s="2" t="inlineStr">
        <is>
          <t>HighProAmnesia</t>
        </is>
      </c>
      <c r="L146" s="2" t="inlineStr">
        <is>
          <t>Ident A + Ident B</t>
        </is>
      </c>
      <c r="M146" s="2" t="inlineStr">
        <is>
          <t>iCoA_P01-02 · Appearance &amp; Identification A/B</t>
        </is>
      </c>
      <c r="N146" s="6" t="inlineStr">
        <is>
          <t>—</t>
        </is>
      </c>
      <c r="O146" s="2" t="inlineStr">
        <is>
          <t>197-13-K-26, (07.08.2026) [FHM-K]</t>
        </is>
      </c>
      <c r="P146" s="2" t="inlineStr">
        <is>
          <t>CoQ-PP-2026-0030</t>
        </is>
      </c>
      <c r="Q146" s="6" t="inlineStr">
        <is>
          <t>—</t>
        </is>
      </c>
      <c r="R146" s="2" t="inlineStr">
        <is>
          <t>HPA1024|AB|R</t>
        </is>
      </c>
      <c r="S146" s="8" t="inlineStr">
        <is>
          <t>not yet issuable — retest assay on file; identification A and B to test at the retest sampling</t>
        </is>
      </c>
    </row>
    <row r="147">
      <c r="A147" s="2">
        <f>IF(C147="yes",COUNT(A$1:A146)+1,"")</f>
        <v/>
      </c>
      <c r="B147" s="3">
        <f>IF(A147="","— at issue —","iCoA-PP_26-"&amp;TEXT(A147,"000"))</f>
        <v/>
      </c>
      <c r="C147" s="6" t="inlineStr">
        <is>
          <t>no</t>
        </is>
      </c>
      <c r="D147" s="5">
        <f>IF(A147="","",E147)</f>
        <v/>
      </c>
      <c r="E147" s="5">
        <f>IF(AND(C147="yes",ISNUMBER(G147)),MAX(DATE(2026,5,13),G147),"")</f>
        <v/>
      </c>
      <c r="F147" s="5">
        <f>IFERROR(INDEX('Batch Dates'!$F:$F,MATCH(J147,'Batch Dates'!$C:$C,0)),IFERROR(INDEX('Batch Dates'!$F:$F,MATCH(I147,'Batch Dates'!$B:$B,0)),""))</f>
        <v/>
      </c>
      <c r="G147" s="5">
        <f>IFERROR(INDEX('Batch Dates'!$G:$G,MATCH(J147,'Batch Dates'!$C:$C,0)),IFERROR(INDEX('Batch Dates'!$G:$G,MATCH(I147,'Batch Dates'!$B:$B,0)),""))</f>
        <v/>
      </c>
      <c r="H147" s="2" t="inlineStr">
        <is>
          <t>retest — QP campaign</t>
        </is>
      </c>
      <c r="I147" s="3" t="inlineStr">
        <is>
          <t>HPA1024</t>
        </is>
      </c>
      <c r="J147" s="2" t="inlineStr">
        <is>
          <t>N/A — no P batch assigned</t>
        </is>
      </c>
      <c r="K147" s="2" t="inlineStr">
        <is>
          <t>HighProAmnesia</t>
        </is>
      </c>
      <c r="L147" s="2" t="inlineStr">
        <is>
          <t>Foreign matter</t>
        </is>
      </c>
      <c r="M147" s="2" t="inlineStr">
        <is>
          <t>iCoA_P07 · Foreign matter</t>
        </is>
      </c>
      <c r="N147" s="6" t="inlineStr">
        <is>
          <t>—</t>
        </is>
      </c>
      <c r="O147" s="2" t="inlineStr">
        <is>
          <t>197-13-K-26, (07.08.2026) [FHM-K]</t>
        </is>
      </c>
      <c r="P147" s="2" t="inlineStr">
        <is>
          <t>CoQ-PP-2026-0030</t>
        </is>
      </c>
      <c r="Q147" s="6" t="inlineStr">
        <is>
          <t>—</t>
        </is>
      </c>
      <c r="R147" s="2" t="inlineStr">
        <is>
          <t>HPA1024|FM|R</t>
        </is>
      </c>
      <c r="S147" s="8" t="inlineStr">
        <is>
          <t>not yet issuable — retest assay on file; foreign matter to test at the retest sampling</t>
        </is>
      </c>
    </row>
    <row r="148">
      <c r="A148" s="2">
        <f>IF(C148="yes",COUNT(A$1:A147)+1,"")</f>
        <v/>
      </c>
      <c r="B148" s="3">
        <f>IF(A148="","— at issue —","iCoA-PP_26-"&amp;TEXT(A148,"000"))</f>
        <v/>
      </c>
      <c r="C148" s="6" t="inlineStr">
        <is>
          <t>no</t>
        </is>
      </c>
      <c r="D148" s="5">
        <f>IF(A148="","",E148)</f>
        <v/>
      </c>
      <c r="E148" s="5">
        <f>IF(AND(C148="yes",ISNUMBER(G148)),MAX(DATE(2026,5,13),G148),"")</f>
        <v/>
      </c>
      <c r="F148" s="5">
        <f>IFERROR(INDEX('Batch Dates'!$F:$F,MATCH(J148,'Batch Dates'!$C:$C,0)),IFERROR(INDEX('Batch Dates'!$F:$F,MATCH(I148,'Batch Dates'!$B:$B,0)),""))</f>
        <v/>
      </c>
      <c r="G148" s="5">
        <f>IFERROR(INDEX('Batch Dates'!$G:$G,MATCH(J148,'Batch Dates'!$C:$C,0)),IFERROR(INDEX('Batch Dates'!$G:$G,MATCH(I148,'Batch Dates'!$B:$B,0)),""))</f>
        <v/>
      </c>
      <c r="H148" s="2" t="inlineStr">
        <is>
          <t>retest — QP campaign</t>
        </is>
      </c>
      <c r="I148" s="3" t="inlineStr">
        <is>
          <t>OPM1024</t>
        </is>
      </c>
      <c r="J148" s="2" t="inlineStr">
        <is>
          <t>N/A — no P batch assigned</t>
        </is>
      </c>
      <c r="K148" s="2" t="inlineStr">
        <is>
          <t>OrangePunchMimosa</t>
        </is>
      </c>
      <c r="L148" s="2" t="inlineStr">
        <is>
          <t>Ident A + Ident B</t>
        </is>
      </c>
      <c r="M148" s="2" t="inlineStr">
        <is>
          <t>iCoA_P01-02 · Appearance &amp; Identification A/B</t>
        </is>
      </c>
      <c r="N148" s="6" t="inlineStr">
        <is>
          <t>—</t>
        </is>
      </c>
      <c r="O148" s="2" t="inlineStr">
        <is>
          <t>197-17-K-26, (07.08.2026) [FHM-K]</t>
        </is>
      </c>
      <c r="P148" s="2" t="inlineStr">
        <is>
          <t>CoQ-PP-2026-0031</t>
        </is>
      </c>
      <c r="Q148" s="6" t="inlineStr">
        <is>
          <t>—</t>
        </is>
      </c>
      <c r="R148" s="2" t="inlineStr">
        <is>
          <t>OPM1024|AB|R</t>
        </is>
      </c>
      <c r="S148" s="8" t="inlineStr">
        <is>
          <t>not yet issuable — retest assay on file; identification A and B to test at the retest sampling</t>
        </is>
      </c>
    </row>
    <row r="149">
      <c r="A149" s="2">
        <f>IF(C149="yes",COUNT(A$1:A148)+1,"")</f>
        <v/>
      </c>
      <c r="B149" s="3">
        <f>IF(A149="","— at issue —","iCoA-PP_26-"&amp;TEXT(A149,"000"))</f>
        <v/>
      </c>
      <c r="C149" s="6" t="inlineStr">
        <is>
          <t>no</t>
        </is>
      </c>
      <c r="D149" s="5">
        <f>IF(A149="","",E149)</f>
        <v/>
      </c>
      <c r="E149" s="5">
        <f>IF(AND(C149="yes",ISNUMBER(G149)),MAX(DATE(2026,5,13),G149),"")</f>
        <v/>
      </c>
      <c r="F149" s="5">
        <f>IFERROR(INDEX('Batch Dates'!$F:$F,MATCH(J149,'Batch Dates'!$C:$C,0)),IFERROR(INDEX('Batch Dates'!$F:$F,MATCH(I149,'Batch Dates'!$B:$B,0)),""))</f>
        <v/>
      </c>
      <c r="G149" s="5">
        <f>IFERROR(INDEX('Batch Dates'!$G:$G,MATCH(J149,'Batch Dates'!$C:$C,0)),IFERROR(INDEX('Batch Dates'!$G:$G,MATCH(I149,'Batch Dates'!$B:$B,0)),""))</f>
        <v/>
      </c>
      <c r="H149" s="2" t="inlineStr">
        <is>
          <t>retest — QP campaign</t>
        </is>
      </c>
      <c r="I149" s="3" t="inlineStr">
        <is>
          <t>OPM1024</t>
        </is>
      </c>
      <c r="J149" s="2" t="inlineStr">
        <is>
          <t>N/A — no P batch assigned</t>
        </is>
      </c>
      <c r="K149" s="2" t="inlineStr">
        <is>
          <t>OrangePunchMimosa</t>
        </is>
      </c>
      <c r="L149" s="2" t="inlineStr">
        <is>
          <t>Foreign matter</t>
        </is>
      </c>
      <c r="M149" s="2" t="inlineStr">
        <is>
          <t>iCoA_P07 · Foreign matter</t>
        </is>
      </c>
      <c r="N149" s="6" t="inlineStr">
        <is>
          <t>—</t>
        </is>
      </c>
      <c r="O149" s="2" t="inlineStr">
        <is>
          <t>197-17-K-26, (07.08.2026) [FHM-K]</t>
        </is>
      </c>
      <c r="P149" s="2" t="inlineStr">
        <is>
          <t>CoQ-PP-2026-0031</t>
        </is>
      </c>
      <c r="Q149" s="6" t="inlineStr">
        <is>
          <t>—</t>
        </is>
      </c>
      <c r="R149" s="2" t="inlineStr">
        <is>
          <t>OPM1024|FM|R</t>
        </is>
      </c>
      <c r="S149" s="8" t="inlineStr">
        <is>
          <t>not yet issuable — retest assay on file; foreign matter to test at the retest sampling</t>
        </is>
      </c>
    </row>
    <row r="150">
      <c r="A150" s="2">
        <f>IF(C150="yes",COUNT(A$1:A149)+1,"")</f>
        <v/>
      </c>
      <c r="B150" s="3">
        <f>IF(A150="","— at issue —","iCoA-PP_26-"&amp;TEXT(A150,"000"))</f>
        <v/>
      </c>
      <c r="C150" s="6" t="inlineStr">
        <is>
          <t>no</t>
        </is>
      </c>
      <c r="D150" s="5">
        <f>IF(A150="","",E150)</f>
        <v/>
      </c>
      <c r="E150" s="5">
        <f>IF(AND(C150="yes",ISNUMBER(G150)),MAX(DATE(2026,5,13),G150),"")</f>
        <v/>
      </c>
      <c r="F150" s="5">
        <f>IFERROR(INDEX('Batch Dates'!$F:$F,MATCH(J150,'Batch Dates'!$C:$C,0)),IFERROR(INDEX('Batch Dates'!$F:$F,MATCH(I150,'Batch Dates'!$B:$B,0)),""))</f>
        <v/>
      </c>
      <c r="G150" s="5">
        <f>IFERROR(INDEX('Batch Dates'!$G:$G,MATCH(J150,'Batch Dates'!$C:$C,0)),IFERROR(INDEX('Batch Dates'!$G:$G,MATCH(I150,'Batch Dates'!$B:$B,0)),""))</f>
        <v/>
      </c>
      <c r="H150" s="2" t="inlineStr">
        <is>
          <t>retest — QP campaign</t>
        </is>
      </c>
      <c r="I150" s="3" t="inlineStr">
        <is>
          <t>GP0824_02</t>
        </is>
      </c>
      <c r="J150" s="2" t="inlineStr">
        <is>
          <t>P050022</t>
        </is>
      </c>
      <c r="K150" s="2" t="inlineStr">
        <is>
          <t>Grape Pie</t>
        </is>
      </c>
      <c r="L150" s="2" t="inlineStr">
        <is>
          <t>Ident A + Ident B</t>
        </is>
      </c>
      <c r="M150" s="2" t="inlineStr">
        <is>
          <t>iCoA_P01-02 · Appearance &amp; Identification A/B</t>
        </is>
      </c>
      <c r="N150" s="6" t="inlineStr">
        <is>
          <t>—</t>
        </is>
      </c>
      <c r="O150" s="2" t="inlineStr">
        <is>
          <t>ППК26032, (05.03.2026) [CNP]</t>
        </is>
      </c>
      <c r="P150" s="2" t="inlineStr">
        <is>
          <t>CoQ-PP-2026-0032</t>
        </is>
      </c>
      <c r="Q150" s="6" t="inlineStr">
        <is>
          <t>—</t>
        </is>
      </c>
      <c r="R150" s="2" t="inlineStr">
        <is>
          <t>P050022|AB|R</t>
        </is>
      </c>
      <c r="S150" s="8" t="inlineStr">
        <is>
          <t>not yet issuable — retest assay on file; identification A and B to test at the retest sampling</t>
        </is>
      </c>
    </row>
    <row r="151">
      <c r="A151" s="2">
        <f>IF(C151="yes",COUNT(A$1:A150)+1,"")</f>
        <v/>
      </c>
      <c r="B151" s="3">
        <f>IF(A151="","— at issue —","iCoA-PP_26-"&amp;TEXT(A151,"000"))</f>
        <v/>
      </c>
      <c r="C151" s="6" t="inlineStr">
        <is>
          <t>no</t>
        </is>
      </c>
      <c r="D151" s="5">
        <f>IF(A151="","",E151)</f>
        <v/>
      </c>
      <c r="E151" s="5">
        <f>IF(AND(C151="yes",ISNUMBER(G151)),MAX(DATE(2026,5,13),G151),"")</f>
        <v/>
      </c>
      <c r="F151" s="5">
        <f>IFERROR(INDEX('Batch Dates'!$F:$F,MATCH(J151,'Batch Dates'!$C:$C,0)),IFERROR(INDEX('Batch Dates'!$F:$F,MATCH(I151,'Batch Dates'!$B:$B,0)),""))</f>
        <v/>
      </c>
      <c r="G151" s="5">
        <f>IFERROR(INDEX('Batch Dates'!$G:$G,MATCH(J151,'Batch Dates'!$C:$C,0)),IFERROR(INDEX('Batch Dates'!$G:$G,MATCH(I151,'Batch Dates'!$B:$B,0)),""))</f>
        <v/>
      </c>
      <c r="H151" s="2" t="inlineStr">
        <is>
          <t>retest — QP campaign</t>
        </is>
      </c>
      <c r="I151" s="3" t="inlineStr">
        <is>
          <t>GP0824_02</t>
        </is>
      </c>
      <c r="J151" s="2" t="inlineStr">
        <is>
          <t>P050022</t>
        </is>
      </c>
      <c r="K151" s="2" t="inlineStr">
        <is>
          <t>Grape Pie</t>
        </is>
      </c>
      <c r="L151" s="2" t="inlineStr">
        <is>
          <t>Foreign matter</t>
        </is>
      </c>
      <c r="M151" s="2" t="inlineStr">
        <is>
          <t>iCoA_P07 · Foreign matter</t>
        </is>
      </c>
      <c r="N151" s="6" t="inlineStr">
        <is>
          <t>—</t>
        </is>
      </c>
      <c r="O151" s="2" t="inlineStr">
        <is>
          <t>ППК26032, (05.03.2026) [CNP]</t>
        </is>
      </c>
      <c r="P151" s="2" t="inlineStr">
        <is>
          <t>CoQ-PP-2026-0032</t>
        </is>
      </c>
      <c r="Q151" s="6" t="inlineStr">
        <is>
          <t>—</t>
        </is>
      </c>
      <c r="R151" s="2" t="inlineStr">
        <is>
          <t>P050022|FM|R</t>
        </is>
      </c>
      <c r="S151" s="8" t="inlineStr">
        <is>
          <t>not yet issuable — retest assay on file; foreign matter to test at the retest sampling</t>
        </is>
      </c>
    </row>
    <row r="152">
      <c r="A152" s="2">
        <f>IF(C152="yes",COUNT(A$1:A151)+1,"")</f>
        <v/>
      </c>
      <c r="B152" s="3">
        <f>IF(A152="","— at issue —","iCoA-PP_26-"&amp;TEXT(A152,"000"))</f>
        <v/>
      </c>
      <c r="C152" s="6" t="inlineStr">
        <is>
          <t>no</t>
        </is>
      </c>
      <c r="D152" s="5">
        <f>IF(A152="","",E152)</f>
        <v/>
      </c>
      <c r="E152" s="5">
        <f>IF(AND(C152="yes",ISNUMBER(G152)),MAX(DATE(2026,5,13),G152),"")</f>
        <v/>
      </c>
      <c r="F152" s="5">
        <f>IFERROR(INDEX('Batch Dates'!$F:$F,MATCH(J152,'Batch Dates'!$C:$C,0)),IFERROR(INDEX('Batch Dates'!$F:$F,MATCH(I152,'Batch Dates'!$B:$B,0)),""))</f>
        <v/>
      </c>
      <c r="G152" s="5">
        <f>IFERROR(INDEX('Batch Dates'!$G:$G,MATCH(J152,'Batch Dates'!$C:$C,0)),IFERROR(INDEX('Batch Dates'!$G:$G,MATCH(I152,'Batch Dates'!$B:$B,0)),""))</f>
        <v/>
      </c>
      <c r="H152" s="2" t="inlineStr">
        <is>
          <t>retest — QP campaign</t>
        </is>
      </c>
      <c r="I152" s="3" t="inlineStr">
        <is>
          <t>HPA1024_01</t>
        </is>
      </c>
      <c r="J152" s="2" t="inlineStr">
        <is>
          <t>P050052</t>
        </is>
      </c>
      <c r="K152" s="2" t="inlineStr">
        <is>
          <t>High Pro Amnesia</t>
        </is>
      </c>
      <c r="L152" s="2" t="inlineStr">
        <is>
          <t>Ident A + Ident B</t>
        </is>
      </c>
      <c r="M152" s="2" t="inlineStr">
        <is>
          <t>iCoA_P01-02 · Appearance &amp; Identification A/B</t>
        </is>
      </c>
      <c r="N152" s="6" t="inlineStr">
        <is>
          <t>—</t>
        </is>
      </c>
      <c r="O152" s="2" t="inlineStr">
        <is>
          <t>197-14-K-26, (07.08.2026) [FHM-K]</t>
        </is>
      </c>
      <c r="P152" s="2" t="inlineStr">
        <is>
          <t>CoQ-PP-2026-0034</t>
        </is>
      </c>
      <c r="Q152" s="6" t="inlineStr">
        <is>
          <t>—</t>
        </is>
      </c>
      <c r="R152" s="2" t="inlineStr">
        <is>
          <t>P050052|AB|R</t>
        </is>
      </c>
      <c r="S152" s="8" t="inlineStr">
        <is>
          <t>not yet issuable — retest assay on file; identification A and B to test at the retest sampling</t>
        </is>
      </c>
    </row>
    <row r="153">
      <c r="A153" s="2">
        <f>IF(C153="yes",COUNT(A$1:A152)+1,"")</f>
        <v/>
      </c>
      <c r="B153" s="3">
        <f>IF(A153="","— at issue —","iCoA-PP_26-"&amp;TEXT(A153,"000"))</f>
        <v/>
      </c>
      <c r="C153" s="6" t="inlineStr">
        <is>
          <t>no</t>
        </is>
      </c>
      <c r="D153" s="5">
        <f>IF(A153="","",E153)</f>
        <v/>
      </c>
      <c r="E153" s="5">
        <f>IF(AND(C153="yes",ISNUMBER(G153)),MAX(DATE(2026,5,13),G153),"")</f>
        <v/>
      </c>
      <c r="F153" s="5">
        <f>IFERROR(INDEX('Batch Dates'!$F:$F,MATCH(J153,'Batch Dates'!$C:$C,0)),IFERROR(INDEX('Batch Dates'!$F:$F,MATCH(I153,'Batch Dates'!$B:$B,0)),""))</f>
        <v/>
      </c>
      <c r="G153" s="5">
        <f>IFERROR(INDEX('Batch Dates'!$G:$G,MATCH(J153,'Batch Dates'!$C:$C,0)),IFERROR(INDEX('Batch Dates'!$G:$G,MATCH(I153,'Batch Dates'!$B:$B,0)),""))</f>
        <v/>
      </c>
      <c r="H153" s="2" t="inlineStr">
        <is>
          <t>retest — QP campaign</t>
        </is>
      </c>
      <c r="I153" s="3" t="inlineStr">
        <is>
          <t>HPA1024_01</t>
        </is>
      </c>
      <c r="J153" s="2" t="inlineStr">
        <is>
          <t>P050052</t>
        </is>
      </c>
      <c r="K153" s="2" t="inlineStr">
        <is>
          <t>High Pro Amnesia</t>
        </is>
      </c>
      <c r="L153" s="2" t="inlineStr">
        <is>
          <t>Foreign matter</t>
        </is>
      </c>
      <c r="M153" s="2" t="inlineStr">
        <is>
          <t>iCoA_P07 · Foreign matter</t>
        </is>
      </c>
      <c r="N153" s="6" t="inlineStr">
        <is>
          <t>—</t>
        </is>
      </c>
      <c r="O153" s="2" t="inlineStr">
        <is>
          <t>197-14-K-26, (07.08.2026) [FHM-K]</t>
        </is>
      </c>
      <c r="P153" s="2" t="inlineStr">
        <is>
          <t>CoQ-PP-2026-0034</t>
        </is>
      </c>
      <c r="Q153" s="6" t="inlineStr">
        <is>
          <t>—</t>
        </is>
      </c>
      <c r="R153" s="2" t="inlineStr">
        <is>
          <t>P050052|FM|R</t>
        </is>
      </c>
      <c r="S153" s="8" t="inlineStr">
        <is>
          <t>not yet issuable — retest assay on file; foreign matter to test at the retest sampling</t>
        </is>
      </c>
    </row>
    <row r="154">
      <c r="A154" s="2">
        <f>IF(C154="yes",COUNT(A$1:A153)+1,"")</f>
        <v/>
      </c>
      <c r="B154" s="3">
        <f>IF(A154="","— at issue —","iCoA-PP_26-"&amp;TEXT(A154,"000"))</f>
        <v/>
      </c>
      <c r="C154" s="6" t="inlineStr">
        <is>
          <t>no</t>
        </is>
      </c>
      <c r="D154" s="5">
        <f>IF(A154="","",E154)</f>
        <v/>
      </c>
      <c r="E154" s="5">
        <f>IF(AND(C154="yes",ISNUMBER(G154)),MAX(DATE(2026,5,13),G154),"")</f>
        <v/>
      </c>
      <c r="F154" s="5">
        <f>IFERROR(INDEX('Batch Dates'!$F:$F,MATCH(J154,'Batch Dates'!$C:$C,0)),IFERROR(INDEX('Batch Dates'!$F:$F,MATCH(I154,'Batch Dates'!$B:$B,0)),""))</f>
        <v/>
      </c>
      <c r="G154" s="5">
        <f>IFERROR(INDEX('Batch Dates'!$G:$G,MATCH(J154,'Batch Dates'!$C:$C,0)),IFERROR(INDEX('Batch Dates'!$G:$G,MATCH(I154,'Batch Dates'!$B:$B,0)),""))</f>
        <v/>
      </c>
      <c r="H154" s="2" t="inlineStr">
        <is>
          <t>retest — QP campaign</t>
        </is>
      </c>
      <c r="I154" s="3" t="inlineStr">
        <is>
          <t>OPM1024_02</t>
        </is>
      </c>
      <c r="J154" s="2" t="inlineStr">
        <is>
          <t>P050062</t>
        </is>
      </c>
      <c r="K154" s="2" t="inlineStr">
        <is>
          <t>Orange Punch Mimosa</t>
        </is>
      </c>
      <c r="L154" s="2" t="inlineStr">
        <is>
          <t>Ident A + Ident B</t>
        </is>
      </c>
      <c r="M154" s="2" t="inlineStr">
        <is>
          <t>iCoA_P01-02 · Appearance &amp; Identification A/B</t>
        </is>
      </c>
      <c r="N154" s="6" t="inlineStr">
        <is>
          <t>—</t>
        </is>
      </c>
      <c r="O154" s="2" t="inlineStr">
        <is>
          <t>197-18-K-26, (07.08.2026) [FHM-K]</t>
        </is>
      </c>
      <c r="P154" s="2" t="inlineStr">
        <is>
          <t>CoQ-PP-2026-0035</t>
        </is>
      </c>
      <c r="Q154" s="6" t="inlineStr">
        <is>
          <t>—</t>
        </is>
      </c>
      <c r="R154" s="2" t="inlineStr">
        <is>
          <t>P050062|AB|R</t>
        </is>
      </c>
      <c r="S154" s="8" t="inlineStr">
        <is>
          <t>not yet issuable — retest assay on file; identification A and B to test at the retest sampling</t>
        </is>
      </c>
    </row>
    <row r="155">
      <c r="A155" s="2">
        <f>IF(C155="yes",COUNT(A$1:A154)+1,"")</f>
        <v/>
      </c>
      <c r="B155" s="3">
        <f>IF(A155="","— at issue —","iCoA-PP_26-"&amp;TEXT(A155,"000"))</f>
        <v/>
      </c>
      <c r="C155" s="6" t="inlineStr">
        <is>
          <t>no</t>
        </is>
      </c>
      <c r="D155" s="5">
        <f>IF(A155="","",E155)</f>
        <v/>
      </c>
      <c r="E155" s="5">
        <f>IF(AND(C155="yes",ISNUMBER(G155)),MAX(DATE(2026,5,13),G155),"")</f>
        <v/>
      </c>
      <c r="F155" s="5">
        <f>IFERROR(INDEX('Batch Dates'!$F:$F,MATCH(J155,'Batch Dates'!$C:$C,0)),IFERROR(INDEX('Batch Dates'!$F:$F,MATCH(I155,'Batch Dates'!$B:$B,0)),""))</f>
        <v/>
      </c>
      <c r="G155" s="5">
        <f>IFERROR(INDEX('Batch Dates'!$G:$G,MATCH(J155,'Batch Dates'!$C:$C,0)),IFERROR(INDEX('Batch Dates'!$G:$G,MATCH(I155,'Batch Dates'!$B:$B,0)),""))</f>
        <v/>
      </c>
      <c r="H155" s="2" t="inlineStr">
        <is>
          <t>retest — QP campaign</t>
        </is>
      </c>
      <c r="I155" s="3" t="inlineStr">
        <is>
          <t>OPM1024_02</t>
        </is>
      </c>
      <c r="J155" s="2" t="inlineStr">
        <is>
          <t>P050062</t>
        </is>
      </c>
      <c r="K155" s="2" t="inlineStr">
        <is>
          <t>Orange Punch Mimosa</t>
        </is>
      </c>
      <c r="L155" s="2" t="inlineStr">
        <is>
          <t>Foreign matter</t>
        </is>
      </c>
      <c r="M155" s="2" t="inlineStr">
        <is>
          <t>iCoA_P07 · Foreign matter</t>
        </is>
      </c>
      <c r="N155" s="6" t="inlineStr">
        <is>
          <t>—</t>
        </is>
      </c>
      <c r="O155" s="2" t="inlineStr">
        <is>
          <t>197-18-K-26, (07.08.2026) [FHM-K]</t>
        </is>
      </c>
      <c r="P155" s="2" t="inlineStr">
        <is>
          <t>CoQ-PP-2026-0035</t>
        </is>
      </c>
      <c r="Q155" s="6" t="inlineStr">
        <is>
          <t>—</t>
        </is>
      </c>
      <c r="R155" s="2" t="inlineStr">
        <is>
          <t>P050062|FM|R</t>
        </is>
      </c>
      <c r="S155" s="8" t="inlineStr">
        <is>
          <t>not yet issuable — retest assay on file; foreign matter to test at the retest sampling</t>
        </is>
      </c>
    </row>
    <row r="156">
      <c r="A156" s="2">
        <f>IF(C156="yes",COUNT(A$1:A155)+1,"")</f>
        <v/>
      </c>
      <c r="B156" s="3">
        <f>IF(A156="","— at issue —","iCoA-PP_26-"&amp;TEXT(A156,"000"))</f>
        <v/>
      </c>
      <c r="C156" s="6" t="inlineStr">
        <is>
          <t>no</t>
        </is>
      </c>
      <c r="D156" s="5">
        <f>IF(A156="","",E156)</f>
        <v/>
      </c>
      <c r="E156" s="5">
        <f>IF(AND(C156="yes",ISNUMBER(G156)),MAX(DATE(2026,5,13),G156),"")</f>
        <v/>
      </c>
      <c r="F156" s="5">
        <f>IFERROR(INDEX('Batch Dates'!$F:$F,MATCH(J156,'Batch Dates'!$C:$C,0)),IFERROR(INDEX('Batch Dates'!$F:$F,MATCH(I156,'Batch Dates'!$B:$B,0)),""))</f>
        <v/>
      </c>
      <c r="G156" s="5">
        <f>IFERROR(INDEX('Batch Dates'!$G:$G,MATCH(J156,'Batch Dates'!$C:$C,0)),IFERROR(INDEX('Batch Dates'!$G:$G,MATCH(I156,'Batch Dates'!$B:$B,0)),""))</f>
        <v/>
      </c>
      <c r="H156" s="2" t="inlineStr">
        <is>
          <t>retest — QP campaign</t>
        </is>
      </c>
      <c r="I156" s="3" t="inlineStr">
        <is>
          <t>GP0824_03</t>
        </is>
      </c>
      <c r="J156" s="2" t="inlineStr">
        <is>
          <t>P050072</t>
        </is>
      </c>
      <c r="K156" s="2" t="inlineStr">
        <is>
          <t>Grape Pie</t>
        </is>
      </c>
      <c r="L156" s="2" t="inlineStr">
        <is>
          <t>Ident A + Ident B</t>
        </is>
      </c>
      <c r="M156" s="2" t="inlineStr">
        <is>
          <t>iCoA_P01-02 · Appearance &amp; Identification A/B</t>
        </is>
      </c>
      <c r="N156" s="6" t="inlineStr">
        <is>
          <t>—</t>
        </is>
      </c>
      <c r="O156" s="2" t="inlineStr">
        <is>
          <t>ППК26034, (05.03.2026) [CNP]</t>
        </is>
      </c>
      <c r="P156" s="2" t="inlineStr">
        <is>
          <t>CoQ-PP-2026-0036</t>
        </is>
      </c>
      <c r="Q156" s="6" t="inlineStr">
        <is>
          <t>—</t>
        </is>
      </c>
      <c r="R156" s="2" t="inlineStr">
        <is>
          <t>P050072|AB|R</t>
        </is>
      </c>
      <c r="S156" s="8" t="inlineStr">
        <is>
          <t>not yet issuable — retest assay on file; identification A and B to test at the retest sampling</t>
        </is>
      </c>
    </row>
    <row r="157">
      <c r="A157" s="2">
        <f>IF(C157="yes",COUNT(A$1:A156)+1,"")</f>
        <v/>
      </c>
      <c r="B157" s="3">
        <f>IF(A157="","— at issue —","iCoA-PP_26-"&amp;TEXT(A157,"000"))</f>
        <v/>
      </c>
      <c r="C157" s="6" t="inlineStr">
        <is>
          <t>no</t>
        </is>
      </c>
      <c r="D157" s="5">
        <f>IF(A157="","",E157)</f>
        <v/>
      </c>
      <c r="E157" s="5">
        <f>IF(AND(C157="yes",ISNUMBER(G157)),MAX(DATE(2026,5,13),G157),"")</f>
        <v/>
      </c>
      <c r="F157" s="5">
        <f>IFERROR(INDEX('Batch Dates'!$F:$F,MATCH(J157,'Batch Dates'!$C:$C,0)),IFERROR(INDEX('Batch Dates'!$F:$F,MATCH(I157,'Batch Dates'!$B:$B,0)),""))</f>
        <v/>
      </c>
      <c r="G157" s="5">
        <f>IFERROR(INDEX('Batch Dates'!$G:$G,MATCH(J157,'Batch Dates'!$C:$C,0)),IFERROR(INDEX('Batch Dates'!$G:$G,MATCH(I157,'Batch Dates'!$B:$B,0)),""))</f>
        <v/>
      </c>
      <c r="H157" s="2" t="inlineStr">
        <is>
          <t>retest — QP campaign</t>
        </is>
      </c>
      <c r="I157" s="3" t="inlineStr">
        <is>
          <t>GP0824_03</t>
        </is>
      </c>
      <c r="J157" s="2" t="inlineStr">
        <is>
          <t>P050072</t>
        </is>
      </c>
      <c r="K157" s="2" t="inlineStr">
        <is>
          <t>Grape Pie</t>
        </is>
      </c>
      <c r="L157" s="2" t="inlineStr">
        <is>
          <t>Foreign matter</t>
        </is>
      </c>
      <c r="M157" s="2" t="inlineStr">
        <is>
          <t>iCoA_P07 · Foreign matter</t>
        </is>
      </c>
      <c r="N157" s="6" t="inlineStr">
        <is>
          <t>—</t>
        </is>
      </c>
      <c r="O157" s="2" t="inlineStr">
        <is>
          <t>ППК26034, (05.03.2026) [CNP]</t>
        </is>
      </c>
      <c r="P157" s="2" t="inlineStr">
        <is>
          <t>CoQ-PP-2026-0036</t>
        </is>
      </c>
      <c r="Q157" s="6" t="inlineStr">
        <is>
          <t>—</t>
        </is>
      </c>
      <c r="R157" s="2" t="inlineStr">
        <is>
          <t>P050072|FM|R</t>
        </is>
      </c>
      <c r="S157" s="8" t="inlineStr">
        <is>
          <t>not yet issuable — retest assay on file; foreign matter to test at the retest sampling</t>
        </is>
      </c>
    </row>
    <row r="158">
      <c r="A158" s="2">
        <f>IF(C158="yes",COUNT(A$1:A157)+1,"")</f>
        <v/>
      </c>
      <c r="B158" s="3">
        <f>IF(A158="","— at issue —","iCoA-PP_26-"&amp;TEXT(A158,"000"))</f>
        <v/>
      </c>
      <c r="C158" s="6" t="inlineStr">
        <is>
          <t>no</t>
        </is>
      </c>
      <c r="D158" s="5">
        <f>IF(A158="","",E158)</f>
        <v/>
      </c>
      <c r="E158" s="5">
        <f>IF(AND(C158="yes",ISNUMBER(G158)),MAX(DATE(2026,5,13),G158),"")</f>
        <v/>
      </c>
      <c r="F158" s="5">
        <f>IFERROR(INDEX('Batch Dates'!$F:$F,MATCH(J158,'Batch Dates'!$C:$C,0)),IFERROR(INDEX('Batch Dates'!$F:$F,MATCH(I158,'Batch Dates'!$B:$B,0)),""))</f>
        <v/>
      </c>
      <c r="G158" s="5">
        <f>IFERROR(INDEX('Batch Dates'!$G:$G,MATCH(J158,'Batch Dates'!$C:$C,0)),IFERROR(INDEX('Batch Dates'!$G:$G,MATCH(I158,'Batch Dates'!$B:$B,0)),""))</f>
        <v/>
      </c>
      <c r="H158" s="2" t="inlineStr">
        <is>
          <t>retest — QP campaign</t>
        </is>
      </c>
      <c r="I158" s="3" t="inlineStr">
        <is>
          <t>GG1024_01</t>
        </is>
      </c>
      <c r="J158" s="2" t="inlineStr">
        <is>
          <t>P050092</t>
        </is>
      </c>
      <c r="K158" s="2" t="inlineStr">
        <is>
          <t>Gorilla Glue</t>
        </is>
      </c>
      <c r="L158" s="2" t="inlineStr">
        <is>
          <t>Ident A + Ident B</t>
        </is>
      </c>
      <c r="M158" s="2" t="inlineStr">
        <is>
          <t>iCoA_P01-02 · Appearance &amp; Identification A/B</t>
        </is>
      </c>
      <c r="N158" s="6" t="inlineStr">
        <is>
          <t>—</t>
        </is>
      </c>
      <c r="O158" s="2" t="inlineStr">
        <is>
          <t>197-9-K-26, (07.08.2026) [FHM-K]</t>
        </is>
      </c>
      <c r="P158" s="2" t="inlineStr">
        <is>
          <t>CoQ-PP-2026-0038</t>
        </is>
      </c>
      <c r="Q158" s="6" t="inlineStr">
        <is>
          <t>—</t>
        </is>
      </c>
      <c r="R158" s="2" t="inlineStr">
        <is>
          <t>P050092|AB|R</t>
        </is>
      </c>
      <c r="S158" s="8" t="inlineStr">
        <is>
          <t>not yet issuable — retest assay on file; identification A and B to test at the retest sampling</t>
        </is>
      </c>
    </row>
    <row r="159">
      <c r="A159" s="2">
        <f>IF(C159="yes",COUNT(A$1:A158)+1,"")</f>
        <v/>
      </c>
      <c r="B159" s="3">
        <f>IF(A159="","— at issue —","iCoA-PP_26-"&amp;TEXT(A159,"000"))</f>
        <v/>
      </c>
      <c r="C159" s="6" t="inlineStr">
        <is>
          <t>no</t>
        </is>
      </c>
      <c r="D159" s="5">
        <f>IF(A159="","",E159)</f>
        <v/>
      </c>
      <c r="E159" s="5">
        <f>IF(AND(C159="yes",ISNUMBER(G159)),MAX(DATE(2026,5,13),G159),"")</f>
        <v/>
      </c>
      <c r="F159" s="5">
        <f>IFERROR(INDEX('Batch Dates'!$F:$F,MATCH(J159,'Batch Dates'!$C:$C,0)),IFERROR(INDEX('Batch Dates'!$F:$F,MATCH(I159,'Batch Dates'!$B:$B,0)),""))</f>
        <v/>
      </c>
      <c r="G159" s="5">
        <f>IFERROR(INDEX('Batch Dates'!$G:$G,MATCH(J159,'Batch Dates'!$C:$C,0)),IFERROR(INDEX('Batch Dates'!$G:$G,MATCH(I159,'Batch Dates'!$B:$B,0)),""))</f>
        <v/>
      </c>
      <c r="H159" s="2" t="inlineStr">
        <is>
          <t>retest — QP campaign</t>
        </is>
      </c>
      <c r="I159" s="3" t="inlineStr">
        <is>
          <t>GG1024_01</t>
        </is>
      </c>
      <c r="J159" s="2" t="inlineStr">
        <is>
          <t>P050092</t>
        </is>
      </c>
      <c r="K159" s="2" t="inlineStr">
        <is>
          <t>Gorilla Glue</t>
        </is>
      </c>
      <c r="L159" s="2" t="inlineStr">
        <is>
          <t>Foreign matter</t>
        </is>
      </c>
      <c r="M159" s="2" t="inlineStr">
        <is>
          <t>iCoA_P07 · Foreign matter</t>
        </is>
      </c>
      <c r="N159" s="6" t="inlineStr">
        <is>
          <t>—</t>
        </is>
      </c>
      <c r="O159" s="2" t="inlineStr">
        <is>
          <t>197-9-K-26, (07.08.2026) [FHM-K]</t>
        </is>
      </c>
      <c r="P159" s="2" t="inlineStr">
        <is>
          <t>CoQ-PP-2026-0038</t>
        </is>
      </c>
      <c r="Q159" s="6" t="inlineStr">
        <is>
          <t>—</t>
        </is>
      </c>
      <c r="R159" s="2" t="inlineStr">
        <is>
          <t>P050092|FM|R</t>
        </is>
      </c>
      <c r="S159" s="8" t="inlineStr">
        <is>
          <t>not yet issuable — retest assay on file; foreign matter to test at the retest sampling</t>
        </is>
      </c>
    </row>
    <row r="160">
      <c r="A160" s="2">
        <f>IF(C160="yes",COUNT(A$1:A159)+1,"")</f>
        <v/>
      </c>
      <c r="B160" s="3">
        <f>IF(A160="","— at issue —","iCoA-PP_26-"&amp;TEXT(A160,"000"))</f>
        <v/>
      </c>
      <c r="C160" s="6" t="inlineStr">
        <is>
          <t>no</t>
        </is>
      </c>
      <c r="D160" s="5">
        <f>IF(A160="","",E160)</f>
        <v/>
      </c>
      <c r="E160" s="5">
        <f>IF(AND(C160="yes",ISNUMBER(G160)),MAX(DATE(2026,5,13),G160),"")</f>
        <v/>
      </c>
      <c r="F160" s="5">
        <f>IFERROR(INDEX('Batch Dates'!$F:$F,MATCH(J160,'Batch Dates'!$C:$C,0)),IFERROR(INDEX('Batch Dates'!$F:$F,MATCH(I160,'Batch Dates'!$B:$B,0)),""))</f>
        <v/>
      </c>
      <c r="G160" s="5">
        <f>IFERROR(INDEX('Batch Dates'!$G:$G,MATCH(J160,'Batch Dates'!$C:$C,0)),IFERROR(INDEX('Batch Dates'!$G:$G,MATCH(I160,'Batch Dates'!$B:$B,0)),""))</f>
        <v/>
      </c>
      <c r="H160" s="2" t="inlineStr">
        <is>
          <t>retest — QP campaign</t>
        </is>
      </c>
      <c r="I160" s="3" t="inlineStr">
        <is>
          <t>GP052501</t>
        </is>
      </c>
      <c r="J160" s="2" t="inlineStr">
        <is>
          <t>P050152</t>
        </is>
      </c>
      <c r="K160" s="2" t="inlineStr">
        <is>
          <t>Grape Pie</t>
        </is>
      </c>
      <c r="L160" s="2" t="inlineStr">
        <is>
          <t>Ident A + Ident B</t>
        </is>
      </c>
      <c r="M160" s="2" t="inlineStr">
        <is>
          <t>iCoA_P01-02 · Appearance &amp; Identification A/B</t>
        </is>
      </c>
      <c r="N160" s="6" t="inlineStr">
        <is>
          <t>—</t>
        </is>
      </c>
      <c r="O160" s="2" t="inlineStr">
        <is>
          <t>197-10-K-26, (07.08.2026) [FHM-K]</t>
        </is>
      </c>
      <c r="P160" s="2" t="inlineStr">
        <is>
          <t>CoQ reissue (assigned on issue)</t>
        </is>
      </c>
      <c r="Q160" s="6" t="inlineStr">
        <is>
          <t>—</t>
        </is>
      </c>
      <c r="R160" s="2" t="inlineStr">
        <is>
          <t>P050152|AB|R</t>
        </is>
      </c>
      <c r="S160" s="8" t="inlineStr">
        <is>
          <t>not yet issuable — retest assay on file; identification A and B to test at the retest sampling</t>
        </is>
      </c>
    </row>
    <row r="161">
      <c r="A161" s="2">
        <f>IF(C161="yes",COUNT(A$1:A160)+1,"")</f>
        <v/>
      </c>
      <c r="B161" s="3">
        <f>IF(A161="","— at issue —","iCoA-PP_26-"&amp;TEXT(A161,"000"))</f>
        <v/>
      </c>
      <c r="C161" s="6" t="inlineStr">
        <is>
          <t>no</t>
        </is>
      </c>
      <c r="D161" s="5">
        <f>IF(A161="","",E161)</f>
        <v/>
      </c>
      <c r="E161" s="5">
        <f>IF(AND(C161="yes",ISNUMBER(G161)),MAX(DATE(2026,5,13),G161),"")</f>
        <v/>
      </c>
      <c r="F161" s="5">
        <f>IFERROR(INDEX('Batch Dates'!$F:$F,MATCH(J161,'Batch Dates'!$C:$C,0)),IFERROR(INDEX('Batch Dates'!$F:$F,MATCH(I161,'Batch Dates'!$B:$B,0)),""))</f>
        <v/>
      </c>
      <c r="G161" s="5">
        <f>IFERROR(INDEX('Batch Dates'!$G:$G,MATCH(J161,'Batch Dates'!$C:$C,0)),IFERROR(INDEX('Batch Dates'!$G:$G,MATCH(I161,'Batch Dates'!$B:$B,0)),""))</f>
        <v/>
      </c>
      <c r="H161" s="2" t="inlineStr">
        <is>
          <t>retest — QP campaign</t>
        </is>
      </c>
      <c r="I161" s="3" t="inlineStr">
        <is>
          <t>GP052501</t>
        </is>
      </c>
      <c r="J161" s="2" t="inlineStr">
        <is>
          <t>P050152</t>
        </is>
      </c>
      <c r="K161" s="2" t="inlineStr">
        <is>
          <t>Grape Pie</t>
        </is>
      </c>
      <c r="L161" s="2" t="inlineStr">
        <is>
          <t>Foreign matter</t>
        </is>
      </c>
      <c r="M161" s="2" t="inlineStr">
        <is>
          <t>iCoA_P07 · Foreign matter</t>
        </is>
      </c>
      <c r="N161" s="6" t="inlineStr">
        <is>
          <t>—</t>
        </is>
      </c>
      <c r="O161" s="2" t="inlineStr">
        <is>
          <t>197-10-K-26, (07.08.2026) [FHM-K]</t>
        </is>
      </c>
      <c r="P161" s="2" t="inlineStr">
        <is>
          <t>CoQ reissue (assigned on issue)</t>
        </is>
      </c>
      <c r="Q161" s="6" t="inlineStr">
        <is>
          <t>—</t>
        </is>
      </c>
      <c r="R161" s="2" t="inlineStr">
        <is>
          <t>P050152|FM|R</t>
        </is>
      </c>
      <c r="S161" s="8" t="inlineStr">
        <is>
          <t>not yet issuable — retest assay on file; foreign matter to test at the retest sampling</t>
        </is>
      </c>
    </row>
    <row r="162">
      <c r="A162" s="2">
        <f>IF(C162="yes",COUNT(A$1:A161)+1,"")</f>
        <v/>
      </c>
      <c r="B162" s="3">
        <f>IF(A162="","— at issue —","iCoA-PP_26-"&amp;TEXT(A162,"000"))</f>
        <v/>
      </c>
      <c r="C162" s="6" t="inlineStr">
        <is>
          <t>no</t>
        </is>
      </c>
      <c r="D162" s="5">
        <f>IF(A162="","",E162)</f>
        <v/>
      </c>
      <c r="E162" s="5">
        <f>IF(AND(C162="yes",ISNUMBER(G162)),MAX(DATE(2026,5,13),G162),"")</f>
        <v/>
      </c>
      <c r="F162" s="5">
        <f>IFERROR(INDEX('Batch Dates'!$F:$F,MATCH(J162,'Batch Dates'!$C:$C,0)),IFERROR(INDEX('Batch Dates'!$F:$F,MATCH(I162,'Batch Dates'!$B:$B,0)),""))</f>
        <v/>
      </c>
      <c r="G162" s="5">
        <f>IFERROR(INDEX('Batch Dates'!$G:$G,MATCH(J162,'Batch Dates'!$C:$C,0)),IFERROR(INDEX('Batch Dates'!$G:$G,MATCH(I162,'Batch Dates'!$B:$B,0)),""))</f>
        <v/>
      </c>
      <c r="H162" s="2" t="inlineStr">
        <is>
          <t>retest — QP campaign</t>
        </is>
      </c>
      <c r="I162" s="3" t="inlineStr">
        <is>
          <t>CJ052501/01</t>
        </is>
      </c>
      <c r="J162" s="2" t="inlineStr">
        <is>
          <t>P050162</t>
        </is>
      </c>
      <c r="K162" s="2" t="inlineStr">
        <is>
          <t>Cup Junky</t>
        </is>
      </c>
      <c r="L162" s="2" t="inlineStr">
        <is>
          <t>Ident A + Ident B</t>
        </is>
      </c>
      <c r="M162" s="2" t="inlineStr">
        <is>
          <t>iCoA_P01-02 · Appearance &amp; Identification A/B</t>
        </is>
      </c>
      <c r="N162" s="6" t="inlineStr">
        <is>
          <t>—</t>
        </is>
      </c>
      <c r="O162" s="2" t="inlineStr">
        <is>
          <t>197-3-K-26, (07.08.2026) [FHM-K]</t>
        </is>
      </c>
      <c r="P162" s="2" t="inlineStr">
        <is>
          <t>CoQ reissue (assigned on issue)</t>
        </is>
      </c>
      <c r="Q162" s="6" t="inlineStr">
        <is>
          <t>—</t>
        </is>
      </c>
      <c r="R162" s="2" t="inlineStr">
        <is>
          <t>P050162|AB|R</t>
        </is>
      </c>
      <c r="S162" s="8" t="inlineStr">
        <is>
          <t>not yet issuable — retest assay on file; identification A and B to test at the retest sampling</t>
        </is>
      </c>
    </row>
    <row r="163">
      <c r="A163" s="2">
        <f>IF(C163="yes",COUNT(A$1:A162)+1,"")</f>
        <v/>
      </c>
      <c r="B163" s="3">
        <f>IF(A163="","— at issue —","iCoA-PP_26-"&amp;TEXT(A163,"000"))</f>
        <v/>
      </c>
      <c r="C163" s="6" t="inlineStr">
        <is>
          <t>no</t>
        </is>
      </c>
      <c r="D163" s="5">
        <f>IF(A163="","",E163)</f>
        <v/>
      </c>
      <c r="E163" s="5">
        <f>IF(AND(C163="yes",ISNUMBER(G163)),MAX(DATE(2026,5,13),G163),"")</f>
        <v/>
      </c>
      <c r="F163" s="5">
        <f>IFERROR(INDEX('Batch Dates'!$F:$F,MATCH(J163,'Batch Dates'!$C:$C,0)),IFERROR(INDEX('Batch Dates'!$F:$F,MATCH(I163,'Batch Dates'!$B:$B,0)),""))</f>
        <v/>
      </c>
      <c r="G163" s="5">
        <f>IFERROR(INDEX('Batch Dates'!$G:$G,MATCH(J163,'Batch Dates'!$C:$C,0)),IFERROR(INDEX('Batch Dates'!$G:$G,MATCH(I163,'Batch Dates'!$B:$B,0)),""))</f>
        <v/>
      </c>
      <c r="H163" s="2" t="inlineStr">
        <is>
          <t>retest — QP campaign</t>
        </is>
      </c>
      <c r="I163" s="3" t="inlineStr">
        <is>
          <t>CJ052501/01</t>
        </is>
      </c>
      <c r="J163" s="2" t="inlineStr">
        <is>
          <t>P050162</t>
        </is>
      </c>
      <c r="K163" s="2" t="inlineStr">
        <is>
          <t>Cup Junky</t>
        </is>
      </c>
      <c r="L163" s="2" t="inlineStr">
        <is>
          <t>Foreign matter</t>
        </is>
      </c>
      <c r="M163" s="2" t="inlineStr">
        <is>
          <t>iCoA_P07 · Foreign matter</t>
        </is>
      </c>
      <c r="N163" s="6" t="inlineStr">
        <is>
          <t>—</t>
        </is>
      </c>
      <c r="O163" s="2" t="inlineStr">
        <is>
          <t>197-3-K-26, (07.08.2026) [FHM-K]</t>
        </is>
      </c>
      <c r="P163" s="2" t="inlineStr">
        <is>
          <t>CoQ reissue (assigned on issue)</t>
        </is>
      </c>
      <c r="Q163" s="6" t="inlineStr">
        <is>
          <t>—</t>
        </is>
      </c>
      <c r="R163" s="2" t="inlineStr">
        <is>
          <t>P050162|FM|R</t>
        </is>
      </c>
      <c r="S163" s="8" t="inlineStr">
        <is>
          <t>not yet issuable — retest assay on file; foreign matter to test at the retest sampling</t>
        </is>
      </c>
    </row>
    <row r="164">
      <c r="A164" s="2">
        <f>IF(C164="yes",COUNT(A$1:A163)+1,"")</f>
        <v/>
      </c>
      <c r="B164" s="3">
        <f>IF(A164="","— at issue —","iCoA-PP_26-"&amp;TEXT(A164,"000"))</f>
        <v/>
      </c>
      <c r="C164" s="6" t="inlineStr">
        <is>
          <t>no</t>
        </is>
      </c>
      <c r="D164" s="5">
        <f>IF(A164="","",E164)</f>
        <v/>
      </c>
      <c r="E164" s="5">
        <f>IF(AND(C164="yes",ISNUMBER(G164)),MAX(DATE(2026,5,13),G164),"")</f>
        <v/>
      </c>
      <c r="F164" s="5">
        <f>IFERROR(INDEX('Batch Dates'!$F:$F,MATCH(J164,'Batch Dates'!$C:$C,0)),IFERROR(INDEX('Batch Dates'!$F:$F,MATCH(I164,'Batch Dates'!$B:$B,0)),""))</f>
        <v/>
      </c>
      <c r="G164" s="5">
        <f>IFERROR(INDEX('Batch Dates'!$G:$G,MATCH(J164,'Batch Dates'!$C:$C,0)),IFERROR(INDEX('Batch Dates'!$G:$G,MATCH(I164,'Batch Dates'!$B:$B,0)),""))</f>
        <v/>
      </c>
      <c r="H164" s="2" t="inlineStr">
        <is>
          <t>retest — QP campaign</t>
        </is>
      </c>
      <c r="I164" s="3" t="inlineStr">
        <is>
          <t>GP082501/2</t>
        </is>
      </c>
      <c r="J164" s="2" t="inlineStr">
        <is>
          <t>P050322</t>
        </is>
      </c>
      <c r="K164" s="2" t="inlineStr">
        <is>
          <t>Grape Pie</t>
        </is>
      </c>
      <c r="L164" s="2" t="inlineStr">
        <is>
          <t>Ident A + Ident B</t>
        </is>
      </c>
      <c r="M164" s="2" t="inlineStr">
        <is>
          <t>iCoA_P01-02 · Appearance &amp; Identification A/B</t>
        </is>
      </c>
      <c r="N164" s="6" t="inlineStr">
        <is>
          <t>—</t>
        </is>
      </c>
      <c r="O164" s="2" t="inlineStr">
        <is>
          <t>197-12-K-26, (07.08.2026) [FHM-K]</t>
        </is>
      </c>
      <c r="P164" s="2" t="inlineStr">
        <is>
          <t>CoQ reissue (assigned on issue)</t>
        </is>
      </c>
      <c r="Q164" s="6" t="inlineStr">
        <is>
          <t>—</t>
        </is>
      </c>
      <c r="R164" s="2" t="inlineStr">
        <is>
          <t>P050322|AB|R</t>
        </is>
      </c>
      <c r="S164" s="8" t="inlineStr">
        <is>
          <t>not yet issuable — retest assay on file; identification A and B to test at the retest sampling</t>
        </is>
      </c>
    </row>
    <row r="165">
      <c r="A165" s="2">
        <f>IF(C165="yes",COUNT(A$1:A164)+1,"")</f>
        <v/>
      </c>
      <c r="B165" s="3">
        <f>IF(A165="","— at issue —","iCoA-PP_26-"&amp;TEXT(A165,"000"))</f>
        <v/>
      </c>
      <c r="C165" s="6" t="inlineStr">
        <is>
          <t>no</t>
        </is>
      </c>
      <c r="D165" s="5">
        <f>IF(A165="","",E165)</f>
        <v/>
      </c>
      <c r="E165" s="5">
        <f>IF(AND(C165="yes",ISNUMBER(G165)),MAX(DATE(2026,5,13),G165),"")</f>
        <v/>
      </c>
      <c r="F165" s="5">
        <f>IFERROR(INDEX('Batch Dates'!$F:$F,MATCH(J165,'Batch Dates'!$C:$C,0)),IFERROR(INDEX('Batch Dates'!$F:$F,MATCH(I165,'Batch Dates'!$B:$B,0)),""))</f>
        <v/>
      </c>
      <c r="G165" s="5">
        <f>IFERROR(INDEX('Batch Dates'!$G:$G,MATCH(J165,'Batch Dates'!$C:$C,0)),IFERROR(INDEX('Batch Dates'!$G:$G,MATCH(I165,'Batch Dates'!$B:$B,0)),""))</f>
        <v/>
      </c>
      <c r="H165" s="2" t="inlineStr">
        <is>
          <t>retest — QP campaign</t>
        </is>
      </c>
      <c r="I165" s="3" t="inlineStr">
        <is>
          <t>GP082501/2</t>
        </is>
      </c>
      <c r="J165" s="2" t="inlineStr">
        <is>
          <t>P050322</t>
        </is>
      </c>
      <c r="K165" s="2" t="inlineStr">
        <is>
          <t>Grape Pie</t>
        </is>
      </c>
      <c r="L165" s="2" t="inlineStr">
        <is>
          <t>Foreign matter</t>
        </is>
      </c>
      <c r="M165" s="2" t="inlineStr">
        <is>
          <t>iCoA_P07 · Foreign matter</t>
        </is>
      </c>
      <c r="N165" s="6" t="inlineStr">
        <is>
          <t>—</t>
        </is>
      </c>
      <c r="O165" s="2" t="inlineStr">
        <is>
          <t>197-12-K-26, (07.08.2026) [FHM-K]</t>
        </is>
      </c>
      <c r="P165" s="2" t="inlineStr">
        <is>
          <t>CoQ reissue (assigned on issue)</t>
        </is>
      </c>
      <c r="Q165" s="6" t="inlineStr">
        <is>
          <t>—</t>
        </is>
      </c>
      <c r="R165" s="2" t="inlineStr">
        <is>
          <t>P050322|FM|R</t>
        </is>
      </c>
      <c r="S165" s="8" t="inlineStr">
        <is>
          <t>not yet issuable — retest assay on file; foreign matter to test at the retest sampling</t>
        </is>
      </c>
    </row>
    <row r="166">
      <c r="A166" s="2">
        <f>IF(C166="yes",COUNT(A$1:A165)+1,"")</f>
        <v/>
      </c>
      <c r="B166" s="3">
        <f>IF(A166="","— at issue —","iCoA-PP_26-"&amp;TEXT(A166,"000"))</f>
        <v/>
      </c>
      <c r="C166" s="6" t="inlineStr">
        <is>
          <t>no</t>
        </is>
      </c>
      <c r="D166" s="5">
        <f>IF(A166="","",E166)</f>
        <v/>
      </c>
      <c r="E166" s="5">
        <f>IF(AND(C166="yes",ISNUMBER(G166)),MAX(DATE(2026,5,13),G166),"")</f>
        <v/>
      </c>
      <c r="F166" s="5">
        <f>IFERROR(INDEX('Batch Dates'!$F:$F,MATCH(J166,'Batch Dates'!$C:$C,0)),IFERROR(INDEX('Batch Dates'!$F:$F,MATCH(I166,'Batch Dates'!$B:$B,0)),""))</f>
        <v/>
      </c>
      <c r="G166" s="5">
        <f>IFERROR(INDEX('Batch Dates'!$G:$G,MATCH(J166,'Batch Dates'!$C:$C,0)),IFERROR(INDEX('Batch Dates'!$G:$G,MATCH(I166,'Batch Dates'!$B:$B,0)),""))</f>
        <v/>
      </c>
      <c r="H166" s="2" t="inlineStr">
        <is>
          <t>retest — QP campaign</t>
        </is>
      </c>
      <c r="I166" s="3" t="inlineStr">
        <is>
          <t>CJ062501/2</t>
        </is>
      </c>
      <c r="J166" s="2" t="inlineStr">
        <is>
          <t>P050212</t>
        </is>
      </c>
      <c r="K166" s="2" t="inlineStr">
        <is>
          <t>Cap Junkie</t>
        </is>
      </c>
      <c r="L166" s="2" t="inlineStr">
        <is>
          <t>Ident A + Ident B</t>
        </is>
      </c>
      <c r="M166" s="2" t="inlineStr">
        <is>
          <t>iCoA_P01-02 · Appearance &amp; Identification A/B</t>
        </is>
      </c>
      <c r="N166" s="6" t="inlineStr">
        <is>
          <t>—</t>
        </is>
      </c>
      <c r="O166" s="2" t="inlineStr">
        <is>
          <t>197-4-K-26, (07.08.2026) [FHM-K]</t>
        </is>
      </c>
      <c r="P166" s="2" t="inlineStr">
        <is>
          <t>CoQ reissue (assigned on issue)</t>
        </is>
      </c>
      <c r="Q166" s="6" t="inlineStr">
        <is>
          <t>—</t>
        </is>
      </c>
      <c r="R166" s="2" t="inlineStr">
        <is>
          <t>P050212|AB|R</t>
        </is>
      </c>
      <c r="S166" s="8" t="inlineStr">
        <is>
          <t>not yet issuable — retest assay on file; identification A and B to test at the retest sampling</t>
        </is>
      </c>
    </row>
    <row r="167">
      <c r="A167" s="2">
        <f>IF(C167="yes",COUNT(A$1:A166)+1,"")</f>
        <v/>
      </c>
      <c r="B167" s="3">
        <f>IF(A167="","— at issue —","iCoA-PP_26-"&amp;TEXT(A167,"000"))</f>
        <v/>
      </c>
      <c r="C167" s="6" t="inlineStr">
        <is>
          <t>no</t>
        </is>
      </c>
      <c r="D167" s="5">
        <f>IF(A167="","",E167)</f>
        <v/>
      </c>
      <c r="E167" s="5">
        <f>IF(AND(C167="yes",ISNUMBER(G167)),MAX(DATE(2026,5,13),G167),"")</f>
        <v/>
      </c>
      <c r="F167" s="5">
        <f>IFERROR(INDEX('Batch Dates'!$F:$F,MATCH(J167,'Batch Dates'!$C:$C,0)),IFERROR(INDEX('Batch Dates'!$F:$F,MATCH(I167,'Batch Dates'!$B:$B,0)),""))</f>
        <v/>
      </c>
      <c r="G167" s="5">
        <f>IFERROR(INDEX('Batch Dates'!$G:$G,MATCH(J167,'Batch Dates'!$C:$C,0)),IFERROR(INDEX('Batch Dates'!$G:$G,MATCH(I167,'Batch Dates'!$B:$B,0)),""))</f>
        <v/>
      </c>
      <c r="H167" s="2" t="inlineStr">
        <is>
          <t>retest — QP campaign</t>
        </is>
      </c>
      <c r="I167" s="3" t="inlineStr">
        <is>
          <t>CJ062501/2</t>
        </is>
      </c>
      <c r="J167" s="2" t="inlineStr">
        <is>
          <t>P050212</t>
        </is>
      </c>
      <c r="K167" s="2" t="inlineStr">
        <is>
          <t>Cap Junkie</t>
        </is>
      </c>
      <c r="L167" s="2" t="inlineStr">
        <is>
          <t>Foreign matter</t>
        </is>
      </c>
      <c r="M167" s="2" t="inlineStr">
        <is>
          <t>iCoA_P07 · Foreign matter</t>
        </is>
      </c>
      <c r="N167" s="6" t="inlineStr">
        <is>
          <t>—</t>
        </is>
      </c>
      <c r="O167" s="2" t="inlineStr">
        <is>
          <t>197-4-K-26, (07.08.2026) [FHM-K]</t>
        </is>
      </c>
      <c r="P167" s="2" t="inlineStr">
        <is>
          <t>CoQ reissue (assigned on issue)</t>
        </is>
      </c>
      <c r="Q167" s="6" t="inlineStr">
        <is>
          <t>—</t>
        </is>
      </c>
      <c r="R167" s="2" t="inlineStr">
        <is>
          <t>P050212|FM|R</t>
        </is>
      </c>
      <c r="S167" s="8" t="inlineStr">
        <is>
          <t>not yet issuable — retest assay on file; foreign matter to test at the retest sampling</t>
        </is>
      </c>
    </row>
    <row r="168">
      <c r="A168" s="2">
        <f>IF(C168="yes",COUNT(A$1:A167)+1,"")</f>
        <v/>
      </c>
      <c r="B168" s="3">
        <f>IF(A168="","— at issue —","iCoA-PP_26-"&amp;TEXT(A168,"000"))</f>
        <v/>
      </c>
      <c r="C168" s="6" t="inlineStr">
        <is>
          <t>no</t>
        </is>
      </c>
      <c r="D168" s="5">
        <f>IF(A168="","",E168)</f>
        <v/>
      </c>
      <c r="E168" s="5">
        <f>IF(AND(C168="yes",ISNUMBER(G168)),MAX(DATE(2026,5,13),G168),"")</f>
        <v/>
      </c>
      <c r="F168" s="5">
        <f>IFERROR(INDEX('Batch Dates'!$F:$F,MATCH(J168,'Batch Dates'!$C:$C,0)),IFERROR(INDEX('Batch Dates'!$F:$F,MATCH(I168,'Batch Dates'!$B:$B,0)),""))</f>
        <v/>
      </c>
      <c r="G168" s="5">
        <f>IFERROR(INDEX('Batch Dates'!$G:$G,MATCH(J168,'Batch Dates'!$C:$C,0)),IFERROR(INDEX('Batch Dates'!$G:$G,MATCH(I168,'Batch Dates'!$B:$B,0)),""))</f>
        <v/>
      </c>
      <c r="H168" s="2" t="inlineStr">
        <is>
          <t>retest — QP campaign</t>
        </is>
      </c>
      <c r="I168" s="3" t="inlineStr">
        <is>
          <t>CJ082501/2</t>
        </is>
      </c>
      <c r="J168" s="2" t="inlineStr">
        <is>
          <t>P060032</t>
        </is>
      </c>
      <c r="K168" s="2" t="inlineStr">
        <is>
          <t>Cap Junky</t>
        </is>
      </c>
      <c r="L168" s="2" t="inlineStr">
        <is>
          <t>Ident A + Ident B</t>
        </is>
      </c>
      <c r="M168" s="2" t="inlineStr">
        <is>
          <t>iCoA_P01-02 · Appearance &amp; Identification A/B</t>
        </is>
      </c>
      <c r="N168" s="6" t="inlineStr">
        <is>
          <t>—</t>
        </is>
      </c>
      <c r="O168" s="2" t="inlineStr">
        <is>
          <t>197-5-K-26, (07.08.2026) [FHM-K]</t>
        </is>
      </c>
      <c r="P168" s="2" t="inlineStr">
        <is>
          <t>CoQ reissue (assigned on issue)</t>
        </is>
      </c>
      <c r="Q168" s="6" t="inlineStr">
        <is>
          <t>—</t>
        </is>
      </c>
      <c r="R168" s="2" t="inlineStr">
        <is>
          <t>P060032|AB|R</t>
        </is>
      </c>
      <c r="S168" s="8" t="inlineStr">
        <is>
          <t>not yet issuable — retest assay on file; identification A and B to test at the retest sampling</t>
        </is>
      </c>
    </row>
    <row r="169">
      <c r="A169" s="2">
        <f>IF(C169="yes",COUNT(A$1:A168)+1,"")</f>
        <v/>
      </c>
      <c r="B169" s="3">
        <f>IF(A169="","— at issue —","iCoA-PP_26-"&amp;TEXT(A169,"000"))</f>
        <v/>
      </c>
      <c r="C169" s="6" t="inlineStr">
        <is>
          <t>no</t>
        </is>
      </c>
      <c r="D169" s="5">
        <f>IF(A169="","",E169)</f>
        <v/>
      </c>
      <c r="E169" s="5">
        <f>IF(AND(C169="yes",ISNUMBER(G169)),MAX(DATE(2026,5,13),G169),"")</f>
        <v/>
      </c>
      <c r="F169" s="5">
        <f>IFERROR(INDEX('Batch Dates'!$F:$F,MATCH(J169,'Batch Dates'!$C:$C,0)),IFERROR(INDEX('Batch Dates'!$F:$F,MATCH(I169,'Batch Dates'!$B:$B,0)),""))</f>
        <v/>
      </c>
      <c r="G169" s="5">
        <f>IFERROR(INDEX('Batch Dates'!$G:$G,MATCH(J169,'Batch Dates'!$C:$C,0)),IFERROR(INDEX('Batch Dates'!$G:$G,MATCH(I169,'Batch Dates'!$B:$B,0)),""))</f>
        <v/>
      </c>
      <c r="H169" s="2" t="inlineStr">
        <is>
          <t>retest — QP campaign</t>
        </is>
      </c>
      <c r="I169" s="3" t="inlineStr">
        <is>
          <t>CJ082501/2</t>
        </is>
      </c>
      <c r="J169" s="2" t="inlineStr">
        <is>
          <t>P060032</t>
        </is>
      </c>
      <c r="K169" s="2" t="inlineStr">
        <is>
          <t>Cap Junky</t>
        </is>
      </c>
      <c r="L169" s="2" t="inlineStr">
        <is>
          <t>Foreign matter</t>
        </is>
      </c>
      <c r="M169" s="2" t="inlineStr">
        <is>
          <t>iCoA_P07 · Foreign matter</t>
        </is>
      </c>
      <c r="N169" s="6" t="inlineStr">
        <is>
          <t>—</t>
        </is>
      </c>
      <c r="O169" s="2" t="inlineStr">
        <is>
          <t>197-5-K-26, (07.08.2026) [FHM-K]</t>
        </is>
      </c>
      <c r="P169" s="2" t="inlineStr">
        <is>
          <t>CoQ reissue (assigned on issue)</t>
        </is>
      </c>
      <c r="Q169" s="6" t="inlineStr">
        <is>
          <t>—</t>
        </is>
      </c>
      <c r="R169" s="2" t="inlineStr">
        <is>
          <t>P060032|FM|R</t>
        </is>
      </c>
      <c r="S169" s="8" t="inlineStr">
        <is>
          <t>not yet issuable — retest assay on file; foreign matter to test at the retest sampling</t>
        </is>
      </c>
    </row>
    <row r="170">
      <c r="A170" s="2">
        <f>IF(C170="yes",COUNT(A$1:A169)+1,"")</f>
        <v/>
      </c>
      <c r="B170" s="3">
        <f>IF(A170="","— at issue —","iCoA-PP_26-"&amp;TEXT(A170,"000"))</f>
        <v/>
      </c>
      <c r="C170" s="6" t="inlineStr">
        <is>
          <t>no</t>
        </is>
      </c>
      <c r="D170" s="5">
        <f>IF(A170="","",E170)</f>
        <v/>
      </c>
      <c r="E170" s="5">
        <f>IF(AND(C170="yes",ISNUMBER(G170)),MAX(DATE(2026,5,13),G170),"")</f>
        <v/>
      </c>
      <c r="F170" s="5">
        <f>IFERROR(INDEX('Batch Dates'!$F:$F,MATCH(J170,'Batch Dates'!$C:$C,0)),IFERROR(INDEX('Batch Dates'!$F:$F,MATCH(I170,'Batch Dates'!$B:$B,0)),""))</f>
        <v/>
      </c>
      <c r="G170" s="5">
        <f>IFERROR(INDEX('Batch Dates'!$G:$G,MATCH(J170,'Batch Dates'!$C:$C,0)),IFERROR(INDEX('Batch Dates'!$G:$G,MATCH(I170,'Batch Dates'!$B:$B,0)),""))</f>
        <v/>
      </c>
      <c r="H170" s="2" t="inlineStr">
        <is>
          <t>retest — QP campaign</t>
        </is>
      </c>
      <c r="I170" s="3" t="inlineStr">
        <is>
          <t>PM092501</t>
        </is>
      </c>
      <c r="J170" s="2" t="inlineStr">
        <is>
          <t>P060062</t>
        </is>
      </c>
      <c r="K170" s="2" t="inlineStr">
        <is>
          <t>Permanent Market</t>
        </is>
      </c>
      <c r="L170" s="2" t="inlineStr">
        <is>
          <t>Ident A + Ident B</t>
        </is>
      </c>
      <c r="M170" s="2" t="inlineStr">
        <is>
          <t>iCoA_P01-02 · Appearance &amp; Identification A/B</t>
        </is>
      </c>
      <c r="N170" s="6" t="inlineStr">
        <is>
          <t>—</t>
        </is>
      </c>
      <c r="O170" s="2" t="inlineStr">
        <is>
          <t>197-20-K-26, (07.08.2026) [FHM-K]</t>
        </is>
      </c>
      <c r="P170" s="2" t="inlineStr">
        <is>
          <t>CoQ reissue (assigned on issue)</t>
        </is>
      </c>
      <c r="Q170" s="6" t="inlineStr">
        <is>
          <t>—</t>
        </is>
      </c>
      <c r="R170" s="2" t="inlineStr">
        <is>
          <t>P060062|AB|R</t>
        </is>
      </c>
      <c r="S170" s="8" t="inlineStr">
        <is>
          <t>not yet issuable — retest assay on file; identification A and B to test at the retest sampling</t>
        </is>
      </c>
    </row>
    <row r="171">
      <c r="A171" s="2">
        <f>IF(C171="yes",COUNT(A$1:A170)+1,"")</f>
        <v/>
      </c>
      <c r="B171" s="3">
        <f>IF(A171="","— at issue —","iCoA-PP_26-"&amp;TEXT(A171,"000"))</f>
        <v/>
      </c>
      <c r="C171" s="6" t="inlineStr">
        <is>
          <t>no</t>
        </is>
      </c>
      <c r="D171" s="5">
        <f>IF(A171="","",E171)</f>
        <v/>
      </c>
      <c r="E171" s="5">
        <f>IF(AND(C171="yes",ISNUMBER(G171)),MAX(DATE(2026,5,13),G171),"")</f>
        <v/>
      </c>
      <c r="F171" s="5">
        <f>IFERROR(INDEX('Batch Dates'!$F:$F,MATCH(J171,'Batch Dates'!$C:$C,0)),IFERROR(INDEX('Batch Dates'!$F:$F,MATCH(I171,'Batch Dates'!$B:$B,0)),""))</f>
        <v/>
      </c>
      <c r="G171" s="5">
        <f>IFERROR(INDEX('Batch Dates'!$G:$G,MATCH(J171,'Batch Dates'!$C:$C,0)),IFERROR(INDEX('Batch Dates'!$G:$G,MATCH(I171,'Batch Dates'!$B:$B,0)),""))</f>
        <v/>
      </c>
      <c r="H171" s="2" t="inlineStr">
        <is>
          <t>retest — QP campaign</t>
        </is>
      </c>
      <c r="I171" s="3" t="inlineStr">
        <is>
          <t>PM092501</t>
        </is>
      </c>
      <c r="J171" s="2" t="inlineStr">
        <is>
          <t>P060062</t>
        </is>
      </c>
      <c r="K171" s="2" t="inlineStr">
        <is>
          <t>Permanent Market</t>
        </is>
      </c>
      <c r="L171" s="2" t="inlineStr">
        <is>
          <t>Foreign matter</t>
        </is>
      </c>
      <c r="M171" s="2" t="inlineStr">
        <is>
          <t>iCoA_P07 · Foreign matter</t>
        </is>
      </c>
      <c r="N171" s="6" t="inlineStr">
        <is>
          <t>—</t>
        </is>
      </c>
      <c r="O171" s="2" t="inlineStr">
        <is>
          <t>197-20-K-26, (07.08.2026) [FHM-K]</t>
        </is>
      </c>
      <c r="P171" s="2" t="inlineStr">
        <is>
          <t>CoQ reissue (assigned on issue)</t>
        </is>
      </c>
      <c r="Q171" s="6" t="inlineStr">
        <is>
          <t>—</t>
        </is>
      </c>
      <c r="R171" s="2" t="inlineStr">
        <is>
          <t>P060062|FM|R</t>
        </is>
      </c>
      <c r="S171" s="8" t="inlineStr">
        <is>
          <t>not yet issuable — retest assay on file; foreign matter to test at the retest sampling</t>
        </is>
      </c>
    </row>
    <row r="172">
      <c r="A172" s="2">
        <f>IF(C172="yes",COUNT(A$1:A171)+1,"")</f>
        <v/>
      </c>
      <c r="B172" s="3">
        <f>IF(A172="","— at issue —","iCoA-PP_26-"&amp;TEXT(A172,"000"))</f>
        <v/>
      </c>
      <c r="C172" s="6" t="inlineStr">
        <is>
          <t>no</t>
        </is>
      </c>
      <c r="D172" s="5">
        <f>IF(A172="","",E172)</f>
        <v/>
      </c>
      <c r="E172" s="5">
        <f>IF(AND(C172="yes",ISNUMBER(G172)),MAX(DATE(2026,5,13),G172),"")</f>
        <v/>
      </c>
      <c r="F172" s="5">
        <f>IFERROR(INDEX('Batch Dates'!$F:$F,MATCH(J172,'Batch Dates'!$C:$C,0)),IFERROR(INDEX('Batch Dates'!$F:$F,MATCH(I172,'Batch Dates'!$B:$B,0)),""))</f>
        <v/>
      </c>
      <c r="G172" s="5">
        <f>IFERROR(INDEX('Batch Dates'!$G:$G,MATCH(J172,'Batch Dates'!$C:$C,0)),IFERROR(INDEX('Batch Dates'!$G:$G,MATCH(I172,'Batch Dates'!$B:$B,0)),""))</f>
        <v/>
      </c>
      <c r="H172" s="2" t="inlineStr">
        <is>
          <t>retest — QP campaign</t>
        </is>
      </c>
      <c r="I172" s="3" t="inlineStr">
        <is>
          <t>J31102501</t>
        </is>
      </c>
      <c r="J172" s="2" t="inlineStr">
        <is>
          <t>P060152</t>
        </is>
      </c>
      <c r="K172" s="2" t="inlineStr">
        <is>
          <t>Jokerz 31</t>
        </is>
      </c>
      <c r="L172" s="2" t="inlineStr">
        <is>
          <t>Ident A + Ident B</t>
        </is>
      </c>
      <c r="M172" s="2" t="inlineStr">
        <is>
          <t>iCoA_P01-02 · Appearance &amp; Identification A/B</t>
        </is>
      </c>
      <c r="N172" s="6" t="inlineStr">
        <is>
          <t>—</t>
        </is>
      </c>
      <c r="O172" s="2" t="inlineStr">
        <is>
          <t>197-16-K-26, (07.08.2026) [FHM-K]</t>
        </is>
      </c>
      <c r="P172" s="2" t="inlineStr">
        <is>
          <t>CoQ reissue (assigned on issue)</t>
        </is>
      </c>
      <c r="Q172" s="6" t="inlineStr">
        <is>
          <t>—</t>
        </is>
      </c>
      <c r="R172" s="2" t="inlineStr">
        <is>
          <t>P060152|AB|R</t>
        </is>
      </c>
      <c r="S172" s="8" t="inlineStr">
        <is>
          <t>not yet issuable — retest assay on file; identification A and B to test at the retest sampling</t>
        </is>
      </c>
    </row>
    <row r="173">
      <c r="A173" s="2">
        <f>IF(C173="yes",COUNT(A$1:A172)+1,"")</f>
        <v/>
      </c>
      <c r="B173" s="3">
        <f>IF(A173="","— at issue —","iCoA-PP_26-"&amp;TEXT(A173,"000"))</f>
        <v/>
      </c>
      <c r="C173" s="6" t="inlineStr">
        <is>
          <t>no</t>
        </is>
      </c>
      <c r="D173" s="5">
        <f>IF(A173="","",E173)</f>
        <v/>
      </c>
      <c r="E173" s="5">
        <f>IF(AND(C173="yes",ISNUMBER(G173)),MAX(DATE(2026,5,13),G173),"")</f>
        <v/>
      </c>
      <c r="F173" s="5">
        <f>IFERROR(INDEX('Batch Dates'!$F:$F,MATCH(J173,'Batch Dates'!$C:$C,0)),IFERROR(INDEX('Batch Dates'!$F:$F,MATCH(I173,'Batch Dates'!$B:$B,0)),""))</f>
        <v/>
      </c>
      <c r="G173" s="5">
        <f>IFERROR(INDEX('Batch Dates'!$G:$G,MATCH(J173,'Batch Dates'!$C:$C,0)),IFERROR(INDEX('Batch Dates'!$G:$G,MATCH(I173,'Batch Dates'!$B:$B,0)),""))</f>
        <v/>
      </c>
      <c r="H173" s="2" t="inlineStr">
        <is>
          <t>retest — QP campaign</t>
        </is>
      </c>
      <c r="I173" s="3" t="inlineStr">
        <is>
          <t>J31102501</t>
        </is>
      </c>
      <c r="J173" s="2" t="inlineStr">
        <is>
          <t>P060152</t>
        </is>
      </c>
      <c r="K173" s="2" t="inlineStr">
        <is>
          <t>Jokerz 31</t>
        </is>
      </c>
      <c r="L173" s="2" t="inlineStr">
        <is>
          <t>Foreign matter</t>
        </is>
      </c>
      <c r="M173" s="2" t="inlineStr">
        <is>
          <t>iCoA_P07 · Foreign matter</t>
        </is>
      </c>
      <c r="N173" s="6" t="inlineStr">
        <is>
          <t>—</t>
        </is>
      </c>
      <c r="O173" s="2" t="inlineStr">
        <is>
          <t>197-16-K-26, (07.08.2026) [FHM-K]</t>
        </is>
      </c>
      <c r="P173" s="2" t="inlineStr">
        <is>
          <t>CoQ reissue (assigned on issue)</t>
        </is>
      </c>
      <c r="Q173" s="6" t="inlineStr">
        <is>
          <t>—</t>
        </is>
      </c>
      <c r="R173" s="2" t="inlineStr">
        <is>
          <t>P060152|FM|R</t>
        </is>
      </c>
      <c r="S173" s="8" t="inlineStr">
        <is>
          <t>not yet issuable — retest assay on file; foreign matter to test at the retest sampling</t>
        </is>
      </c>
    </row>
    <row r="174">
      <c r="A174" s="2">
        <f>IF(C174="yes",COUNT(A$1:A173)+1,"")</f>
        <v/>
      </c>
      <c r="B174" s="3">
        <f>IF(A174="","— at issue —","iCoA-PP_26-"&amp;TEXT(A174,"000"))</f>
        <v/>
      </c>
      <c r="C174" s="6" t="inlineStr">
        <is>
          <t>no</t>
        </is>
      </c>
      <c r="D174" s="5">
        <f>IF(A174="","",E174)</f>
        <v/>
      </c>
      <c r="E174" s="5">
        <f>IF(AND(C174="yes",ISNUMBER(G174)),MAX(DATE(2026,5,13),G174),"")</f>
        <v/>
      </c>
      <c r="F174" s="5">
        <f>IFERROR(INDEX('Batch Dates'!$F:$F,MATCH(J174,'Batch Dates'!$C:$C,0)),IFERROR(INDEX('Batch Dates'!$F:$F,MATCH(I174,'Batch Dates'!$B:$B,0)),""))</f>
        <v/>
      </c>
      <c r="G174" s="5">
        <f>IFERROR(INDEX('Batch Dates'!$G:$G,MATCH(J174,'Batch Dates'!$C:$C,0)),IFERROR(INDEX('Batch Dates'!$G:$G,MATCH(I174,'Batch Dates'!$B:$B,0)),""))</f>
        <v/>
      </c>
      <c r="H174" s="2" t="inlineStr">
        <is>
          <t>retest — QP campaign</t>
        </is>
      </c>
      <c r="I174" s="3" t="inlineStr">
        <is>
          <t>JD112501</t>
        </is>
      </c>
      <c r="J174" s="2" t="inlineStr">
        <is>
          <t>P060212</t>
        </is>
      </c>
      <c r="K174" s="2" t="inlineStr">
        <is>
          <t>Jelly Donutz</t>
        </is>
      </c>
      <c r="L174" s="2" t="inlineStr">
        <is>
          <t>Ident A + Ident B</t>
        </is>
      </c>
      <c r="M174" s="2" t="inlineStr">
        <is>
          <t>iCoA_P01-02 · Appearance &amp; Identification A/B</t>
        </is>
      </c>
      <c r="N174" s="6" t="inlineStr">
        <is>
          <t>—</t>
        </is>
      </c>
      <c r="O174" s="2" t="inlineStr">
        <is>
          <t>197-15-K-26, (07.08.2026) [FHM-K]</t>
        </is>
      </c>
      <c r="P174" s="2" t="inlineStr">
        <is>
          <t>CoQ reissue (assigned on issue)</t>
        </is>
      </c>
      <c r="Q174" s="6" t="inlineStr">
        <is>
          <t>—</t>
        </is>
      </c>
      <c r="R174" s="2" t="inlineStr">
        <is>
          <t>P060212|AB|R</t>
        </is>
      </c>
      <c r="S174" s="8" t="inlineStr">
        <is>
          <t>not yet issuable — retest assay on file; identification A and B to test at the retest sampling</t>
        </is>
      </c>
    </row>
    <row r="175">
      <c r="A175" s="2">
        <f>IF(C175="yes",COUNT(A$1:A174)+1,"")</f>
        <v/>
      </c>
      <c r="B175" s="3">
        <f>IF(A175="","— at issue —","iCoA-PP_26-"&amp;TEXT(A175,"000"))</f>
        <v/>
      </c>
      <c r="C175" s="6" t="inlineStr">
        <is>
          <t>no</t>
        </is>
      </c>
      <c r="D175" s="5">
        <f>IF(A175="","",E175)</f>
        <v/>
      </c>
      <c r="E175" s="5">
        <f>IF(AND(C175="yes",ISNUMBER(G175)),MAX(DATE(2026,5,13),G175),"")</f>
        <v/>
      </c>
      <c r="F175" s="5">
        <f>IFERROR(INDEX('Batch Dates'!$F:$F,MATCH(J175,'Batch Dates'!$C:$C,0)),IFERROR(INDEX('Batch Dates'!$F:$F,MATCH(I175,'Batch Dates'!$B:$B,0)),""))</f>
        <v/>
      </c>
      <c r="G175" s="5">
        <f>IFERROR(INDEX('Batch Dates'!$G:$G,MATCH(J175,'Batch Dates'!$C:$C,0)),IFERROR(INDEX('Batch Dates'!$G:$G,MATCH(I175,'Batch Dates'!$B:$B,0)),""))</f>
        <v/>
      </c>
      <c r="H175" s="2" t="inlineStr">
        <is>
          <t>retest — QP campaign</t>
        </is>
      </c>
      <c r="I175" s="3" t="inlineStr">
        <is>
          <t>JD112501</t>
        </is>
      </c>
      <c r="J175" s="2" t="inlineStr">
        <is>
          <t>P060212</t>
        </is>
      </c>
      <c r="K175" s="2" t="inlineStr">
        <is>
          <t>Jelly Donutz</t>
        </is>
      </c>
      <c r="L175" s="2" t="inlineStr">
        <is>
          <t>Foreign matter</t>
        </is>
      </c>
      <c r="M175" s="2" t="inlineStr">
        <is>
          <t>iCoA_P07 · Foreign matter</t>
        </is>
      </c>
      <c r="N175" s="6" t="inlineStr">
        <is>
          <t>—</t>
        </is>
      </c>
      <c r="O175" s="2" t="inlineStr">
        <is>
          <t>197-15-K-26, (07.08.2026) [FHM-K]</t>
        </is>
      </c>
      <c r="P175" s="2" t="inlineStr">
        <is>
          <t>CoQ reissue (assigned on issue)</t>
        </is>
      </c>
      <c r="Q175" s="6" t="inlineStr">
        <is>
          <t>—</t>
        </is>
      </c>
      <c r="R175" s="2" t="inlineStr">
        <is>
          <t>P060212|FM|R</t>
        </is>
      </c>
      <c r="S175" s="8" t="inlineStr">
        <is>
          <t>not yet issuable — retest assay on file; foreign matter to test at the retest sampling</t>
        </is>
      </c>
    </row>
    <row r="176">
      <c r="A176" s="2">
        <f>IF(C176="yes",COUNT(A$1:A175)+1,"")</f>
        <v/>
      </c>
      <c r="B176" s="3">
        <f>IF(A176="","— at issue —","iCoA-PP_26-"&amp;TEXT(A176,"000"))</f>
        <v/>
      </c>
      <c r="C176" s="6" t="inlineStr">
        <is>
          <t>no</t>
        </is>
      </c>
      <c r="D176" s="5">
        <f>IF(A176="","",E176)</f>
        <v/>
      </c>
      <c r="E176" s="5">
        <f>IF(AND(C176="yes",ISNUMBER(G176)),MAX(DATE(2026,5,13),G176),"")</f>
        <v/>
      </c>
      <c r="F176" s="5">
        <f>IFERROR(INDEX('Batch Dates'!$F:$F,MATCH(J176,'Batch Dates'!$C:$C,0)),IFERROR(INDEX('Batch Dates'!$F:$F,MATCH(I176,'Batch Dates'!$B:$B,0)),""))</f>
        <v/>
      </c>
      <c r="G176" s="5">
        <f>IFERROR(INDEX('Batch Dates'!$G:$G,MATCH(J176,'Batch Dates'!$C:$C,0)),IFERROR(INDEX('Batch Dates'!$G:$G,MATCH(I176,'Batch Dates'!$B:$B,0)),""))</f>
        <v/>
      </c>
      <c r="H176" s="2" t="inlineStr">
        <is>
          <t>retest — QP campaign</t>
        </is>
      </c>
      <c r="I176" s="3" t="inlineStr">
        <is>
          <t>OPM122501</t>
        </is>
      </c>
      <c r="J176" s="2" t="inlineStr">
        <is>
          <t>P060242</t>
        </is>
      </c>
      <c r="K176" s="2" t="inlineStr">
        <is>
          <t>Orange Punch Mimosa</t>
        </is>
      </c>
      <c r="L176" s="2" t="inlineStr">
        <is>
          <t>Ident A + Ident B</t>
        </is>
      </c>
      <c r="M176" s="2" t="inlineStr">
        <is>
          <t>iCoA_P01-02 · Appearance &amp; Identification A/B</t>
        </is>
      </c>
      <c r="N176" s="6" t="inlineStr">
        <is>
          <t>—</t>
        </is>
      </c>
      <c r="O176" s="2" t="inlineStr">
        <is>
          <t>197-19-K-26, (07.08.2026) [FHM-K]</t>
        </is>
      </c>
      <c r="P176" s="2" t="inlineStr">
        <is>
          <t>CoQ reissue (assigned on issue)</t>
        </is>
      </c>
      <c r="Q176" s="6" t="inlineStr">
        <is>
          <t>—</t>
        </is>
      </c>
      <c r="R176" s="2" t="inlineStr">
        <is>
          <t>P060242|AB|R</t>
        </is>
      </c>
      <c r="S176" s="8" t="inlineStr">
        <is>
          <t>not yet issuable — retest assay on file; identification A and B to test at the retest sampling</t>
        </is>
      </c>
    </row>
    <row r="177">
      <c r="A177" s="2">
        <f>IF(C177="yes",COUNT(A$1:A176)+1,"")</f>
        <v/>
      </c>
      <c r="B177" s="3">
        <f>IF(A177="","— at issue —","iCoA-PP_26-"&amp;TEXT(A177,"000"))</f>
        <v/>
      </c>
      <c r="C177" s="6" t="inlineStr">
        <is>
          <t>no</t>
        </is>
      </c>
      <c r="D177" s="5">
        <f>IF(A177="","",E177)</f>
        <v/>
      </c>
      <c r="E177" s="5">
        <f>IF(AND(C177="yes",ISNUMBER(G177)),MAX(DATE(2026,5,13),G177),"")</f>
        <v/>
      </c>
      <c r="F177" s="5">
        <f>IFERROR(INDEX('Batch Dates'!$F:$F,MATCH(J177,'Batch Dates'!$C:$C,0)),IFERROR(INDEX('Batch Dates'!$F:$F,MATCH(I177,'Batch Dates'!$B:$B,0)),""))</f>
        <v/>
      </c>
      <c r="G177" s="5">
        <f>IFERROR(INDEX('Batch Dates'!$G:$G,MATCH(J177,'Batch Dates'!$C:$C,0)),IFERROR(INDEX('Batch Dates'!$G:$G,MATCH(I177,'Batch Dates'!$B:$B,0)),""))</f>
        <v/>
      </c>
      <c r="H177" s="2" t="inlineStr">
        <is>
          <t>retest — QP campaign</t>
        </is>
      </c>
      <c r="I177" s="3" t="inlineStr">
        <is>
          <t>OPM122501</t>
        </is>
      </c>
      <c r="J177" s="2" t="inlineStr">
        <is>
          <t>P060242</t>
        </is>
      </c>
      <c r="K177" s="2" t="inlineStr">
        <is>
          <t>Orange Punch Mimosa</t>
        </is>
      </c>
      <c r="L177" s="2" t="inlineStr">
        <is>
          <t>Foreign matter</t>
        </is>
      </c>
      <c r="M177" s="2" t="inlineStr">
        <is>
          <t>iCoA_P07 · Foreign matter</t>
        </is>
      </c>
      <c r="N177" s="6" t="inlineStr">
        <is>
          <t>—</t>
        </is>
      </c>
      <c r="O177" s="2" t="inlineStr">
        <is>
          <t>197-19-K-26, (07.08.2026) [FHM-K]</t>
        </is>
      </c>
      <c r="P177" s="2" t="inlineStr">
        <is>
          <t>CoQ reissue (assigned on issue)</t>
        </is>
      </c>
      <c r="Q177" s="6" t="inlineStr">
        <is>
          <t>—</t>
        </is>
      </c>
      <c r="R177" s="2" t="inlineStr">
        <is>
          <t>P060242|FM|R</t>
        </is>
      </c>
      <c r="S177" s="8" t="inlineStr">
        <is>
          <t>not yet issuable — retest assay on file; foreign matter to test at the retest sampling</t>
        </is>
      </c>
    </row>
    <row r="178">
      <c r="A178" s="2">
        <f>IF(C178="yes",COUNT(A$1:A177)+1,"")</f>
        <v/>
      </c>
      <c r="B178" s="3">
        <f>IF(A178="","— at issue —","iCoA-PP_26-"&amp;TEXT(A178,"000"))</f>
        <v/>
      </c>
      <c r="C178" s="6" t="inlineStr">
        <is>
          <t>no</t>
        </is>
      </c>
      <c r="D178" s="5">
        <f>IF(A178="","",E178)</f>
        <v/>
      </c>
      <c r="E178" s="5">
        <f>IF(AND(C178="yes",ISNUMBER(G178)),MAX(DATE(2026,5,13),G178),"")</f>
        <v/>
      </c>
      <c r="F178" s="5">
        <f>IFERROR(INDEX('Batch Dates'!$F:$F,MATCH(J178,'Batch Dates'!$C:$C,0)),IFERROR(INDEX('Batch Dates'!$F:$F,MATCH(I178,'Batch Dates'!$B:$B,0)),""))</f>
        <v/>
      </c>
      <c r="G178" s="5">
        <f>IFERROR(INDEX('Batch Dates'!$G:$G,MATCH(J178,'Batch Dates'!$C:$C,0)),IFERROR(INDEX('Batch Dates'!$G:$G,MATCH(I178,'Batch Dates'!$B:$B,0)),""))</f>
        <v/>
      </c>
      <c r="H178" s="2" t="inlineStr">
        <is>
          <t>retest — QP campaign</t>
        </is>
      </c>
      <c r="I178" s="3" t="inlineStr">
        <is>
          <t>FB012602*</t>
        </is>
      </c>
      <c r="J178" s="2" t="inlineStr">
        <is>
          <t>P060352</t>
        </is>
      </c>
      <c r="K178" s="2" t="inlineStr">
        <is>
          <t>Fat Bastard</t>
        </is>
      </c>
      <c r="L178" s="2" t="inlineStr">
        <is>
          <t>Ident A + Ident B</t>
        </is>
      </c>
      <c r="M178" s="2" t="inlineStr">
        <is>
          <t>iCoA_P01-02 · Appearance &amp; Identification A/B</t>
        </is>
      </c>
      <c r="N178" s="6" t="inlineStr">
        <is>
          <t>—</t>
        </is>
      </c>
      <c r="O178" s="2" t="inlineStr">
        <is>
          <t>197-7-K-26, (07.08.2026) [FHM-K]</t>
        </is>
      </c>
      <c r="P178" s="2" t="inlineStr">
        <is>
          <t>CoQ reissue (assigned on issue)</t>
        </is>
      </c>
      <c r="Q178" s="6" t="inlineStr">
        <is>
          <t>—</t>
        </is>
      </c>
      <c r="R178" s="2" t="inlineStr">
        <is>
          <t>P060352|AB|R</t>
        </is>
      </c>
      <c r="S178" s="8" t="inlineStr">
        <is>
          <t>not yet issuable — retest assay on file; identification A and B to test at the retest sampling</t>
        </is>
      </c>
    </row>
    <row r="179">
      <c r="A179" s="2">
        <f>IF(C179="yes",COUNT(A$1:A178)+1,"")</f>
        <v/>
      </c>
      <c r="B179" s="3">
        <f>IF(A179="","— at issue —","iCoA-PP_26-"&amp;TEXT(A179,"000"))</f>
        <v/>
      </c>
      <c r="C179" s="6" t="inlineStr">
        <is>
          <t>no</t>
        </is>
      </c>
      <c r="D179" s="5">
        <f>IF(A179="","",E179)</f>
        <v/>
      </c>
      <c r="E179" s="5">
        <f>IF(AND(C179="yes",ISNUMBER(G179)),MAX(DATE(2026,5,13),G179),"")</f>
        <v/>
      </c>
      <c r="F179" s="5">
        <f>IFERROR(INDEX('Batch Dates'!$F:$F,MATCH(J179,'Batch Dates'!$C:$C,0)),IFERROR(INDEX('Batch Dates'!$F:$F,MATCH(I179,'Batch Dates'!$B:$B,0)),""))</f>
        <v/>
      </c>
      <c r="G179" s="5">
        <f>IFERROR(INDEX('Batch Dates'!$G:$G,MATCH(J179,'Batch Dates'!$C:$C,0)),IFERROR(INDEX('Batch Dates'!$G:$G,MATCH(I179,'Batch Dates'!$B:$B,0)),""))</f>
        <v/>
      </c>
      <c r="H179" s="2" t="inlineStr">
        <is>
          <t>retest — QP campaign</t>
        </is>
      </c>
      <c r="I179" s="3" t="inlineStr">
        <is>
          <t>FB012602*</t>
        </is>
      </c>
      <c r="J179" s="2" t="inlineStr">
        <is>
          <t>P060352</t>
        </is>
      </c>
      <c r="K179" s="2" t="inlineStr">
        <is>
          <t>Fat Bastard</t>
        </is>
      </c>
      <c r="L179" s="2" t="inlineStr">
        <is>
          <t>Foreign matter</t>
        </is>
      </c>
      <c r="M179" s="2" t="inlineStr">
        <is>
          <t>iCoA_P07 · Foreign matter</t>
        </is>
      </c>
      <c r="N179" s="6" t="inlineStr">
        <is>
          <t>—</t>
        </is>
      </c>
      <c r="O179" s="2" t="inlineStr">
        <is>
          <t>197-7-K-26, (07.08.2026) [FHM-K]</t>
        </is>
      </c>
      <c r="P179" s="2" t="inlineStr">
        <is>
          <t>CoQ reissue (assigned on issue)</t>
        </is>
      </c>
      <c r="Q179" s="6" t="inlineStr">
        <is>
          <t>—</t>
        </is>
      </c>
      <c r="R179" s="2" t="inlineStr">
        <is>
          <t>P060352|FM|R</t>
        </is>
      </c>
      <c r="S179" s="8" t="inlineStr">
        <is>
          <t>not yet issuable — retest assay on file; foreign matter to test at the retest sampling</t>
        </is>
      </c>
    </row>
    <row r="180">
      <c r="A180" s="2">
        <f>IF(C180="yes",COUNT(A$1:A179)+1,"")</f>
        <v/>
      </c>
      <c r="B180" s="3">
        <f>IF(A180="","— at issue —","iCoA-PP_26-"&amp;TEXT(A180,"000"))</f>
        <v/>
      </c>
      <c r="C180" s="6" t="inlineStr">
        <is>
          <t>no</t>
        </is>
      </c>
      <c r="D180" s="5">
        <f>IF(A180="","",E180)</f>
        <v/>
      </c>
      <c r="E180" s="5">
        <f>IF(AND(C180="yes",ISNUMBER(G180)),MAX(DATE(2026,5,13),G180),"")</f>
        <v/>
      </c>
      <c r="F180" s="5">
        <f>IFERROR(INDEX('Batch Dates'!$F:$F,MATCH(J180,'Batch Dates'!$C:$C,0)),IFERROR(INDEX('Batch Dates'!$F:$F,MATCH(I180,'Batch Dates'!$B:$B,0)),""))</f>
        <v/>
      </c>
      <c r="G180" s="5">
        <f>IFERROR(INDEX('Batch Dates'!$G:$G,MATCH(J180,'Batch Dates'!$C:$C,0)),IFERROR(INDEX('Batch Dates'!$G:$G,MATCH(I180,'Batch Dates'!$B:$B,0)),""))</f>
        <v/>
      </c>
      <c r="H180" s="2" t="inlineStr">
        <is>
          <t>retest — QP campaign</t>
        </is>
      </c>
      <c r="I180" s="3" t="inlineStr">
        <is>
          <t>GG012603</t>
        </is>
      </c>
      <c r="J180" s="2" t="inlineStr">
        <is>
          <t>P060402</t>
        </is>
      </c>
      <c r="K180" s="2" t="inlineStr">
        <is>
          <t>GorillaGlue</t>
        </is>
      </c>
      <c r="L180" s="2" t="inlineStr">
        <is>
          <t>Ident A + Ident B</t>
        </is>
      </c>
      <c r="M180" s="2" t="inlineStr">
        <is>
          <t>iCoA_P01-02 · Appearance &amp; Identification A/B</t>
        </is>
      </c>
      <c r="N180" s="6" t="inlineStr">
        <is>
          <t>—</t>
        </is>
      </c>
      <c r="O180" s="2" t="inlineStr">
        <is>
          <t>197-8-K-26, (07.08.2026) [FHM-K]</t>
        </is>
      </c>
      <c r="P180" s="2" t="inlineStr">
        <is>
          <t>CoQ reissue (assigned on issue)</t>
        </is>
      </c>
      <c r="Q180" s="6" t="inlineStr">
        <is>
          <t>—</t>
        </is>
      </c>
      <c r="R180" s="2" t="inlineStr">
        <is>
          <t>P060402|AB|R</t>
        </is>
      </c>
      <c r="S180" s="8" t="inlineStr">
        <is>
          <t>not yet issuable — retest assay on file; identification A and B to test at the retest sampling</t>
        </is>
      </c>
    </row>
    <row r="181">
      <c r="A181" s="2">
        <f>IF(C181="yes",COUNT(A$1:A180)+1,"")</f>
        <v/>
      </c>
      <c r="B181" s="3">
        <f>IF(A181="","— at issue —","iCoA-PP_26-"&amp;TEXT(A181,"000"))</f>
        <v/>
      </c>
      <c r="C181" s="6" t="inlineStr">
        <is>
          <t>no</t>
        </is>
      </c>
      <c r="D181" s="5">
        <f>IF(A181="","",E181)</f>
        <v/>
      </c>
      <c r="E181" s="5">
        <f>IF(AND(C181="yes",ISNUMBER(G181)),MAX(DATE(2026,5,13),G181),"")</f>
        <v/>
      </c>
      <c r="F181" s="5">
        <f>IFERROR(INDEX('Batch Dates'!$F:$F,MATCH(J181,'Batch Dates'!$C:$C,0)),IFERROR(INDEX('Batch Dates'!$F:$F,MATCH(I181,'Batch Dates'!$B:$B,0)),""))</f>
        <v/>
      </c>
      <c r="G181" s="5">
        <f>IFERROR(INDEX('Batch Dates'!$G:$G,MATCH(J181,'Batch Dates'!$C:$C,0)),IFERROR(INDEX('Batch Dates'!$G:$G,MATCH(I181,'Batch Dates'!$B:$B,0)),""))</f>
        <v/>
      </c>
      <c r="H181" s="2" t="inlineStr">
        <is>
          <t>retest — QP campaign</t>
        </is>
      </c>
      <c r="I181" s="3" t="inlineStr">
        <is>
          <t>GG012603</t>
        </is>
      </c>
      <c r="J181" s="2" t="inlineStr">
        <is>
          <t>P060402</t>
        </is>
      </c>
      <c r="K181" s="2" t="inlineStr">
        <is>
          <t>GorillaGlue</t>
        </is>
      </c>
      <c r="L181" s="2" t="inlineStr">
        <is>
          <t>Foreign matter</t>
        </is>
      </c>
      <c r="M181" s="2" t="inlineStr">
        <is>
          <t>iCoA_P07 · Foreign matter</t>
        </is>
      </c>
      <c r="N181" s="6" t="inlineStr">
        <is>
          <t>—</t>
        </is>
      </c>
      <c r="O181" s="2" t="inlineStr">
        <is>
          <t>197-8-K-26, (07.08.2026) [FHM-K]</t>
        </is>
      </c>
      <c r="P181" s="2" t="inlineStr">
        <is>
          <t>CoQ reissue (assigned on issue)</t>
        </is>
      </c>
      <c r="Q181" s="6" t="inlineStr">
        <is>
          <t>—</t>
        </is>
      </c>
      <c r="R181" s="2" t="inlineStr">
        <is>
          <t>P060402|FM|R</t>
        </is>
      </c>
      <c r="S181" s="8" t="inlineStr">
        <is>
          <t>not yet issuable — retest assay on file; foreign matter to test at the retest sampling</t>
        </is>
      </c>
    </row>
    <row r="182">
      <c r="A182" s="2">
        <f>IF(C182="yes",COUNT(A$1:A181)+1,"")</f>
        <v/>
      </c>
      <c r="B182" s="3">
        <f>IF(A182="","— at issue —","iCoA-PP_26-"&amp;TEXT(A182,"000"))</f>
        <v/>
      </c>
      <c r="C182" s="6" t="inlineStr">
        <is>
          <t>no</t>
        </is>
      </c>
      <c r="D182" s="5">
        <f>IF(A182="","",E182)</f>
        <v/>
      </c>
      <c r="E182" s="5">
        <f>IF(AND(C182="yes",ISNUMBER(G182)),MAX(DATE(2026,5,13),G182),"")</f>
        <v/>
      </c>
      <c r="F182" s="5">
        <f>IFERROR(INDEX('Batch Dates'!$F:$F,MATCH(J182,'Batch Dates'!$C:$C,0)),IFERROR(INDEX('Batch Dates'!$F:$F,MATCH(I182,'Batch Dates'!$B:$B,0)),""))</f>
        <v/>
      </c>
      <c r="G182" s="5">
        <f>IFERROR(INDEX('Batch Dates'!$G:$G,MATCH(J182,'Batch Dates'!$C:$C,0)),IFERROR(INDEX('Batch Dates'!$G:$G,MATCH(I182,'Batch Dates'!$B:$B,0)),""))</f>
        <v/>
      </c>
      <c r="H182" s="2" t="inlineStr">
        <is>
          <t>retest — QP campaign</t>
        </is>
      </c>
      <c r="I182" s="3" t="inlineStr">
        <is>
          <t>SCR012603</t>
        </is>
      </c>
      <c r="J182" s="2" t="inlineStr">
        <is>
          <t>P060382</t>
        </is>
      </c>
      <c r="K182" s="2" t="inlineStr">
        <is>
          <t>Scrambler</t>
        </is>
      </c>
      <c r="L182" s="2" t="inlineStr">
        <is>
          <t>Ident A + Ident B</t>
        </is>
      </c>
      <c r="M182" s="2" t="inlineStr">
        <is>
          <t>iCoA_P01-02 · Appearance &amp; Identification A/B</t>
        </is>
      </c>
      <c r="N182" s="6" t="inlineStr">
        <is>
          <t>—</t>
        </is>
      </c>
      <c r="O182" s="2" t="inlineStr">
        <is>
          <t>197-21-K-26, (07.08.2026) [FHM-K]</t>
        </is>
      </c>
      <c r="P182" s="2" t="inlineStr">
        <is>
          <t>CoQ reissue (assigned on issue)</t>
        </is>
      </c>
      <c r="Q182" s="6" t="inlineStr">
        <is>
          <t>—</t>
        </is>
      </c>
      <c r="R182" s="2" t="inlineStr">
        <is>
          <t>P060382|AB|R</t>
        </is>
      </c>
      <c r="S182" s="8" t="inlineStr">
        <is>
          <t>not yet issuable — retest assay on file; identification A and B to test at the retest sampling</t>
        </is>
      </c>
    </row>
    <row r="183">
      <c r="A183" s="2">
        <f>IF(C183="yes",COUNT(A$1:A182)+1,"")</f>
        <v/>
      </c>
      <c r="B183" s="3">
        <f>IF(A183="","— at issue —","iCoA-PP_26-"&amp;TEXT(A183,"000"))</f>
        <v/>
      </c>
      <c r="C183" s="6" t="inlineStr">
        <is>
          <t>no</t>
        </is>
      </c>
      <c r="D183" s="5">
        <f>IF(A183="","",E183)</f>
        <v/>
      </c>
      <c r="E183" s="5">
        <f>IF(AND(C183="yes",ISNUMBER(G183)),MAX(DATE(2026,5,13),G183),"")</f>
        <v/>
      </c>
      <c r="F183" s="5">
        <f>IFERROR(INDEX('Batch Dates'!$F:$F,MATCH(J183,'Batch Dates'!$C:$C,0)),IFERROR(INDEX('Batch Dates'!$F:$F,MATCH(I183,'Batch Dates'!$B:$B,0)),""))</f>
        <v/>
      </c>
      <c r="G183" s="5">
        <f>IFERROR(INDEX('Batch Dates'!$G:$G,MATCH(J183,'Batch Dates'!$C:$C,0)),IFERROR(INDEX('Batch Dates'!$G:$G,MATCH(I183,'Batch Dates'!$B:$B,0)),""))</f>
        <v/>
      </c>
      <c r="H183" s="2" t="inlineStr">
        <is>
          <t>retest — QP campaign</t>
        </is>
      </c>
      <c r="I183" s="3" t="inlineStr">
        <is>
          <t>SCR012603</t>
        </is>
      </c>
      <c r="J183" s="2" t="inlineStr">
        <is>
          <t>P060382</t>
        </is>
      </c>
      <c r="K183" s="2" t="inlineStr">
        <is>
          <t>Scrambler</t>
        </is>
      </c>
      <c r="L183" s="2" t="inlineStr">
        <is>
          <t>Foreign matter</t>
        </is>
      </c>
      <c r="M183" s="2" t="inlineStr">
        <is>
          <t>iCoA_P07 · Foreign matter</t>
        </is>
      </c>
      <c r="N183" s="6" t="inlineStr">
        <is>
          <t>—</t>
        </is>
      </c>
      <c r="O183" s="2" t="inlineStr">
        <is>
          <t>197-21-K-26, (07.08.2026) [FHM-K]</t>
        </is>
      </c>
      <c r="P183" s="2" t="inlineStr">
        <is>
          <t>CoQ reissue (assigned on issue)</t>
        </is>
      </c>
      <c r="Q183" s="6" t="inlineStr">
        <is>
          <t>—</t>
        </is>
      </c>
      <c r="R183" s="2" t="inlineStr">
        <is>
          <t>P060382|FM|R</t>
        </is>
      </c>
      <c r="S183" s="8" t="inlineStr">
        <is>
          <t>not yet issuable — retest assay on file; foreign matter to test at the retest sampling</t>
        </is>
      </c>
    </row>
    <row r="184">
      <c r="A184" s="2">
        <f>IF(C184="yes",COUNT(A$1:A183)+1,"")</f>
        <v/>
      </c>
      <c r="B184" s="3">
        <f>IF(A184="","— at issue —","iCoA-PP_26-"&amp;TEXT(A184,"000"))</f>
        <v/>
      </c>
      <c r="C184" s="6" t="inlineStr">
        <is>
          <t>no</t>
        </is>
      </c>
      <c r="D184" s="5">
        <f>IF(A184="","",E184)</f>
        <v/>
      </c>
      <c r="E184" s="5">
        <f>IF(AND(C184="yes",ISNUMBER(G184)),MAX(DATE(2026,5,13),G184),"")</f>
        <v/>
      </c>
      <c r="F184" s="5">
        <f>IFERROR(INDEX('Batch Dates'!$F:$F,MATCH(J184,'Batch Dates'!$C:$C,0)),IFERROR(INDEX('Batch Dates'!$F:$F,MATCH(I184,'Batch Dates'!$B:$B,0)),""))</f>
        <v/>
      </c>
      <c r="G184" s="5">
        <f>IFERROR(INDEX('Batch Dates'!$G:$G,MATCH(J184,'Batch Dates'!$C:$C,0)),IFERROR(INDEX('Batch Dates'!$G:$G,MATCH(I184,'Batch Dates'!$B:$B,0)),""))</f>
        <v/>
      </c>
      <c r="H184" s="2" t="inlineStr">
        <is>
          <t>retest — QP campaign</t>
        </is>
      </c>
      <c r="I184" s="3" t="inlineStr">
        <is>
          <t>CJ1024</t>
        </is>
      </c>
      <c r="J184" s="2" t="inlineStr">
        <is>
          <t>N/A — no P batch assigned</t>
        </is>
      </c>
      <c r="K184" s="2" t="inlineStr">
        <is>
          <t>Cap Junky</t>
        </is>
      </c>
      <c r="L184" s="2" t="inlineStr">
        <is>
          <t>Ident A + Ident B</t>
        </is>
      </c>
      <c r="M184" s="2" t="inlineStr">
        <is>
          <t>iCoA_P01-02 · Appearance &amp; Identification A/B</t>
        </is>
      </c>
      <c r="N184" s="6" t="inlineStr">
        <is>
          <t>—</t>
        </is>
      </c>
      <c r="O184" s="6" t="inlineStr">
        <is>
          <t>— retest assay not yet on file —</t>
        </is>
      </c>
      <c r="P184" s="2" t="inlineStr">
        <is>
          <t>CoQ reissue (assigned on issue)</t>
        </is>
      </c>
      <c r="Q184" s="6" t="inlineStr">
        <is>
          <t>—</t>
        </is>
      </c>
      <c r="R184" s="2" t="inlineStr">
        <is>
          <t>CJ1024|AB|R</t>
        </is>
      </c>
      <c r="S184" s="8" t="inlineStr">
        <is>
          <t>not yet issuable — retest assay not yet on file</t>
        </is>
      </c>
    </row>
    <row r="185">
      <c r="A185" s="2">
        <f>IF(C185="yes",COUNT(A$1:A184)+1,"")</f>
        <v/>
      </c>
      <c r="B185" s="3">
        <f>IF(A185="","— at issue —","iCoA-PP_26-"&amp;TEXT(A185,"000"))</f>
        <v/>
      </c>
      <c r="C185" s="6" t="inlineStr">
        <is>
          <t>no</t>
        </is>
      </c>
      <c r="D185" s="5">
        <f>IF(A185="","",E185)</f>
        <v/>
      </c>
      <c r="E185" s="5">
        <f>IF(AND(C185="yes",ISNUMBER(G185)),MAX(DATE(2026,5,13),G185),"")</f>
        <v/>
      </c>
      <c r="F185" s="5">
        <f>IFERROR(INDEX('Batch Dates'!$F:$F,MATCH(J185,'Batch Dates'!$C:$C,0)),IFERROR(INDEX('Batch Dates'!$F:$F,MATCH(I185,'Batch Dates'!$B:$B,0)),""))</f>
        <v/>
      </c>
      <c r="G185" s="5">
        <f>IFERROR(INDEX('Batch Dates'!$G:$G,MATCH(J185,'Batch Dates'!$C:$C,0)),IFERROR(INDEX('Batch Dates'!$G:$G,MATCH(I185,'Batch Dates'!$B:$B,0)),""))</f>
        <v/>
      </c>
      <c r="H185" s="2" t="inlineStr">
        <is>
          <t>retest — QP campaign</t>
        </is>
      </c>
      <c r="I185" s="3" t="inlineStr">
        <is>
          <t>CJ1024</t>
        </is>
      </c>
      <c r="J185" s="2" t="inlineStr">
        <is>
          <t>N/A — no P batch assigned</t>
        </is>
      </c>
      <c r="K185" s="2" t="inlineStr">
        <is>
          <t>Cap Junky</t>
        </is>
      </c>
      <c r="L185" s="2" t="inlineStr">
        <is>
          <t>Foreign matter</t>
        </is>
      </c>
      <c r="M185" s="2" t="inlineStr">
        <is>
          <t>iCoA_P07 · Foreign matter</t>
        </is>
      </c>
      <c r="N185" s="6" t="inlineStr">
        <is>
          <t>—</t>
        </is>
      </c>
      <c r="O185" s="6" t="inlineStr">
        <is>
          <t>— retest assay not yet on file —</t>
        </is>
      </c>
      <c r="P185" s="2" t="inlineStr">
        <is>
          <t>CoQ reissue (assigned on issue)</t>
        </is>
      </c>
      <c r="Q185" s="6" t="inlineStr">
        <is>
          <t>—</t>
        </is>
      </c>
      <c r="R185" s="2" t="inlineStr">
        <is>
          <t>CJ1024|FM|R</t>
        </is>
      </c>
      <c r="S185" s="8" t="inlineStr">
        <is>
          <t>not yet issuable — retest assay not yet on file</t>
        </is>
      </c>
    </row>
    <row r="186">
      <c r="A186" s="2">
        <f>IF(C186="yes",COUNT(A$1:A185)+1,"")</f>
        <v/>
      </c>
      <c r="B186" s="3">
        <f>IF(A186="","— at issue —","iCoA-PP_26-"&amp;TEXT(A186,"000"))</f>
        <v/>
      </c>
      <c r="C186" s="6" t="inlineStr">
        <is>
          <t>no</t>
        </is>
      </c>
      <c r="D186" s="5">
        <f>IF(A186="","",E186)</f>
        <v/>
      </c>
      <c r="E186" s="5">
        <f>IF(AND(C186="yes",ISNUMBER(G186)),MAX(DATE(2026,5,13),G186),"")</f>
        <v/>
      </c>
      <c r="F186" s="5">
        <f>IFERROR(INDEX('Batch Dates'!$F:$F,MATCH(J186,'Batch Dates'!$C:$C,0)),IFERROR(INDEX('Batch Dates'!$F:$F,MATCH(I186,'Batch Dates'!$B:$B,0)),""))</f>
        <v/>
      </c>
      <c r="G186" s="5">
        <f>IFERROR(INDEX('Batch Dates'!$G:$G,MATCH(J186,'Batch Dates'!$C:$C,0)),IFERROR(INDEX('Batch Dates'!$G:$G,MATCH(I186,'Batch Dates'!$B:$B,0)),""))</f>
        <v/>
      </c>
      <c r="H186" s="2" t="inlineStr">
        <is>
          <t>retest — QP campaign</t>
        </is>
      </c>
      <c r="I186" s="3" t="inlineStr">
        <is>
          <t>GG1024</t>
        </is>
      </c>
      <c r="J186" s="2" t="inlineStr">
        <is>
          <t>N/A — no P batch assigned</t>
        </is>
      </c>
      <c r="K186" s="2" t="inlineStr">
        <is>
          <t>Gorilla Glue</t>
        </is>
      </c>
      <c r="L186" s="2" t="inlineStr">
        <is>
          <t>Ident A + Ident B</t>
        </is>
      </c>
      <c r="M186" s="2" t="inlineStr">
        <is>
          <t>iCoA_P01-02 · Appearance &amp; Identification A/B</t>
        </is>
      </c>
      <c r="N186" s="6" t="inlineStr">
        <is>
          <t>—</t>
        </is>
      </c>
      <c r="O186" s="6" t="inlineStr">
        <is>
          <t>— retest assay not yet on file —</t>
        </is>
      </c>
      <c r="P186" s="2" t="inlineStr">
        <is>
          <t>CoQ-PP-2026-0029</t>
        </is>
      </c>
      <c r="Q186" s="6" t="inlineStr">
        <is>
          <t>—</t>
        </is>
      </c>
      <c r="R186" s="2" t="inlineStr">
        <is>
          <t>GG1024|AB|R</t>
        </is>
      </c>
      <c r="S186" s="8" t="inlineStr">
        <is>
          <t>not yet issuable — retest assay not yet on file</t>
        </is>
      </c>
    </row>
    <row r="187">
      <c r="A187" s="2">
        <f>IF(C187="yes",COUNT(A$1:A186)+1,"")</f>
        <v/>
      </c>
      <c r="B187" s="3">
        <f>IF(A187="","— at issue —","iCoA-PP_26-"&amp;TEXT(A187,"000"))</f>
        <v/>
      </c>
      <c r="C187" s="6" t="inlineStr">
        <is>
          <t>no</t>
        </is>
      </c>
      <c r="D187" s="5">
        <f>IF(A187="","",E187)</f>
        <v/>
      </c>
      <c r="E187" s="5">
        <f>IF(AND(C187="yes",ISNUMBER(G187)),MAX(DATE(2026,5,13),G187),"")</f>
        <v/>
      </c>
      <c r="F187" s="5">
        <f>IFERROR(INDEX('Batch Dates'!$F:$F,MATCH(J187,'Batch Dates'!$C:$C,0)),IFERROR(INDEX('Batch Dates'!$F:$F,MATCH(I187,'Batch Dates'!$B:$B,0)),""))</f>
        <v/>
      </c>
      <c r="G187" s="5">
        <f>IFERROR(INDEX('Batch Dates'!$G:$G,MATCH(J187,'Batch Dates'!$C:$C,0)),IFERROR(INDEX('Batch Dates'!$G:$G,MATCH(I187,'Batch Dates'!$B:$B,0)),""))</f>
        <v/>
      </c>
      <c r="H187" s="2" t="inlineStr">
        <is>
          <t>retest — QP campaign</t>
        </is>
      </c>
      <c r="I187" s="3" t="inlineStr">
        <is>
          <t>GG1024</t>
        </is>
      </c>
      <c r="J187" s="2" t="inlineStr">
        <is>
          <t>N/A — no P batch assigned</t>
        </is>
      </c>
      <c r="K187" s="2" t="inlineStr">
        <is>
          <t>Gorilla Glue</t>
        </is>
      </c>
      <c r="L187" s="2" t="inlineStr">
        <is>
          <t>Foreign matter</t>
        </is>
      </c>
      <c r="M187" s="2" t="inlineStr">
        <is>
          <t>iCoA_P07 · Foreign matter</t>
        </is>
      </c>
      <c r="N187" s="6" t="inlineStr">
        <is>
          <t>—</t>
        </is>
      </c>
      <c r="O187" s="6" t="inlineStr">
        <is>
          <t>— retest assay not yet on file —</t>
        </is>
      </c>
      <c r="P187" s="2" t="inlineStr">
        <is>
          <t>CoQ-PP-2026-0029</t>
        </is>
      </c>
      <c r="Q187" s="6" t="inlineStr">
        <is>
          <t>—</t>
        </is>
      </c>
      <c r="R187" s="2" t="inlineStr">
        <is>
          <t>GG1024|FM|R</t>
        </is>
      </c>
      <c r="S187" s="8" t="inlineStr">
        <is>
          <t>not yet issuable — retest assay not yet on file</t>
        </is>
      </c>
    </row>
    <row r="188">
      <c r="A188" s="2">
        <f>IF(C188="yes",COUNT(A$1:A187)+1,"")</f>
        <v/>
      </c>
      <c r="B188" s="3">
        <f>IF(A188="","— at issue —","iCoA-PP_26-"&amp;TEXT(A188,"000"))</f>
        <v/>
      </c>
      <c r="C188" s="6" t="inlineStr">
        <is>
          <t>no</t>
        </is>
      </c>
      <c r="D188" s="5">
        <f>IF(A188="","",E188)</f>
        <v/>
      </c>
      <c r="E188" s="5">
        <f>IF(AND(C188="yes",ISNUMBER(G188)),MAX(DATE(2026,5,13),G188),"")</f>
        <v/>
      </c>
      <c r="F188" s="5">
        <f>IFERROR(INDEX('Batch Dates'!$F:$F,MATCH(J188,'Batch Dates'!$C:$C,0)),IFERROR(INDEX('Batch Dates'!$F:$F,MATCH(I188,'Batch Dates'!$B:$B,0)),""))</f>
        <v/>
      </c>
      <c r="G188" s="5">
        <f>IFERROR(INDEX('Batch Dates'!$G:$G,MATCH(J188,'Batch Dates'!$C:$C,0)),IFERROR(INDEX('Batch Dates'!$G:$G,MATCH(I188,'Batch Dates'!$B:$B,0)),""))</f>
        <v/>
      </c>
      <c r="H188" s="2" t="inlineStr">
        <is>
          <t>retest — QP campaign</t>
        </is>
      </c>
      <c r="I188" s="3" t="inlineStr">
        <is>
          <t>GP0824_01</t>
        </is>
      </c>
      <c r="J188" s="2" t="inlineStr">
        <is>
          <t>P050102</t>
        </is>
      </c>
      <c r="K188" s="2" t="inlineStr">
        <is>
          <t>Grape Pie</t>
        </is>
      </c>
      <c r="L188" s="2" t="inlineStr">
        <is>
          <t>Ident A + Ident B</t>
        </is>
      </c>
      <c r="M188" s="2" t="inlineStr">
        <is>
          <t>iCoA_P01-02 · Appearance &amp; Identification A/B</t>
        </is>
      </c>
      <c r="N188" s="6" t="inlineStr">
        <is>
          <t>—</t>
        </is>
      </c>
      <c r="O188" s="6" t="inlineStr">
        <is>
          <t>— retest assay not yet on file —</t>
        </is>
      </c>
      <c r="P188" s="2" t="inlineStr">
        <is>
          <t>CoQ reissue (assigned on issue)</t>
        </is>
      </c>
      <c r="Q188" s="6" t="inlineStr">
        <is>
          <t>—</t>
        </is>
      </c>
      <c r="R188" s="2" t="inlineStr">
        <is>
          <t>P050102|AB|R</t>
        </is>
      </c>
      <c r="S188" s="8" t="inlineStr">
        <is>
          <t>not yet issuable — retest assay not yet on file</t>
        </is>
      </c>
    </row>
    <row r="189">
      <c r="A189" s="2">
        <f>IF(C189="yes",COUNT(A$1:A188)+1,"")</f>
        <v/>
      </c>
      <c r="B189" s="3">
        <f>IF(A189="","— at issue —","iCoA-PP_26-"&amp;TEXT(A189,"000"))</f>
        <v/>
      </c>
      <c r="C189" s="6" t="inlineStr">
        <is>
          <t>no</t>
        </is>
      </c>
      <c r="D189" s="5">
        <f>IF(A189="","",E189)</f>
        <v/>
      </c>
      <c r="E189" s="5">
        <f>IF(AND(C189="yes",ISNUMBER(G189)),MAX(DATE(2026,5,13),G189),"")</f>
        <v/>
      </c>
      <c r="F189" s="5">
        <f>IFERROR(INDEX('Batch Dates'!$F:$F,MATCH(J189,'Batch Dates'!$C:$C,0)),IFERROR(INDEX('Batch Dates'!$F:$F,MATCH(I189,'Batch Dates'!$B:$B,0)),""))</f>
        <v/>
      </c>
      <c r="G189" s="5">
        <f>IFERROR(INDEX('Batch Dates'!$G:$G,MATCH(J189,'Batch Dates'!$C:$C,0)),IFERROR(INDEX('Batch Dates'!$G:$G,MATCH(I189,'Batch Dates'!$B:$B,0)),""))</f>
        <v/>
      </c>
      <c r="H189" s="2" t="inlineStr">
        <is>
          <t>retest — QP campaign</t>
        </is>
      </c>
      <c r="I189" s="3" t="inlineStr">
        <is>
          <t>GP0824_01</t>
        </is>
      </c>
      <c r="J189" s="2" t="inlineStr">
        <is>
          <t>P050102</t>
        </is>
      </c>
      <c r="K189" s="2" t="inlineStr">
        <is>
          <t>Grape Pie</t>
        </is>
      </c>
      <c r="L189" s="2" t="inlineStr">
        <is>
          <t>Foreign matter</t>
        </is>
      </c>
      <c r="M189" s="2" t="inlineStr">
        <is>
          <t>iCoA_P07 · Foreign matter</t>
        </is>
      </c>
      <c r="N189" s="6" t="inlineStr">
        <is>
          <t>—</t>
        </is>
      </c>
      <c r="O189" s="6" t="inlineStr">
        <is>
          <t>— retest assay not yet on file —</t>
        </is>
      </c>
      <c r="P189" s="2" t="inlineStr">
        <is>
          <t>CoQ reissue (assigned on issue)</t>
        </is>
      </c>
      <c r="Q189" s="6" t="inlineStr">
        <is>
          <t>—</t>
        </is>
      </c>
      <c r="R189" s="2" t="inlineStr">
        <is>
          <t>P050102|FM|R</t>
        </is>
      </c>
      <c r="S189" s="8" t="inlineStr">
        <is>
          <t>not yet issuable — retest assay not yet on file</t>
        </is>
      </c>
    </row>
    <row r="190">
      <c r="A190" s="2">
        <f>IF(C190="yes",COUNT(A$1:A189)+1,"")</f>
        <v/>
      </c>
      <c r="B190" s="3">
        <f>IF(A190="","— at issue —","iCoA-PP_26-"&amp;TEXT(A190,"000"))</f>
        <v/>
      </c>
      <c r="C190" s="6" t="inlineStr">
        <is>
          <t>no</t>
        </is>
      </c>
      <c r="D190" s="5">
        <f>IF(A190="","",E190)</f>
        <v/>
      </c>
      <c r="E190" s="5">
        <f>IF(AND(C190="yes",ISNUMBER(G190)),MAX(DATE(2026,5,13),G190),"")</f>
        <v/>
      </c>
      <c r="F190" s="5">
        <f>IFERROR(INDEX('Batch Dates'!$F:$F,MATCH(J190,'Batch Dates'!$C:$C,0)),IFERROR(INDEX('Batch Dates'!$F:$F,MATCH(I190,'Batch Dates'!$B:$B,0)),""))</f>
        <v/>
      </c>
      <c r="G190" s="5">
        <f>IFERROR(INDEX('Batch Dates'!$G:$G,MATCH(J190,'Batch Dates'!$C:$C,0)),IFERROR(INDEX('Batch Dates'!$G:$G,MATCH(I190,'Batch Dates'!$B:$B,0)),""))</f>
        <v/>
      </c>
      <c r="H190" s="2" t="inlineStr">
        <is>
          <t>retest — QP campaign</t>
        </is>
      </c>
      <c r="I190" s="3" t="inlineStr">
        <is>
          <t>MB0824_04</t>
        </is>
      </c>
      <c r="J190" s="2" t="inlineStr">
        <is>
          <t>P050032</t>
        </is>
      </c>
      <c r="K190" s="2" t="inlineStr">
        <is>
          <t>Motor Breath</t>
        </is>
      </c>
      <c r="L190" s="2" t="inlineStr">
        <is>
          <t>Ident A + Ident B</t>
        </is>
      </c>
      <c r="M190" s="2" t="inlineStr">
        <is>
          <t>iCoA_P01-02 · Appearance &amp; Identification A/B</t>
        </is>
      </c>
      <c r="N190" s="6" t="inlineStr">
        <is>
          <t>—</t>
        </is>
      </c>
      <c r="O190" s="6" t="inlineStr">
        <is>
          <t>— retest assay not yet on file —</t>
        </is>
      </c>
      <c r="P190" s="2" t="inlineStr">
        <is>
          <t>CoQ reissue (assigned on issue)</t>
        </is>
      </c>
      <c r="Q190" s="6" t="inlineStr">
        <is>
          <t>—</t>
        </is>
      </c>
      <c r="R190" s="2" t="inlineStr">
        <is>
          <t>P050032|AB|R</t>
        </is>
      </c>
      <c r="S190" s="8" t="inlineStr">
        <is>
          <t>not yet issuable — retest assay not yet on file</t>
        </is>
      </c>
    </row>
    <row r="191">
      <c r="A191" s="2">
        <f>IF(C191="yes",COUNT(A$1:A190)+1,"")</f>
        <v/>
      </c>
      <c r="B191" s="3">
        <f>IF(A191="","— at issue —","iCoA-PP_26-"&amp;TEXT(A191,"000"))</f>
        <v/>
      </c>
      <c r="C191" s="6" t="inlineStr">
        <is>
          <t>no</t>
        </is>
      </c>
      <c r="D191" s="5">
        <f>IF(A191="","",E191)</f>
        <v/>
      </c>
      <c r="E191" s="5">
        <f>IF(AND(C191="yes",ISNUMBER(G191)),MAX(DATE(2026,5,13),G191),"")</f>
        <v/>
      </c>
      <c r="F191" s="5">
        <f>IFERROR(INDEX('Batch Dates'!$F:$F,MATCH(J191,'Batch Dates'!$C:$C,0)),IFERROR(INDEX('Batch Dates'!$F:$F,MATCH(I191,'Batch Dates'!$B:$B,0)),""))</f>
        <v/>
      </c>
      <c r="G191" s="5">
        <f>IFERROR(INDEX('Batch Dates'!$G:$G,MATCH(J191,'Batch Dates'!$C:$C,0)),IFERROR(INDEX('Batch Dates'!$G:$G,MATCH(I191,'Batch Dates'!$B:$B,0)),""))</f>
        <v/>
      </c>
      <c r="H191" s="2" t="inlineStr">
        <is>
          <t>retest — QP campaign</t>
        </is>
      </c>
      <c r="I191" s="3" t="inlineStr">
        <is>
          <t>MB0824_04</t>
        </is>
      </c>
      <c r="J191" s="2" t="inlineStr">
        <is>
          <t>P050032</t>
        </is>
      </c>
      <c r="K191" s="2" t="inlineStr">
        <is>
          <t>Motor Breath</t>
        </is>
      </c>
      <c r="L191" s="2" t="inlineStr">
        <is>
          <t>Foreign matter</t>
        </is>
      </c>
      <c r="M191" s="2" t="inlineStr">
        <is>
          <t>iCoA_P07 · Foreign matter</t>
        </is>
      </c>
      <c r="N191" s="6" t="inlineStr">
        <is>
          <t>—</t>
        </is>
      </c>
      <c r="O191" s="6" t="inlineStr">
        <is>
          <t>— retest assay not yet on file —</t>
        </is>
      </c>
      <c r="P191" s="2" t="inlineStr">
        <is>
          <t>CoQ reissue (assigned on issue)</t>
        </is>
      </c>
      <c r="Q191" s="6" t="inlineStr">
        <is>
          <t>—</t>
        </is>
      </c>
      <c r="R191" s="2" t="inlineStr">
        <is>
          <t>P050032|FM|R</t>
        </is>
      </c>
      <c r="S191" s="8" t="inlineStr">
        <is>
          <t>not yet issuable — retest assay not yet on file</t>
        </is>
      </c>
    </row>
    <row r="192">
      <c r="A192" s="2">
        <f>IF(C192="yes",COUNT(A$1:A191)+1,"")</f>
        <v/>
      </c>
      <c r="B192" s="3">
        <f>IF(A192="","— at issue —","iCoA-PP_26-"&amp;TEXT(A192,"000"))</f>
        <v/>
      </c>
      <c r="C192" s="6" t="inlineStr">
        <is>
          <t>no</t>
        </is>
      </c>
      <c r="D192" s="5">
        <f>IF(A192="","",E192)</f>
        <v/>
      </c>
      <c r="E192" s="5">
        <f>IF(AND(C192="yes",ISNUMBER(G192)),MAX(DATE(2026,5,13),G192),"")</f>
        <v/>
      </c>
      <c r="F192" s="5">
        <f>IFERROR(INDEX('Batch Dates'!$F:$F,MATCH(J192,'Batch Dates'!$C:$C,0)),IFERROR(INDEX('Batch Dates'!$F:$F,MATCH(I192,'Batch Dates'!$B:$B,0)),""))</f>
        <v/>
      </c>
      <c r="G192" s="5">
        <f>IFERROR(INDEX('Batch Dates'!$G:$G,MATCH(J192,'Batch Dates'!$C:$C,0)),IFERROR(INDEX('Batch Dates'!$G:$G,MATCH(I192,'Batch Dates'!$B:$B,0)),""))</f>
        <v/>
      </c>
      <c r="H192" s="2" t="inlineStr">
        <is>
          <t>retest — QP campaign</t>
        </is>
      </c>
      <c r="I192" s="3" t="inlineStr">
        <is>
          <t>GG1024_02</t>
        </is>
      </c>
      <c r="J192" s="2" t="inlineStr">
        <is>
          <t>P050012</t>
        </is>
      </c>
      <c r="K192" s="2" t="inlineStr">
        <is>
          <t>Gorilla Glue</t>
        </is>
      </c>
      <c r="L192" s="2" t="inlineStr">
        <is>
          <t>Ident A + Ident B</t>
        </is>
      </c>
      <c r="M192" s="2" t="inlineStr">
        <is>
          <t>iCoA_P01-02 · Appearance &amp; Identification A/B</t>
        </is>
      </c>
      <c r="N192" s="6" t="inlineStr">
        <is>
          <t>—</t>
        </is>
      </c>
      <c r="O192" s="6" t="inlineStr">
        <is>
          <t>— retest assay not yet on file —</t>
        </is>
      </c>
      <c r="P192" s="2" t="inlineStr">
        <is>
          <t>CoQ reissue (assigned on issue)</t>
        </is>
      </c>
      <c r="Q192" s="6" t="inlineStr">
        <is>
          <t>—</t>
        </is>
      </c>
      <c r="R192" s="2" t="inlineStr">
        <is>
          <t>P050012|AB|R</t>
        </is>
      </c>
      <c r="S192" s="8" t="inlineStr">
        <is>
          <t>not yet issuable — retest assay not yet on file</t>
        </is>
      </c>
    </row>
    <row r="193">
      <c r="A193" s="2">
        <f>IF(C193="yes",COUNT(A$1:A192)+1,"")</f>
        <v/>
      </c>
      <c r="B193" s="3">
        <f>IF(A193="","— at issue —","iCoA-PP_26-"&amp;TEXT(A193,"000"))</f>
        <v/>
      </c>
      <c r="C193" s="6" t="inlineStr">
        <is>
          <t>no</t>
        </is>
      </c>
      <c r="D193" s="5">
        <f>IF(A193="","",E193)</f>
        <v/>
      </c>
      <c r="E193" s="5">
        <f>IF(AND(C193="yes",ISNUMBER(G193)),MAX(DATE(2026,5,13),G193),"")</f>
        <v/>
      </c>
      <c r="F193" s="5">
        <f>IFERROR(INDEX('Batch Dates'!$F:$F,MATCH(J193,'Batch Dates'!$C:$C,0)),IFERROR(INDEX('Batch Dates'!$F:$F,MATCH(I193,'Batch Dates'!$B:$B,0)),""))</f>
        <v/>
      </c>
      <c r="G193" s="5">
        <f>IFERROR(INDEX('Batch Dates'!$G:$G,MATCH(J193,'Batch Dates'!$C:$C,0)),IFERROR(INDEX('Batch Dates'!$G:$G,MATCH(I193,'Batch Dates'!$B:$B,0)),""))</f>
        <v/>
      </c>
      <c r="H193" s="2" t="inlineStr">
        <is>
          <t>retest — QP campaign</t>
        </is>
      </c>
      <c r="I193" s="3" t="inlineStr">
        <is>
          <t>GG1024_02</t>
        </is>
      </c>
      <c r="J193" s="2" t="inlineStr">
        <is>
          <t>P050012</t>
        </is>
      </c>
      <c r="K193" s="2" t="inlineStr">
        <is>
          <t>Gorilla Glue</t>
        </is>
      </c>
      <c r="L193" s="2" t="inlineStr">
        <is>
          <t>Foreign matter</t>
        </is>
      </c>
      <c r="M193" s="2" t="inlineStr">
        <is>
          <t>iCoA_P07 · Foreign matter</t>
        </is>
      </c>
      <c r="N193" s="6" t="inlineStr">
        <is>
          <t>—</t>
        </is>
      </c>
      <c r="O193" s="6" t="inlineStr">
        <is>
          <t>— retest assay not yet on file —</t>
        </is>
      </c>
      <c r="P193" s="2" t="inlineStr">
        <is>
          <t>CoQ reissue (assigned on issue)</t>
        </is>
      </c>
      <c r="Q193" s="6" t="inlineStr">
        <is>
          <t>—</t>
        </is>
      </c>
      <c r="R193" s="2" t="inlineStr">
        <is>
          <t>P050012|FM|R</t>
        </is>
      </c>
      <c r="S193" s="8" t="inlineStr">
        <is>
          <t>not yet issuable — retest assay not yet on file</t>
        </is>
      </c>
    </row>
    <row r="194">
      <c r="A194" s="2">
        <f>IF(C194="yes",COUNT(A$1:A193)+1,"")</f>
        <v/>
      </c>
      <c r="B194" s="3">
        <f>IF(A194="","— at issue —","iCoA-PP_26-"&amp;TEXT(A194,"000"))</f>
        <v/>
      </c>
      <c r="C194" s="6" t="inlineStr">
        <is>
          <t>no</t>
        </is>
      </c>
      <c r="D194" s="5">
        <f>IF(A194="","",E194)</f>
        <v/>
      </c>
      <c r="E194" s="5">
        <f>IF(AND(C194="yes",ISNUMBER(G194)),MAX(DATE(2026,5,13),G194),"")</f>
        <v/>
      </c>
      <c r="F194" s="5">
        <f>IFERROR(INDEX('Batch Dates'!$F:$F,MATCH(J194,'Batch Dates'!$C:$C,0)),IFERROR(INDEX('Batch Dates'!$F:$F,MATCH(I194,'Batch Dates'!$B:$B,0)),""))</f>
        <v/>
      </c>
      <c r="G194" s="5">
        <f>IFERROR(INDEX('Batch Dates'!$G:$G,MATCH(J194,'Batch Dates'!$C:$C,0)),IFERROR(INDEX('Batch Dates'!$G:$G,MATCH(I194,'Batch Dates'!$B:$B,0)),""))</f>
        <v/>
      </c>
      <c r="H194" s="2" t="inlineStr">
        <is>
          <t>retest — QP campaign</t>
        </is>
      </c>
      <c r="I194" s="3" t="inlineStr">
        <is>
          <t>OMP1024_01</t>
        </is>
      </c>
      <c r="J194" s="2" t="inlineStr">
        <is>
          <t>P050042</t>
        </is>
      </c>
      <c r="K194" s="2" t="inlineStr">
        <is>
          <t>Orange Punch Mimosa</t>
        </is>
      </c>
      <c r="L194" s="2" t="inlineStr">
        <is>
          <t>Ident A + Ident B</t>
        </is>
      </c>
      <c r="M194" s="2" t="inlineStr">
        <is>
          <t>iCoA_P01-02 · Appearance &amp; Identification A/B</t>
        </is>
      </c>
      <c r="N194" s="6" t="inlineStr">
        <is>
          <t>—</t>
        </is>
      </c>
      <c r="O194" s="6" t="inlineStr">
        <is>
          <t>— retest assay not yet on file —</t>
        </is>
      </c>
      <c r="P194" s="2" t="inlineStr">
        <is>
          <t>CoQ-PP-2026-0033</t>
        </is>
      </c>
      <c r="Q194" s="6" t="inlineStr">
        <is>
          <t>—</t>
        </is>
      </c>
      <c r="R194" s="2" t="inlineStr">
        <is>
          <t>P050042|AB|R</t>
        </is>
      </c>
      <c r="S194" s="8" t="inlineStr">
        <is>
          <t>not yet issuable — retest assay not yet on file</t>
        </is>
      </c>
    </row>
    <row r="195">
      <c r="A195" s="2">
        <f>IF(C195="yes",COUNT(A$1:A194)+1,"")</f>
        <v/>
      </c>
      <c r="B195" s="3">
        <f>IF(A195="","— at issue —","iCoA-PP_26-"&amp;TEXT(A195,"000"))</f>
        <v/>
      </c>
      <c r="C195" s="6" t="inlineStr">
        <is>
          <t>no</t>
        </is>
      </c>
      <c r="D195" s="5">
        <f>IF(A195="","",E195)</f>
        <v/>
      </c>
      <c r="E195" s="5">
        <f>IF(AND(C195="yes",ISNUMBER(G195)),MAX(DATE(2026,5,13),G195),"")</f>
        <v/>
      </c>
      <c r="F195" s="5">
        <f>IFERROR(INDEX('Batch Dates'!$F:$F,MATCH(J195,'Batch Dates'!$C:$C,0)),IFERROR(INDEX('Batch Dates'!$F:$F,MATCH(I195,'Batch Dates'!$B:$B,0)),""))</f>
        <v/>
      </c>
      <c r="G195" s="5">
        <f>IFERROR(INDEX('Batch Dates'!$G:$G,MATCH(J195,'Batch Dates'!$C:$C,0)),IFERROR(INDEX('Batch Dates'!$G:$G,MATCH(I195,'Batch Dates'!$B:$B,0)),""))</f>
        <v/>
      </c>
      <c r="H195" s="2" t="inlineStr">
        <is>
          <t>retest — QP campaign</t>
        </is>
      </c>
      <c r="I195" s="3" t="inlineStr">
        <is>
          <t>OMP1024_01</t>
        </is>
      </c>
      <c r="J195" s="2" t="inlineStr">
        <is>
          <t>P050042</t>
        </is>
      </c>
      <c r="K195" s="2" t="inlineStr">
        <is>
          <t>Orange Punch Mimosa</t>
        </is>
      </c>
      <c r="L195" s="2" t="inlineStr">
        <is>
          <t>Foreign matter</t>
        </is>
      </c>
      <c r="M195" s="2" t="inlineStr">
        <is>
          <t>iCoA_P07 · Foreign matter</t>
        </is>
      </c>
      <c r="N195" s="6" t="inlineStr">
        <is>
          <t>—</t>
        </is>
      </c>
      <c r="O195" s="6" t="inlineStr">
        <is>
          <t>— retest assay not yet on file —</t>
        </is>
      </c>
      <c r="P195" s="2" t="inlineStr">
        <is>
          <t>CoQ-PP-2026-0033</t>
        </is>
      </c>
      <c r="Q195" s="6" t="inlineStr">
        <is>
          <t>—</t>
        </is>
      </c>
      <c r="R195" s="2" t="inlineStr">
        <is>
          <t>P050042|FM|R</t>
        </is>
      </c>
      <c r="S195" s="8" t="inlineStr">
        <is>
          <t>not yet issuable — retest assay not yet on file</t>
        </is>
      </c>
    </row>
    <row r="196">
      <c r="A196" s="2">
        <f>IF(C196="yes",COUNT(A$1:A195)+1,"")</f>
        <v/>
      </c>
      <c r="B196" s="3">
        <f>IF(A196="","— at issue —","iCoA-PP_26-"&amp;TEXT(A196,"000"))</f>
        <v/>
      </c>
      <c r="C196" s="6" t="inlineStr">
        <is>
          <t>no</t>
        </is>
      </c>
      <c r="D196" s="5">
        <f>IF(A196="","",E196)</f>
        <v/>
      </c>
      <c r="E196" s="5">
        <f>IF(AND(C196="yes",ISNUMBER(G196)),MAX(DATE(2026,5,13),G196),"")</f>
        <v/>
      </c>
      <c r="F196" s="5">
        <f>IFERROR(INDEX('Batch Dates'!$F:$F,MATCH(J196,'Batch Dates'!$C:$C,0)),IFERROR(INDEX('Batch Dates'!$F:$F,MATCH(I196,'Batch Dates'!$B:$B,0)),""))</f>
        <v/>
      </c>
      <c r="G196" s="5">
        <f>IFERROR(INDEX('Batch Dates'!$G:$G,MATCH(J196,'Batch Dates'!$C:$C,0)),IFERROR(INDEX('Batch Dates'!$G:$G,MATCH(I196,'Batch Dates'!$B:$B,0)),""))</f>
        <v/>
      </c>
      <c r="H196" s="2" t="inlineStr">
        <is>
          <t>retest — QP campaign</t>
        </is>
      </c>
      <c r="I196" s="3" t="inlineStr">
        <is>
          <t>OPM1024_03</t>
        </is>
      </c>
      <c r="J196" s="2" t="inlineStr">
        <is>
          <t>P050082</t>
        </is>
      </c>
      <c r="K196" s="2" t="inlineStr">
        <is>
          <t>Orange Punch Mimosa</t>
        </is>
      </c>
      <c r="L196" s="2" t="inlineStr">
        <is>
          <t>Ident A + Ident B</t>
        </is>
      </c>
      <c r="M196" s="2" t="inlineStr">
        <is>
          <t>iCoA_P01-02 · Appearance &amp; Identification A/B</t>
        </is>
      </c>
      <c r="N196" s="6" t="inlineStr">
        <is>
          <t>—</t>
        </is>
      </c>
      <c r="O196" s="6" t="inlineStr">
        <is>
          <t>— retest assay not yet on file —</t>
        </is>
      </c>
      <c r="P196" s="2" t="inlineStr">
        <is>
          <t>CoQ-PP-2026-0037</t>
        </is>
      </c>
      <c r="Q196" s="6" t="inlineStr">
        <is>
          <t>—</t>
        </is>
      </c>
      <c r="R196" s="2" t="inlineStr">
        <is>
          <t>P050082|AB|R</t>
        </is>
      </c>
      <c r="S196" s="8" t="inlineStr">
        <is>
          <t>not yet issuable — retest assay not yet on file</t>
        </is>
      </c>
    </row>
    <row r="197">
      <c r="A197" s="2">
        <f>IF(C197="yes",COUNT(A$1:A196)+1,"")</f>
        <v/>
      </c>
      <c r="B197" s="3">
        <f>IF(A197="","— at issue —","iCoA-PP_26-"&amp;TEXT(A197,"000"))</f>
        <v/>
      </c>
      <c r="C197" s="6" t="inlineStr">
        <is>
          <t>no</t>
        </is>
      </c>
      <c r="D197" s="5">
        <f>IF(A197="","",E197)</f>
        <v/>
      </c>
      <c r="E197" s="5">
        <f>IF(AND(C197="yes",ISNUMBER(G197)),MAX(DATE(2026,5,13),G197),"")</f>
        <v/>
      </c>
      <c r="F197" s="5">
        <f>IFERROR(INDEX('Batch Dates'!$F:$F,MATCH(J197,'Batch Dates'!$C:$C,0)),IFERROR(INDEX('Batch Dates'!$F:$F,MATCH(I197,'Batch Dates'!$B:$B,0)),""))</f>
        <v/>
      </c>
      <c r="G197" s="5">
        <f>IFERROR(INDEX('Batch Dates'!$G:$G,MATCH(J197,'Batch Dates'!$C:$C,0)),IFERROR(INDEX('Batch Dates'!$G:$G,MATCH(I197,'Batch Dates'!$B:$B,0)),""))</f>
        <v/>
      </c>
      <c r="H197" s="2" t="inlineStr">
        <is>
          <t>retest — QP campaign</t>
        </is>
      </c>
      <c r="I197" s="3" t="inlineStr">
        <is>
          <t>OPM1024_03</t>
        </is>
      </c>
      <c r="J197" s="2" t="inlineStr">
        <is>
          <t>P050082</t>
        </is>
      </c>
      <c r="K197" s="2" t="inlineStr">
        <is>
          <t>Orange Punch Mimosa</t>
        </is>
      </c>
      <c r="L197" s="2" t="inlineStr">
        <is>
          <t>Foreign matter</t>
        </is>
      </c>
      <c r="M197" s="2" t="inlineStr">
        <is>
          <t>iCoA_P07 · Foreign matter</t>
        </is>
      </c>
      <c r="N197" s="6" t="inlineStr">
        <is>
          <t>—</t>
        </is>
      </c>
      <c r="O197" s="6" t="inlineStr">
        <is>
          <t>— retest assay not yet on file —</t>
        </is>
      </c>
      <c r="P197" s="2" t="inlineStr">
        <is>
          <t>CoQ-PP-2026-0037</t>
        </is>
      </c>
      <c r="Q197" s="6" t="inlineStr">
        <is>
          <t>—</t>
        </is>
      </c>
      <c r="R197" s="2" t="inlineStr">
        <is>
          <t>P050082|FM|R</t>
        </is>
      </c>
      <c r="S197" s="8" t="inlineStr">
        <is>
          <t>not yet issuable — retest assay not yet on file</t>
        </is>
      </c>
    </row>
    <row r="198">
      <c r="A198" s="2">
        <f>IF(C198="yes",COUNT(A$1:A197)+1,"")</f>
        <v/>
      </c>
      <c r="B198" s="3">
        <f>IF(A198="","— at issue —","iCoA-PP_26-"&amp;TEXT(A198,"000"))</f>
        <v/>
      </c>
      <c r="C198" s="6" t="inlineStr">
        <is>
          <t>no</t>
        </is>
      </c>
      <c r="D198" s="5">
        <f>IF(A198="","",E198)</f>
        <v/>
      </c>
      <c r="E198" s="5">
        <f>IF(AND(C198="yes",ISNUMBER(G198)),MAX(DATE(2026,5,13),G198),"")</f>
        <v/>
      </c>
      <c r="F198" s="5">
        <f>IFERROR(INDEX('Batch Dates'!$F:$F,MATCH(J198,'Batch Dates'!$C:$C,0)),IFERROR(INDEX('Batch Dates'!$F:$F,MATCH(I198,'Batch Dates'!$B:$B,0)),""))</f>
        <v/>
      </c>
      <c r="G198" s="5">
        <f>IFERROR(INDEX('Batch Dates'!$G:$G,MATCH(J198,'Batch Dates'!$C:$C,0)),IFERROR(INDEX('Batch Dates'!$G:$G,MATCH(I198,'Batch Dates'!$B:$B,0)),""))</f>
        <v/>
      </c>
      <c r="H198" s="2" t="inlineStr">
        <is>
          <t>retest — QP campaign</t>
        </is>
      </c>
      <c r="I198" s="3" t="inlineStr">
        <is>
          <t>MB0824_05</t>
        </is>
      </c>
      <c r="J198" s="2" t="inlineStr">
        <is>
          <t>P050112</t>
        </is>
      </c>
      <c r="K198" s="2" t="inlineStr">
        <is>
          <t>Motor Breath</t>
        </is>
      </c>
      <c r="L198" s="2" t="inlineStr">
        <is>
          <t>Ident A + Ident B</t>
        </is>
      </c>
      <c r="M198" s="2" t="inlineStr">
        <is>
          <t>iCoA_P01-02 · Appearance &amp; Identification A/B</t>
        </is>
      </c>
      <c r="N198" s="6" t="inlineStr">
        <is>
          <t>—</t>
        </is>
      </c>
      <c r="O198" s="6" t="inlineStr">
        <is>
          <t>— retest assay not yet on file —</t>
        </is>
      </c>
      <c r="P198" s="2" t="inlineStr">
        <is>
          <t>CoQ-PP-2026-0039</t>
        </is>
      </c>
      <c r="Q198" s="6" t="inlineStr">
        <is>
          <t>—</t>
        </is>
      </c>
      <c r="R198" s="2" t="inlineStr">
        <is>
          <t>P050112|AB|R</t>
        </is>
      </c>
      <c r="S198" s="8" t="inlineStr">
        <is>
          <t>not yet issuable — retest assay not yet on file</t>
        </is>
      </c>
    </row>
    <row r="199">
      <c r="A199" s="2">
        <f>IF(C199="yes",COUNT(A$1:A198)+1,"")</f>
        <v/>
      </c>
      <c r="B199" s="3">
        <f>IF(A199="","— at issue —","iCoA-PP_26-"&amp;TEXT(A199,"000"))</f>
        <v/>
      </c>
      <c r="C199" s="6" t="inlineStr">
        <is>
          <t>no</t>
        </is>
      </c>
      <c r="D199" s="5">
        <f>IF(A199="","",E199)</f>
        <v/>
      </c>
      <c r="E199" s="5">
        <f>IF(AND(C199="yes",ISNUMBER(G199)),MAX(DATE(2026,5,13),G199),"")</f>
        <v/>
      </c>
      <c r="F199" s="5">
        <f>IFERROR(INDEX('Batch Dates'!$F:$F,MATCH(J199,'Batch Dates'!$C:$C,0)),IFERROR(INDEX('Batch Dates'!$F:$F,MATCH(I199,'Batch Dates'!$B:$B,0)),""))</f>
        <v/>
      </c>
      <c r="G199" s="5">
        <f>IFERROR(INDEX('Batch Dates'!$G:$G,MATCH(J199,'Batch Dates'!$C:$C,0)),IFERROR(INDEX('Batch Dates'!$G:$G,MATCH(I199,'Batch Dates'!$B:$B,0)),""))</f>
        <v/>
      </c>
      <c r="H199" s="2" t="inlineStr">
        <is>
          <t>retest — QP campaign</t>
        </is>
      </c>
      <c r="I199" s="3" t="inlineStr">
        <is>
          <t>MB0824_05</t>
        </is>
      </c>
      <c r="J199" s="2" t="inlineStr">
        <is>
          <t>P050112</t>
        </is>
      </c>
      <c r="K199" s="2" t="inlineStr">
        <is>
          <t>Motor Breath</t>
        </is>
      </c>
      <c r="L199" s="2" t="inlineStr">
        <is>
          <t>Foreign matter</t>
        </is>
      </c>
      <c r="M199" s="2" t="inlineStr">
        <is>
          <t>iCoA_P07 · Foreign matter</t>
        </is>
      </c>
      <c r="N199" s="6" t="inlineStr">
        <is>
          <t>—</t>
        </is>
      </c>
      <c r="O199" s="6" t="inlineStr">
        <is>
          <t>— retest assay not yet on file —</t>
        </is>
      </c>
      <c r="P199" s="2" t="inlineStr">
        <is>
          <t>CoQ-PP-2026-0039</t>
        </is>
      </c>
      <c r="Q199" s="6" t="inlineStr">
        <is>
          <t>—</t>
        </is>
      </c>
      <c r="R199" s="2" t="inlineStr">
        <is>
          <t>P050112|FM|R</t>
        </is>
      </c>
      <c r="S199" s="8" t="inlineStr">
        <is>
          <t>not yet issuable — retest assay not yet on file</t>
        </is>
      </c>
    </row>
    <row r="200">
      <c r="A200" s="2">
        <f>IF(C200="yes",COUNT(A$1:A199)+1,"")</f>
        <v/>
      </c>
      <c r="B200" s="3">
        <f>IF(A200="","— at issue —","iCoA-PP_26-"&amp;TEXT(A200,"000"))</f>
        <v/>
      </c>
      <c r="C200" s="6" t="inlineStr">
        <is>
          <t>no</t>
        </is>
      </c>
      <c r="D200" s="5">
        <f>IF(A200="","",E200)</f>
        <v/>
      </c>
      <c r="E200" s="5">
        <f>IF(AND(C200="yes",ISNUMBER(G200)),MAX(DATE(2026,5,13),G200),"")</f>
        <v/>
      </c>
      <c r="F200" s="5">
        <f>IFERROR(INDEX('Batch Dates'!$F:$F,MATCH(J200,'Batch Dates'!$C:$C,0)),IFERROR(INDEX('Batch Dates'!$F:$F,MATCH(I200,'Batch Dates'!$B:$B,0)),""))</f>
        <v/>
      </c>
      <c r="G200" s="5">
        <f>IFERROR(INDEX('Batch Dates'!$G:$G,MATCH(J200,'Batch Dates'!$C:$C,0)),IFERROR(INDEX('Batch Dates'!$G:$G,MATCH(I200,'Batch Dates'!$B:$B,0)),""))</f>
        <v/>
      </c>
      <c r="H200" s="2" t="inlineStr">
        <is>
          <t>retest — QP campaign</t>
        </is>
      </c>
      <c r="I200" s="3" t="inlineStr">
        <is>
          <t>OPM052501</t>
        </is>
      </c>
      <c r="J200" s="2" t="inlineStr">
        <is>
          <t>P050132</t>
        </is>
      </c>
      <c r="K200" s="2" t="inlineStr">
        <is>
          <t>Orange Punch Mimosa</t>
        </is>
      </c>
      <c r="L200" s="2" t="inlineStr">
        <is>
          <t>Ident A + Ident B</t>
        </is>
      </c>
      <c r="M200" s="2" t="inlineStr">
        <is>
          <t>iCoA_P01-02 · Appearance &amp; Identification A/B</t>
        </is>
      </c>
      <c r="N200" s="6" t="inlineStr">
        <is>
          <t>—</t>
        </is>
      </c>
      <c r="O200" s="6" t="inlineStr">
        <is>
          <t>— retest assay not yet on file —</t>
        </is>
      </c>
      <c r="P200" s="2" t="inlineStr">
        <is>
          <t>CoQ reissue (assigned on issue)</t>
        </is>
      </c>
      <c r="Q200" s="6" t="inlineStr">
        <is>
          <t>—</t>
        </is>
      </c>
      <c r="R200" s="2" t="inlineStr">
        <is>
          <t>P050132|AB|R</t>
        </is>
      </c>
      <c r="S200" s="8" t="inlineStr">
        <is>
          <t>not yet issuable — retest assay not yet on file</t>
        </is>
      </c>
    </row>
    <row r="201">
      <c r="A201" s="2">
        <f>IF(C201="yes",COUNT(A$1:A200)+1,"")</f>
        <v/>
      </c>
      <c r="B201" s="3">
        <f>IF(A201="","— at issue —","iCoA-PP_26-"&amp;TEXT(A201,"000"))</f>
        <v/>
      </c>
      <c r="C201" s="6" t="inlineStr">
        <is>
          <t>no</t>
        </is>
      </c>
      <c r="D201" s="5">
        <f>IF(A201="","",E201)</f>
        <v/>
      </c>
      <c r="E201" s="5">
        <f>IF(AND(C201="yes",ISNUMBER(G201)),MAX(DATE(2026,5,13),G201),"")</f>
        <v/>
      </c>
      <c r="F201" s="5">
        <f>IFERROR(INDEX('Batch Dates'!$F:$F,MATCH(J201,'Batch Dates'!$C:$C,0)),IFERROR(INDEX('Batch Dates'!$F:$F,MATCH(I201,'Batch Dates'!$B:$B,0)),""))</f>
        <v/>
      </c>
      <c r="G201" s="5">
        <f>IFERROR(INDEX('Batch Dates'!$G:$G,MATCH(J201,'Batch Dates'!$C:$C,0)),IFERROR(INDEX('Batch Dates'!$G:$G,MATCH(I201,'Batch Dates'!$B:$B,0)),""))</f>
        <v/>
      </c>
      <c r="H201" s="2" t="inlineStr">
        <is>
          <t>retest — QP campaign</t>
        </is>
      </c>
      <c r="I201" s="3" t="inlineStr">
        <is>
          <t>OPM052501</t>
        </is>
      </c>
      <c r="J201" s="2" t="inlineStr">
        <is>
          <t>P050132</t>
        </is>
      </c>
      <c r="K201" s="2" t="inlineStr">
        <is>
          <t>Orange Punch Mimosa</t>
        </is>
      </c>
      <c r="L201" s="2" t="inlineStr">
        <is>
          <t>Foreign matter</t>
        </is>
      </c>
      <c r="M201" s="2" t="inlineStr">
        <is>
          <t>iCoA_P07 · Foreign matter</t>
        </is>
      </c>
      <c r="N201" s="6" t="inlineStr">
        <is>
          <t>—</t>
        </is>
      </c>
      <c r="O201" s="6" t="inlineStr">
        <is>
          <t>— retest assay not yet on file —</t>
        </is>
      </c>
      <c r="P201" s="2" t="inlineStr">
        <is>
          <t>CoQ reissue (assigned on issue)</t>
        </is>
      </c>
      <c r="Q201" s="6" t="inlineStr">
        <is>
          <t>—</t>
        </is>
      </c>
      <c r="R201" s="2" t="inlineStr">
        <is>
          <t>P050132|FM|R</t>
        </is>
      </c>
      <c r="S201" s="8" t="inlineStr">
        <is>
          <t>not yet issuable — retest assay not yet on file</t>
        </is>
      </c>
    </row>
    <row r="202">
      <c r="A202" s="2">
        <f>IF(C202="yes",COUNT(A$1:A201)+1,"")</f>
        <v/>
      </c>
      <c r="B202" s="3">
        <f>IF(A202="","— at issue —","iCoA-PP_26-"&amp;TEXT(A202,"000"))</f>
        <v/>
      </c>
      <c r="C202" s="6" t="inlineStr">
        <is>
          <t>no</t>
        </is>
      </c>
      <c r="D202" s="5">
        <f>IF(A202="","",E202)</f>
        <v/>
      </c>
      <c r="E202" s="5">
        <f>IF(AND(C202="yes",ISNUMBER(G202)),MAX(DATE(2026,5,13),G202),"")</f>
        <v/>
      </c>
      <c r="F202" s="5">
        <f>IFERROR(INDEX('Batch Dates'!$F:$F,MATCH(J202,'Batch Dates'!$C:$C,0)),IFERROR(INDEX('Batch Dates'!$F:$F,MATCH(I202,'Batch Dates'!$B:$B,0)),""))</f>
        <v/>
      </c>
      <c r="G202" s="5">
        <f>IFERROR(INDEX('Batch Dates'!$G:$G,MATCH(J202,'Batch Dates'!$C:$C,0)),IFERROR(INDEX('Batch Dates'!$G:$G,MATCH(I202,'Batch Dates'!$B:$B,0)),""))</f>
        <v/>
      </c>
      <c r="H202" s="2" t="inlineStr">
        <is>
          <t>retest — QP campaign</t>
        </is>
      </c>
      <c r="I202" s="3" t="inlineStr">
        <is>
          <t>CJ052501/02</t>
        </is>
      </c>
      <c r="J202" s="2" t="inlineStr">
        <is>
          <t>P050172</t>
        </is>
      </c>
      <c r="K202" s="2" t="inlineStr">
        <is>
          <t>Cap Junky</t>
        </is>
      </c>
      <c r="L202" s="2" t="inlineStr">
        <is>
          <t>Ident A + Ident B</t>
        </is>
      </c>
      <c r="M202" s="2" t="inlineStr">
        <is>
          <t>iCoA_P01-02 · Appearance &amp; Identification A/B</t>
        </is>
      </c>
      <c r="N202" s="6" t="inlineStr">
        <is>
          <t>—</t>
        </is>
      </c>
      <c r="O202" s="6" t="inlineStr">
        <is>
          <t>— retest assay not yet on file —</t>
        </is>
      </c>
      <c r="P202" s="2" t="inlineStr">
        <is>
          <t>CoQ reissue (assigned on issue)</t>
        </is>
      </c>
      <c r="Q202" s="6" t="inlineStr">
        <is>
          <t>—</t>
        </is>
      </c>
      <c r="R202" s="2" t="inlineStr">
        <is>
          <t>P050172|AB|R</t>
        </is>
      </c>
      <c r="S202" s="8" t="inlineStr">
        <is>
          <t>not yet issuable — retest assay not yet on file</t>
        </is>
      </c>
    </row>
    <row r="203">
      <c r="A203" s="2">
        <f>IF(C203="yes",COUNT(A$1:A202)+1,"")</f>
        <v/>
      </c>
      <c r="B203" s="3">
        <f>IF(A203="","— at issue —","iCoA-PP_26-"&amp;TEXT(A203,"000"))</f>
        <v/>
      </c>
      <c r="C203" s="6" t="inlineStr">
        <is>
          <t>no</t>
        </is>
      </c>
      <c r="D203" s="5">
        <f>IF(A203="","",E203)</f>
        <v/>
      </c>
      <c r="E203" s="5">
        <f>IF(AND(C203="yes",ISNUMBER(G203)),MAX(DATE(2026,5,13),G203),"")</f>
        <v/>
      </c>
      <c r="F203" s="5">
        <f>IFERROR(INDEX('Batch Dates'!$F:$F,MATCH(J203,'Batch Dates'!$C:$C,0)),IFERROR(INDEX('Batch Dates'!$F:$F,MATCH(I203,'Batch Dates'!$B:$B,0)),""))</f>
        <v/>
      </c>
      <c r="G203" s="5">
        <f>IFERROR(INDEX('Batch Dates'!$G:$G,MATCH(J203,'Batch Dates'!$C:$C,0)),IFERROR(INDEX('Batch Dates'!$G:$G,MATCH(I203,'Batch Dates'!$B:$B,0)),""))</f>
        <v/>
      </c>
      <c r="H203" s="2" t="inlineStr">
        <is>
          <t>retest — QP campaign</t>
        </is>
      </c>
      <c r="I203" s="3" t="inlineStr">
        <is>
          <t>CJ052501/02</t>
        </is>
      </c>
      <c r="J203" s="2" t="inlineStr">
        <is>
          <t>P050172</t>
        </is>
      </c>
      <c r="K203" s="2" t="inlineStr">
        <is>
          <t>Cap Junky</t>
        </is>
      </c>
      <c r="L203" s="2" t="inlineStr">
        <is>
          <t>Foreign matter</t>
        </is>
      </c>
      <c r="M203" s="2" t="inlineStr">
        <is>
          <t>iCoA_P07 · Foreign matter</t>
        </is>
      </c>
      <c r="N203" s="6" t="inlineStr">
        <is>
          <t>—</t>
        </is>
      </c>
      <c r="O203" s="6" t="inlineStr">
        <is>
          <t>— retest assay not yet on file —</t>
        </is>
      </c>
      <c r="P203" s="2" t="inlineStr">
        <is>
          <t>CoQ reissue (assigned on issue)</t>
        </is>
      </c>
      <c r="Q203" s="6" t="inlineStr">
        <is>
          <t>—</t>
        </is>
      </c>
      <c r="R203" s="2" t="inlineStr">
        <is>
          <t>P050172|FM|R</t>
        </is>
      </c>
      <c r="S203" s="8" t="inlineStr">
        <is>
          <t>not yet issuable — retest assay not yet on file</t>
        </is>
      </c>
    </row>
    <row r="204">
      <c r="A204" s="2">
        <f>IF(C204="yes",COUNT(A$1:A203)+1,"")</f>
        <v/>
      </c>
      <c r="B204" s="3">
        <f>IF(A204="","— at issue —","iCoA-PP_26-"&amp;TEXT(A204,"000"))</f>
        <v/>
      </c>
      <c r="C204" s="6" t="inlineStr">
        <is>
          <t>no</t>
        </is>
      </c>
      <c r="D204" s="5">
        <f>IF(A204="","",E204)</f>
        <v/>
      </c>
      <c r="E204" s="5">
        <f>IF(AND(C204="yes",ISNUMBER(G204)),MAX(DATE(2026,5,13),G204),"")</f>
        <v/>
      </c>
      <c r="F204" s="5">
        <f>IFERROR(INDEX('Batch Dates'!$F:$F,MATCH(J204,'Batch Dates'!$C:$C,0)),IFERROR(INDEX('Batch Dates'!$F:$F,MATCH(I204,'Batch Dates'!$B:$B,0)),""))</f>
        <v/>
      </c>
      <c r="G204" s="5">
        <f>IFERROR(INDEX('Batch Dates'!$G:$G,MATCH(J204,'Batch Dates'!$C:$C,0)),IFERROR(INDEX('Batch Dates'!$G:$G,MATCH(I204,'Batch Dates'!$B:$B,0)),""))</f>
        <v/>
      </c>
      <c r="H204" s="2" t="inlineStr">
        <is>
          <t>retest — QP campaign</t>
        </is>
      </c>
      <c r="I204" s="3" t="inlineStr">
        <is>
          <t>HPA052501</t>
        </is>
      </c>
      <c r="J204" s="2" t="inlineStr">
        <is>
          <t>P050182</t>
        </is>
      </c>
      <c r="K204" s="2" t="inlineStr">
        <is>
          <t>High Pro Amnesia</t>
        </is>
      </c>
      <c r="L204" s="2" t="inlineStr">
        <is>
          <t>Ident A + Ident B</t>
        </is>
      </c>
      <c r="M204" s="2" t="inlineStr">
        <is>
          <t>iCoA_P01-02 · Appearance &amp; Identification A/B</t>
        </is>
      </c>
      <c r="N204" s="6" t="inlineStr">
        <is>
          <t>—</t>
        </is>
      </c>
      <c r="O204" s="6" t="inlineStr">
        <is>
          <t>— retest assay not yet on file —</t>
        </is>
      </c>
      <c r="P204" s="2" t="inlineStr">
        <is>
          <t>CoQ reissue (assigned on issue)</t>
        </is>
      </c>
      <c r="Q204" s="6" t="inlineStr">
        <is>
          <t>—</t>
        </is>
      </c>
      <c r="R204" s="2" t="inlineStr">
        <is>
          <t>P050182|AB|R</t>
        </is>
      </c>
      <c r="S204" s="8" t="inlineStr">
        <is>
          <t>not yet issuable — retest assay not yet on file</t>
        </is>
      </c>
    </row>
    <row r="205">
      <c r="A205" s="2">
        <f>IF(C205="yes",COUNT(A$1:A204)+1,"")</f>
        <v/>
      </c>
      <c r="B205" s="3">
        <f>IF(A205="","— at issue —","iCoA-PP_26-"&amp;TEXT(A205,"000"))</f>
        <v/>
      </c>
      <c r="C205" s="6" t="inlineStr">
        <is>
          <t>no</t>
        </is>
      </c>
      <c r="D205" s="5">
        <f>IF(A205="","",E205)</f>
        <v/>
      </c>
      <c r="E205" s="5">
        <f>IF(AND(C205="yes",ISNUMBER(G205)),MAX(DATE(2026,5,13),G205),"")</f>
        <v/>
      </c>
      <c r="F205" s="5">
        <f>IFERROR(INDEX('Batch Dates'!$F:$F,MATCH(J205,'Batch Dates'!$C:$C,0)),IFERROR(INDEX('Batch Dates'!$F:$F,MATCH(I205,'Batch Dates'!$B:$B,0)),""))</f>
        <v/>
      </c>
      <c r="G205" s="5">
        <f>IFERROR(INDEX('Batch Dates'!$G:$G,MATCH(J205,'Batch Dates'!$C:$C,0)),IFERROR(INDEX('Batch Dates'!$G:$G,MATCH(I205,'Batch Dates'!$B:$B,0)),""))</f>
        <v/>
      </c>
      <c r="H205" s="2" t="inlineStr">
        <is>
          <t>retest — QP campaign</t>
        </is>
      </c>
      <c r="I205" s="3" t="inlineStr">
        <is>
          <t>HPA052501</t>
        </is>
      </c>
      <c r="J205" s="2" t="inlineStr">
        <is>
          <t>P050182</t>
        </is>
      </c>
      <c r="K205" s="2" t="inlineStr">
        <is>
          <t>High Pro Amnesia</t>
        </is>
      </c>
      <c r="L205" s="2" t="inlineStr">
        <is>
          <t>Foreign matter</t>
        </is>
      </c>
      <c r="M205" s="2" t="inlineStr">
        <is>
          <t>iCoA_P07 · Foreign matter</t>
        </is>
      </c>
      <c r="N205" s="6" t="inlineStr">
        <is>
          <t>—</t>
        </is>
      </c>
      <c r="O205" s="6" t="inlineStr">
        <is>
          <t>— retest assay not yet on file —</t>
        </is>
      </c>
      <c r="P205" s="2" t="inlineStr">
        <is>
          <t>CoQ reissue (assigned on issue)</t>
        </is>
      </c>
      <c r="Q205" s="6" t="inlineStr">
        <is>
          <t>—</t>
        </is>
      </c>
      <c r="R205" s="2" t="inlineStr">
        <is>
          <t>P050182|FM|R</t>
        </is>
      </c>
      <c r="S205" s="8" t="inlineStr">
        <is>
          <t>not yet issuable — retest assay not yet on file</t>
        </is>
      </c>
    </row>
    <row r="206">
      <c r="A206" s="2">
        <f>IF(C206="yes",COUNT(A$1:A205)+1,"")</f>
        <v/>
      </c>
      <c r="B206" s="3">
        <f>IF(A206="","— at issue —","iCoA-PP_26-"&amp;TEXT(A206,"000"))</f>
        <v/>
      </c>
      <c r="C206" s="6" t="inlineStr">
        <is>
          <t>no</t>
        </is>
      </c>
      <c r="D206" s="5">
        <f>IF(A206="","",E206)</f>
        <v/>
      </c>
      <c r="E206" s="5">
        <f>IF(AND(C206="yes",ISNUMBER(G206)),MAX(DATE(2026,5,13),G206),"")</f>
        <v/>
      </c>
      <c r="F206" s="5">
        <f>IFERROR(INDEX('Batch Dates'!$F:$F,MATCH(J206,'Batch Dates'!$C:$C,0)),IFERROR(INDEX('Batch Dates'!$F:$F,MATCH(I206,'Batch Dates'!$B:$B,0)),""))</f>
        <v/>
      </c>
      <c r="G206" s="5">
        <f>IFERROR(INDEX('Batch Dates'!$G:$G,MATCH(J206,'Batch Dates'!$C:$C,0)),IFERROR(INDEX('Batch Dates'!$G:$G,MATCH(I206,'Batch Dates'!$B:$B,0)),""))</f>
        <v/>
      </c>
      <c r="H206" s="2" t="inlineStr">
        <is>
          <t>retest — QP campaign</t>
        </is>
      </c>
      <c r="I206" s="3" t="inlineStr">
        <is>
          <t>BSS052501</t>
        </is>
      </c>
      <c r="J206" s="2" t="inlineStr">
        <is>
          <t>P050192</t>
        </is>
      </c>
      <c r="K206" s="2" t="inlineStr">
        <is>
          <t>Sleepy Joe</t>
        </is>
      </c>
      <c r="L206" s="2" t="inlineStr">
        <is>
          <t>Ident A + Ident B</t>
        </is>
      </c>
      <c r="M206" s="2" t="inlineStr">
        <is>
          <t>iCoA_P01-02 · Appearance &amp; Identification A/B</t>
        </is>
      </c>
      <c r="N206" s="6" t="inlineStr">
        <is>
          <t>—</t>
        </is>
      </c>
      <c r="O206" s="6" t="inlineStr">
        <is>
          <t>— retest assay not yet on file —</t>
        </is>
      </c>
      <c r="P206" s="2" t="inlineStr">
        <is>
          <t>CoQ reissue (assigned on issue)</t>
        </is>
      </c>
      <c r="Q206" s="6" t="inlineStr">
        <is>
          <t>—</t>
        </is>
      </c>
      <c r="R206" s="2" t="inlineStr">
        <is>
          <t>P050192|AB|R</t>
        </is>
      </c>
      <c r="S206" s="8" t="inlineStr">
        <is>
          <t>not yet issuable — retest assay not yet on file</t>
        </is>
      </c>
    </row>
    <row r="207">
      <c r="A207" s="2">
        <f>IF(C207="yes",COUNT(A$1:A206)+1,"")</f>
        <v/>
      </c>
      <c r="B207" s="3">
        <f>IF(A207="","— at issue —","iCoA-PP_26-"&amp;TEXT(A207,"000"))</f>
        <v/>
      </c>
      <c r="C207" s="6" t="inlineStr">
        <is>
          <t>no</t>
        </is>
      </c>
      <c r="D207" s="5">
        <f>IF(A207="","",E207)</f>
        <v/>
      </c>
      <c r="E207" s="5">
        <f>IF(AND(C207="yes",ISNUMBER(G207)),MAX(DATE(2026,5,13),G207),"")</f>
        <v/>
      </c>
      <c r="F207" s="5">
        <f>IFERROR(INDEX('Batch Dates'!$F:$F,MATCH(J207,'Batch Dates'!$C:$C,0)),IFERROR(INDEX('Batch Dates'!$F:$F,MATCH(I207,'Batch Dates'!$B:$B,0)),""))</f>
        <v/>
      </c>
      <c r="G207" s="5">
        <f>IFERROR(INDEX('Batch Dates'!$G:$G,MATCH(J207,'Batch Dates'!$C:$C,0)),IFERROR(INDEX('Batch Dates'!$G:$G,MATCH(I207,'Batch Dates'!$B:$B,0)),""))</f>
        <v/>
      </c>
      <c r="H207" s="2" t="inlineStr">
        <is>
          <t>retest — QP campaign</t>
        </is>
      </c>
      <c r="I207" s="3" t="inlineStr">
        <is>
          <t>BSS052501</t>
        </is>
      </c>
      <c r="J207" s="2" t="inlineStr">
        <is>
          <t>P050192</t>
        </is>
      </c>
      <c r="K207" s="2" t="inlineStr">
        <is>
          <t>Sleepy Joe</t>
        </is>
      </c>
      <c r="L207" s="2" t="inlineStr">
        <is>
          <t>Foreign matter</t>
        </is>
      </c>
      <c r="M207" s="2" t="inlineStr">
        <is>
          <t>iCoA_P07 · Foreign matter</t>
        </is>
      </c>
      <c r="N207" s="6" t="inlineStr">
        <is>
          <t>—</t>
        </is>
      </c>
      <c r="O207" s="6" t="inlineStr">
        <is>
          <t>— retest assay not yet on file —</t>
        </is>
      </c>
      <c r="P207" s="2" t="inlineStr">
        <is>
          <t>CoQ reissue (assigned on issue)</t>
        </is>
      </c>
      <c r="Q207" s="6" t="inlineStr">
        <is>
          <t>—</t>
        </is>
      </c>
      <c r="R207" s="2" t="inlineStr">
        <is>
          <t>P050192|FM|R</t>
        </is>
      </c>
      <c r="S207" s="8" t="inlineStr">
        <is>
          <t>not yet issuable — retest assay not yet on file</t>
        </is>
      </c>
    </row>
    <row r="208">
      <c r="A208" s="2">
        <f>IF(C208="yes",COUNT(A$1:A207)+1,"")</f>
        <v/>
      </c>
      <c r="B208" s="3">
        <f>IF(A208="","— at issue —","iCoA-PP_26-"&amp;TEXT(A208,"000"))</f>
        <v/>
      </c>
      <c r="C208" s="6" t="inlineStr">
        <is>
          <t>no</t>
        </is>
      </c>
      <c r="D208" s="5">
        <f>IF(A208="","",E208)</f>
        <v/>
      </c>
      <c r="E208" s="5">
        <f>IF(AND(C208="yes",ISNUMBER(G208)),MAX(DATE(2026,5,13),G208),"")</f>
        <v/>
      </c>
      <c r="F208" s="5">
        <f>IFERROR(INDEX('Batch Dates'!$F:$F,MATCH(J208,'Batch Dates'!$C:$C,0)),IFERROR(INDEX('Batch Dates'!$F:$F,MATCH(I208,'Batch Dates'!$B:$B,0)),""))</f>
        <v/>
      </c>
      <c r="G208" s="5">
        <f>IFERROR(INDEX('Batch Dates'!$G:$G,MATCH(J208,'Batch Dates'!$C:$C,0)),IFERROR(INDEX('Batch Dates'!$G:$G,MATCH(I208,'Batch Dates'!$B:$B,0)),""))</f>
        <v/>
      </c>
      <c r="H208" s="2" t="inlineStr">
        <is>
          <t>retest — QP campaign</t>
        </is>
      </c>
      <c r="I208" s="3" t="inlineStr">
        <is>
          <t>CJ062501/1</t>
        </is>
      </c>
      <c r="J208" s="2" t="inlineStr">
        <is>
          <t>P050222</t>
        </is>
      </c>
      <c r="K208" s="2" t="inlineStr">
        <is>
          <t>Cap Junkie</t>
        </is>
      </c>
      <c r="L208" s="2" t="inlineStr">
        <is>
          <t>Ident A + Ident B</t>
        </is>
      </c>
      <c r="M208" s="2" t="inlineStr">
        <is>
          <t>iCoA_P01-02 · Appearance &amp; Identification A/B</t>
        </is>
      </c>
      <c r="N208" s="6" t="inlineStr">
        <is>
          <t>—</t>
        </is>
      </c>
      <c r="O208" s="6" t="inlineStr">
        <is>
          <t>— retest assay not yet on file —</t>
        </is>
      </c>
      <c r="P208" s="2" t="inlineStr">
        <is>
          <t>CoQ reissue (assigned on issue)</t>
        </is>
      </c>
      <c r="Q208" s="6" t="inlineStr">
        <is>
          <t>—</t>
        </is>
      </c>
      <c r="R208" s="2" t="inlineStr">
        <is>
          <t>P050222|AB|R</t>
        </is>
      </c>
      <c r="S208" s="8" t="inlineStr">
        <is>
          <t>not yet issuable — retest assay not yet on file</t>
        </is>
      </c>
    </row>
    <row r="209">
      <c r="A209" s="2">
        <f>IF(C209="yes",COUNT(A$1:A208)+1,"")</f>
        <v/>
      </c>
      <c r="B209" s="3">
        <f>IF(A209="","— at issue —","iCoA-PP_26-"&amp;TEXT(A209,"000"))</f>
        <v/>
      </c>
      <c r="C209" s="6" t="inlineStr">
        <is>
          <t>no</t>
        </is>
      </c>
      <c r="D209" s="5">
        <f>IF(A209="","",E209)</f>
        <v/>
      </c>
      <c r="E209" s="5">
        <f>IF(AND(C209="yes",ISNUMBER(G209)),MAX(DATE(2026,5,13),G209),"")</f>
        <v/>
      </c>
      <c r="F209" s="5">
        <f>IFERROR(INDEX('Batch Dates'!$F:$F,MATCH(J209,'Batch Dates'!$C:$C,0)),IFERROR(INDEX('Batch Dates'!$F:$F,MATCH(I209,'Batch Dates'!$B:$B,0)),""))</f>
        <v/>
      </c>
      <c r="G209" s="5">
        <f>IFERROR(INDEX('Batch Dates'!$G:$G,MATCH(J209,'Batch Dates'!$C:$C,0)),IFERROR(INDEX('Batch Dates'!$G:$G,MATCH(I209,'Batch Dates'!$B:$B,0)),""))</f>
        <v/>
      </c>
      <c r="H209" s="2" t="inlineStr">
        <is>
          <t>retest — QP campaign</t>
        </is>
      </c>
      <c r="I209" s="3" t="inlineStr">
        <is>
          <t>CJ062501/1</t>
        </is>
      </c>
      <c r="J209" s="2" t="inlineStr">
        <is>
          <t>P050222</t>
        </is>
      </c>
      <c r="K209" s="2" t="inlineStr">
        <is>
          <t>Cap Junkie</t>
        </is>
      </c>
      <c r="L209" s="2" t="inlineStr">
        <is>
          <t>Foreign matter</t>
        </is>
      </c>
      <c r="M209" s="2" t="inlineStr">
        <is>
          <t>iCoA_P07 · Foreign matter</t>
        </is>
      </c>
      <c r="N209" s="6" t="inlineStr">
        <is>
          <t>—</t>
        </is>
      </c>
      <c r="O209" s="6" t="inlineStr">
        <is>
          <t>— retest assay not yet on file —</t>
        </is>
      </c>
      <c r="P209" s="2" t="inlineStr">
        <is>
          <t>CoQ reissue (assigned on issue)</t>
        </is>
      </c>
      <c r="Q209" s="6" t="inlineStr">
        <is>
          <t>—</t>
        </is>
      </c>
      <c r="R209" s="2" t="inlineStr">
        <is>
          <t>P050222|FM|R</t>
        </is>
      </c>
      <c r="S209" s="8" t="inlineStr">
        <is>
          <t>not yet issuable — retest assay not yet on file</t>
        </is>
      </c>
    </row>
    <row r="210">
      <c r="A210" s="2">
        <f>IF(C210="yes",COUNT(A$1:A209)+1,"")</f>
        <v/>
      </c>
      <c r="B210" s="3">
        <f>IF(A210="","— at issue —","iCoA-PP_26-"&amp;TEXT(A210,"000"))</f>
        <v/>
      </c>
      <c r="C210" s="6" t="inlineStr">
        <is>
          <t>no</t>
        </is>
      </c>
      <c r="D210" s="5">
        <f>IF(A210="","",E210)</f>
        <v/>
      </c>
      <c r="E210" s="5">
        <f>IF(AND(C210="yes",ISNUMBER(G210)),MAX(DATE(2026,5,13),G210),"")</f>
        <v/>
      </c>
      <c r="F210" s="5">
        <f>IFERROR(INDEX('Batch Dates'!$F:$F,MATCH(J210,'Batch Dates'!$C:$C,0)),IFERROR(INDEX('Batch Dates'!$F:$F,MATCH(I210,'Batch Dates'!$B:$B,0)),""))</f>
        <v/>
      </c>
      <c r="G210" s="5">
        <f>IFERROR(INDEX('Batch Dates'!$G:$G,MATCH(J210,'Batch Dates'!$C:$C,0)),IFERROR(INDEX('Batch Dates'!$G:$G,MATCH(I210,'Batch Dates'!$B:$B,0)),""))</f>
        <v/>
      </c>
      <c r="H210" s="2" t="inlineStr">
        <is>
          <t>retest — QP campaign</t>
        </is>
      </c>
      <c r="I210" s="3" t="inlineStr">
        <is>
          <t>CJ072501</t>
        </is>
      </c>
      <c r="J210" s="2" t="inlineStr">
        <is>
          <t>P050252</t>
        </is>
      </c>
      <c r="K210" s="2" t="inlineStr">
        <is>
          <t>Cap Junky</t>
        </is>
      </c>
      <c r="L210" s="2" t="inlineStr">
        <is>
          <t>Ident A + Ident B</t>
        </is>
      </c>
      <c r="M210" s="2" t="inlineStr">
        <is>
          <t>iCoA_P01-02 · Appearance &amp; Identification A/B</t>
        </is>
      </c>
      <c r="N210" s="6" t="inlineStr">
        <is>
          <t>—</t>
        </is>
      </c>
      <c r="O210" s="6" t="inlineStr">
        <is>
          <t>— retest assay not yet on file —</t>
        </is>
      </c>
      <c r="P210" s="2" t="inlineStr">
        <is>
          <t>CoQ reissue (assigned on issue)</t>
        </is>
      </c>
      <c r="Q210" s="6" t="inlineStr">
        <is>
          <t>—</t>
        </is>
      </c>
      <c r="R210" s="2" t="inlineStr">
        <is>
          <t>P050252|AB|R</t>
        </is>
      </c>
      <c r="S210" s="8" t="inlineStr">
        <is>
          <t>not yet issuable — retest assay not yet on file</t>
        </is>
      </c>
    </row>
    <row r="211">
      <c r="A211" s="2">
        <f>IF(C211="yes",COUNT(A$1:A210)+1,"")</f>
        <v/>
      </c>
      <c r="B211" s="3">
        <f>IF(A211="","— at issue —","iCoA-PP_26-"&amp;TEXT(A211,"000"))</f>
        <v/>
      </c>
      <c r="C211" s="6" t="inlineStr">
        <is>
          <t>no</t>
        </is>
      </c>
      <c r="D211" s="5">
        <f>IF(A211="","",E211)</f>
        <v/>
      </c>
      <c r="E211" s="5">
        <f>IF(AND(C211="yes",ISNUMBER(G211)),MAX(DATE(2026,5,13),G211),"")</f>
        <v/>
      </c>
      <c r="F211" s="5">
        <f>IFERROR(INDEX('Batch Dates'!$F:$F,MATCH(J211,'Batch Dates'!$C:$C,0)),IFERROR(INDEX('Batch Dates'!$F:$F,MATCH(I211,'Batch Dates'!$B:$B,0)),""))</f>
        <v/>
      </c>
      <c r="G211" s="5">
        <f>IFERROR(INDEX('Batch Dates'!$G:$G,MATCH(J211,'Batch Dates'!$C:$C,0)),IFERROR(INDEX('Batch Dates'!$G:$G,MATCH(I211,'Batch Dates'!$B:$B,0)),""))</f>
        <v/>
      </c>
      <c r="H211" s="2" t="inlineStr">
        <is>
          <t>retest — QP campaign</t>
        </is>
      </c>
      <c r="I211" s="3" t="inlineStr">
        <is>
          <t>CJ072501</t>
        </is>
      </c>
      <c r="J211" s="2" t="inlineStr">
        <is>
          <t>P050252</t>
        </is>
      </c>
      <c r="K211" s="2" t="inlineStr">
        <is>
          <t>Cap Junky</t>
        </is>
      </c>
      <c r="L211" s="2" t="inlineStr">
        <is>
          <t>Foreign matter</t>
        </is>
      </c>
      <c r="M211" s="2" t="inlineStr">
        <is>
          <t>iCoA_P07 · Foreign matter</t>
        </is>
      </c>
      <c r="N211" s="6" t="inlineStr">
        <is>
          <t>—</t>
        </is>
      </c>
      <c r="O211" s="6" t="inlineStr">
        <is>
          <t>— retest assay not yet on file —</t>
        </is>
      </c>
      <c r="P211" s="2" t="inlineStr">
        <is>
          <t>CoQ reissue (assigned on issue)</t>
        </is>
      </c>
      <c r="Q211" s="6" t="inlineStr">
        <is>
          <t>—</t>
        </is>
      </c>
      <c r="R211" s="2" t="inlineStr">
        <is>
          <t>P050252|FM|R</t>
        </is>
      </c>
      <c r="S211" s="8" t="inlineStr">
        <is>
          <t>not yet issuable — retest assay not yet on file</t>
        </is>
      </c>
    </row>
    <row r="212">
      <c r="A212" s="2">
        <f>IF(C212="yes",COUNT(A$1:A211)+1,"")</f>
        <v/>
      </c>
      <c r="B212" s="3">
        <f>IF(A212="","— at issue —","iCoA-PP_26-"&amp;TEXT(A212,"000"))</f>
        <v/>
      </c>
      <c r="C212" s="6" t="inlineStr">
        <is>
          <t>no</t>
        </is>
      </c>
      <c r="D212" s="5">
        <f>IF(A212="","",E212)</f>
        <v/>
      </c>
      <c r="E212" s="5">
        <f>IF(AND(C212="yes",ISNUMBER(G212)),MAX(DATE(2026,5,13),G212),"")</f>
        <v/>
      </c>
      <c r="F212" s="5">
        <f>IFERROR(INDEX('Batch Dates'!$F:$F,MATCH(J212,'Batch Dates'!$C:$C,0)),IFERROR(INDEX('Batch Dates'!$F:$F,MATCH(I212,'Batch Dates'!$B:$B,0)),""))</f>
        <v/>
      </c>
      <c r="G212" s="5">
        <f>IFERROR(INDEX('Batch Dates'!$G:$G,MATCH(J212,'Batch Dates'!$C:$C,0)),IFERROR(INDEX('Batch Dates'!$G:$G,MATCH(I212,'Batch Dates'!$B:$B,0)),""))</f>
        <v/>
      </c>
      <c r="H212" s="2" t="inlineStr">
        <is>
          <t>retest — QP campaign</t>
        </is>
      </c>
      <c r="I212" s="3" t="inlineStr">
        <is>
          <t>WC072501</t>
        </is>
      </c>
      <c r="J212" s="2" t="inlineStr">
        <is>
          <t>P050262</t>
        </is>
      </c>
      <c r="K212" s="2" t="inlineStr">
        <is>
          <t>Wedding Crusher</t>
        </is>
      </c>
      <c r="L212" s="2" t="inlineStr">
        <is>
          <t>Ident A + Ident B</t>
        </is>
      </c>
      <c r="M212" s="2" t="inlineStr">
        <is>
          <t>iCoA_P01-02 · Appearance &amp; Identification A/B</t>
        </is>
      </c>
      <c r="N212" s="6" t="inlineStr">
        <is>
          <t>—</t>
        </is>
      </c>
      <c r="O212" s="6" t="inlineStr">
        <is>
          <t>— retest assay not yet on file —</t>
        </is>
      </c>
      <c r="P212" s="2" t="inlineStr">
        <is>
          <t>CoQ reissue (assigned on issue)</t>
        </is>
      </c>
      <c r="Q212" s="6" t="inlineStr">
        <is>
          <t>—</t>
        </is>
      </c>
      <c r="R212" s="2" t="inlineStr">
        <is>
          <t>P050262|AB|R</t>
        </is>
      </c>
      <c r="S212" s="8" t="inlineStr">
        <is>
          <t>not yet issuable — retest assay not yet on file</t>
        </is>
      </c>
    </row>
    <row r="213">
      <c r="A213" s="2">
        <f>IF(C213="yes",COUNT(A$1:A212)+1,"")</f>
        <v/>
      </c>
      <c r="B213" s="3">
        <f>IF(A213="","— at issue —","iCoA-PP_26-"&amp;TEXT(A213,"000"))</f>
        <v/>
      </c>
      <c r="C213" s="6" t="inlineStr">
        <is>
          <t>no</t>
        </is>
      </c>
      <c r="D213" s="5">
        <f>IF(A213="","",E213)</f>
        <v/>
      </c>
      <c r="E213" s="5">
        <f>IF(AND(C213="yes",ISNUMBER(G213)),MAX(DATE(2026,5,13),G213),"")</f>
        <v/>
      </c>
      <c r="F213" s="5">
        <f>IFERROR(INDEX('Batch Dates'!$F:$F,MATCH(J213,'Batch Dates'!$C:$C,0)),IFERROR(INDEX('Batch Dates'!$F:$F,MATCH(I213,'Batch Dates'!$B:$B,0)),""))</f>
        <v/>
      </c>
      <c r="G213" s="5">
        <f>IFERROR(INDEX('Batch Dates'!$G:$G,MATCH(J213,'Batch Dates'!$C:$C,0)),IFERROR(INDEX('Batch Dates'!$G:$G,MATCH(I213,'Batch Dates'!$B:$B,0)),""))</f>
        <v/>
      </c>
      <c r="H213" s="2" t="inlineStr">
        <is>
          <t>retest — QP campaign</t>
        </is>
      </c>
      <c r="I213" s="3" t="inlineStr">
        <is>
          <t>WC072501</t>
        </is>
      </c>
      <c r="J213" s="2" t="inlineStr">
        <is>
          <t>P050262</t>
        </is>
      </c>
      <c r="K213" s="2" t="inlineStr">
        <is>
          <t>Wedding Crusher</t>
        </is>
      </c>
      <c r="L213" s="2" t="inlineStr">
        <is>
          <t>Foreign matter</t>
        </is>
      </c>
      <c r="M213" s="2" t="inlineStr">
        <is>
          <t>iCoA_P07 · Foreign matter</t>
        </is>
      </c>
      <c r="N213" s="6" t="inlineStr">
        <is>
          <t>—</t>
        </is>
      </c>
      <c r="O213" s="6" t="inlineStr">
        <is>
          <t>— retest assay not yet on file —</t>
        </is>
      </c>
      <c r="P213" s="2" t="inlineStr">
        <is>
          <t>CoQ reissue (assigned on issue)</t>
        </is>
      </c>
      <c r="Q213" s="6" t="inlineStr">
        <is>
          <t>—</t>
        </is>
      </c>
      <c r="R213" s="2" t="inlineStr">
        <is>
          <t>P050262|FM|R</t>
        </is>
      </c>
      <c r="S213" s="8" t="inlineStr">
        <is>
          <t>not yet issuable — retest assay not yet on file</t>
        </is>
      </c>
    </row>
    <row r="214">
      <c r="A214" s="2">
        <f>IF(C214="yes",COUNT(A$1:A213)+1,"")</f>
        <v/>
      </c>
      <c r="B214" s="3">
        <f>IF(A214="","— at issue —","iCoA-PP_26-"&amp;TEXT(A214,"000"))</f>
        <v/>
      </c>
      <c r="C214" s="6" t="inlineStr">
        <is>
          <t>no</t>
        </is>
      </c>
      <c r="D214" s="5">
        <f>IF(A214="","",E214)</f>
        <v/>
      </c>
      <c r="E214" s="5">
        <f>IF(AND(C214="yes",ISNUMBER(G214)),MAX(DATE(2026,5,13),G214),"")</f>
        <v/>
      </c>
      <c r="F214" s="5">
        <f>IFERROR(INDEX('Batch Dates'!$F:$F,MATCH(J214,'Batch Dates'!$C:$C,0)),IFERROR(INDEX('Batch Dates'!$F:$F,MATCH(I214,'Batch Dates'!$B:$B,0)),""))</f>
        <v/>
      </c>
      <c r="G214" s="5">
        <f>IFERROR(INDEX('Batch Dates'!$G:$G,MATCH(J214,'Batch Dates'!$C:$C,0)),IFERROR(INDEX('Batch Dates'!$G:$G,MATCH(I214,'Batch Dates'!$B:$B,0)),""))</f>
        <v/>
      </c>
      <c r="H214" s="2" t="inlineStr">
        <is>
          <t>retest — QP campaign</t>
        </is>
      </c>
      <c r="I214" s="3" t="inlineStr">
        <is>
          <t>CLE072501</t>
        </is>
      </c>
      <c r="J214" s="2" t="inlineStr">
        <is>
          <t>P050282</t>
        </is>
      </c>
      <c r="K214" s="2" t="inlineStr">
        <is>
          <t>Clemosa a bud</t>
        </is>
      </c>
      <c r="L214" s="2" t="inlineStr">
        <is>
          <t>Ident A + Ident B</t>
        </is>
      </c>
      <c r="M214" s="2" t="inlineStr">
        <is>
          <t>iCoA_P01-02 · Appearance &amp; Identification A/B</t>
        </is>
      </c>
      <c r="N214" s="6" t="inlineStr">
        <is>
          <t>—</t>
        </is>
      </c>
      <c r="O214" s="6" t="inlineStr">
        <is>
          <t>— retest assay not yet on file —</t>
        </is>
      </c>
      <c r="P214" s="2" t="inlineStr">
        <is>
          <t>CoQ reissue (assigned on issue)</t>
        </is>
      </c>
      <c r="Q214" s="6" t="inlineStr">
        <is>
          <t>—</t>
        </is>
      </c>
      <c r="R214" s="2" t="inlineStr">
        <is>
          <t>P050282|AB|R</t>
        </is>
      </c>
      <c r="S214" s="8" t="inlineStr">
        <is>
          <t>not yet issuable — retest assay not yet on file</t>
        </is>
      </c>
    </row>
    <row r="215">
      <c r="A215" s="2">
        <f>IF(C215="yes",COUNT(A$1:A214)+1,"")</f>
        <v/>
      </c>
      <c r="B215" s="3">
        <f>IF(A215="","— at issue —","iCoA-PP_26-"&amp;TEXT(A215,"000"))</f>
        <v/>
      </c>
      <c r="C215" s="6" t="inlineStr">
        <is>
          <t>no</t>
        </is>
      </c>
      <c r="D215" s="5">
        <f>IF(A215="","",E215)</f>
        <v/>
      </c>
      <c r="E215" s="5">
        <f>IF(AND(C215="yes",ISNUMBER(G215)),MAX(DATE(2026,5,13),G215),"")</f>
        <v/>
      </c>
      <c r="F215" s="5">
        <f>IFERROR(INDEX('Batch Dates'!$F:$F,MATCH(J215,'Batch Dates'!$C:$C,0)),IFERROR(INDEX('Batch Dates'!$F:$F,MATCH(I215,'Batch Dates'!$B:$B,0)),""))</f>
        <v/>
      </c>
      <c r="G215" s="5">
        <f>IFERROR(INDEX('Batch Dates'!$G:$G,MATCH(J215,'Batch Dates'!$C:$C,0)),IFERROR(INDEX('Batch Dates'!$G:$G,MATCH(I215,'Batch Dates'!$B:$B,0)),""))</f>
        <v/>
      </c>
      <c r="H215" s="2" t="inlineStr">
        <is>
          <t>retest — QP campaign</t>
        </is>
      </c>
      <c r="I215" s="3" t="inlineStr">
        <is>
          <t>CLE072501</t>
        </is>
      </c>
      <c r="J215" s="2" t="inlineStr">
        <is>
          <t>P050282</t>
        </is>
      </c>
      <c r="K215" s="2" t="inlineStr">
        <is>
          <t>Clemosa a bud</t>
        </is>
      </c>
      <c r="L215" s="2" t="inlineStr">
        <is>
          <t>Foreign matter</t>
        </is>
      </c>
      <c r="M215" s="2" t="inlineStr">
        <is>
          <t>iCoA_P07 · Foreign matter</t>
        </is>
      </c>
      <c r="N215" s="6" t="inlineStr">
        <is>
          <t>—</t>
        </is>
      </c>
      <c r="O215" s="6" t="inlineStr">
        <is>
          <t>— retest assay not yet on file —</t>
        </is>
      </c>
      <c r="P215" s="2" t="inlineStr">
        <is>
          <t>CoQ reissue (assigned on issue)</t>
        </is>
      </c>
      <c r="Q215" s="6" t="inlineStr">
        <is>
          <t>—</t>
        </is>
      </c>
      <c r="R215" s="2" t="inlineStr">
        <is>
          <t>P050282|FM|R</t>
        </is>
      </c>
      <c r="S215" s="8" t="inlineStr">
        <is>
          <t>not yet issuable — retest assay not yet on file</t>
        </is>
      </c>
    </row>
    <row r="216">
      <c r="A216" s="2">
        <f>IF(C216="yes",COUNT(A$1:A215)+1,"")</f>
        <v/>
      </c>
      <c r="B216" s="3">
        <f>IF(A216="","— at issue —","iCoA-PP_26-"&amp;TEXT(A216,"000"))</f>
        <v/>
      </c>
      <c r="C216" s="6" t="inlineStr">
        <is>
          <t>no</t>
        </is>
      </c>
      <c r="D216" s="5">
        <f>IF(A216="","",E216)</f>
        <v/>
      </c>
      <c r="E216" s="5">
        <f>IF(AND(C216="yes",ISNUMBER(G216)),MAX(DATE(2026,5,13),G216),"")</f>
        <v/>
      </c>
      <c r="F216" s="5">
        <f>IFERROR(INDEX('Batch Dates'!$F:$F,MATCH(J216,'Batch Dates'!$C:$C,0)),IFERROR(INDEX('Batch Dates'!$F:$F,MATCH(I216,'Batch Dates'!$B:$B,0)),""))</f>
        <v/>
      </c>
      <c r="G216" s="5">
        <f>IFERROR(INDEX('Batch Dates'!$G:$G,MATCH(J216,'Batch Dates'!$C:$C,0)),IFERROR(INDEX('Batch Dates'!$G:$G,MATCH(I216,'Batch Dates'!$B:$B,0)),""))</f>
        <v/>
      </c>
      <c r="H216" s="2" t="inlineStr">
        <is>
          <t>retest — QP campaign</t>
        </is>
      </c>
      <c r="I216" s="3" t="inlineStr">
        <is>
          <t>GP072501/2</t>
        </is>
      </c>
      <c r="J216" s="2" t="inlineStr">
        <is>
          <t>P050302</t>
        </is>
      </c>
      <c r="K216" s="2" t="inlineStr">
        <is>
          <t>Grape Pie</t>
        </is>
      </c>
      <c r="L216" s="2" t="inlineStr">
        <is>
          <t>Ident A + Ident B</t>
        </is>
      </c>
      <c r="M216" s="2" t="inlineStr">
        <is>
          <t>iCoA_P01-02 · Appearance &amp; Identification A/B</t>
        </is>
      </c>
      <c r="N216" s="6" t="inlineStr">
        <is>
          <t>—</t>
        </is>
      </c>
      <c r="O216" s="6" t="inlineStr">
        <is>
          <t>— retest assay not yet on file —</t>
        </is>
      </c>
      <c r="P216" s="2" t="inlineStr">
        <is>
          <t>CoQ reissue (assigned on issue)</t>
        </is>
      </c>
      <c r="Q216" s="6" t="inlineStr">
        <is>
          <t>—</t>
        </is>
      </c>
      <c r="R216" s="2" t="inlineStr">
        <is>
          <t>P050302|AB|R</t>
        </is>
      </c>
      <c r="S216" s="8" t="inlineStr">
        <is>
          <t>not yet issuable — retest assay not yet on file</t>
        </is>
      </c>
    </row>
    <row r="217">
      <c r="A217" s="2">
        <f>IF(C217="yes",COUNT(A$1:A216)+1,"")</f>
        <v/>
      </c>
      <c r="B217" s="3">
        <f>IF(A217="","— at issue —","iCoA-PP_26-"&amp;TEXT(A217,"000"))</f>
        <v/>
      </c>
      <c r="C217" s="6" t="inlineStr">
        <is>
          <t>no</t>
        </is>
      </c>
      <c r="D217" s="5">
        <f>IF(A217="","",E217)</f>
        <v/>
      </c>
      <c r="E217" s="5">
        <f>IF(AND(C217="yes",ISNUMBER(G217)),MAX(DATE(2026,5,13),G217),"")</f>
        <v/>
      </c>
      <c r="F217" s="5">
        <f>IFERROR(INDEX('Batch Dates'!$F:$F,MATCH(J217,'Batch Dates'!$C:$C,0)),IFERROR(INDEX('Batch Dates'!$F:$F,MATCH(I217,'Batch Dates'!$B:$B,0)),""))</f>
        <v/>
      </c>
      <c r="G217" s="5">
        <f>IFERROR(INDEX('Batch Dates'!$G:$G,MATCH(J217,'Batch Dates'!$C:$C,0)),IFERROR(INDEX('Batch Dates'!$G:$G,MATCH(I217,'Batch Dates'!$B:$B,0)),""))</f>
        <v/>
      </c>
      <c r="H217" s="2" t="inlineStr">
        <is>
          <t>retest — QP campaign</t>
        </is>
      </c>
      <c r="I217" s="3" t="inlineStr">
        <is>
          <t>GP072501/2</t>
        </is>
      </c>
      <c r="J217" s="2" t="inlineStr">
        <is>
          <t>P050302</t>
        </is>
      </c>
      <c r="K217" s="2" t="inlineStr">
        <is>
          <t>Grape Pie</t>
        </is>
      </c>
      <c r="L217" s="2" t="inlineStr">
        <is>
          <t>Foreign matter</t>
        </is>
      </c>
      <c r="M217" s="2" t="inlineStr">
        <is>
          <t>iCoA_P07 · Foreign matter</t>
        </is>
      </c>
      <c r="N217" s="6" t="inlineStr">
        <is>
          <t>—</t>
        </is>
      </c>
      <c r="O217" s="6" t="inlineStr">
        <is>
          <t>— retest assay not yet on file —</t>
        </is>
      </c>
      <c r="P217" s="2" t="inlineStr">
        <is>
          <t>CoQ reissue (assigned on issue)</t>
        </is>
      </c>
      <c r="Q217" s="6" t="inlineStr">
        <is>
          <t>—</t>
        </is>
      </c>
      <c r="R217" s="2" t="inlineStr">
        <is>
          <t>P050302|FM|R</t>
        </is>
      </c>
      <c r="S217" s="8" t="inlineStr">
        <is>
          <t>not yet issuable — retest assay not yet on file</t>
        </is>
      </c>
    </row>
    <row r="218">
      <c r="A218" s="2">
        <f>IF(C218="yes",COUNT(A$1:A217)+1,"")</f>
        <v/>
      </c>
      <c r="B218" s="3">
        <f>IF(A218="","— at issue —","iCoA-PP_26-"&amp;TEXT(A218,"000"))</f>
        <v/>
      </c>
      <c r="C218" s="6" t="inlineStr">
        <is>
          <t>no</t>
        </is>
      </c>
      <c r="D218" s="5">
        <f>IF(A218="","",E218)</f>
        <v/>
      </c>
      <c r="E218" s="5">
        <f>IF(AND(C218="yes",ISNUMBER(G218)),MAX(DATE(2026,5,13),G218),"")</f>
        <v/>
      </c>
      <c r="F218" s="5">
        <f>IFERROR(INDEX('Batch Dates'!$F:$F,MATCH(J218,'Batch Dates'!$C:$C,0)),IFERROR(INDEX('Batch Dates'!$F:$F,MATCH(I218,'Batch Dates'!$B:$B,0)),""))</f>
        <v/>
      </c>
      <c r="G218" s="5">
        <f>IFERROR(INDEX('Batch Dates'!$G:$G,MATCH(J218,'Batch Dates'!$C:$C,0)),IFERROR(INDEX('Batch Dates'!$G:$G,MATCH(I218,'Batch Dates'!$B:$B,0)),""))</f>
        <v/>
      </c>
      <c r="H218" s="2" t="inlineStr">
        <is>
          <t>retest — QP campaign</t>
        </is>
      </c>
      <c r="I218" s="3" t="inlineStr">
        <is>
          <t>GP082501/1</t>
        </is>
      </c>
      <c r="J218" s="2" t="inlineStr">
        <is>
          <t>P050312</t>
        </is>
      </c>
      <c r="K218" s="2" t="inlineStr">
        <is>
          <t>Grape Pie</t>
        </is>
      </c>
      <c r="L218" s="2" t="inlineStr">
        <is>
          <t>Ident A + Ident B</t>
        </is>
      </c>
      <c r="M218" s="2" t="inlineStr">
        <is>
          <t>iCoA_P01-02 · Appearance &amp; Identification A/B</t>
        </is>
      </c>
      <c r="N218" s="6" t="inlineStr">
        <is>
          <t>—</t>
        </is>
      </c>
      <c r="O218" s="6" t="inlineStr">
        <is>
          <t>— retest assay not yet on file —</t>
        </is>
      </c>
      <c r="P218" s="2" t="inlineStr">
        <is>
          <t>CoQ reissue (assigned on issue)</t>
        </is>
      </c>
      <c r="Q218" s="6" t="inlineStr">
        <is>
          <t>—</t>
        </is>
      </c>
      <c r="R218" s="2" t="inlineStr">
        <is>
          <t>P050312|AB|R</t>
        </is>
      </c>
      <c r="S218" s="8" t="inlineStr">
        <is>
          <t>not yet issuable — retest assay not yet on file</t>
        </is>
      </c>
    </row>
    <row r="219">
      <c r="A219" s="2">
        <f>IF(C219="yes",COUNT(A$1:A218)+1,"")</f>
        <v/>
      </c>
      <c r="B219" s="3">
        <f>IF(A219="","— at issue —","iCoA-PP_26-"&amp;TEXT(A219,"000"))</f>
        <v/>
      </c>
      <c r="C219" s="6" t="inlineStr">
        <is>
          <t>no</t>
        </is>
      </c>
      <c r="D219" s="5">
        <f>IF(A219="","",E219)</f>
        <v/>
      </c>
      <c r="E219" s="5">
        <f>IF(AND(C219="yes",ISNUMBER(G219)),MAX(DATE(2026,5,13),G219),"")</f>
        <v/>
      </c>
      <c r="F219" s="5">
        <f>IFERROR(INDEX('Batch Dates'!$F:$F,MATCH(J219,'Batch Dates'!$C:$C,0)),IFERROR(INDEX('Batch Dates'!$F:$F,MATCH(I219,'Batch Dates'!$B:$B,0)),""))</f>
        <v/>
      </c>
      <c r="G219" s="5">
        <f>IFERROR(INDEX('Batch Dates'!$G:$G,MATCH(J219,'Batch Dates'!$C:$C,0)),IFERROR(INDEX('Batch Dates'!$G:$G,MATCH(I219,'Batch Dates'!$B:$B,0)),""))</f>
        <v/>
      </c>
      <c r="H219" s="2" t="inlineStr">
        <is>
          <t>retest — QP campaign</t>
        </is>
      </c>
      <c r="I219" s="3" t="inlineStr">
        <is>
          <t>GP082501/1</t>
        </is>
      </c>
      <c r="J219" s="2" t="inlineStr">
        <is>
          <t>P050312</t>
        </is>
      </c>
      <c r="K219" s="2" t="inlineStr">
        <is>
          <t>Grape Pie</t>
        </is>
      </c>
      <c r="L219" s="2" t="inlineStr">
        <is>
          <t>Foreign matter</t>
        </is>
      </c>
      <c r="M219" s="2" t="inlineStr">
        <is>
          <t>iCoA_P07 · Foreign matter</t>
        </is>
      </c>
      <c r="N219" s="6" t="inlineStr">
        <is>
          <t>—</t>
        </is>
      </c>
      <c r="O219" s="6" t="inlineStr">
        <is>
          <t>— retest assay not yet on file —</t>
        </is>
      </c>
      <c r="P219" s="2" t="inlineStr">
        <is>
          <t>CoQ reissue (assigned on issue)</t>
        </is>
      </c>
      <c r="Q219" s="6" t="inlineStr">
        <is>
          <t>—</t>
        </is>
      </c>
      <c r="R219" s="2" t="inlineStr">
        <is>
          <t>P050312|FM|R</t>
        </is>
      </c>
      <c r="S219" s="8" t="inlineStr">
        <is>
          <t>not yet issuable — retest assay not yet on file</t>
        </is>
      </c>
    </row>
    <row r="220">
      <c r="A220" s="2">
        <f>IF(C220="yes",COUNT(A$1:A219)+1,"")</f>
        <v/>
      </c>
      <c r="B220" s="3">
        <f>IF(A220="","— at issue —","iCoA-PP_26-"&amp;TEXT(A220,"000"))</f>
        <v/>
      </c>
      <c r="C220" s="6" t="inlineStr">
        <is>
          <t>no</t>
        </is>
      </c>
      <c r="D220" s="5">
        <f>IF(A220="","",E220)</f>
        <v/>
      </c>
      <c r="E220" s="5">
        <f>IF(AND(C220="yes",ISNUMBER(G220)),MAX(DATE(2026,5,13),G220),"")</f>
        <v/>
      </c>
      <c r="F220" s="5">
        <f>IFERROR(INDEX('Batch Dates'!$F:$F,MATCH(J220,'Batch Dates'!$C:$C,0)),IFERROR(INDEX('Batch Dates'!$F:$F,MATCH(I220,'Batch Dates'!$B:$B,0)),""))</f>
        <v/>
      </c>
      <c r="G220" s="5">
        <f>IFERROR(INDEX('Batch Dates'!$G:$G,MATCH(J220,'Batch Dates'!$C:$C,0)),IFERROR(INDEX('Batch Dates'!$G:$G,MATCH(I220,'Batch Dates'!$B:$B,0)),""))</f>
        <v/>
      </c>
      <c r="H220" s="2" t="inlineStr">
        <is>
          <t>retest — QP campaign</t>
        </is>
      </c>
      <c r="I220" s="3" t="inlineStr">
        <is>
          <t>WC082501</t>
        </is>
      </c>
      <c r="J220" s="2" t="inlineStr">
        <is>
          <t>P060012</t>
        </is>
      </c>
      <c r="K220" s="2" t="inlineStr">
        <is>
          <t>Wedding Crasher</t>
        </is>
      </c>
      <c r="L220" s="2" t="inlineStr">
        <is>
          <t>Ident A + Ident B</t>
        </is>
      </c>
      <c r="M220" s="2" t="inlineStr">
        <is>
          <t>iCoA_P01-02 · Appearance &amp; Identification A/B</t>
        </is>
      </c>
      <c r="N220" s="6" t="inlineStr">
        <is>
          <t>—</t>
        </is>
      </c>
      <c r="O220" s="6" t="inlineStr">
        <is>
          <t>— retest assay not yet on file —</t>
        </is>
      </c>
      <c r="P220" s="2" t="inlineStr">
        <is>
          <t>CoQ reissue (assigned on issue)</t>
        </is>
      </c>
      <c r="Q220" s="6" t="inlineStr">
        <is>
          <t>—</t>
        </is>
      </c>
      <c r="R220" s="2" t="inlineStr">
        <is>
          <t>P060012|AB|R</t>
        </is>
      </c>
      <c r="S220" s="8" t="inlineStr">
        <is>
          <t>not yet issuable — retest assay not yet on file</t>
        </is>
      </c>
    </row>
    <row r="221">
      <c r="A221" s="2">
        <f>IF(C221="yes",COUNT(A$1:A220)+1,"")</f>
        <v/>
      </c>
      <c r="B221" s="3">
        <f>IF(A221="","— at issue —","iCoA-PP_26-"&amp;TEXT(A221,"000"))</f>
        <v/>
      </c>
      <c r="C221" s="6" t="inlineStr">
        <is>
          <t>no</t>
        </is>
      </c>
      <c r="D221" s="5">
        <f>IF(A221="","",E221)</f>
        <v/>
      </c>
      <c r="E221" s="5">
        <f>IF(AND(C221="yes",ISNUMBER(G221)),MAX(DATE(2026,5,13),G221),"")</f>
        <v/>
      </c>
      <c r="F221" s="5">
        <f>IFERROR(INDEX('Batch Dates'!$F:$F,MATCH(J221,'Batch Dates'!$C:$C,0)),IFERROR(INDEX('Batch Dates'!$F:$F,MATCH(I221,'Batch Dates'!$B:$B,0)),""))</f>
        <v/>
      </c>
      <c r="G221" s="5">
        <f>IFERROR(INDEX('Batch Dates'!$G:$G,MATCH(J221,'Batch Dates'!$C:$C,0)),IFERROR(INDEX('Batch Dates'!$G:$G,MATCH(I221,'Batch Dates'!$B:$B,0)),""))</f>
        <v/>
      </c>
      <c r="H221" s="2" t="inlineStr">
        <is>
          <t>retest — QP campaign</t>
        </is>
      </c>
      <c r="I221" s="3" t="inlineStr">
        <is>
          <t>WC082501</t>
        </is>
      </c>
      <c r="J221" s="2" t="inlineStr">
        <is>
          <t>P060012</t>
        </is>
      </c>
      <c r="K221" s="2" t="inlineStr">
        <is>
          <t>Wedding Crasher</t>
        </is>
      </c>
      <c r="L221" s="2" t="inlineStr">
        <is>
          <t>Foreign matter</t>
        </is>
      </c>
      <c r="M221" s="2" t="inlineStr">
        <is>
          <t>iCoA_P07 · Foreign matter</t>
        </is>
      </c>
      <c r="N221" s="6" t="inlineStr">
        <is>
          <t>—</t>
        </is>
      </c>
      <c r="O221" s="6" t="inlineStr">
        <is>
          <t>— retest assay not yet on file —</t>
        </is>
      </c>
      <c r="P221" s="2" t="inlineStr">
        <is>
          <t>CoQ reissue (assigned on issue)</t>
        </is>
      </c>
      <c r="Q221" s="6" t="inlineStr">
        <is>
          <t>—</t>
        </is>
      </c>
      <c r="R221" s="2" t="inlineStr">
        <is>
          <t>P060012|FM|R</t>
        </is>
      </c>
      <c r="S221" s="8" t="inlineStr">
        <is>
          <t>not yet issuable — retest assay not yet on file</t>
        </is>
      </c>
    </row>
    <row r="222">
      <c r="A222" s="2">
        <f>IF(C222="yes",COUNT(A$1:A221)+1,"")</f>
        <v/>
      </c>
      <c r="B222" s="3">
        <f>IF(A222="","— at issue —","iCoA-PP_26-"&amp;TEXT(A222,"000"))</f>
        <v/>
      </c>
      <c r="C222" s="6" t="inlineStr">
        <is>
          <t>no</t>
        </is>
      </c>
      <c r="D222" s="5">
        <f>IF(A222="","",E222)</f>
        <v/>
      </c>
      <c r="E222" s="5">
        <f>IF(AND(C222="yes",ISNUMBER(G222)),MAX(DATE(2026,5,13),G222),"")</f>
        <v/>
      </c>
      <c r="F222" s="5">
        <f>IFERROR(INDEX('Batch Dates'!$F:$F,MATCH(J222,'Batch Dates'!$C:$C,0)),IFERROR(INDEX('Batch Dates'!$F:$F,MATCH(I222,'Batch Dates'!$B:$B,0)),""))</f>
        <v/>
      </c>
      <c r="G222" s="5">
        <f>IFERROR(INDEX('Batch Dates'!$G:$G,MATCH(J222,'Batch Dates'!$C:$C,0)),IFERROR(INDEX('Batch Dates'!$G:$G,MATCH(I222,'Batch Dates'!$B:$B,0)),""))</f>
        <v/>
      </c>
      <c r="H222" s="2" t="inlineStr">
        <is>
          <t>retest — QP campaign</t>
        </is>
      </c>
      <c r="I222" s="3" t="inlineStr">
        <is>
          <t>CJ082501/1</t>
        </is>
      </c>
      <c r="J222" s="2" t="inlineStr">
        <is>
          <t>P060022</t>
        </is>
      </c>
      <c r="K222" s="2" t="inlineStr">
        <is>
          <t>Cap Junky</t>
        </is>
      </c>
      <c r="L222" s="2" t="inlineStr">
        <is>
          <t>Ident A + Ident B</t>
        </is>
      </c>
      <c r="M222" s="2" t="inlineStr">
        <is>
          <t>iCoA_P01-02 · Appearance &amp; Identification A/B</t>
        </is>
      </c>
      <c r="N222" s="6" t="inlineStr">
        <is>
          <t>—</t>
        </is>
      </c>
      <c r="O222" s="6" t="inlineStr">
        <is>
          <t>— retest assay not yet on file —</t>
        </is>
      </c>
      <c r="P222" s="2" t="inlineStr">
        <is>
          <t>CoQ reissue (assigned on issue)</t>
        </is>
      </c>
      <c r="Q222" s="6" t="inlineStr">
        <is>
          <t>—</t>
        </is>
      </c>
      <c r="R222" s="2" t="inlineStr">
        <is>
          <t>P060022|AB|R</t>
        </is>
      </c>
      <c r="S222" s="8" t="inlineStr">
        <is>
          <t>not yet issuable — retest assay not yet on file</t>
        </is>
      </c>
    </row>
    <row r="223">
      <c r="A223" s="2">
        <f>IF(C223="yes",COUNT(A$1:A222)+1,"")</f>
        <v/>
      </c>
      <c r="B223" s="3">
        <f>IF(A223="","— at issue —","iCoA-PP_26-"&amp;TEXT(A223,"000"))</f>
        <v/>
      </c>
      <c r="C223" s="6" t="inlineStr">
        <is>
          <t>no</t>
        </is>
      </c>
      <c r="D223" s="5">
        <f>IF(A223="","",E223)</f>
        <v/>
      </c>
      <c r="E223" s="5">
        <f>IF(AND(C223="yes",ISNUMBER(G223)),MAX(DATE(2026,5,13),G223),"")</f>
        <v/>
      </c>
      <c r="F223" s="5">
        <f>IFERROR(INDEX('Batch Dates'!$F:$F,MATCH(J223,'Batch Dates'!$C:$C,0)),IFERROR(INDEX('Batch Dates'!$F:$F,MATCH(I223,'Batch Dates'!$B:$B,0)),""))</f>
        <v/>
      </c>
      <c r="G223" s="5">
        <f>IFERROR(INDEX('Batch Dates'!$G:$G,MATCH(J223,'Batch Dates'!$C:$C,0)),IFERROR(INDEX('Batch Dates'!$G:$G,MATCH(I223,'Batch Dates'!$B:$B,0)),""))</f>
        <v/>
      </c>
      <c r="H223" s="2" t="inlineStr">
        <is>
          <t>retest — QP campaign</t>
        </is>
      </c>
      <c r="I223" s="3" t="inlineStr">
        <is>
          <t>CJ082501/1</t>
        </is>
      </c>
      <c r="J223" s="2" t="inlineStr">
        <is>
          <t>P060022</t>
        </is>
      </c>
      <c r="K223" s="2" t="inlineStr">
        <is>
          <t>Cap Junky</t>
        </is>
      </c>
      <c r="L223" s="2" t="inlineStr">
        <is>
          <t>Foreign matter</t>
        </is>
      </c>
      <c r="M223" s="2" t="inlineStr">
        <is>
          <t>iCoA_P07 · Foreign matter</t>
        </is>
      </c>
      <c r="N223" s="6" t="inlineStr">
        <is>
          <t>—</t>
        </is>
      </c>
      <c r="O223" s="6" t="inlineStr">
        <is>
          <t>— retest assay not yet on file —</t>
        </is>
      </c>
      <c r="P223" s="2" t="inlineStr">
        <is>
          <t>CoQ reissue (assigned on issue)</t>
        </is>
      </c>
      <c r="Q223" s="6" t="inlineStr">
        <is>
          <t>—</t>
        </is>
      </c>
      <c r="R223" s="2" t="inlineStr">
        <is>
          <t>P060022|FM|R</t>
        </is>
      </c>
      <c r="S223" s="8" t="inlineStr">
        <is>
          <t>not yet issuable — retest assay not yet on file</t>
        </is>
      </c>
    </row>
    <row r="224">
      <c r="A224" s="2">
        <f>IF(C224="yes",COUNT(A$1:A223)+1,"")</f>
        <v/>
      </c>
      <c r="B224" s="3">
        <f>IF(A224="","— at issue —","iCoA-PP_26-"&amp;TEXT(A224,"000"))</f>
        <v/>
      </c>
      <c r="C224" s="6" t="inlineStr">
        <is>
          <t>no</t>
        </is>
      </c>
      <c r="D224" s="5">
        <f>IF(A224="","",E224)</f>
        <v/>
      </c>
      <c r="E224" s="5">
        <f>IF(AND(C224="yes",ISNUMBER(G224)),MAX(DATE(2026,5,13),G224),"")</f>
        <v/>
      </c>
      <c r="F224" s="5">
        <f>IFERROR(INDEX('Batch Dates'!$F:$F,MATCH(J224,'Batch Dates'!$C:$C,0)),IFERROR(INDEX('Batch Dates'!$F:$F,MATCH(I224,'Batch Dates'!$B:$B,0)),""))</f>
        <v/>
      </c>
      <c r="G224" s="5">
        <f>IFERROR(INDEX('Batch Dates'!$G:$G,MATCH(J224,'Batch Dates'!$C:$C,0)),IFERROR(INDEX('Batch Dates'!$G:$G,MATCH(I224,'Batch Dates'!$B:$B,0)),""))</f>
        <v/>
      </c>
      <c r="H224" s="2" t="inlineStr">
        <is>
          <t>retest — QP campaign</t>
        </is>
      </c>
      <c r="I224" s="3" t="inlineStr">
        <is>
          <t>GP072501/1</t>
        </is>
      </c>
      <c r="J224" s="2" t="inlineStr">
        <is>
          <t>P050292</t>
        </is>
      </c>
      <c r="K224" s="2" t="inlineStr">
        <is>
          <t>Grape Pie</t>
        </is>
      </c>
      <c r="L224" s="2" t="inlineStr">
        <is>
          <t>Ident A + Ident B</t>
        </is>
      </c>
      <c r="M224" s="2" t="inlineStr">
        <is>
          <t>iCoA_P01-02 · Appearance &amp; Identification A/B</t>
        </is>
      </c>
      <c r="N224" s="6" t="inlineStr">
        <is>
          <t>—</t>
        </is>
      </c>
      <c r="O224" s="6" t="inlineStr">
        <is>
          <t>— retest assay not yet on file —</t>
        </is>
      </c>
      <c r="P224" s="2" t="inlineStr">
        <is>
          <t>CoQ reissue (assigned on issue)</t>
        </is>
      </c>
      <c r="Q224" s="6" t="inlineStr">
        <is>
          <t>—</t>
        </is>
      </c>
      <c r="R224" s="2" t="inlineStr">
        <is>
          <t>P050292|AB|R</t>
        </is>
      </c>
      <c r="S224" s="8" t="inlineStr">
        <is>
          <t>not yet issuable — retest assay not yet on file</t>
        </is>
      </c>
    </row>
    <row r="225">
      <c r="A225" s="2">
        <f>IF(C225="yes",COUNT(A$1:A224)+1,"")</f>
        <v/>
      </c>
      <c r="B225" s="3">
        <f>IF(A225="","— at issue —","iCoA-PP_26-"&amp;TEXT(A225,"000"))</f>
        <v/>
      </c>
      <c r="C225" s="6" t="inlineStr">
        <is>
          <t>no</t>
        </is>
      </c>
      <c r="D225" s="5">
        <f>IF(A225="","",E225)</f>
        <v/>
      </c>
      <c r="E225" s="5">
        <f>IF(AND(C225="yes",ISNUMBER(G225)),MAX(DATE(2026,5,13),G225),"")</f>
        <v/>
      </c>
      <c r="F225" s="5">
        <f>IFERROR(INDEX('Batch Dates'!$F:$F,MATCH(J225,'Batch Dates'!$C:$C,0)),IFERROR(INDEX('Batch Dates'!$F:$F,MATCH(I225,'Batch Dates'!$B:$B,0)),""))</f>
        <v/>
      </c>
      <c r="G225" s="5">
        <f>IFERROR(INDEX('Batch Dates'!$G:$G,MATCH(J225,'Batch Dates'!$C:$C,0)),IFERROR(INDEX('Batch Dates'!$G:$G,MATCH(I225,'Batch Dates'!$B:$B,0)),""))</f>
        <v/>
      </c>
      <c r="H225" s="2" t="inlineStr">
        <is>
          <t>retest — QP campaign</t>
        </is>
      </c>
      <c r="I225" s="3" t="inlineStr">
        <is>
          <t>GP072501/1</t>
        </is>
      </c>
      <c r="J225" s="2" t="inlineStr">
        <is>
          <t>P050292</t>
        </is>
      </c>
      <c r="K225" s="2" t="inlineStr">
        <is>
          <t>Grape Pie</t>
        </is>
      </c>
      <c r="L225" s="2" t="inlineStr">
        <is>
          <t>Foreign matter</t>
        </is>
      </c>
      <c r="M225" s="2" t="inlineStr">
        <is>
          <t>iCoA_P07 · Foreign matter</t>
        </is>
      </c>
      <c r="N225" s="6" t="inlineStr">
        <is>
          <t>—</t>
        </is>
      </c>
      <c r="O225" s="6" t="inlineStr">
        <is>
          <t>— retest assay not yet on file —</t>
        </is>
      </c>
      <c r="P225" s="2" t="inlineStr">
        <is>
          <t>CoQ reissue (assigned on issue)</t>
        </is>
      </c>
      <c r="Q225" s="6" t="inlineStr">
        <is>
          <t>—</t>
        </is>
      </c>
      <c r="R225" s="2" t="inlineStr">
        <is>
          <t>P050292|FM|R</t>
        </is>
      </c>
      <c r="S225" s="8" t="inlineStr">
        <is>
          <t>not yet issuable — retest assay not yet on file</t>
        </is>
      </c>
    </row>
    <row r="226">
      <c r="A226" s="2">
        <f>IF(C226="yes",COUNT(A$1:A225)+1,"")</f>
        <v/>
      </c>
      <c r="B226" s="3">
        <f>IF(A226="","— at issue —","iCoA-PP_26-"&amp;TEXT(A226,"000"))</f>
        <v/>
      </c>
      <c r="C226" s="6" t="inlineStr">
        <is>
          <t>no</t>
        </is>
      </c>
      <c r="D226" s="5">
        <f>IF(A226="","",E226)</f>
        <v/>
      </c>
      <c r="E226" s="5">
        <f>IF(AND(C226="yes",ISNUMBER(G226)),MAX(DATE(2026,5,13),G226),"")</f>
        <v/>
      </c>
      <c r="F226" s="5">
        <f>IFERROR(INDEX('Batch Dates'!$F:$F,MATCH(J226,'Batch Dates'!$C:$C,0)),IFERROR(INDEX('Batch Dates'!$F:$F,MATCH(I226,'Batch Dates'!$B:$B,0)),""))</f>
        <v/>
      </c>
      <c r="G226" s="5">
        <f>IFERROR(INDEX('Batch Dates'!$G:$G,MATCH(J226,'Batch Dates'!$C:$C,0)),IFERROR(INDEX('Batch Dates'!$G:$G,MATCH(I226,'Batch Dates'!$B:$B,0)),""))</f>
        <v/>
      </c>
      <c r="H226" s="2" t="inlineStr">
        <is>
          <t>retest — QP campaign</t>
        </is>
      </c>
      <c r="I226" s="3" t="inlineStr">
        <is>
          <t>PM072501</t>
        </is>
      </c>
      <c r="J226" s="2" t="inlineStr">
        <is>
          <t>P050272</t>
        </is>
      </c>
      <c r="K226" s="2" t="inlineStr">
        <is>
          <t>Permanent Marker</t>
        </is>
      </c>
      <c r="L226" s="2" t="inlineStr">
        <is>
          <t>Ident A + Ident B</t>
        </is>
      </c>
      <c r="M226" s="2" t="inlineStr">
        <is>
          <t>iCoA_P01-02 · Appearance &amp; Identification A/B</t>
        </is>
      </c>
      <c r="N226" s="6" t="inlineStr">
        <is>
          <t>—</t>
        </is>
      </c>
      <c r="O226" s="6" t="inlineStr">
        <is>
          <t>— retest assay not yet on file —</t>
        </is>
      </c>
      <c r="P226" s="2" t="inlineStr">
        <is>
          <t>CoQ reissue (assigned on issue)</t>
        </is>
      </c>
      <c r="Q226" s="6" t="inlineStr">
        <is>
          <t>—</t>
        </is>
      </c>
      <c r="R226" s="2" t="inlineStr">
        <is>
          <t>P050272|AB|R</t>
        </is>
      </c>
      <c r="S226" s="8" t="inlineStr">
        <is>
          <t>not yet issuable — retest assay not yet on file</t>
        </is>
      </c>
    </row>
    <row r="227">
      <c r="A227" s="2">
        <f>IF(C227="yes",COUNT(A$1:A226)+1,"")</f>
        <v/>
      </c>
      <c r="B227" s="3">
        <f>IF(A227="","— at issue —","iCoA-PP_26-"&amp;TEXT(A227,"000"))</f>
        <v/>
      </c>
      <c r="C227" s="6" t="inlineStr">
        <is>
          <t>no</t>
        </is>
      </c>
      <c r="D227" s="5">
        <f>IF(A227="","",E227)</f>
        <v/>
      </c>
      <c r="E227" s="5">
        <f>IF(AND(C227="yes",ISNUMBER(G227)),MAX(DATE(2026,5,13),G227),"")</f>
        <v/>
      </c>
      <c r="F227" s="5">
        <f>IFERROR(INDEX('Batch Dates'!$F:$F,MATCH(J227,'Batch Dates'!$C:$C,0)),IFERROR(INDEX('Batch Dates'!$F:$F,MATCH(I227,'Batch Dates'!$B:$B,0)),""))</f>
        <v/>
      </c>
      <c r="G227" s="5">
        <f>IFERROR(INDEX('Batch Dates'!$G:$G,MATCH(J227,'Batch Dates'!$C:$C,0)),IFERROR(INDEX('Batch Dates'!$G:$G,MATCH(I227,'Batch Dates'!$B:$B,0)),""))</f>
        <v/>
      </c>
      <c r="H227" s="2" t="inlineStr">
        <is>
          <t>retest — QP campaign</t>
        </is>
      </c>
      <c r="I227" s="3" t="inlineStr">
        <is>
          <t>PM072501</t>
        </is>
      </c>
      <c r="J227" s="2" t="inlineStr">
        <is>
          <t>P050272</t>
        </is>
      </c>
      <c r="K227" s="2" t="inlineStr">
        <is>
          <t>Permanent Marker</t>
        </is>
      </c>
      <c r="L227" s="2" t="inlineStr">
        <is>
          <t>Foreign matter</t>
        </is>
      </c>
      <c r="M227" s="2" t="inlineStr">
        <is>
          <t>iCoA_P07 · Foreign matter</t>
        </is>
      </c>
      <c r="N227" s="6" t="inlineStr">
        <is>
          <t>—</t>
        </is>
      </c>
      <c r="O227" s="6" t="inlineStr">
        <is>
          <t>— retest assay not yet on file —</t>
        </is>
      </c>
      <c r="P227" s="2" t="inlineStr">
        <is>
          <t>CoQ reissue (assigned on issue)</t>
        </is>
      </c>
      <c r="Q227" s="6" t="inlineStr">
        <is>
          <t>—</t>
        </is>
      </c>
      <c r="R227" s="2" t="inlineStr">
        <is>
          <t>P050272|FM|R</t>
        </is>
      </c>
      <c r="S227" s="8" t="inlineStr">
        <is>
          <t>not yet issuable — retest assay not yet on file</t>
        </is>
      </c>
    </row>
    <row r="228">
      <c r="A228" s="2">
        <f>IF(C228="yes",COUNT(A$1:A227)+1,"")</f>
        <v/>
      </c>
      <c r="B228" s="3">
        <f>IF(A228="","— at issue —","iCoA-PP_26-"&amp;TEXT(A228,"000"))</f>
        <v/>
      </c>
      <c r="C228" s="6" t="inlineStr">
        <is>
          <t>no</t>
        </is>
      </c>
      <c r="D228" s="5">
        <f>IF(A228="","",E228)</f>
        <v/>
      </c>
      <c r="E228" s="5">
        <f>IF(AND(C228="yes",ISNUMBER(G228)),MAX(DATE(2026,5,13),G228),"")</f>
        <v/>
      </c>
      <c r="F228" s="5">
        <f>IFERROR(INDEX('Batch Dates'!$F:$F,MATCH(J228,'Batch Dates'!$C:$C,0)),IFERROR(INDEX('Batch Dates'!$F:$F,MATCH(I228,'Batch Dates'!$B:$B,0)),""))</f>
        <v/>
      </c>
      <c r="G228" s="5">
        <f>IFERROR(INDEX('Batch Dates'!$G:$G,MATCH(J228,'Batch Dates'!$C:$C,0)),IFERROR(INDEX('Batch Dates'!$G:$G,MATCH(I228,'Batch Dates'!$B:$B,0)),""))</f>
        <v/>
      </c>
      <c r="H228" s="2" t="inlineStr">
        <is>
          <t>retest — QP campaign</t>
        </is>
      </c>
      <c r="I228" s="3" t="inlineStr">
        <is>
          <t>OPM092501</t>
        </is>
      </c>
      <c r="J228" s="2" t="inlineStr">
        <is>
          <t>P060042</t>
        </is>
      </c>
      <c r="K228" s="2" t="inlineStr">
        <is>
          <t>Orange Punch Mimosa</t>
        </is>
      </c>
      <c r="L228" s="2" t="inlineStr">
        <is>
          <t>Ident A + Ident B</t>
        </is>
      </c>
      <c r="M228" s="2" t="inlineStr">
        <is>
          <t>iCoA_P01-02 · Appearance &amp; Identification A/B</t>
        </is>
      </c>
      <c r="N228" s="6" t="inlineStr">
        <is>
          <t>—</t>
        </is>
      </c>
      <c r="O228" s="6" t="inlineStr">
        <is>
          <t>— retest assay not yet on file —</t>
        </is>
      </c>
      <c r="P228" s="2" t="inlineStr">
        <is>
          <t>CoQ reissue (assigned on issue)</t>
        </is>
      </c>
      <c r="Q228" s="6" t="inlineStr">
        <is>
          <t>—</t>
        </is>
      </c>
      <c r="R228" s="2" t="inlineStr">
        <is>
          <t>P060042|AB|R</t>
        </is>
      </c>
      <c r="S228" s="8" t="inlineStr">
        <is>
          <t>not yet issuable — retest assay not yet on file</t>
        </is>
      </c>
    </row>
    <row r="229">
      <c r="A229" s="2">
        <f>IF(C229="yes",COUNT(A$1:A228)+1,"")</f>
        <v/>
      </c>
      <c r="B229" s="3">
        <f>IF(A229="","— at issue —","iCoA-PP_26-"&amp;TEXT(A229,"000"))</f>
        <v/>
      </c>
      <c r="C229" s="6" t="inlineStr">
        <is>
          <t>no</t>
        </is>
      </c>
      <c r="D229" s="5">
        <f>IF(A229="","",E229)</f>
        <v/>
      </c>
      <c r="E229" s="5">
        <f>IF(AND(C229="yes",ISNUMBER(G229)),MAX(DATE(2026,5,13),G229),"")</f>
        <v/>
      </c>
      <c r="F229" s="5">
        <f>IFERROR(INDEX('Batch Dates'!$F:$F,MATCH(J229,'Batch Dates'!$C:$C,0)),IFERROR(INDEX('Batch Dates'!$F:$F,MATCH(I229,'Batch Dates'!$B:$B,0)),""))</f>
        <v/>
      </c>
      <c r="G229" s="5">
        <f>IFERROR(INDEX('Batch Dates'!$G:$G,MATCH(J229,'Batch Dates'!$C:$C,0)),IFERROR(INDEX('Batch Dates'!$G:$G,MATCH(I229,'Batch Dates'!$B:$B,0)),""))</f>
        <v/>
      </c>
      <c r="H229" s="2" t="inlineStr">
        <is>
          <t>retest — QP campaign</t>
        </is>
      </c>
      <c r="I229" s="3" t="inlineStr">
        <is>
          <t>OPM092501</t>
        </is>
      </c>
      <c r="J229" s="2" t="inlineStr">
        <is>
          <t>P060042</t>
        </is>
      </c>
      <c r="K229" s="2" t="inlineStr">
        <is>
          <t>Orange Punch Mimosa</t>
        </is>
      </c>
      <c r="L229" s="2" t="inlineStr">
        <is>
          <t>Foreign matter</t>
        </is>
      </c>
      <c r="M229" s="2" t="inlineStr">
        <is>
          <t>iCoA_P07 · Foreign matter</t>
        </is>
      </c>
      <c r="N229" s="6" t="inlineStr">
        <is>
          <t>—</t>
        </is>
      </c>
      <c r="O229" s="6" t="inlineStr">
        <is>
          <t>— retest assay not yet on file —</t>
        </is>
      </c>
      <c r="P229" s="2" t="inlineStr">
        <is>
          <t>CoQ reissue (assigned on issue)</t>
        </is>
      </c>
      <c r="Q229" s="6" t="inlineStr">
        <is>
          <t>—</t>
        </is>
      </c>
      <c r="R229" s="2" t="inlineStr">
        <is>
          <t>P060042|FM|R</t>
        </is>
      </c>
      <c r="S229" s="8" t="inlineStr">
        <is>
          <t>not yet issuable — retest assay not yet on file</t>
        </is>
      </c>
    </row>
    <row r="230">
      <c r="A230" s="2">
        <f>IF(C230="yes",COUNT(A$1:A229)+1,"")</f>
        <v/>
      </c>
      <c r="B230" s="3">
        <f>IF(A230="","— at issue —","iCoA-PP_26-"&amp;TEXT(A230,"000"))</f>
        <v/>
      </c>
      <c r="C230" s="6" t="inlineStr">
        <is>
          <t>no</t>
        </is>
      </c>
      <c r="D230" s="5">
        <f>IF(A230="","",E230)</f>
        <v/>
      </c>
      <c r="E230" s="5">
        <f>IF(AND(C230="yes",ISNUMBER(G230)),MAX(DATE(2026,5,13),G230),"")</f>
        <v/>
      </c>
      <c r="F230" s="5">
        <f>IFERROR(INDEX('Batch Dates'!$F:$F,MATCH(J230,'Batch Dates'!$C:$C,0)),IFERROR(INDEX('Batch Dates'!$F:$F,MATCH(I230,'Batch Dates'!$B:$B,0)),""))</f>
        <v/>
      </c>
      <c r="G230" s="5">
        <f>IFERROR(INDEX('Batch Dates'!$G:$G,MATCH(J230,'Batch Dates'!$C:$C,0)),IFERROR(INDEX('Batch Dates'!$G:$G,MATCH(I230,'Batch Dates'!$B:$B,0)),""))</f>
        <v/>
      </c>
      <c r="H230" s="2" t="inlineStr">
        <is>
          <t>retest — QP campaign</t>
        </is>
      </c>
      <c r="I230" s="3" t="inlineStr">
        <is>
          <t>CJ092501</t>
        </is>
      </c>
      <c r="J230" s="2" t="inlineStr">
        <is>
          <t>P060072</t>
        </is>
      </c>
      <c r="K230" s="2" t="inlineStr">
        <is>
          <t>Cap Junky</t>
        </is>
      </c>
      <c r="L230" s="2" t="inlineStr">
        <is>
          <t>Ident A + Ident B</t>
        </is>
      </c>
      <c r="M230" s="2" t="inlineStr">
        <is>
          <t>iCoA_P01-02 · Appearance &amp; Identification A/B</t>
        </is>
      </c>
      <c r="N230" s="6" t="inlineStr">
        <is>
          <t>—</t>
        </is>
      </c>
      <c r="O230" s="6" t="inlineStr">
        <is>
          <t>— retest assay not yet on file —</t>
        </is>
      </c>
      <c r="P230" s="2" t="inlineStr">
        <is>
          <t>CoQ reissue (assigned on issue)</t>
        </is>
      </c>
      <c r="Q230" s="6" t="inlineStr">
        <is>
          <t>—</t>
        </is>
      </c>
      <c r="R230" s="2" t="inlineStr">
        <is>
          <t>P060072|AB|R</t>
        </is>
      </c>
      <c r="S230" s="8" t="inlineStr">
        <is>
          <t>not yet issuable — retest assay not yet on file</t>
        </is>
      </c>
    </row>
    <row r="231">
      <c r="A231" s="2">
        <f>IF(C231="yes",COUNT(A$1:A230)+1,"")</f>
        <v/>
      </c>
      <c r="B231" s="3">
        <f>IF(A231="","— at issue —","iCoA-PP_26-"&amp;TEXT(A231,"000"))</f>
        <v/>
      </c>
      <c r="C231" s="6" t="inlineStr">
        <is>
          <t>no</t>
        </is>
      </c>
      <c r="D231" s="5">
        <f>IF(A231="","",E231)</f>
        <v/>
      </c>
      <c r="E231" s="5">
        <f>IF(AND(C231="yes",ISNUMBER(G231)),MAX(DATE(2026,5,13),G231),"")</f>
        <v/>
      </c>
      <c r="F231" s="5">
        <f>IFERROR(INDEX('Batch Dates'!$F:$F,MATCH(J231,'Batch Dates'!$C:$C,0)),IFERROR(INDEX('Batch Dates'!$F:$F,MATCH(I231,'Batch Dates'!$B:$B,0)),""))</f>
        <v/>
      </c>
      <c r="G231" s="5">
        <f>IFERROR(INDEX('Batch Dates'!$G:$G,MATCH(J231,'Batch Dates'!$C:$C,0)),IFERROR(INDEX('Batch Dates'!$G:$G,MATCH(I231,'Batch Dates'!$B:$B,0)),""))</f>
        <v/>
      </c>
      <c r="H231" s="2" t="inlineStr">
        <is>
          <t>retest — QP campaign</t>
        </is>
      </c>
      <c r="I231" s="3" t="inlineStr">
        <is>
          <t>CJ092501</t>
        </is>
      </c>
      <c r="J231" s="2" t="inlineStr">
        <is>
          <t>P060072</t>
        </is>
      </c>
      <c r="K231" s="2" t="inlineStr">
        <is>
          <t>Cap Junky</t>
        </is>
      </c>
      <c r="L231" s="2" t="inlineStr">
        <is>
          <t>Foreign matter</t>
        </is>
      </c>
      <c r="M231" s="2" t="inlineStr">
        <is>
          <t>iCoA_P07 · Foreign matter</t>
        </is>
      </c>
      <c r="N231" s="6" t="inlineStr">
        <is>
          <t>—</t>
        </is>
      </c>
      <c r="O231" s="6" t="inlineStr">
        <is>
          <t>— retest assay not yet on file —</t>
        </is>
      </c>
      <c r="P231" s="2" t="inlineStr">
        <is>
          <t>CoQ reissue (assigned on issue)</t>
        </is>
      </c>
      <c r="Q231" s="6" t="inlineStr">
        <is>
          <t>—</t>
        </is>
      </c>
      <c r="R231" s="2" t="inlineStr">
        <is>
          <t>P060072|FM|R</t>
        </is>
      </c>
      <c r="S231" s="8" t="inlineStr">
        <is>
          <t>not yet issuable — retest assay not yet on file</t>
        </is>
      </c>
    </row>
    <row r="232">
      <c r="A232" s="2">
        <f>IF(C232="yes",COUNT(A$1:A231)+1,"")</f>
        <v/>
      </c>
      <c r="B232" s="3">
        <f>IF(A232="","— at issue —","iCoA-PP_26-"&amp;TEXT(A232,"000"))</f>
        <v/>
      </c>
      <c r="C232" s="6" t="inlineStr">
        <is>
          <t>no</t>
        </is>
      </c>
      <c r="D232" s="5">
        <f>IF(A232="","",E232)</f>
        <v/>
      </c>
      <c r="E232" s="5">
        <f>IF(AND(C232="yes",ISNUMBER(G232)),MAX(DATE(2026,5,13),G232),"")</f>
        <v/>
      </c>
      <c r="F232" s="5">
        <f>IFERROR(INDEX('Batch Dates'!$F:$F,MATCH(J232,'Batch Dates'!$C:$C,0)),IFERROR(INDEX('Batch Dates'!$F:$F,MATCH(I232,'Batch Dates'!$B:$B,0)),""))</f>
        <v/>
      </c>
      <c r="G232" s="5">
        <f>IFERROR(INDEX('Batch Dates'!$G:$G,MATCH(J232,'Batch Dates'!$C:$C,0)),IFERROR(INDEX('Batch Dates'!$G:$G,MATCH(I232,'Batch Dates'!$B:$B,0)),""))</f>
        <v/>
      </c>
      <c r="H232" s="2" t="inlineStr">
        <is>
          <t>retest — QP campaign</t>
        </is>
      </c>
      <c r="I232" s="3" t="inlineStr">
        <is>
          <t>SJ0925021</t>
        </is>
      </c>
      <c r="J232" s="2" t="inlineStr">
        <is>
          <t>P060082</t>
        </is>
      </c>
      <c r="K232" s="2" t="inlineStr"/>
      <c r="L232" s="2" t="inlineStr">
        <is>
          <t>Ident A + Ident B</t>
        </is>
      </c>
      <c r="M232" s="2" t="inlineStr">
        <is>
          <t>iCoA_P01-02 · Appearance &amp; Identification A/B</t>
        </is>
      </c>
      <c r="N232" s="6" t="inlineStr">
        <is>
          <t>—</t>
        </is>
      </c>
      <c r="O232" s="6" t="inlineStr">
        <is>
          <t>— retest assay not yet on file —</t>
        </is>
      </c>
      <c r="P232" s="2" t="inlineStr">
        <is>
          <t>CoQ reissue (assigned on issue)</t>
        </is>
      </c>
      <c r="Q232" s="6" t="inlineStr">
        <is>
          <t>—</t>
        </is>
      </c>
      <c r="R232" s="2" t="inlineStr">
        <is>
          <t>P060082|AB|R</t>
        </is>
      </c>
      <c r="S232" s="8" t="inlineStr">
        <is>
          <t>not yet issuable — retest assay not yet on file</t>
        </is>
      </c>
    </row>
    <row r="233">
      <c r="A233" s="2">
        <f>IF(C233="yes",COUNT(A$1:A232)+1,"")</f>
        <v/>
      </c>
      <c r="B233" s="3">
        <f>IF(A233="","— at issue —","iCoA-PP_26-"&amp;TEXT(A233,"000"))</f>
        <v/>
      </c>
      <c r="C233" s="6" t="inlineStr">
        <is>
          <t>no</t>
        </is>
      </c>
      <c r="D233" s="5">
        <f>IF(A233="","",E233)</f>
        <v/>
      </c>
      <c r="E233" s="5">
        <f>IF(AND(C233="yes",ISNUMBER(G233)),MAX(DATE(2026,5,13),G233),"")</f>
        <v/>
      </c>
      <c r="F233" s="5">
        <f>IFERROR(INDEX('Batch Dates'!$F:$F,MATCH(J233,'Batch Dates'!$C:$C,0)),IFERROR(INDEX('Batch Dates'!$F:$F,MATCH(I233,'Batch Dates'!$B:$B,0)),""))</f>
        <v/>
      </c>
      <c r="G233" s="5">
        <f>IFERROR(INDEX('Batch Dates'!$G:$G,MATCH(J233,'Batch Dates'!$C:$C,0)),IFERROR(INDEX('Batch Dates'!$G:$G,MATCH(I233,'Batch Dates'!$B:$B,0)),""))</f>
        <v/>
      </c>
      <c r="H233" s="2" t="inlineStr">
        <is>
          <t>retest — QP campaign</t>
        </is>
      </c>
      <c r="I233" s="3" t="inlineStr">
        <is>
          <t>SJ0925021</t>
        </is>
      </c>
      <c r="J233" s="2" t="inlineStr">
        <is>
          <t>P060082</t>
        </is>
      </c>
      <c r="K233" s="2" t="inlineStr"/>
      <c r="L233" s="2" t="inlineStr">
        <is>
          <t>Foreign matter</t>
        </is>
      </c>
      <c r="M233" s="2" t="inlineStr">
        <is>
          <t>iCoA_P07 · Foreign matter</t>
        </is>
      </c>
      <c r="N233" s="6" t="inlineStr">
        <is>
          <t>—</t>
        </is>
      </c>
      <c r="O233" s="6" t="inlineStr">
        <is>
          <t>— retest assay not yet on file —</t>
        </is>
      </c>
      <c r="P233" s="2" t="inlineStr">
        <is>
          <t>CoQ reissue (assigned on issue)</t>
        </is>
      </c>
      <c r="Q233" s="6" t="inlineStr">
        <is>
          <t>—</t>
        </is>
      </c>
      <c r="R233" s="2" t="inlineStr">
        <is>
          <t>P060082|FM|R</t>
        </is>
      </c>
      <c r="S233" s="8" t="inlineStr">
        <is>
          <t>not yet issuable — retest assay not yet on file</t>
        </is>
      </c>
    </row>
    <row r="234">
      <c r="A234" s="2">
        <f>IF(C234="yes",COUNT(A$1:A233)+1,"")</f>
        <v/>
      </c>
      <c r="B234" s="3">
        <f>IF(A234="","— at issue —","iCoA-PP_26-"&amp;TEXT(A234,"000"))</f>
        <v/>
      </c>
      <c r="C234" s="6" t="inlineStr">
        <is>
          <t>no</t>
        </is>
      </c>
      <c r="D234" s="5">
        <f>IF(A234="","",E234)</f>
        <v/>
      </c>
      <c r="E234" s="5">
        <f>IF(AND(C234="yes",ISNUMBER(G234)),MAX(DATE(2026,5,13),G234),"")</f>
        <v/>
      </c>
      <c r="F234" s="5">
        <f>IFERROR(INDEX('Batch Dates'!$F:$F,MATCH(J234,'Batch Dates'!$C:$C,0)),IFERROR(INDEX('Batch Dates'!$F:$F,MATCH(I234,'Batch Dates'!$B:$B,0)),""))</f>
        <v/>
      </c>
      <c r="G234" s="5">
        <f>IFERROR(INDEX('Batch Dates'!$G:$G,MATCH(J234,'Batch Dates'!$C:$C,0)),IFERROR(INDEX('Batch Dates'!$G:$G,MATCH(I234,'Batch Dates'!$B:$B,0)),""))</f>
        <v/>
      </c>
      <c r="H234" s="2" t="inlineStr">
        <is>
          <t>retest — QP campaign</t>
        </is>
      </c>
      <c r="I234" s="3" t="inlineStr">
        <is>
          <t>GP092501</t>
        </is>
      </c>
      <c r="J234" s="2" t="inlineStr">
        <is>
          <t>P060092</t>
        </is>
      </c>
      <c r="K234" s="2" t="inlineStr">
        <is>
          <t>Grape Pie</t>
        </is>
      </c>
      <c r="L234" s="2" t="inlineStr">
        <is>
          <t>Ident A + Ident B</t>
        </is>
      </c>
      <c r="M234" s="2" t="inlineStr">
        <is>
          <t>iCoA_P01-02 · Appearance &amp; Identification A/B</t>
        </is>
      </c>
      <c r="N234" s="6" t="inlineStr">
        <is>
          <t>—</t>
        </is>
      </c>
      <c r="O234" s="6" t="inlineStr">
        <is>
          <t>— retest assay not yet on file —</t>
        </is>
      </c>
      <c r="P234" s="2" t="inlineStr">
        <is>
          <t>CoQ reissue (assigned on issue)</t>
        </is>
      </c>
      <c r="Q234" s="6" t="inlineStr">
        <is>
          <t>—</t>
        </is>
      </c>
      <c r="R234" s="2" t="inlineStr">
        <is>
          <t>P060092|AB|R</t>
        </is>
      </c>
      <c r="S234" s="8" t="inlineStr">
        <is>
          <t>not yet issuable — retest assay not yet on file</t>
        </is>
      </c>
    </row>
    <row r="235">
      <c r="A235" s="2">
        <f>IF(C235="yes",COUNT(A$1:A234)+1,"")</f>
        <v/>
      </c>
      <c r="B235" s="3">
        <f>IF(A235="","— at issue —","iCoA-PP_26-"&amp;TEXT(A235,"000"))</f>
        <v/>
      </c>
      <c r="C235" s="6" t="inlineStr">
        <is>
          <t>no</t>
        </is>
      </c>
      <c r="D235" s="5">
        <f>IF(A235="","",E235)</f>
        <v/>
      </c>
      <c r="E235" s="5">
        <f>IF(AND(C235="yes",ISNUMBER(G235)),MAX(DATE(2026,5,13),G235),"")</f>
        <v/>
      </c>
      <c r="F235" s="5">
        <f>IFERROR(INDEX('Batch Dates'!$F:$F,MATCH(J235,'Batch Dates'!$C:$C,0)),IFERROR(INDEX('Batch Dates'!$F:$F,MATCH(I235,'Batch Dates'!$B:$B,0)),""))</f>
        <v/>
      </c>
      <c r="G235" s="5">
        <f>IFERROR(INDEX('Batch Dates'!$G:$G,MATCH(J235,'Batch Dates'!$C:$C,0)),IFERROR(INDEX('Batch Dates'!$G:$G,MATCH(I235,'Batch Dates'!$B:$B,0)),""))</f>
        <v/>
      </c>
      <c r="H235" s="2" t="inlineStr">
        <is>
          <t>retest — QP campaign</t>
        </is>
      </c>
      <c r="I235" s="3" t="inlineStr">
        <is>
          <t>GP092501</t>
        </is>
      </c>
      <c r="J235" s="2" t="inlineStr">
        <is>
          <t>P060092</t>
        </is>
      </c>
      <c r="K235" s="2" t="inlineStr">
        <is>
          <t>Grape Pie</t>
        </is>
      </c>
      <c r="L235" s="2" t="inlineStr">
        <is>
          <t>Foreign matter</t>
        </is>
      </c>
      <c r="M235" s="2" t="inlineStr">
        <is>
          <t>iCoA_P07 · Foreign matter</t>
        </is>
      </c>
      <c r="N235" s="6" t="inlineStr">
        <is>
          <t>—</t>
        </is>
      </c>
      <c r="O235" s="6" t="inlineStr">
        <is>
          <t>— retest assay not yet on file —</t>
        </is>
      </c>
      <c r="P235" s="2" t="inlineStr">
        <is>
          <t>CoQ reissue (assigned on issue)</t>
        </is>
      </c>
      <c r="Q235" s="6" t="inlineStr">
        <is>
          <t>—</t>
        </is>
      </c>
      <c r="R235" s="2" t="inlineStr">
        <is>
          <t>P060092|FM|R</t>
        </is>
      </c>
      <c r="S235" s="8" t="inlineStr">
        <is>
          <t>not yet issuable — retest assay not yet on file</t>
        </is>
      </c>
    </row>
    <row r="236">
      <c r="A236" s="2">
        <f>IF(C236="yes",COUNT(A$1:A235)+1,"")</f>
        <v/>
      </c>
      <c r="B236" s="3">
        <f>IF(A236="","— at issue —","iCoA-PP_26-"&amp;TEXT(A236,"000"))</f>
        <v/>
      </c>
      <c r="C236" s="6" t="inlineStr">
        <is>
          <t>no</t>
        </is>
      </c>
      <c r="D236" s="5">
        <f>IF(A236="","",E236)</f>
        <v/>
      </c>
      <c r="E236" s="5">
        <f>IF(AND(C236="yes",ISNUMBER(G236)),MAX(DATE(2026,5,13),G236),"")</f>
        <v/>
      </c>
      <c r="F236" s="5">
        <f>IFERROR(INDEX('Batch Dates'!$F:$F,MATCH(J236,'Batch Dates'!$C:$C,0)),IFERROR(INDEX('Batch Dates'!$F:$F,MATCH(I236,'Batch Dates'!$B:$B,0)),""))</f>
        <v/>
      </c>
      <c r="G236" s="5">
        <f>IFERROR(INDEX('Batch Dates'!$G:$G,MATCH(J236,'Batch Dates'!$C:$C,0)),IFERROR(INDEX('Batch Dates'!$G:$G,MATCH(I236,'Batch Dates'!$B:$B,0)),""))</f>
        <v/>
      </c>
      <c r="H236" s="2" t="inlineStr">
        <is>
          <t>retest — QP campaign</t>
        </is>
      </c>
      <c r="I236" s="3" t="inlineStr">
        <is>
          <t>AB092501</t>
        </is>
      </c>
      <c r="J236" s="2" t="inlineStr">
        <is>
          <t>P060052</t>
        </is>
      </c>
      <c r="K236" s="2" t="inlineStr">
        <is>
          <t>Apple and Banana</t>
        </is>
      </c>
      <c r="L236" s="2" t="inlineStr">
        <is>
          <t>Ident A + Ident B</t>
        </is>
      </c>
      <c r="M236" s="2" t="inlineStr">
        <is>
          <t>iCoA_P01-02 · Appearance &amp; Identification A/B</t>
        </is>
      </c>
      <c r="N236" s="6" t="inlineStr">
        <is>
          <t>—</t>
        </is>
      </c>
      <c r="O236" s="6" t="inlineStr">
        <is>
          <t>— retest assay not yet on file —</t>
        </is>
      </c>
      <c r="P236" s="2" t="inlineStr">
        <is>
          <t>CoQ reissue (assigned on issue)</t>
        </is>
      </c>
      <c r="Q236" s="6" t="inlineStr">
        <is>
          <t>—</t>
        </is>
      </c>
      <c r="R236" s="2" t="inlineStr">
        <is>
          <t>P060052|AB|R</t>
        </is>
      </c>
      <c r="S236" s="8" t="inlineStr">
        <is>
          <t>not yet issuable — retest assay not yet on file</t>
        </is>
      </c>
    </row>
    <row r="237">
      <c r="A237" s="2">
        <f>IF(C237="yes",COUNT(A$1:A236)+1,"")</f>
        <v/>
      </c>
      <c r="B237" s="3">
        <f>IF(A237="","— at issue —","iCoA-PP_26-"&amp;TEXT(A237,"000"))</f>
        <v/>
      </c>
      <c r="C237" s="6" t="inlineStr">
        <is>
          <t>no</t>
        </is>
      </c>
      <c r="D237" s="5">
        <f>IF(A237="","",E237)</f>
        <v/>
      </c>
      <c r="E237" s="5">
        <f>IF(AND(C237="yes",ISNUMBER(G237)),MAX(DATE(2026,5,13),G237),"")</f>
        <v/>
      </c>
      <c r="F237" s="5">
        <f>IFERROR(INDEX('Batch Dates'!$F:$F,MATCH(J237,'Batch Dates'!$C:$C,0)),IFERROR(INDEX('Batch Dates'!$F:$F,MATCH(I237,'Batch Dates'!$B:$B,0)),""))</f>
        <v/>
      </c>
      <c r="G237" s="5">
        <f>IFERROR(INDEX('Batch Dates'!$G:$G,MATCH(J237,'Batch Dates'!$C:$C,0)),IFERROR(INDEX('Batch Dates'!$G:$G,MATCH(I237,'Batch Dates'!$B:$B,0)),""))</f>
        <v/>
      </c>
      <c r="H237" s="2" t="inlineStr">
        <is>
          <t>retest — QP campaign</t>
        </is>
      </c>
      <c r="I237" s="3" t="inlineStr">
        <is>
          <t>AB092501</t>
        </is>
      </c>
      <c r="J237" s="2" t="inlineStr">
        <is>
          <t>P060052</t>
        </is>
      </c>
      <c r="K237" s="2" t="inlineStr">
        <is>
          <t>Apple and Banana</t>
        </is>
      </c>
      <c r="L237" s="2" t="inlineStr">
        <is>
          <t>Foreign matter</t>
        </is>
      </c>
      <c r="M237" s="2" t="inlineStr">
        <is>
          <t>iCoA_P07 · Foreign matter</t>
        </is>
      </c>
      <c r="N237" s="6" t="inlineStr">
        <is>
          <t>—</t>
        </is>
      </c>
      <c r="O237" s="6" t="inlineStr">
        <is>
          <t>— retest assay not yet on file —</t>
        </is>
      </c>
      <c r="P237" s="2" t="inlineStr">
        <is>
          <t>CoQ reissue (assigned on issue)</t>
        </is>
      </c>
      <c r="Q237" s="6" t="inlineStr">
        <is>
          <t>—</t>
        </is>
      </c>
      <c r="R237" s="2" t="inlineStr">
        <is>
          <t>P060052|FM|R</t>
        </is>
      </c>
      <c r="S237" s="8" t="inlineStr">
        <is>
          <t>not yet issuable — retest assay not yet on file</t>
        </is>
      </c>
    </row>
    <row r="238">
      <c r="A238" s="2">
        <f>IF(C238="yes",COUNT(A$1:A237)+1,"")</f>
        <v/>
      </c>
      <c r="B238" s="3">
        <f>IF(A238="","— at issue —","iCoA-PP_26-"&amp;TEXT(A238,"000"))</f>
        <v/>
      </c>
      <c r="C238" s="6" t="inlineStr">
        <is>
          <t>no</t>
        </is>
      </c>
      <c r="D238" s="5">
        <f>IF(A238="","",E238)</f>
        <v/>
      </c>
      <c r="E238" s="5">
        <f>IF(AND(C238="yes",ISNUMBER(G238)),MAX(DATE(2026,5,13),G238),"")</f>
        <v/>
      </c>
      <c r="F238" s="5">
        <f>IFERROR(INDEX('Batch Dates'!$F:$F,MATCH(J238,'Batch Dates'!$C:$C,0)),IFERROR(INDEX('Batch Dates'!$F:$F,MATCH(I238,'Batch Dates'!$B:$B,0)),""))</f>
        <v/>
      </c>
      <c r="G238" s="5">
        <f>IFERROR(INDEX('Batch Dates'!$G:$G,MATCH(J238,'Batch Dates'!$C:$C,0)),IFERROR(INDEX('Batch Dates'!$G:$G,MATCH(I238,'Batch Dates'!$B:$B,0)),""))</f>
        <v/>
      </c>
      <c r="H238" s="2" t="inlineStr">
        <is>
          <t>retest — QP campaign</t>
        </is>
      </c>
      <c r="I238" s="3" t="inlineStr">
        <is>
          <t>SJ102501</t>
        </is>
      </c>
      <c r="J238" s="2" t="inlineStr">
        <is>
          <t>P060162</t>
        </is>
      </c>
      <c r="K238" s="2" t="inlineStr">
        <is>
          <t>Sleepy Joe</t>
        </is>
      </c>
      <c r="L238" s="2" t="inlineStr">
        <is>
          <t>Ident A + Ident B</t>
        </is>
      </c>
      <c r="M238" s="2" t="inlineStr">
        <is>
          <t>iCoA_P01-02 · Appearance &amp; Identification A/B</t>
        </is>
      </c>
      <c r="N238" s="6" t="inlineStr">
        <is>
          <t>—</t>
        </is>
      </c>
      <c r="O238" s="6" t="inlineStr">
        <is>
          <t>— retest assay not yet on file —</t>
        </is>
      </c>
      <c r="P238" s="2" t="inlineStr">
        <is>
          <t>CoQ reissue (assigned on issue)</t>
        </is>
      </c>
      <c r="Q238" s="6" t="inlineStr">
        <is>
          <t>—</t>
        </is>
      </c>
      <c r="R238" s="2" t="inlineStr">
        <is>
          <t>P060162|AB|R</t>
        </is>
      </c>
      <c r="S238" s="8" t="inlineStr">
        <is>
          <t>not yet issuable — retest assay not yet on file</t>
        </is>
      </c>
    </row>
    <row r="239">
      <c r="A239" s="2">
        <f>IF(C239="yes",COUNT(A$1:A238)+1,"")</f>
        <v/>
      </c>
      <c r="B239" s="3">
        <f>IF(A239="","— at issue —","iCoA-PP_26-"&amp;TEXT(A239,"000"))</f>
        <v/>
      </c>
      <c r="C239" s="6" t="inlineStr">
        <is>
          <t>no</t>
        </is>
      </c>
      <c r="D239" s="5">
        <f>IF(A239="","",E239)</f>
        <v/>
      </c>
      <c r="E239" s="5">
        <f>IF(AND(C239="yes",ISNUMBER(G239)),MAX(DATE(2026,5,13),G239),"")</f>
        <v/>
      </c>
      <c r="F239" s="5">
        <f>IFERROR(INDEX('Batch Dates'!$F:$F,MATCH(J239,'Batch Dates'!$C:$C,0)),IFERROR(INDEX('Batch Dates'!$F:$F,MATCH(I239,'Batch Dates'!$B:$B,0)),""))</f>
        <v/>
      </c>
      <c r="G239" s="5">
        <f>IFERROR(INDEX('Batch Dates'!$G:$G,MATCH(J239,'Batch Dates'!$C:$C,0)),IFERROR(INDEX('Batch Dates'!$G:$G,MATCH(I239,'Batch Dates'!$B:$B,0)),""))</f>
        <v/>
      </c>
      <c r="H239" s="2" t="inlineStr">
        <is>
          <t>retest — QP campaign</t>
        </is>
      </c>
      <c r="I239" s="3" t="inlineStr">
        <is>
          <t>SJ102501</t>
        </is>
      </c>
      <c r="J239" s="2" t="inlineStr">
        <is>
          <t>P060162</t>
        </is>
      </c>
      <c r="K239" s="2" t="inlineStr">
        <is>
          <t>Sleepy Joe</t>
        </is>
      </c>
      <c r="L239" s="2" t="inlineStr">
        <is>
          <t>Foreign matter</t>
        </is>
      </c>
      <c r="M239" s="2" t="inlineStr">
        <is>
          <t>iCoA_P07 · Foreign matter</t>
        </is>
      </c>
      <c r="N239" s="6" t="inlineStr">
        <is>
          <t>—</t>
        </is>
      </c>
      <c r="O239" s="6" t="inlineStr">
        <is>
          <t>— retest assay not yet on file —</t>
        </is>
      </c>
      <c r="P239" s="2" t="inlineStr">
        <is>
          <t>CoQ reissue (assigned on issue)</t>
        </is>
      </c>
      <c r="Q239" s="6" t="inlineStr">
        <is>
          <t>—</t>
        </is>
      </c>
      <c r="R239" s="2" t="inlineStr">
        <is>
          <t>P060162|FM|R</t>
        </is>
      </c>
      <c r="S239" s="8" t="inlineStr">
        <is>
          <t>not yet issuable — retest assay not yet on file</t>
        </is>
      </c>
    </row>
    <row r="240">
      <c r="A240" s="2">
        <f>IF(C240="yes",COUNT(A$1:A239)+1,"")</f>
        <v/>
      </c>
      <c r="B240" s="3">
        <f>IF(A240="","— at issue —","iCoA-PP_26-"&amp;TEXT(A240,"000"))</f>
        <v/>
      </c>
      <c r="C240" s="6" t="inlineStr">
        <is>
          <t>no</t>
        </is>
      </c>
      <c r="D240" s="5">
        <f>IF(A240="","",E240)</f>
        <v/>
      </c>
      <c r="E240" s="5">
        <f>IF(AND(C240="yes",ISNUMBER(G240)),MAX(DATE(2026,5,13),G240),"")</f>
        <v/>
      </c>
      <c r="F240" s="5">
        <f>IFERROR(INDEX('Batch Dates'!$F:$F,MATCH(J240,'Batch Dates'!$C:$C,0)),IFERROR(INDEX('Batch Dates'!$F:$F,MATCH(I240,'Batch Dates'!$B:$B,0)),""))</f>
        <v/>
      </c>
      <c r="G240" s="5">
        <f>IFERROR(INDEX('Batch Dates'!$G:$G,MATCH(J240,'Batch Dates'!$C:$C,0)),IFERROR(INDEX('Batch Dates'!$G:$G,MATCH(I240,'Batch Dates'!$B:$B,0)),""))</f>
        <v/>
      </c>
      <c r="H240" s="2" t="inlineStr">
        <is>
          <t>retest — QP campaign</t>
        </is>
      </c>
      <c r="I240" s="3" t="inlineStr">
        <is>
          <t>SJ112501</t>
        </is>
      </c>
      <c r="J240" s="2" t="inlineStr">
        <is>
          <t>P060192</t>
        </is>
      </c>
      <c r="K240" s="2" t="inlineStr">
        <is>
          <t>Sleepy Joy</t>
        </is>
      </c>
      <c r="L240" s="2" t="inlineStr">
        <is>
          <t>Ident A + Ident B</t>
        </is>
      </c>
      <c r="M240" s="2" t="inlineStr">
        <is>
          <t>iCoA_P01-02 · Appearance &amp; Identification A/B</t>
        </is>
      </c>
      <c r="N240" s="6" t="inlineStr">
        <is>
          <t>—</t>
        </is>
      </c>
      <c r="O240" s="6" t="inlineStr">
        <is>
          <t>— retest assay not yet on file —</t>
        </is>
      </c>
      <c r="P240" s="2" t="inlineStr">
        <is>
          <t>CoQ reissue (assigned on issue)</t>
        </is>
      </c>
      <c r="Q240" s="6" t="inlineStr">
        <is>
          <t>—</t>
        </is>
      </c>
      <c r="R240" s="2" t="inlineStr">
        <is>
          <t>P060192|AB|R</t>
        </is>
      </c>
      <c r="S240" s="8" t="inlineStr">
        <is>
          <t>not yet issuable — retest assay not yet on file</t>
        </is>
      </c>
    </row>
    <row r="241">
      <c r="A241" s="2">
        <f>IF(C241="yes",COUNT(A$1:A240)+1,"")</f>
        <v/>
      </c>
      <c r="B241" s="3">
        <f>IF(A241="","— at issue —","iCoA-PP_26-"&amp;TEXT(A241,"000"))</f>
        <v/>
      </c>
      <c r="C241" s="6" t="inlineStr">
        <is>
          <t>no</t>
        </is>
      </c>
      <c r="D241" s="5">
        <f>IF(A241="","",E241)</f>
        <v/>
      </c>
      <c r="E241" s="5">
        <f>IF(AND(C241="yes",ISNUMBER(G241)),MAX(DATE(2026,5,13),G241),"")</f>
        <v/>
      </c>
      <c r="F241" s="5">
        <f>IFERROR(INDEX('Batch Dates'!$F:$F,MATCH(J241,'Batch Dates'!$C:$C,0)),IFERROR(INDEX('Batch Dates'!$F:$F,MATCH(I241,'Batch Dates'!$B:$B,0)),""))</f>
        <v/>
      </c>
      <c r="G241" s="5">
        <f>IFERROR(INDEX('Batch Dates'!$G:$G,MATCH(J241,'Batch Dates'!$C:$C,0)),IFERROR(INDEX('Batch Dates'!$G:$G,MATCH(I241,'Batch Dates'!$B:$B,0)),""))</f>
        <v/>
      </c>
      <c r="H241" s="2" t="inlineStr">
        <is>
          <t>retest — QP campaign</t>
        </is>
      </c>
      <c r="I241" s="3" t="inlineStr">
        <is>
          <t>SJ112501</t>
        </is>
      </c>
      <c r="J241" s="2" t="inlineStr">
        <is>
          <t>P060192</t>
        </is>
      </c>
      <c r="K241" s="2" t="inlineStr">
        <is>
          <t>Sleepy Joy</t>
        </is>
      </c>
      <c r="L241" s="2" t="inlineStr">
        <is>
          <t>Foreign matter</t>
        </is>
      </c>
      <c r="M241" s="2" t="inlineStr">
        <is>
          <t>iCoA_P07 · Foreign matter</t>
        </is>
      </c>
      <c r="N241" s="6" t="inlineStr">
        <is>
          <t>—</t>
        </is>
      </c>
      <c r="O241" s="6" t="inlineStr">
        <is>
          <t>— retest assay not yet on file —</t>
        </is>
      </c>
      <c r="P241" s="2" t="inlineStr">
        <is>
          <t>CoQ reissue (assigned on issue)</t>
        </is>
      </c>
      <c r="Q241" s="6" t="inlineStr">
        <is>
          <t>—</t>
        </is>
      </c>
      <c r="R241" s="2" t="inlineStr">
        <is>
          <t>P060192|FM|R</t>
        </is>
      </c>
      <c r="S241" s="8" t="inlineStr">
        <is>
          <t>not yet issuable — retest assay not yet on file</t>
        </is>
      </c>
    </row>
    <row r="242">
      <c r="A242" s="2">
        <f>IF(C242="yes",COUNT(A$1:A241)+1,"")</f>
        <v/>
      </c>
      <c r="B242" s="3">
        <f>IF(A242="","— at issue —","iCoA-PP_26-"&amp;TEXT(A242,"000"))</f>
        <v/>
      </c>
      <c r="C242" s="6" t="inlineStr">
        <is>
          <t>no</t>
        </is>
      </c>
      <c r="D242" s="5">
        <f>IF(A242="","",E242)</f>
        <v/>
      </c>
      <c r="E242" s="5">
        <f>IF(AND(C242="yes",ISNUMBER(G242)),MAX(DATE(2026,5,13),G242),"")</f>
        <v/>
      </c>
      <c r="F242" s="5">
        <f>IFERROR(INDEX('Batch Dates'!$F:$F,MATCH(J242,'Batch Dates'!$C:$C,0)),IFERROR(INDEX('Batch Dates'!$F:$F,MATCH(I242,'Batch Dates'!$B:$B,0)),""))</f>
        <v/>
      </c>
      <c r="G242" s="5">
        <f>IFERROR(INDEX('Batch Dates'!$G:$G,MATCH(J242,'Batch Dates'!$C:$C,0)),IFERROR(INDEX('Batch Dates'!$G:$G,MATCH(I242,'Batch Dates'!$B:$B,0)),""))</f>
        <v/>
      </c>
      <c r="H242" s="2" t="inlineStr">
        <is>
          <t>retest — QP campaign</t>
        </is>
      </c>
      <c r="I242" s="3" t="inlineStr">
        <is>
          <t>OPM112501</t>
        </is>
      </c>
      <c r="J242" s="2" t="inlineStr">
        <is>
          <t>P060222</t>
        </is>
      </c>
      <c r="K242" s="2" t="inlineStr">
        <is>
          <t>Orange Punch Mimosa</t>
        </is>
      </c>
      <c r="L242" s="2" t="inlineStr">
        <is>
          <t>Ident A + Ident B</t>
        </is>
      </c>
      <c r="M242" s="2" t="inlineStr">
        <is>
          <t>iCoA_P01-02 · Appearance &amp; Identification A/B</t>
        </is>
      </c>
      <c r="N242" s="6" t="inlineStr">
        <is>
          <t>—</t>
        </is>
      </c>
      <c r="O242" s="6" t="inlineStr">
        <is>
          <t>— retest assay not yet on file —</t>
        </is>
      </c>
      <c r="P242" s="2" t="inlineStr">
        <is>
          <t>CoQ reissue (assigned on issue)</t>
        </is>
      </c>
      <c r="Q242" s="6" t="inlineStr">
        <is>
          <t>—</t>
        </is>
      </c>
      <c r="R242" s="2" t="inlineStr">
        <is>
          <t>P060222|AB|R</t>
        </is>
      </c>
      <c r="S242" s="8" t="inlineStr">
        <is>
          <t>not yet issuable — retest assay not yet on file</t>
        </is>
      </c>
    </row>
    <row r="243">
      <c r="A243" s="2">
        <f>IF(C243="yes",COUNT(A$1:A242)+1,"")</f>
        <v/>
      </c>
      <c r="B243" s="3">
        <f>IF(A243="","— at issue —","iCoA-PP_26-"&amp;TEXT(A243,"000"))</f>
        <v/>
      </c>
      <c r="C243" s="6" t="inlineStr">
        <is>
          <t>no</t>
        </is>
      </c>
      <c r="D243" s="5">
        <f>IF(A243="","",E243)</f>
        <v/>
      </c>
      <c r="E243" s="5">
        <f>IF(AND(C243="yes",ISNUMBER(G243)),MAX(DATE(2026,5,13),G243),"")</f>
        <v/>
      </c>
      <c r="F243" s="5">
        <f>IFERROR(INDEX('Batch Dates'!$F:$F,MATCH(J243,'Batch Dates'!$C:$C,0)),IFERROR(INDEX('Batch Dates'!$F:$F,MATCH(I243,'Batch Dates'!$B:$B,0)),""))</f>
        <v/>
      </c>
      <c r="G243" s="5">
        <f>IFERROR(INDEX('Batch Dates'!$G:$G,MATCH(J243,'Batch Dates'!$C:$C,0)),IFERROR(INDEX('Batch Dates'!$G:$G,MATCH(I243,'Batch Dates'!$B:$B,0)),""))</f>
        <v/>
      </c>
      <c r="H243" s="2" t="inlineStr">
        <is>
          <t>retest — QP campaign</t>
        </is>
      </c>
      <c r="I243" s="3" t="inlineStr">
        <is>
          <t>OPM112501</t>
        </is>
      </c>
      <c r="J243" s="2" t="inlineStr">
        <is>
          <t>P060222</t>
        </is>
      </c>
      <c r="K243" s="2" t="inlineStr">
        <is>
          <t>Orange Punch Mimosa</t>
        </is>
      </c>
      <c r="L243" s="2" t="inlineStr">
        <is>
          <t>Foreign matter</t>
        </is>
      </c>
      <c r="M243" s="2" t="inlineStr">
        <is>
          <t>iCoA_P07 · Foreign matter</t>
        </is>
      </c>
      <c r="N243" s="6" t="inlineStr">
        <is>
          <t>—</t>
        </is>
      </c>
      <c r="O243" s="6" t="inlineStr">
        <is>
          <t>— retest assay not yet on file —</t>
        </is>
      </c>
      <c r="P243" s="2" t="inlineStr">
        <is>
          <t>CoQ reissue (assigned on issue)</t>
        </is>
      </c>
      <c r="Q243" s="6" t="inlineStr">
        <is>
          <t>—</t>
        </is>
      </c>
      <c r="R243" s="2" t="inlineStr">
        <is>
          <t>P060222|FM|R</t>
        </is>
      </c>
      <c r="S243" s="8" t="inlineStr">
        <is>
          <t>not yet issuable — retest assay not yet on file</t>
        </is>
      </c>
    </row>
    <row r="244">
      <c r="A244" s="2">
        <f>IF(C244="yes",COUNT(A$1:A243)+1,"")</f>
        <v/>
      </c>
      <c r="B244" s="3">
        <f>IF(A244="","— at issue —","iCoA-PP_26-"&amp;TEXT(A244,"000"))</f>
        <v/>
      </c>
      <c r="C244" s="6" t="inlineStr">
        <is>
          <t>no</t>
        </is>
      </c>
      <c r="D244" s="5">
        <f>IF(A244="","",E244)</f>
        <v/>
      </c>
      <c r="E244" s="5">
        <f>IF(AND(C244="yes",ISNUMBER(G244)),MAX(DATE(2026,5,13),G244),"")</f>
        <v/>
      </c>
      <c r="F244" s="5">
        <f>IFERROR(INDEX('Batch Dates'!$F:$F,MATCH(J244,'Batch Dates'!$C:$C,0)),IFERROR(INDEX('Batch Dates'!$F:$F,MATCH(I244,'Batch Dates'!$B:$B,0)),""))</f>
        <v/>
      </c>
      <c r="G244" s="5">
        <f>IFERROR(INDEX('Batch Dates'!$G:$G,MATCH(J244,'Batch Dates'!$C:$C,0)),IFERROR(INDEX('Batch Dates'!$G:$G,MATCH(I244,'Batch Dates'!$B:$B,0)),""))</f>
        <v/>
      </c>
      <c r="H244" s="2" t="inlineStr">
        <is>
          <t>retest — QP campaign</t>
        </is>
      </c>
      <c r="I244" s="3" t="inlineStr">
        <is>
          <t>KC102501</t>
        </is>
      </c>
      <c r="J244" s="2" t="inlineStr">
        <is>
          <t>P060172</t>
        </is>
      </c>
      <c r="K244" s="2" t="inlineStr">
        <is>
          <t>Kush Crasher</t>
        </is>
      </c>
      <c r="L244" s="2" t="inlineStr">
        <is>
          <t>Ident A + Ident B</t>
        </is>
      </c>
      <c r="M244" s="2" t="inlineStr">
        <is>
          <t>iCoA_P01-02 · Appearance &amp; Identification A/B</t>
        </is>
      </c>
      <c r="N244" s="6" t="inlineStr">
        <is>
          <t>—</t>
        </is>
      </c>
      <c r="O244" s="6" t="inlineStr">
        <is>
          <t>— retest assay not yet on file —</t>
        </is>
      </c>
      <c r="P244" s="2" t="inlineStr">
        <is>
          <t>CoQ reissue (assigned on issue)</t>
        </is>
      </c>
      <c r="Q244" s="6" t="inlineStr">
        <is>
          <t>—</t>
        </is>
      </c>
      <c r="R244" s="2" t="inlineStr">
        <is>
          <t>P060172|AB|R</t>
        </is>
      </c>
      <c r="S244" s="8" t="inlineStr">
        <is>
          <t>not yet issuable — retest assay not yet on file</t>
        </is>
      </c>
    </row>
    <row r="245">
      <c r="A245" s="2">
        <f>IF(C245="yes",COUNT(A$1:A244)+1,"")</f>
        <v/>
      </c>
      <c r="B245" s="3">
        <f>IF(A245="","— at issue —","iCoA-PP_26-"&amp;TEXT(A245,"000"))</f>
        <v/>
      </c>
      <c r="C245" s="6" t="inlineStr">
        <is>
          <t>no</t>
        </is>
      </c>
      <c r="D245" s="5">
        <f>IF(A245="","",E245)</f>
        <v/>
      </c>
      <c r="E245" s="5">
        <f>IF(AND(C245="yes",ISNUMBER(G245)),MAX(DATE(2026,5,13),G245),"")</f>
        <v/>
      </c>
      <c r="F245" s="5">
        <f>IFERROR(INDEX('Batch Dates'!$F:$F,MATCH(J245,'Batch Dates'!$C:$C,0)),IFERROR(INDEX('Batch Dates'!$F:$F,MATCH(I245,'Batch Dates'!$B:$B,0)),""))</f>
        <v/>
      </c>
      <c r="G245" s="5">
        <f>IFERROR(INDEX('Batch Dates'!$G:$G,MATCH(J245,'Batch Dates'!$C:$C,0)),IFERROR(INDEX('Batch Dates'!$G:$G,MATCH(I245,'Batch Dates'!$B:$B,0)),""))</f>
        <v/>
      </c>
      <c r="H245" s="2" t="inlineStr">
        <is>
          <t>retest — QP campaign</t>
        </is>
      </c>
      <c r="I245" s="3" t="inlineStr">
        <is>
          <t>KC102501</t>
        </is>
      </c>
      <c r="J245" s="2" t="inlineStr">
        <is>
          <t>P060172</t>
        </is>
      </c>
      <c r="K245" s="2" t="inlineStr">
        <is>
          <t>Kush Crasher</t>
        </is>
      </c>
      <c r="L245" s="2" t="inlineStr">
        <is>
          <t>Foreign matter</t>
        </is>
      </c>
      <c r="M245" s="2" t="inlineStr">
        <is>
          <t>iCoA_P07 · Foreign matter</t>
        </is>
      </c>
      <c r="N245" s="6" t="inlineStr">
        <is>
          <t>—</t>
        </is>
      </c>
      <c r="O245" s="6" t="inlineStr">
        <is>
          <t>— retest assay not yet on file —</t>
        </is>
      </c>
      <c r="P245" s="2" t="inlineStr">
        <is>
          <t>CoQ reissue (assigned on issue)</t>
        </is>
      </c>
      <c r="Q245" s="6" t="inlineStr">
        <is>
          <t>—</t>
        </is>
      </c>
      <c r="R245" s="2" t="inlineStr">
        <is>
          <t>P060172|FM|R</t>
        </is>
      </c>
      <c r="S245" s="8" t="inlineStr">
        <is>
          <t>not yet issuable — retest assay not yet on file</t>
        </is>
      </c>
    </row>
    <row r="246">
      <c r="A246" s="2">
        <f>IF(C246="yes",COUNT(A$1:A245)+1,"")</f>
        <v/>
      </c>
      <c r="B246" s="3">
        <f>IF(A246="","— at issue —","iCoA-PP_26-"&amp;TEXT(A246,"000"))</f>
        <v/>
      </c>
      <c r="C246" s="6" t="inlineStr">
        <is>
          <t>no</t>
        </is>
      </c>
      <c r="D246" s="5">
        <f>IF(A246="","",E246)</f>
        <v/>
      </c>
      <c r="E246" s="5">
        <f>IF(AND(C246="yes",ISNUMBER(G246)),MAX(DATE(2026,5,13),G246),"")</f>
        <v/>
      </c>
      <c r="F246" s="5">
        <f>IFERROR(INDEX('Batch Dates'!$F:$F,MATCH(J246,'Batch Dates'!$C:$C,0)),IFERROR(INDEX('Batch Dates'!$F:$F,MATCH(I246,'Batch Dates'!$B:$B,0)),""))</f>
        <v/>
      </c>
      <c r="G246" s="5">
        <f>IFERROR(INDEX('Batch Dates'!$G:$G,MATCH(J246,'Batch Dates'!$C:$C,0)),IFERROR(INDEX('Batch Dates'!$G:$G,MATCH(I246,'Batch Dates'!$B:$B,0)),""))</f>
        <v/>
      </c>
      <c r="H246" s="2" t="inlineStr">
        <is>
          <t>retest — QP campaign</t>
        </is>
      </c>
      <c r="I246" s="3" t="inlineStr">
        <is>
          <t>GRC102501</t>
        </is>
      </c>
      <c r="J246" s="2" t="inlineStr">
        <is>
          <t>P060182</t>
        </is>
      </c>
      <c r="K246" s="2" t="inlineStr">
        <is>
          <t>Graps &amp; Creme</t>
        </is>
      </c>
      <c r="L246" s="2" t="inlineStr">
        <is>
          <t>Ident A + Ident B</t>
        </is>
      </c>
      <c r="M246" s="2" t="inlineStr">
        <is>
          <t>iCoA_P01-02 · Appearance &amp; Identification A/B</t>
        </is>
      </c>
      <c r="N246" s="6" t="inlineStr">
        <is>
          <t>—</t>
        </is>
      </c>
      <c r="O246" s="6" t="inlineStr">
        <is>
          <t>— retest assay not yet on file —</t>
        </is>
      </c>
      <c r="P246" s="2" t="inlineStr">
        <is>
          <t>CoQ reissue (assigned on issue)</t>
        </is>
      </c>
      <c r="Q246" s="6" t="inlineStr">
        <is>
          <t>—</t>
        </is>
      </c>
      <c r="R246" s="2" t="inlineStr">
        <is>
          <t>P060182|AB|R</t>
        </is>
      </c>
      <c r="S246" s="8" t="inlineStr">
        <is>
          <t>not yet issuable — retest assay not yet on file</t>
        </is>
      </c>
    </row>
    <row r="247">
      <c r="A247" s="2">
        <f>IF(C247="yes",COUNT(A$1:A246)+1,"")</f>
        <v/>
      </c>
      <c r="B247" s="3">
        <f>IF(A247="","— at issue —","iCoA-PP_26-"&amp;TEXT(A247,"000"))</f>
        <v/>
      </c>
      <c r="C247" s="6" t="inlineStr">
        <is>
          <t>no</t>
        </is>
      </c>
      <c r="D247" s="5">
        <f>IF(A247="","",E247)</f>
        <v/>
      </c>
      <c r="E247" s="5">
        <f>IF(AND(C247="yes",ISNUMBER(G247)),MAX(DATE(2026,5,13),G247),"")</f>
        <v/>
      </c>
      <c r="F247" s="5">
        <f>IFERROR(INDEX('Batch Dates'!$F:$F,MATCH(J247,'Batch Dates'!$C:$C,0)),IFERROR(INDEX('Batch Dates'!$F:$F,MATCH(I247,'Batch Dates'!$B:$B,0)),""))</f>
        <v/>
      </c>
      <c r="G247" s="5">
        <f>IFERROR(INDEX('Batch Dates'!$G:$G,MATCH(J247,'Batch Dates'!$C:$C,0)),IFERROR(INDEX('Batch Dates'!$G:$G,MATCH(I247,'Batch Dates'!$B:$B,0)),""))</f>
        <v/>
      </c>
      <c r="H247" s="2" t="inlineStr">
        <is>
          <t>retest — QP campaign</t>
        </is>
      </c>
      <c r="I247" s="3" t="inlineStr">
        <is>
          <t>GRC102501</t>
        </is>
      </c>
      <c r="J247" s="2" t="inlineStr">
        <is>
          <t>P060182</t>
        </is>
      </c>
      <c r="K247" s="2" t="inlineStr">
        <is>
          <t>Graps &amp; Creme</t>
        </is>
      </c>
      <c r="L247" s="2" t="inlineStr">
        <is>
          <t>Foreign matter</t>
        </is>
      </c>
      <c r="M247" s="2" t="inlineStr">
        <is>
          <t>iCoA_P07 · Foreign matter</t>
        </is>
      </c>
      <c r="N247" s="6" t="inlineStr">
        <is>
          <t>—</t>
        </is>
      </c>
      <c r="O247" s="6" t="inlineStr">
        <is>
          <t>— retest assay not yet on file —</t>
        </is>
      </c>
      <c r="P247" s="2" t="inlineStr">
        <is>
          <t>CoQ reissue (assigned on issue)</t>
        </is>
      </c>
      <c r="Q247" s="6" t="inlineStr">
        <is>
          <t>—</t>
        </is>
      </c>
      <c r="R247" s="2" t="inlineStr">
        <is>
          <t>P060182|FM|R</t>
        </is>
      </c>
      <c r="S247" s="8" t="inlineStr">
        <is>
          <t>not yet issuable — retest assay not yet on file</t>
        </is>
      </c>
    </row>
    <row r="248">
      <c r="A248" s="2">
        <f>IF(C248="yes",COUNT(A$1:A247)+1,"")</f>
        <v/>
      </c>
      <c r="B248" s="3">
        <f>IF(A248="","— at issue —","iCoA-PP_26-"&amp;TEXT(A248,"000"))</f>
        <v/>
      </c>
      <c r="C248" s="6" t="inlineStr">
        <is>
          <t>no</t>
        </is>
      </c>
      <c r="D248" s="5">
        <f>IF(A248="","",E248)</f>
        <v/>
      </c>
      <c r="E248" s="5">
        <f>IF(AND(C248="yes",ISNUMBER(G248)),MAX(DATE(2026,5,13),G248),"")</f>
        <v/>
      </c>
      <c r="F248" s="5">
        <f>IFERROR(INDEX('Batch Dates'!$F:$F,MATCH(J248,'Batch Dates'!$C:$C,0)),IFERROR(INDEX('Batch Dates'!$F:$F,MATCH(I248,'Batch Dates'!$B:$B,0)),""))</f>
        <v/>
      </c>
      <c r="G248" s="5">
        <f>IFERROR(INDEX('Batch Dates'!$G:$G,MATCH(J248,'Batch Dates'!$C:$C,0)),IFERROR(INDEX('Batch Dates'!$G:$G,MATCH(I248,'Batch Dates'!$B:$B,0)),""))</f>
        <v/>
      </c>
      <c r="H248" s="2" t="inlineStr">
        <is>
          <t>retest — QP campaign</t>
        </is>
      </c>
      <c r="I248" s="3" t="inlineStr">
        <is>
          <t>J31112501</t>
        </is>
      </c>
      <c r="J248" s="2" t="inlineStr">
        <is>
          <t>P060202</t>
        </is>
      </c>
      <c r="K248" s="2" t="inlineStr">
        <is>
          <t>Jokerz 31</t>
        </is>
      </c>
      <c r="L248" s="2" t="inlineStr">
        <is>
          <t>Ident A + Ident B</t>
        </is>
      </c>
      <c r="M248" s="2" t="inlineStr">
        <is>
          <t>iCoA_P01-02 · Appearance &amp; Identification A/B</t>
        </is>
      </c>
      <c r="N248" s="6" t="inlineStr">
        <is>
          <t>—</t>
        </is>
      </c>
      <c r="O248" s="6" t="inlineStr">
        <is>
          <t>— retest assay not yet on file —</t>
        </is>
      </c>
      <c r="P248" s="2" t="inlineStr">
        <is>
          <t>CoQ reissue (assigned on issue)</t>
        </is>
      </c>
      <c r="Q248" s="6" t="inlineStr">
        <is>
          <t>—</t>
        </is>
      </c>
      <c r="R248" s="2" t="inlineStr">
        <is>
          <t>P060202|AB|R</t>
        </is>
      </c>
      <c r="S248" s="8" t="inlineStr">
        <is>
          <t>not yet issuable — retest assay not yet on file</t>
        </is>
      </c>
    </row>
    <row r="249">
      <c r="A249" s="2">
        <f>IF(C249="yes",COUNT(A$1:A248)+1,"")</f>
        <v/>
      </c>
      <c r="B249" s="3">
        <f>IF(A249="","— at issue —","iCoA-PP_26-"&amp;TEXT(A249,"000"))</f>
        <v/>
      </c>
      <c r="C249" s="6" t="inlineStr">
        <is>
          <t>no</t>
        </is>
      </c>
      <c r="D249" s="5">
        <f>IF(A249="","",E249)</f>
        <v/>
      </c>
      <c r="E249" s="5">
        <f>IF(AND(C249="yes",ISNUMBER(G249)),MAX(DATE(2026,5,13),G249),"")</f>
        <v/>
      </c>
      <c r="F249" s="5">
        <f>IFERROR(INDEX('Batch Dates'!$F:$F,MATCH(J249,'Batch Dates'!$C:$C,0)),IFERROR(INDEX('Batch Dates'!$F:$F,MATCH(I249,'Batch Dates'!$B:$B,0)),""))</f>
        <v/>
      </c>
      <c r="G249" s="5">
        <f>IFERROR(INDEX('Batch Dates'!$G:$G,MATCH(J249,'Batch Dates'!$C:$C,0)),IFERROR(INDEX('Batch Dates'!$G:$G,MATCH(I249,'Batch Dates'!$B:$B,0)),""))</f>
        <v/>
      </c>
      <c r="H249" s="2" t="inlineStr">
        <is>
          <t>retest — QP campaign</t>
        </is>
      </c>
      <c r="I249" s="3" t="inlineStr">
        <is>
          <t>J31112501</t>
        </is>
      </c>
      <c r="J249" s="2" t="inlineStr">
        <is>
          <t>P060202</t>
        </is>
      </c>
      <c r="K249" s="2" t="inlineStr">
        <is>
          <t>Jokerz 31</t>
        </is>
      </c>
      <c r="L249" s="2" t="inlineStr">
        <is>
          <t>Foreign matter</t>
        </is>
      </c>
      <c r="M249" s="2" t="inlineStr">
        <is>
          <t>iCoA_P07 · Foreign matter</t>
        </is>
      </c>
      <c r="N249" s="6" t="inlineStr">
        <is>
          <t>—</t>
        </is>
      </c>
      <c r="O249" s="6" t="inlineStr">
        <is>
          <t>— retest assay not yet on file —</t>
        </is>
      </c>
      <c r="P249" s="2" t="inlineStr">
        <is>
          <t>CoQ reissue (assigned on issue)</t>
        </is>
      </c>
      <c r="Q249" s="6" t="inlineStr">
        <is>
          <t>—</t>
        </is>
      </c>
      <c r="R249" s="2" t="inlineStr">
        <is>
          <t>P060202|FM|R</t>
        </is>
      </c>
      <c r="S249" s="8" t="inlineStr">
        <is>
          <t>not yet issuable — retest assay not yet on file</t>
        </is>
      </c>
    </row>
    <row r="250">
      <c r="A250" s="2">
        <f>IF(C250="yes",COUNT(A$1:A249)+1,"")</f>
        <v/>
      </c>
      <c r="B250" s="3">
        <f>IF(A250="","— at issue —","iCoA-PP_26-"&amp;TEXT(A250,"000"))</f>
        <v/>
      </c>
      <c r="C250" s="6" t="inlineStr">
        <is>
          <t>no</t>
        </is>
      </c>
      <c r="D250" s="5">
        <f>IF(A250="","",E250)</f>
        <v/>
      </c>
      <c r="E250" s="5">
        <f>IF(AND(C250="yes",ISNUMBER(G250)),MAX(DATE(2026,5,13),G250),"")</f>
        <v/>
      </c>
      <c r="F250" s="5">
        <f>IFERROR(INDEX('Batch Dates'!$F:$F,MATCH(J250,'Batch Dates'!$C:$C,0)),IFERROR(INDEX('Batch Dates'!$F:$F,MATCH(I250,'Batch Dates'!$B:$B,0)),""))</f>
        <v/>
      </c>
      <c r="G250" s="5">
        <f>IFERROR(INDEX('Batch Dates'!$G:$G,MATCH(J250,'Batch Dates'!$C:$C,0)),IFERROR(INDEX('Batch Dates'!$G:$G,MATCH(I250,'Batch Dates'!$B:$B,0)),""))</f>
        <v/>
      </c>
      <c r="H250" s="2" t="inlineStr">
        <is>
          <t>retest — QP campaign</t>
        </is>
      </c>
      <c r="I250" s="3" t="inlineStr">
        <is>
          <t>JD112501＊</t>
        </is>
      </c>
      <c r="J250" s="2" t="inlineStr">
        <is>
          <t>P060212</t>
        </is>
      </c>
      <c r="K250" s="2" t="inlineStr">
        <is>
          <t>Jelly Donutz</t>
        </is>
      </c>
      <c r="L250" s="2" t="inlineStr">
        <is>
          <t>Ident A + Ident B</t>
        </is>
      </c>
      <c r="M250" s="2" t="inlineStr">
        <is>
          <t>iCoA_P01-02 · Appearance &amp; Identification A/B</t>
        </is>
      </c>
      <c r="N250" s="6" t="inlineStr">
        <is>
          <t>—</t>
        </is>
      </c>
      <c r="O250" s="6" t="inlineStr">
        <is>
          <t>— retest assay not yet on file —</t>
        </is>
      </c>
      <c r="P250" s="2" t="inlineStr">
        <is>
          <t>CoQ reissue (assigned on issue)</t>
        </is>
      </c>
      <c r="Q250" s="6" t="inlineStr">
        <is>
          <t>—</t>
        </is>
      </c>
      <c r="R250" s="2" t="inlineStr">
        <is>
          <t>JD112501|AB|R</t>
        </is>
      </c>
      <c r="S250" s="8" t="inlineStr">
        <is>
          <t>not yet issuable — retest assay not yet on file</t>
        </is>
      </c>
    </row>
    <row r="251">
      <c r="A251" s="2">
        <f>IF(C251="yes",COUNT(A$1:A250)+1,"")</f>
        <v/>
      </c>
      <c r="B251" s="3">
        <f>IF(A251="","— at issue —","iCoA-PP_26-"&amp;TEXT(A251,"000"))</f>
        <v/>
      </c>
      <c r="C251" s="6" t="inlineStr">
        <is>
          <t>no</t>
        </is>
      </c>
      <c r="D251" s="5">
        <f>IF(A251="","",E251)</f>
        <v/>
      </c>
      <c r="E251" s="5">
        <f>IF(AND(C251="yes",ISNUMBER(G251)),MAX(DATE(2026,5,13),G251),"")</f>
        <v/>
      </c>
      <c r="F251" s="5">
        <f>IFERROR(INDEX('Batch Dates'!$F:$F,MATCH(J251,'Batch Dates'!$C:$C,0)),IFERROR(INDEX('Batch Dates'!$F:$F,MATCH(I251,'Batch Dates'!$B:$B,0)),""))</f>
        <v/>
      </c>
      <c r="G251" s="5">
        <f>IFERROR(INDEX('Batch Dates'!$G:$G,MATCH(J251,'Batch Dates'!$C:$C,0)),IFERROR(INDEX('Batch Dates'!$G:$G,MATCH(I251,'Batch Dates'!$B:$B,0)),""))</f>
        <v/>
      </c>
      <c r="H251" s="2" t="inlineStr">
        <is>
          <t>retest — QP campaign</t>
        </is>
      </c>
      <c r="I251" s="3" t="inlineStr">
        <is>
          <t>JD112501＊</t>
        </is>
      </c>
      <c r="J251" s="2" t="inlineStr">
        <is>
          <t>P060212</t>
        </is>
      </c>
      <c r="K251" s="2" t="inlineStr">
        <is>
          <t>Jelly Donutz</t>
        </is>
      </c>
      <c r="L251" s="2" t="inlineStr">
        <is>
          <t>Foreign matter</t>
        </is>
      </c>
      <c r="M251" s="2" t="inlineStr">
        <is>
          <t>iCoA_P07 · Foreign matter</t>
        </is>
      </c>
      <c r="N251" s="6" t="inlineStr">
        <is>
          <t>—</t>
        </is>
      </c>
      <c r="O251" s="6" t="inlineStr">
        <is>
          <t>— retest assay not yet on file —</t>
        </is>
      </c>
      <c r="P251" s="2" t="inlineStr">
        <is>
          <t>CoQ reissue (assigned on issue)</t>
        </is>
      </c>
      <c r="Q251" s="6" t="inlineStr">
        <is>
          <t>—</t>
        </is>
      </c>
      <c r="R251" s="2" t="inlineStr">
        <is>
          <t>JD112501|FM|R</t>
        </is>
      </c>
      <c r="S251" s="8" t="inlineStr">
        <is>
          <t>not yet issuable — retest assay not yet on file</t>
        </is>
      </c>
    </row>
    <row r="252">
      <c r="A252" s="2">
        <f>IF(C252="yes",COUNT(A$1:A251)+1,"")</f>
        <v/>
      </c>
      <c r="B252" s="3">
        <f>IF(A252="","— at issue —","iCoA-PP_26-"&amp;TEXT(A252,"000"))</f>
        <v/>
      </c>
      <c r="C252" s="6" t="inlineStr">
        <is>
          <t>no</t>
        </is>
      </c>
      <c r="D252" s="5">
        <f>IF(A252="","",E252)</f>
        <v/>
      </c>
      <c r="E252" s="5">
        <f>IF(AND(C252="yes",ISNUMBER(G252)),MAX(DATE(2026,5,13),G252),"")</f>
        <v/>
      </c>
      <c r="F252" s="5">
        <f>IFERROR(INDEX('Batch Dates'!$F:$F,MATCH(J252,'Batch Dates'!$C:$C,0)),IFERROR(INDEX('Batch Dates'!$F:$F,MATCH(I252,'Batch Dates'!$B:$B,0)),""))</f>
        <v/>
      </c>
      <c r="G252" s="5">
        <f>IFERROR(INDEX('Batch Dates'!$G:$G,MATCH(J252,'Batch Dates'!$C:$C,0)),IFERROR(INDEX('Batch Dates'!$G:$G,MATCH(I252,'Batch Dates'!$B:$B,0)),""))</f>
        <v/>
      </c>
      <c r="H252" s="2" t="inlineStr">
        <is>
          <t>retest — QP campaign</t>
        </is>
      </c>
      <c r="I252" s="3" t="inlineStr">
        <is>
          <t>J31122501</t>
        </is>
      </c>
      <c r="J252" s="2" t="inlineStr">
        <is>
          <t>P060262</t>
        </is>
      </c>
      <c r="K252" s="2" t="inlineStr">
        <is>
          <t>Jokerz 31</t>
        </is>
      </c>
      <c r="L252" s="2" t="inlineStr">
        <is>
          <t>Ident A + Ident B</t>
        </is>
      </c>
      <c r="M252" s="2" t="inlineStr">
        <is>
          <t>iCoA_P01-02 · Appearance &amp; Identification A/B</t>
        </is>
      </c>
      <c r="N252" s="6" t="inlineStr">
        <is>
          <t>—</t>
        </is>
      </c>
      <c r="O252" s="6" t="inlineStr">
        <is>
          <t>— retest assay not yet on file —</t>
        </is>
      </c>
      <c r="P252" s="2" t="inlineStr">
        <is>
          <t>CoQ reissue (assigned on issue)</t>
        </is>
      </c>
      <c r="Q252" s="6" t="inlineStr">
        <is>
          <t>—</t>
        </is>
      </c>
      <c r="R252" s="2" t="inlineStr">
        <is>
          <t>P060262|AB|R</t>
        </is>
      </c>
      <c r="S252" s="8" t="inlineStr">
        <is>
          <t>not yet issuable — retest assay not yet on file</t>
        </is>
      </c>
    </row>
    <row r="253">
      <c r="A253" s="2">
        <f>IF(C253="yes",COUNT(A$1:A252)+1,"")</f>
        <v/>
      </c>
      <c r="B253" s="3">
        <f>IF(A253="","— at issue —","iCoA-PP_26-"&amp;TEXT(A253,"000"))</f>
        <v/>
      </c>
      <c r="C253" s="6" t="inlineStr">
        <is>
          <t>no</t>
        </is>
      </c>
      <c r="D253" s="5">
        <f>IF(A253="","",E253)</f>
        <v/>
      </c>
      <c r="E253" s="5">
        <f>IF(AND(C253="yes",ISNUMBER(G253)),MAX(DATE(2026,5,13),G253),"")</f>
        <v/>
      </c>
      <c r="F253" s="5">
        <f>IFERROR(INDEX('Batch Dates'!$F:$F,MATCH(J253,'Batch Dates'!$C:$C,0)),IFERROR(INDEX('Batch Dates'!$F:$F,MATCH(I253,'Batch Dates'!$B:$B,0)),""))</f>
        <v/>
      </c>
      <c r="G253" s="5">
        <f>IFERROR(INDEX('Batch Dates'!$G:$G,MATCH(J253,'Batch Dates'!$C:$C,0)),IFERROR(INDEX('Batch Dates'!$G:$G,MATCH(I253,'Batch Dates'!$B:$B,0)),""))</f>
        <v/>
      </c>
      <c r="H253" s="2" t="inlineStr">
        <is>
          <t>retest — QP campaign</t>
        </is>
      </c>
      <c r="I253" s="3" t="inlineStr">
        <is>
          <t>J31122501</t>
        </is>
      </c>
      <c r="J253" s="2" t="inlineStr">
        <is>
          <t>P060262</t>
        </is>
      </c>
      <c r="K253" s="2" t="inlineStr">
        <is>
          <t>Jokerz 31</t>
        </is>
      </c>
      <c r="L253" s="2" t="inlineStr">
        <is>
          <t>Foreign matter</t>
        </is>
      </c>
      <c r="M253" s="2" t="inlineStr">
        <is>
          <t>iCoA_P07 · Foreign matter</t>
        </is>
      </c>
      <c r="N253" s="6" t="inlineStr">
        <is>
          <t>—</t>
        </is>
      </c>
      <c r="O253" s="6" t="inlineStr">
        <is>
          <t>— retest assay not yet on file —</t>
        </is>
      </c>
      <c r="P253" s="2" t="inlineStr">
        <is>
          <t>CoQ reissue (assigned on issue)</t>
        </is>
      </c>
      <c r="Q253" s="6" t="inlineStr">
        <is>
          <t>—</t>
        </is>
      </c>
      <c r="R253" s="2" t="inlineStr">
        <is>
          <t>P060262|FM|R</t>
        </is>
      </c>
      <c r="S253" s="8" t="inlineStr">
        <is>
          <t>not yet issuable — retest assay not yet on file</t>
        </is>
      </c>
    </row>
    <row r="254">
      <c r="A254" s="2">
        <f>IF(C254="yes",COUNT(A$1:A253)+1,"")</f>
        <v/>
      </c>
      <c r="B254" s="3">
        <f>IF(A254="","— at issue —","iCoA-PP_26-"&amp;TEXT(A254,"000"))</f>
        <v/>
      </c>
      <c r="C254" s="6" t="inlineStr">
        <is>
          <t>no</t>
        </is>
      </c>
      <c r="D254" s="5">
        <f>IF(A254="","",E254)</f>
        <v/>
      </c>
      <c r="E254" s="5">
        <f>IF(AND(C254="yes",ISNUMBER(G254)),MAX(DATE(2026,5,13),G254),"")</f>
        <v/>
      </c>
      <c r="F254" s="5">
        <f>IFERROR(INDEX('Batch Dates'!$F:$F,MATCH(J254,'Batch Dates'!$C:$C,0)),IFERROR(INDEX('Batch Dates'!$F:$F,MATCH(I254,'Batch Dates'!$B:$B,0)),""))</f>
        <v/>
      </c>
      <c r="G254" s="5">
        <f>IFERROR(INDEX('Batch Dates'!$G:$G,MATCH(J254,'Batch Dates'!$C:$C,0)),IFERROR(INDEX('Batch Dates'!$G:$G,MATCH(I254,'Batch Dates'!$B:$B,0)),""))</f>
        <v/>
      </c>
      <c r="H254" s="2" t="inlineStr">
        <is>
          <t>retest — QP campaign</t>
        </is>
      </c>
      <c r="I254" s="3" t="inlineStr">
        <is>
          <t>PM112501</t>
        </is>
      </c>
      <c r="J254" s="2" t="inlineStr">
        <is>
          <t>P060232</t>
        </is>
      </c>
      <c r="K254" s="2" t="inlineStr">
        <is>
          <t>Permanent Market</t>
        </is>
      </c>
      <c r="L254" s="2" t="inlineStr">
        <is>
          <t>Ident A + Ident B</t>
        </is>
      </c>
      <c r="M254" s="2" t="inlineStr">
        <is>
          <t>iCoA_P01-02 · Appearance &amp; Identification A/B</t>
        </is>
      </c>
      <c r="N254" s="6" t="inlineStr">
        <is>
          <t>—</t>
        </is>
      </c>
      <c r="O254" s="6" t="inlineStr">
        <is>
          <t>— retest assay not yet on file —</t>
        </is>
      </c>
      <c r="P254" s="2" t="inlineStr">
        <is>
          <t>CoQ reissue (assigned on issue)</t>
        </is>
      </c>
      <c r="Q254" s="6" t="inlineStr">
        <is>
          <t>—</t>
        </is>
      </c>
      <c r="R254" s="2" t="inlineStr">
        <is>
          <t>P060232|AB|R</t>
        </is>
      </c>
      <c r="S254" s="8" t="inlineStr">
        <is>
          <t>not yet issuable — retest assay not yet on file</t>
        </is>
      </c>
    </row>
    <row r="255">
      <c r="A255" s="2">
        <f>IF(C255="yes",COUNT(A$1:A254)+1,"")</f>
        <v/>
      </c>
      <c r="B255" s="3">
        <f>IF(A255="","— at issue —","iCoA-PP_26-"&amp;TEXT(A255,"000"))</f>
        <v/>
      </c>
      <c r="C255" s="6" t="inlineStr">
        <is>
          <t>no</t>
        </is>
      </c>
      <c r="D255" s="5">
        <f>IF(A255="","",E255)</f>
        <v/>
      </c>
      <c r="E255" s="5">
        <f>IF(AND(C255="yes",ISNUMBER(G255)),MAX(DATE(2026,5,13),G255),"")</f>
        <v/>
      </c>
      <c r="F255" s="5">
        <f>IFERROR(INDEX('Batch Dates'!$F:$F,MATCH(J255,'Batch Dates'!$C:$C,0)),IFERROR(INDEX('Batch Dates'!$F:$F,MATCH(I255,'Batch Dates'!$B:$B,0)),""))</f>
        <v/>
      </c>
      <c r="G255" s="5">
        <f>IFERROR(INDEX('Batch Dates'!$G:$G,MATCH(J255,'Batch Dates'!$C:$C,0)),IFERROR(INDEX('Batch Dates'!$G:$G,MATCH(I255,'Batch Dates'!$B:$B,0)),""))</f>
        <v/>
      </c>
      <c r="H255" s="2" t="inlineStr">
        <is>
          <t>retest — QP campaign</t>
        </is>
      </c>
      <c r="I255" s="3" t="inlineStr">
        <is>
          <t>PM112501</t>
        </is>
      </c>
      <c r="J255" s="2" t="inlineStr">
        <is>
          <t>P060232</t>
        </is>
      </c>
      <c r="K255" s="2" t="inlineStr">
        <is>
          <t>Permanent Market</t>
        </is>
      </c>
      <c r="L255" s="2" t="inlineStr">
        <is>
          <t>Foreign matter</t>
        </is>
      </c>
      <c r="M255" s="2" t="inlineStr">
        <is>
          <t>iCoA_P07 · Foreign matter</t>
        </is>
      </c>
      <c r="N255" s="6" t="inlineStr">
        <is>
          <t>—</t>
        </is>
      </c>
      <c r="O255" s="6" t="inlineStr">
        <is>
          <t>— retest assay not yet on file —</t>
        </is>
      </c>
      <c r="P255" s="2" t="inlineStr">
        <is>
          <t>CoQ reissue (assigned on issue)</t>
        </is>
      </c>
      <c r="Q255" s="6" t="inlineStr">
        <is>
          <t>—</t>
        </is>
      </c>
      <c r="R255" s="2" t="inlineStr">
        <is>
          <t>P060232|FM|R</t>
        </is>
      </c>
      <c r="S255" s="8" t="inlineStr">
        <is>
          <t>not yet issuable — retest assay not yet on file</t>
        </is>
      </c>
    </row>
    <row r="256">
      <c r="A256" s="2">
        <f>IF(C256="yes",COUNT(A$1:A255)+1,"")</f>
        <v/>
      </c>
      <c r="B256" s="3">
        <f>IF(A256="","— at issue —","iCoA-PP_26-"&amp;TEXT(A256,"000"))</f>
        <v/>
      </c>
      <c r="C256" s="6" t="inlineStr">
        <is>
          <t>no</t>
        </is>
      </c>
      <c r="D256" s="5">
        <f>IF(A256="","",E256)</f>
        <v/>
      </c>
      <c r="E256" s="5">
        <f>IF(AND(C256="yes",ISNUMBER(G256)),MAX(DATE(2026,5,13),G256),"")</f>
        <v/>
      </c>
      <c r="F256" s="5">
        <f>IFERROR(INDEX('Batch Dates'!$F:$F,MATCH(J256,'Batch Dates'!$C:$C,0)),IFERROR(INDEX('Batch Dates'!$F:$F,MATCH(I256,'Batch Dates'!$B:$B,0)),""))</f>
        <v/>
      </c>
      <c r="G256" s="5">
        <f>IFERROR(INDEX('Batch Dates'!$G:$G,MATCH(J256,'Batch Dates'!$C:$C,0)),IFERROR(INDEX('Batch Dates'!$G:$G,MATCH(I256,'Batch Dates'!$B:$B,0)),""))</f>
        <v/>
      </c>
      <c r="H256" s="2" t="inlineStr">
        <is>
          <t>retest — QP campaign</t>
        </is>
      </c>
      <c r="I256" s="3" t="inlineStr">
        <is>
          <t>CC112501</t>
        </is>
      </c>
      <c r="J256" s="2" t="inlineStr">
        <is>
          <t>P060272</t>
        </is>
      </c>
      <c r="K256" s="2" t="inlineStr">
        <is>
          <t>Cash Cow</t>
        </is>
      </c>
      <c r="L256" s="2" t="inlineStr">
        <is>
          <t>Ident A + Ident B</t>
        </is>
      </c>
      <c r="M256" s="2" t="inlineStr">
        <is>
          <t>iCoA_P01-02 · Appearance &amp; Identification A/B</t>
        </is>
      </c>
      <c r="N256" s="6" t="inlineStr">
        <is>
          <t>—</t>
        </is>
      </c>
      <c r="O256" s="6" t="inlineStr">
        <is>
          <t>— retest assay not yet on file —</t>
        </is>
      </c>
      <c r="P256" s="2" t="inlineStr">
        <is>
          <t>CoQ reissue (assigned on issue)</t>
        </is>
      </c>
      <c r="Q256" s="6" t="inlineStr">
        <is>
          <t>—</t>
        </is>
      </c>
      <c r="R256" s="2" t="inlineStr">
        <is>
          <t>P060272|AB|R</t>
        </is>
      </c>
      <c r="S256" s="8" t="inlineStr">
        <is>
          <t>not yet issuable — retest assay not yet on file</t>
        </is>
      </c>
    </row>
    <row r="257">
      <c r="A257" s="2">
        <f>IF(C257="yes",COUNT(A$1:A256)+1,"")</f>
        <v/>
      </c>
      <c r="B257" s="3">
        <f>IF(A257="","— at issue —","iCoA-PP_26-"&amp;TEXT(A257,"000"))</f>
        <v/>
      </c>
      <c r="C257" s="6" t="inlineStr">
        <is>
          <t>no</t>
        </is>
      </c>
      <c r="D257" s="5">
        <f>IF(A257="","",E257)</f>
        <v/>
      </c>
      <c r="E257" s="5">
        <f>IF(AND(C257="yes",ISNUMBER(G257)),MAX(DATE(2026,5,13),G257),"")</f>
        <v/>
      </c>
      <c r="F257" s="5">
        <f>IFERROR(INDEX('Batch Dates'!$F:$F,MATCH(J257,'Batch Dates'!$C:$C,0)),IFERROR(INDEX('Batch Dates'!$F:$F,MATCH(I257,'Batch Dates'!$B:$B,0)),""))</f>
        <v/>
      </c>
      <c r="G257" s="5">
        <f>IFERROR(INDEX('Batch Dates'!$G:$G,MATCH(J257,'Batch Dates'!$C:$C,0)),IFERROR(INDEX('Batch Dates'!$G:$G,MATCH(I257,'Batch Dates'!$B:$B,0)),""))</f>
        <v/>
      </c>
      <c r="H257" s="2" t="inlineStr">
        <is>
          <t>retest — QP campaign</t>
        </is>
      </c>
      <c r="I257" s="3" t="inlineStr">
        <is>
          <t>CC112501</t>
        </is>
      </c>
      <c r="J257" s="2" t="inlineStr">
        <is>
          <t>P060272</t>
        </is>
      </c>
      <c r="K257" s="2" t="inlineStr">
        <is>
          <t>Cash Cow</t>
        </is>
      </c>
      <c r="L257" s="2" t="inlineStr">
        <is>
          <t>Foreign matter</t>
        </is>
      </c>
      <c r="M257" s="2" t="inlineStr">
        <is>
          <t>iCoA_P07 · Foreign matter</t>
        </is>
      </c>
      <c r="N257" s="6" t="inlineStr">
        <is>
          <t>—</t>
        </is>
      </c>
      <c r="O257" s="6" t="inlineStr">
        <is>
          <t>— retest assay not yet on file —</t>
        </is>
      </c>
      <c r="P257" s="2" t="inlineStr">
        <is>
          <t>CoQ reissue (assigned on issue)</t>
        </is>
      </c>
      <c r="Q257" s="6" t="inlineStr">
        <is>
          <t>—</t>
        </is>
      </c>
      <c r="R257" s="2" t="inlineStr">
        <is>
          <t>P060272|FM|R</t>
        </is>
      </c>
      <c r="S257" s="8" t="inlineStr">
        <is>
          <t>not yet issuable — retest assay not yet on file</t>
        </is>
      </c>
    </row>
    <row r="258">
      <c r="A258" s="2">
        <f>IF(C258="yes",COUNT(A$1:A257)+1,"")</f>
        <v/>
      </c>
      <c r="B258" s="3">
        <f>IF(A258="","— at issue —","iCoA-PP_26-"&amp;TEXT(A258,"000"))</f>
        <v/>
      </c>
      <c r="C258" s="6" t="inlineStr">
        <is>
          <t>no</t>
        </is>
      </c>
      <c r="D258" s="5">
        <f>IF(A258="","",E258)</f>
        <v/>
      </c>
      <c r="E258" s="5">
        <f>IF(AND(C258="yes",ISNUMBER(G258)),MAX(DATE(2026,5,13),G258),"")</f>
        <v/>
      </c>
      <c r="F258" s="5">
        <f>IFERROR(INDEX('Batch Dates'!$F:$F,MATCH(J258,'Batch Dates'!$C:$C,0)),IFERROR(INDEX('Batch Dates'!$F:$F,MATCH(I258,'Batch Dates'!$B:$B,0)),""))</f>
        <v/>
      </c>
      <c r="G258" s="5">
        <f>IFERROR(INDEX('Batch Dates'!$G:$G,MATCH(J258,'Batch Dates'!$C:$C,0)),IFERROR(INDEX('Batch Dates'!$G:$G,MATCH(I258,'Batch Dates'!$B:$B,0)),""))</f>
        <v/>
      </c>
      <c r="H258" s="2" t="inlineStr">
        <is>
          <t>retest — QP campaign</t>
        </is>
      </c>
      <c r="I258" s="3" t="inlineStr">
        <is>
          <t>FB112501</t>
        </is>
      </c>
      <c r="J258" s="2" t="inlineStr">
        <is>
          <t>P060292</t>
        </is>
      </c>
      <c r="K258" s="2" t="inlineStr">
        <is>
          <t>Fat Bastard</t>
        </is>
      </c>
      <c r="L258" s="2" t="inlineStr">
        <is>
          <t>Ident A + Ident B</t>
        </is>
      </c>
      <c r="M258" s="2" t="inlineStr">
        <is>
          <t>iCoA_P01-02 · Appearance &amp; Identification A/B</t>
        </is>
      </c>
      <c r="N258" s="6" t="inlineStr">
        <is>
          <t>—</t>
        </is>
      </c>
      <c r="O258" s="6" t="inlineStr">
        <is>
          <t>— retest assay not yet on file —</t>
        </is>
      </c>
      <c r="P258" s="2" t="inlineStr">
        <is>
          <t>CoQ reissue (assigned on issue)</t>
        </is>
      </c>
      <c r="Q258" s="6" t="inlineStr">
        <is>
          <t>—</t>
        </is>
      </c>
      <c r="R258" s="2" t="inlineStr">
        <is>
          <t>P060292|AB|R</t>
        </is>
      </c>
      <c r="S258" s="8" t="inlineStr">
        <is>
          <t>not yet issuable — retest assay not yet on file</t>
        </is>
      </c>
    </row>
    <row r="259">
      <c r="A259" s="2">
        <f>IF(C259="yes",COUNT(A$1:A258)+1,"")</f>
        <v/>
      </c>
      <c r="B259" s="3">
        <f>IF(A259="","— at issue —","iCoA-PP_26-"&amp;TEXT(A259,"000"))</f>
        <v/>
      </c>
      <c r="C259" s="6" t="inlineStr">
        <is>
          <t>no</t>
        </is>
      </c>
      <c r="D259" s="5">
        <f>IF(A259="","",E259)</f>
        <v/>
      </c>
      <c r="E259" s="5">
        <f>IF(AND(C259="yes",ISNUMBER(G259)),MAX(DATE(2026,5,13),G259),"")</f>
        <v/>
      </c>
      <c r="F259" s="5">
        <f>IFERROR(INDEX('Batch Dates'!$F:$F,MATCH(J259,'Batch Dates'!$C:$C,0)),IFERROR(INDEX('Batch Dates'!$F:$F,MATCH(I259,'Batch Dates'!$B:$B,0)),""))</f>
        <v/>
      </c>
      <c r="G259" s="5">
        <f>IFERROR(INDEX('Batch Dates'!$G:$G,MATCH(J259,'Batch Dates'!$C:$C,0)),IFERROR(INDEX('Batch Dates'!$G:$G,MATCH(I259,'Batch Dates'!$B:$B,0)),""))</f>
        <v/>
      </c>
      <c r="H259" s="2" t="inlineStr">
        <is>
          <t>retest — QP campaign</t>
        </is>
      </c>
      <c r="I259" s="3" t="inlineStr">
        <is>
          <t>FB112501</t>
        </is>
      </c>
      <c r="J259" s="2" t="inlineStr">
        <is>
          <t>P060292</t>
        </is>
      </c>
      <c r="K259" s="2" t="inlineStr">
        <is>
          <t>Fat Bastard</t>
        </is>
      </c>
      <c r="L259" s="2" t="inlineStr">
        <is>
          <t>Foreign matter</t>
        </is>
      </c>
      <c r="M259" s="2" t="inlineStr">
        <is>
          <t>iCoA_P07 · Foreign matter</t>
        </is>
      </c>
      <c r="N259" s="6" t="inlineStr">
        <is>
          <t>—</t>
        </is>
      </c>
      <c r="O259" s="6" t="inlineStr">
        <is>
          <t>— retest assay not yet on file —</t>
        </is>
      </c>
      <c r="P259" s="2" t="inlineStr">
        <is>
          <t>CoQ reissue (assigned on issue)</t>
        </is>
      </c>
      <c r="Q259" s="6" t="inlineStr">
        <is>
          <t>—</t>
        </is>
      </c>
      <c r="R259" s="2" t="inlineStr">
        <is>
          <t>P060292|FM|R</t>
        </is>
      </c>
      <c r="S259" s="8" t="inlineStr">
        <is>
          <t>not yet issuable — retest assay not yet on file</t>
        </is>
      </c>
    </row>
    <row r="260">
      <c r="A260" s="2">
        <f>IF(C260="yes",COUNT(A$1:A259)+1,"")</f>
        <v/>
      </c>
      <c r="B260" s="3">
        <f>IF(A260="","— at issue —","iCoA-PP_26-"&amp;TEXT(A260,"000"))</f>
        <v/>
      </c>
      <c r="C260" s="6" t="inlineStr">
        <is>
          <t>no</t>
        </is>
      </c>
      <c r="D260" s="5">
        <f>IF(A260="","",E260)</f>
        <v/>
      </c>
      <c r="E260" s="5">
        <f>IF(AND(C260="yes",ISNUMBER(G260)),MAX(DATE(2026,5,13),G260),"")</f>
        <v/>
      </c>
      <c r="F260" s="5">
        <f>IFERROR(INDEX('Batch Dates'!$F:$F,MATCH(J260,'Batch Dates'!$C:$C,0)),IFERROR(INDEX('Batch Dates'!$F:$F,MATCH(I260,'Batch Dates'!$B:$B,0)),""))</f>
        <v/>
      </c>
      <c r="G260" s="5">
        <f>IFERROR(INDEX('Batch Dates'!$G:$G,MATCH(J260,'Batch Dates'!$C:$C,0)),IFERROR(INDEX('Batch Dates'!$G:$G,MATCH(I260,'Batch Dates'!$B:$B,0)),""))</f>
        <v/>
      </c>
      <c r="H260" s="2" t="inlineStr">
        <is>
          <t>retest — QP campaign</t>
        </is>
      </c>
      <c r="I260" s="3" t="inlineStr">
        <is>
          <t>GG012601＊</t>
        </is>
      </c>
      <c r="J260" s="2" t="inlineStr">
        <is>
          <t>P060302</t>
        </is>
      </c>
      <c r="K260" s="2" t="inlineStr">
        <is>
          <t>Gorilla Glue</t>
        </is>
      </c>
      <c r="L260" s="2" t="inlineStr">
        <is>
          <t>Ident A + Ident B</t>
        </is>
      </c>
      <c r="M260" s="2" t="inlineStr">
        <is>
          <t>iCoA_P01-02 · Appearance &amp; Identification A/B</t>
        </is>
      </c>
      <c r="N260" s="6" t="inlineStr">
        <is>
          <t>—</t>
        </is>
      </c>
      <c r="O260" s="6" t="inlineStr">
        <is>
          <t>— retest assay not yet on file —</t>
        </is>
      </c>
      <c r="P260" s="2" t="inlineStr">
        <is>
          <t>CoQ reissue (assigned on issue)</t>
        </is>
      </c>
      <c r="Q260" s="6" t="inlineStr">
        <is>
          <t>—</t>
        </is>
      </c>
      <c r="R260" s="2" t="inlineStr">
        <is>
          <t>P060302|AB|R</t>
        </is>
      </c>
      <c r="S260" s="8" t="inlineStr">
        <is>
          <t>not yet issuable — retest assay not yet on file</t>
        </is>
      </c>
    </row>
    <row r="261">
      <c r="A261" s="2">
        <f>IF(C261="yes",COUNT(A$1:A260)+1,"")</f>
        <v/>
      </c>
      <c r="B261" s="3">
        <f>IF(A261="","— at issue —","iCoA-PP_26-"&amp;TEXT(A261,"000"))</f>
        <v/>
      </c>
      <c r="C261" s="6" t="inlineStr">
        <is>
          <t>no</t>
        </is>
      </c>
      <c r="D261" s="5">
        <f>IF(A261="","",E261)</f>
        <v/>
      </c>
      <c r="E261" s="5">
        <f>IF(AND(C261="yes",ISNUMBER(G261)),MAX(DATE(2026,5,13),G261),"")</f>
        <v/>
      </c>
      <c r="F261" s="5">
        <f>IFERROR(INDEX('Batch Dates'!$F:$F,MATCH(J261,'Batch Dates'!$C:$C,0)),IFERROR(INDEX('Batch Dates'!$F:$F,MATCH(I261,'Batch Dates'!$B:$B,0)),""))</f>
        <v/>
      </c>
      <c r="G261" s="5">
        <f>IFERROR(INDEX('Batch Dates'!$G:$G,MATCH(J261,'Batch Dates'!$C:$C,0)),IFERROR(INDEX('Batch Dates'!$G:$G,MATCH(I261,'Batch Dates'!$B:$B,0)),""))</f>
        <v/>
      </c>
      <c r="H261" s="2" t="inlineStr">
        <is>
          <t>retest — QP campaign</t>
        </is>
      </c>
      <c r="I261" s="3" t="inlineStr">
        <is>
          <t>GG012601＊</t>
        </is>
      </c>
      <c r="J261" s="2" t="inlineStr">
        <is>
          <t>P060302</t>
        </is>
      </c>
      <c r="K261" s="2" t="inlineStr">
        <is>
          <t>Gorilla Glue</t>
        </is>
      </c>
      <c r="L261" s="2" t="inlineStr">
        <is>
          <t>Foreign matter</t>
        </is>
      </c>
      <c r="M261" s="2" t="inlineStr">
        <is>
          <t>iCoA_P07 · Foreign matter</t>
        </is>
      </c>
      <c r="N261" s="6" t="inlineStr">
        <is>
          <t>—</t>
        </is>
      </c>
      <c r="O261" s="6" t="inlineStr">
        <is>
          <t>— retest assay not yet on file —</t>
        </is>
      </c>
      <c r="P261" s="2" t="inlineStr">
        <is>
          <t>CoQ reissue (assigned on issue)</t>
        </is>
      </c>
      <c r="Q261" s="6" t="inlineStr">
        <is>
          <t>—</t>
        </is>
      </c>
      <c r="R261" s="2" t="inlineStr">
        <is>
          <t>P060302|FM|R</t>
        </is>
      </c>
      <c r="S261" s="8" t="inlineStr">
        <is>
          <t>not yet issuable — retest assay not yet on file</t>
        </is>
      </c>
    </row>
    <row r="262">
      <c r="A262" s="2">
        <f>IF(C262="yes",COUNT(A$1:A261)+1,"")</f>
        <v/>
      </c>
      <c r="B262" s="3">
        <f>IF(A262="","— at issue —","iCoA-PP_26-"&amp;TEXT(A262,"000"))</f>
        <v/>
      </c>
      <c r="C262" s="6" t="inlineStr">
        <is>
          <t>no</t>
        </is>
      </c>
      <c r="D262" s="5">
        <f>IF(A262="","",E262)</f>
        <v/>
      </c>
      <c r="E262" s="5">
        <f>IF(AND(C262="yes",ISNUMBER(G262)),MAX(DATE(2026,5,13),G262),"")</f>
        <v/>
      </c>
      <c r="F262" s="5">
        <f>IFERROR(INDEX('Batch Dates'!$F:$F,MATCH(J262,'Batch Dates'!$C:$C,0)),IFERROR(INDEX('Batch Dates'!$F:$F,MATCH(I262,'Batch Dates'!$B:$B,0)),""))</f>
        <v/>
      </c>
      <c r="G262" s="5">
        <f>IFERROR(INDEX('Batch Dates'!$G:$G,MATCH(J262,'Batch Dates'!$C:$C,0)),IFERROR(INDEX('Batch Dates'!$G:$G,MATCH(I262,'Batch Dates'!$B:$B,0)),""))</f>
        <v/>
      </c>
      <c r="H262" s="2" t="inlineStr">
        <is>
          <t>retest — QP campaign</t>
        </is>
      </c>
      <c r="I262" s="3" t="inlineStr">
        <is>
          <t>GG112501</t>
        </is>
      </c>
      <c r="J262" s="2" t="inlineStr">
        <is>
          <t>P060252</t>
        </is>
      </c>
      <c r="K262" s="2" t="inlineStr">
        <is>
          <t>Gorilla Glue</t>
        </is>
      </c>
      <c r="L262" s="2" t="inlineStr">
        <is>
          <t>Ident A + Ident B</t>
        </is>
      </c>
      <c r="M262" s="2" t="inlineStr">
        <is>
          <t>iCoA_P01-02 · Appearance &amp; Identification A/B</t>
        </is>
      </c>
      <c r="N262" s="6" t="inlineStr">
        <is>
          <t>—</t>
        </is>
      </c>
      <c r="O262" s="6" t="inlineStr">
        <is>
          <t>— retest assay not yet on file —</t>
        </is>
      </c>
      <c r="P262" s="2" t="inlineStr">
        <is>
          <t>CoQ reissue (assigned on issue)</t>
        </is>
      </c>
      <c r="Q262" s="6" t="inlineStr">
        <is>
          <t>—</t>
        </is>
      </c>
      <c r="R262" s="2" t="inlineStr">
        <is>
          <t>P060252|AB|R</t>
        </is>
      </c>
      <c r="S262" s="8" t="inlineStr">
        <is>
          <t>not yet issuable — retest assay not yet on file</t>
        </is>
      </c>
    </row>
    <row r="263">
      <c r="A263" s="2">
        <f>IF(C263="yes",COUNT(A$1:A262)+1,"")</f>
        <v/>
      </c>
      <c r="B263" s="3">
        <f>IF(A263="","— at issue —","iCoA-PP_26-"&amp;TEXT(A263,"000"))</f>
        <v/>
      </c>
      <c r="C263" s="6" t="inlineStr">
        <is>
          <t>no</t>
        </is>
      </c>
      <c r="D263" s="5">
        <f>IF(A263="","",E263)</f>
        <v/>
      </c>
      <c r="E263" s="5">
        <f>IF(AND(C263="yes",ISNUMBER(G263)),MAX(DATE(2026,5,13),G263),"")</f>
        <v/>
      </c>
      <c r="F263" s="5">
        <f>IFERROR(INDEX('Batch Dates'!$F:$F,MATCH(J263,'Batch Dates'!$C:$C,0)),IFERROR(INDEX('Batch Dates'!$F:$F,MATCH(I263,'Batch Dates'!$B:$B,0)),""))</f>
        <v/>
      </c>
      <c r="G263" s="5">
        <f>IFERROR(INDEX('Batch Dates'!$G:$G,MATCH(J263,'Batch Dates'!$C:$C,0)),IFERROR(INDEX('Batch Dates'!$G:$G,MATCH(I263,'Batch Dates'!$B:$B,0)),""))</f>
        <v/>
      </c>
      <c r="H263" s="2" t="inlineStr">
        <is>
          <t>retest — QP campaign</t>
        </is>
      </c>
      <c r="I263" s="3" t="inlineStr">
        <is>
          <t>GG112501</t>
        </is>
      </c>
      <c r="J263" s="2" t="inlineStr">
        <is>
          <t>P060252</t>
        </is>
      </c>
      <c r="K263" s="2" t="inlineStr">
        <is>
          <t>Gorilla Glue</t>
        </is>
      </c>
      <c r="L263" s="2" t="inlineStr">
        <is>
          <t>Foreign matter</t>
        </is>
      </c>
      <c r="M263" s="2" t="inlineStr">
        <is>
          <t>iCoA_P07 · Foreign matter</t>
        </is>
      </c>
      <c r="N263" s="6" t="inlineStr">
        <is>
          <t>—</t>
        </is>
      </c>
      <c r="O263" s="6" t="inlineStr">
        <is>
          <t>— retest assay not yet on file —</t>
        </is>
      </c>
      <c r="P263" s="2" t="inlineStr">
        <is>
          <t>CoQ reissue (assigned on issue)</t>
        </is>
      </c>
      <c r="Q263" s="6" t="inlineStr">
        <is>
          <t>—</t>
        </is>
      </c>
      <c r="R263" s="2" t="inlineStr">
        <is>
          <t>P060252|FM|R</t>
        </is>
      </c>
      <c r="S263" s="8" t="inlineStr">
        <is>
          <t>not yet issuable — retest assay not yet on file</t>
        </is>
      </c>
    </row>
    <row r="264">
      <c r="A264" s="2">
        <f>IF(C264="yes",COUNT(A$1:A263)+1,"")</f>
        <v/>
      </c>
      <c r="B264" s="3">
        <f>IF(A264="","— at issue —","iCoA-PP_26-"&amp;TEXT(A264,"000"))</f>
        <v/>
      </c>
      <c r="C264" s="6" t="inlineStr">
        <is>
          <t>no</t>
        </is>
      </c>
      <c r="D264" s="5">
        <f>IF(A264="","",E264)</f>
        <v/>
      </c>
      <c r="E264" s="5">
        <f>IF(AND(C264="yes",ISNUMBER(G264)),MAX(DATE(2026,5,13),G264),"")</f>
        <v/>
      </c>
      <c r="F264" s="5">
        <f>IFERROR(INDEX('Batch Dates'!$F:$F,MATCH(J264,'Batch Dates'!$C:$C,0)),IFERROR(INDEX('Batch Dates'!$F:$F,MATCH(I264,'Batch Dates'!$B:$B,0)),""))</f>
        <v/>
      </c>
      <c r="G264" s="5">
        <f>IFERROR(INDEX('Batch Dates'!$G:$G,MATCH(J264,'Batch Dates'!$C:$C,0)),IFERROR(INDEX('Batch Dates'!$G:$G,MATCH(I264,'Batch Dates'!$B:$B,0)),""))</f>
        <v/>
      </c>
      <c r="H264" s="2" t="inlineStr">
        <is>
          <t>retest — QP campaign</t>
        </is>
      </c>
      <c r="I264" s="3" t="inlineStr">
        <is>
          <t>GP062501</t>
        </is>
      </c>
      <c r="J264" s="2" t="inlineStr">
        <is>
          <t>P050202</t>
        </is>
      </c>
      <c r="K264" s="2" t="inlineStr">
        <is>
          <t>Grape Pie</t>
        </is>
      </c>
      <c r="L264" s="2" t="inlineStr">
        <is>
          <t>Ident A + Ident B</t>
        </is>
      </c>
      <c r="M264" s="2" t="inlineStr">
        <is>
          <t>iCoA_P01-02 · Appearance &amp; Identification A/B</t>
        </is>
      </c>
      <c r="N264" s="6" t="inlineStr">
        <is>
          <t>—</t>
        </is>
      </c>
      <c r="O264" s="6" t="inlineStr">
        <is>
          <t>— retest assay not yet on file —</t>
        </is>
      </c>
      <c r="P264" s="2" t="inlineStr">
        <is>
          <t>CoQ reissue (assigned on issue)</t>
        </is>
      </c>
      <c r="Q264" s="6" t="inlineStr">
        <is>
          <t>—</t>
        </is>
      </c>
      <c r="R264" s="2" t="inlineStr">
        <is>
          <t>P050202|AB|R</t>
        </is>
      </c>
      <c r="S264" s="8" t="inlineStr">
        <is>
          <t>not yet issuable — retest assay not yet on file</t>
        </is>
      </c>
    </row>
    <row r="265">
      <c r="A265" s="2">
        <f>IF(C265="yes",COUNT(A$1:A264)+1,"")</f>
        <v/>
      </c>
      <c r="B265" s="3">
        <f>IF(A265="","— at issue —","iCoA-PP_26-"&amp;TEXT(A265,"000"))</f>
        <v/>
      </c>
      <c r="C265" s="6" t="inlineStr">
        <is>
          <t>no</t>
        </is>
      </c>
      <c r="D265" s="5">
        <f>IF(A265="","",E265)</f>
        <v/>
      </c>
      <c r="E265" s="5">
        <f>IF(AND(C265="yes",ISNUMBER(G265)),MAX(DATE(2026,5,13),G265),"")</f>
        <v/>
      </c>
      <c r="F265" s="5">
        <f>IFERROR(INDEX('Batch Dates'!$F:$F,MATCH(J265,'Batch Dates'!$C:$C,0)),IFERROR(INDEX('Batch Dates'!$F:$F,MATCH(I265,'Batch Dates'!$B:$B,0)),""))</f>
        <v/>
      </c>
      <c r="G265" s="5">
        <f>IFERROR(INDEX('Batch Dates'!$G:$G,MATCH(J265,'Batch Dates'!$C:$C,0)),IFERROR(INDEX('Batch Dates'!$G:$G,MATCH(I265,'Batch Dates'!$B:$B,0)),""))</f>
        <v/>
      </c>
      <c r="H265" s="2" t="inlineStr">
        <is>
          <t>retest — QP campaign</t>
        </is>
      </c>
      <c r="I265" s="3" t="inlineStr">
        <is>
          <t>GP062501</t>
        </is>
      </c>
      <c r="J265" s="2" t="inlineStr">
        <is>
          <t>P050202</t>
        </is>
      </c>
      <c r="K265" s="2" t="inlineStr">
        <is>
          <t>Grape Pie</t>
        </is>
      </c>
      <c r="L265" s="2" t="inlineStr">
        <is>
          <t>Foreign matter</t>
        </is>
      </c>
      <c r="M265" s="2" t="inlineStr">
        <is>
          <t>iCoA_P07 · Foreign matter</t>
        </is>
      </c>
      <c r="N265" s="6" t="inlineStr">
        <is>
          <t>—</t>
        </is>
      </c>
      <c r="O265" s="6" t="inlineStr">
        <is>
          <t>— retest assay not yet on file —</t>
        </is>
      </c>
      <c r="P265" s="2" t="inlineStr">
        <is>
          <t>CoQ reissue (assigned on issue)</t>
        </is>
      </c>
      <c r="Q265" s="6" t="inlineStr">
        <is>
          <t>—</t>
        </is>
      </c>
      <c r="R265" s="2" t="inlineStr">
        <is>
          <t>P050202|FM|R</t>
        </is>
      </c>
      <c r="S265" s="8" t="inlineStr">
        <is>
          <t>not yet issuable — retest assay not yet on file</t>
        </is>
      </c>
    </row>
    <row r="266">
      <c r="A266" s="2">
        <f>IF(C266="yes",COUNT(A$1:A265)+1,"")</f>
        <v/>
      </c>
      <c r="B266" s="3">
        <f>IF(A266="","— at issue —","iCoA-PP_26-"&amp;TEXT(A266,"000"))</f>
        <v/>
      </c>
      <c r="C266" s="6" t="inlineStr">
        <is>
          <t>no</t>
        </is>
      </c>
      <c r="D266" s="5">
        <f>IF(A266="","",E266)</f>
        <v/>
      </c>
      <c r="E266" s="5">
        <f>IF(AND(C266="yes",ISNUMBER(G266)),MAX(DATE(2026,5,13),G266),"")</f>
        <v/>
      </c>
      <c r="F266" s="5">
        <f>IFERROR(INDEX('Batch Dates'!$F:$F,MATCH(J266,'Batch Dates'!$C:$C,0)),IFERROR(INDEX('Batch Dates'!$F:$F,MATCH(I266,'Batch Dates'!$B:$B,0)),""))</f>
        <v/>
      </c>
      <c r="G266" s="5">
        <f>IFERROR(INDEX('Batch Dates'!$G:$G,MATCH(J266,'Batch Dates'!$C:$C,0)),IFERROR(INDEX('Batch Dates'!$G:$G,MATCH(I266,'Batch Dates'!$B:$B,0)),""))</f>
        <v/>
      </c>
      <c r="H266" s="2" t="inlineStr">
        <is>
          <t>retest — QP campaign</t>
        </is>
      </c>
      <c r="I266" s="3" t="inlineStr">
        <is>
          <t>JD012601＊</t>
        </is>
      </c>
      <c r="J266" s="2" t="inlineStr">
        <is>
          <t>P060312</t>
        </is>
      </c>
      <c r="K266" s="2" t="inlineStr">
        <is>
          <t>Jelly Donutz</t>
        </is>
      </c>
      <c r="L266" s="2" t="inlineStr">
        <is>
          <t>Ident A + Ident B</t>
        </is>
      </c>
      <c r="M266" s="2" t="inlineStr">
        <is>
          <t>iCoA_P01-02 · Appearance &amp; Identification A/B</t>
        </is>
      </c>
      <c r="N266" s="6" t="inlineStr">
        <is>
          <t>—</t>
        </is>
      </c>
      <c r="O266" s="6" t="inlineStr">
        <is>
          <t>— retest assay not yet on file —</t>
        </is>
      </c>
      <c r="P266" s="2" t="inlineStr">
        <is>
          <t>CoQ reissue (assigned on issue)</t>
        </is>
      </c>
      <c r="Q266" s="6" t="inlineStr">
        <is>
          <t>—</t>
        </is>
      </c>
      <c r="R266" s="2" t="inlineStr">
        <is>
          <t>P060312|AB|R</t>
        </is>
      </c>
      <c r="S266" s="8" t="inlineStr">
        <is>
          <t>not yet issuable — retest assay not yet on file</t>
        </is>
      </c>
    </row>
    <row r="267">
      <c r="A267" s="2">
        <f>IF(C267="yes",COUNT(A$1:A266)+1,"")</f>
        <v/>
      </c>
      <c r="B267" s="3">
        <f>IF(A267="","— at issue —","iCoA-PP_26-"&amp;TEXT(A267,"000"))</f>
        <v/>
      </c>
      <c r="C267" s="6" t="inlineStr">
        <is>
          <t>no</t>
        </is>
      </c>
      <c r="D267" s="5">
        <f>IF(A267="","",E267)</f>
        <v/>
      </c>
      <c r="E267" s="5">
        <f>IF(AND(C267="yes",ISNUMBER(G267)),MAX(DATE(2026,5,13),G267),"")</f>
        <v/>
      </c>
      <c r="F267" s="5">
        <f>IFERROR(INDEX('Batch Dates'!$F:$F,MATCH(J267,'Batch Dates'!$C:$C,0)),IFERROR(INDEX('Batch Dates'!$F:$F,MATCH(I267,'Batch Dates'!$B:$B,0)),""))</f>
        <v/>
      </c>
      <c r="G267" s="5">
        <f>IFERROR(INDEX('Batch Dates'!$G:$G,MATCH(J267,'Batch Dates'!$C:$C,0)),IFERROR(INDEX('Batch Dates'!$G:$G,MATCH(I267,'Batch Dates'!$B:$B,0)),""))</f>
        <v/>
      </c>
      <c r="H267" s="2" t="inlineStr">
        <is>
          <t>retest — QP campaign</t>
        </is>
      </c>
      <c r="I267" s="3" t="inlineStr">
        <is>
          <t>JD012601＊</t>
        </is>
      </c>
      <c r="J267" s="2" t="inlineStr">
        <is>
          <t>P060312</t>
        </is>
      </c>
      <c r="K267" s="2" t="inlineStr">
        <is>
          <t>Jelly Donutz</t>
        </is>
      </c>
      <c r="L267" s="2" t="inlineStr">
        <is>
          <t>Foreign matter</t>
        </is>
      </c>
      <c r="M267" s="2" t="inlineStr">
        <is>
          <t>iCoA_P07 · Foreign matter</t>
        </is>
      </c>
      <c r="N267" s="6" t="inlineStr">
        <is>
          <t>—</t>
        </is>
      </c>
      <c r="O267" s="6" t="inlineStr">
        <is>
          <t>— retest assay not yet on file —</t>
        </is>
      </c>
      <c r="P267" s="2" t="inlineStr">
        <is>
          <t>CoQ reissue (assigned on issue)</t>
        </is>
      </c>
      <c r="Q267" s="6" t="inlineStr">
        <is>
          <t>—</t>
        </is>
      </c>
      <c r="R267" s="2" t="inlineStr">
        <is>
          <t>P060312|FM|R</t>
        </is>
      </c>
      <c r="S267" s="8" t="inlineStr">
        <is>
          <t>not yet issuable — retest assay not yet on file</t>
        </is>
      </c>
    </row>
    <row r="268">
      <c r="A268" s="2">
        <f>IF(C268="yes",COUNT(A$1:A267)+1,"")</f>
        <v/>
      </c>
      <c r="B268" s="3">
        <f>IF(A268="","— at issue —","iCoA-PP_26-"&amp;TEXT(A268,"000"))</f>
        <v/>
      </c>
      <c r="C268" s="6" t="inlineStr">
        <is>
          <t>no</t>
        </is>
      </c>
      <c r="D268" s="5">
        <f>IF(A268="","",E268)</f>
        <v/>
      </c>
      <c r="E268" s="5">
        <f>IF(AND(C268="yes",ISNUMBER(G268)),MAX(DATE(2026,5,13),G268),"")</f>
        <v/>
      </c>
      <c r="F268" s="5">
        <f>IFERROR(INDEX('Batch Dates'!$F:$F,MATCH(J268,'Batch Dates'!$C:$C,0)),IFERROR(INDEX('Batch Dates'!$F:$F,MATCH(I268,'Batch Dates'!$B:$B,0)),""))</f>
        <v/>
      </c>
      <c r="G268" s="5">
        <f>IFERROR(INDEX('Batch Dates'!$G:$G,MATCH(J268,'Batch Dates'!$C:$C,0)),IFERROR(INDEX('Batch Dates'!$G:$G,MATCH(I268,'Batch Dates'!$B:$B,0)),""))</f>
        <v/>
      </c>
      <c r="H268" s="2" t="inlineStr">
        <is>
          <t>retest — QP campaign</t>
        </is>
      </c>
      <c r="I268" s="3" t="inlineStr">
        <is>
          <t>SCR112501</t>
        </is>
      </c>
      <c r="J268" s="2" t="inlineStr">
        <is>
          <t>P060282</t>
        </is>
      </c>
      <c r="K268" s="2" t="inlineStr">
        <is>
          <t>Scrambler</t>
        </is>
      </c>
      <c r="L268" s="2" t="inlineStr">
        <is>
          <t>Ident A + Ident B</t>
        </is>
      </c>
      <c r="M268" s="2" t="inlineStr">
        <is>
          <t>iCoA_P01-02 · Appearance &amp; Identification A/B</t>
        </is>
      </c>
      <c r="N268" s="6" t="inlineStr">
        <is>
          <t>—</t>
        </is>
      </c>
      <c r="O268" s="6" t="inlineStr">
        <is>
          <t>— retest assay not yet on file —</t>
        </is>
      </c>
      <c r="P268" s="2" t="inlineStr">
        <is>
          <t>CoQ reissue (assigned on issue)</t>
        </is>
      </c>
      <c r="Q268" s="6" t="inlineStr">
        <is>
          <t>—</t>
        </is>
      </c>
      <c r="R268" s="2" t="inlineStr">
        <is>
          <t>P060282|AB|R</t>
        </is>
      </c>
      <c r="S268" s="8" t="inlineStr">
        <is>
          <t>not yet issuable — retest assay not yet on file</t>
        </is>
      </c>
    </row>
    <row r="269">
      <c r="A269" s="2">
        <f>IF(C269="yes",COUNT(A$1:A268)+1,"")</f>
        <v/>
      </c>
      <c r="B269" s="3">
        <f>IF(A269="","— at issue —","iCoA-PP_26-"&amp;TEXT(A269,"000"))</f>
        <v/>
      </c>
      <c r="C269" s="6" t="inlineStr">
        <is>
          <t>no</t>
        </is>
      </c>
      <c r="D269" s="5">
        <f>IF(A269="","",E269)</f>
        <v/>
      </c>
      <c r="E269" s="5">
        <f>IF(AND(C269="yes",ISNUMBER(G269)),MAX(DATE(2026,5,13),G269),"")</f>
        <v/>
      </c>
      <c r="F269" s="5">
        <f>IFERROR(INDEX('Batch Dates'!$F:$F,MATCH(J269,'Batch Dates'!$C:$C,0)),IFERROR(INDEX('Batch Dates'!$F:$F,MATCH(I269,'Batch Dates'!$B:$B,0)),""))</f>
        <v/>
      </c>
      <c r="G269" s="5">
        <f>IFERROR(INDEX('Batch Dates'!$G:$G,MATCH(J269,'Batch Dates'!$C:$C,0)),IFERROR(INDEX('Batch Dates'!$G:$G,MATCH(I269,'Batch Dates'!$B:$B,0)),""))</f>
        <v/>
      </c>
      <c r="H269" s="2" t="inlineStr">
        <is>
          <t>retest — QP campaign</t>
        </is>
      </c>
      <c r="I269" s="3" t="inlineStr">
        <is>
          <t>SCR112501</t>
        </is>
      </c>
      <c r="J269" s="2" t="inlineStr">
        <is>
          <t>P060282</t>
        </is>
      </c>
      <c r="K269" s="2" t="inlineStr">
        <is>
          <t>Scrambler</t>
        </is>
      </c>
      <c r="L269" s="2" t="inlineStr">
        <is>
          <t>Foreign matter</t>
        </is>
      </c>
      <c r="M269" s="2" t="inlineStr">
        <is>
          <t>iCoA_P07 · Foreign matter</t>
        </is>
      </c>
      <c r="N269" s="6" t="inlineStr">
        <is>
          <t>—</t>
        </is>
      </c>
      <c r="O269" s="6" t="inlineStr">
        <is>
          <t>— retest assay not yet on file —</t>
        </is>
      </c>
      <c r="P269" s="2" t="inlineStr">
        <is>
          <t>CoQ reissue (assigned on issue)</t>
        </is>
      </c>
      <c r="Q269" s="6" t="inlineStr">
        <is>
          <t>—</t>
        </is>
      </c>
      <c r="R269" s="2" t="inlineStr">
        <is>
          <t>P060282|FM|R</t>
        </is>
      </c>
      <c r="S269" s="8" t="inlineStr">
        <is>
          <t>not yet issuable — retest assay not yet on file</t>
        </is>
      </c>
    </row>
    <row r="270">
      <c r="A270" s="2">
        <f>IF(C270="yes",COUNT(A$1:A269)+1,"")</f>
        <v/>
      </c>
      <c r="B270" s="3">
        <f>IF(A270="","— at issue —","iCoA-PP_26-"&amp;TEXT(A270,"000"))</f>
        <v/>
      </c>
      <c r="C270" s="6" t="inlineStr">
        <is>
          <t>no</t>
        </is>
      </c>
      <c r="D270" s="5">
        <f>IF(A270="","",E270)</f>
        <v/>
      </c>
      <c r="E270" s="5">
        <f>IF(AND(C270="yes",ISNUMBER(G270)),MAX(DATE(2026,5,13),G270),"")</f>
        <v/>
      </c>
      <c r="F270" s="5">
        <f>IFERROR(INDEX('Batch Dates'!$F:$F,MATCH(J270,'Batch Dates'!$C:$C,0)),IFERROR(INDEX('Batch Dates'!$F:$F,MATCH(I270,'Batch Dates'!$B:$B,0)),""))</f>
        <v/>
      </c>
      <c r="G270" s="5">
        <f>IFERROR(INDEX('Batch Dates'!$G:$G,MATCH(J270,'Batch Dates'!$C:$C,0)),IFERROR(INDEX('Batch Dates'!$G:$G,MATCH(I270,'Batch Dates'!$B:$B,0)),""))</f>
        <v/>
      </c>
      <c r="H270" s="2" t="inlineStr">
        <is>
          <t>retest — QP campaign</t>
        </is>
      </c>
      <c r="I270" s="3" t="inlineStr">
        <is>
          <t>FB012601_1</t>
        </is>
      </c>
      <c r="J270" s="2" t="inlineStr">
        <is>
          <t>P060322</t>
        </is>
      </c>
      <c r="K270" s="2" t="inlineStr">
        <is>
          <t>Fat Bastard</t>
        </is>
      </c>
      <c r="L270" s="2" t="inlineStr">
        <is>
          <t>Ident A + Ident B</t>
        </is>
      </c>
      <c r="M270" s="2" t="inlineStr">
        <is>
          <t>iCoA_P01-02 · Appearance &amp; Identification A/B</t>
        </is>
      </c>
      <c r="N270" s="6" t="inlineStr">
        <is>
          <t>—</t>
        </is>
      </c>
      <c r="O270" s="6" t="inlineStr">
        <is>
          <t>— retest assay not yet on file —</t>
        </is>
      </c>
      <c r="P270" s="2" t="inlineStr">
        <is>
          <t>CoQ reissue (assigned on issue)</t>
        </is>
      </c>
      <c r="Q270" s="6" t="inlineStr">
        <is>
          <t>—</t>
        </is>
      </c>
      <c r="R270" s="2" t="inlineStr">
        <is>
          <t>P060322|AB|R</t>
        </is>
      </c>
      <c r="S270" s="8" t="inlineStr">
        <is>
          <t>not yet issuable — retest assay not yet on file</t>
        </is>
      </c>
    </row>
    <row r="271">
      <c r="A271" s="2">
        <f>IF(C271="yes",COUNT(A$1:A270)+1,"")</f>
        <v/>
      </c>
      <c r="B271" s="3">
        <f>IF(A271="","— at issue —","iCoA-PP_26-"&amp;TEXT(A271,"000"))</f>
        <v/>
      </c>
      <c r="C271" s="6" t="inlineStr">
        <is>
          <t>no</t>
        </is>
      </c>
      <c r="D271" s="5">
        <f>IF(A271="","",E271)</f>
        <v/>
      </c>
      <c r="E271" s="5">
        <f>IF(AND(C271="yes",ISNUMBER(G271)),MAX(DATE(2026,5,13),G271),"")</f>
        <v/>
      </c>
      <c r="F271" s="5">
        <f>IFERROR(INDEX('Batch Dates'!$F:$F,MATCH(J271,'Batch Dates'!$C:$C,0)),IFERROR(INDEX('Batch Dates'!$F:$F,MATCH(I271,'Batch Dates'!$B:$B,0)),""))</f>
        <v/>
      </c>
      <c r="G271" s="5">
        <f>IFERROR(INDEX('Batch Dates'!$G:$G,MATCH(J271,'Batch Dates'!$C:$C,0)),IFERROR(INDEX('Batch Dates'!$G:$G,MATCH(I271,'Batch Dates'!$B:$B,0)),""))</f>
        <v/>
      </c>
      <c r="H271" s="2" t="inlineStr">
        <is>
          <t>retest — QP campaign</t>
        </is>
      </c>
      <c r="I271" s="3" t="inlineStr">
        <is>
          <t>FB012601_1</t>
        </is>
      </c>
      <c r="J271" s="2" t="inlineStr">
        <is>
          <t>P060322</t>
        </is>
      </c>
      <c r="K271" s="2" t="inlineStr">
        <is>
          <t>Fat Bastard</t>
        </is>
      </c>
      <c r="L271" s="2" t="inlineStr">
        <is>
          <t>Foreign matter</t>
        </is>
      </c>
      <c r="M271" s="2" t="inlineStr">
        <is>
          <t>iCoA_P07 · Foreign matter</t>
        </is>
      </c>
      <c r="N271" s="6" t="inlineStr">
        <is>
          <t>—</t>
        </is>
      </c>
      <c r="O271" s="6" t="inlineStr">
        <is>
          <t>— retest assay not yet on file —</t>
        </is>
      </c>
      <c r="P271" s="2" t="inlineStr">
        <is>
          <t>CoQ reissue (assigned on issue)</t>
        </is>
      </c>
      <c r="Q271" s="6" t="inlineStr">
        <is>
          <t>—</t>
        </is>
      </c>
      <c r="R271" s="2" t="inlineStr">
        <is>
          <t>P060322|FM|R</t>
        </is>
      </c>
      <c r="S271" s="8" t="inlineStr">
        <is>
          <t>not yet issuable — retest assay not yet on file</t>
        </is>
      </c>
    </row>
    <row r="272">
      <c r="A272" s="2">
        <f>IF(C272="yes",COUNT(A$1:A271)+1,"")</f>
        <v/>
      </c>
      <c r="B272" s="3">
        <f>IF(A272="","— at issue —","iCoA-PP_26-"&amp;TEXT(A272,"000"))</f>
        <v/>
      </c>
      <c r="C272" s="6" t="inlineStr">
        <is>
          <t>no</t>
        </is>
      </c>
      <c r="D272" s="5">
        <f>IF(A272="","",E272)</f>
        <v/>
      </c>
      <c r="E272" s="5">
        <f>IF(AND(C272="yes",ISNUMBER(G272)),MAX(DATE(2026,5,13),G272),"")</f>
        <v/>
      </c>
      <c r="F272" s="5">
        <f>IFERROR(INDEX('Batch Dates'!$F:$F,MATCH(J272,'Batch Dates'!$C:$C,0)),IFERROR(INDEX('Batch Dates'!$F:$F,MATCH(I272,'Batch Dates'!$B:$B,0)),""))</f>
        <v/>
      </c>
      <c r="G272" s="5">
        <f>IFERROR(INDEX('Batch Dates'!$G:$G,MATCH(J272,'Batch Dates'!$C:$C,0)),IFERROR(INDEX('Batch Dates'!$G:$G,MATCH(I272,'Batch Dates'!$B:$B,0)),""))</f>
        <v/>
      </c>
      <c r="H272" s="2" t="inlineStr">
        <is>
          <t>retest — QP campaign</t>
        </is>
      </c>
      <c r="I272" s="3" t="inlineStr">
        <is>
          <t>JD012603</t>
        </is>
      </c>
      <c r="J272" s="2" t="inlineStr">
        <is>
          <t>P060362</t>
        </is>
      </c>
      <c r="K272" s="2" t="inlineStr"/>
      <c r="L272" s="2" t="inlineStr">
        <is>
          <t>Ident A + Ident B</t>
        </is>
      </c>
      <c r="M272" s="2" t="inlineStr">
        <is>
          <t>iCoA_P01-02 · Appearance &amp; Identification A/B</t>
        </is>
      </c>
      <c r="N272" s="6" t="inlineStr">
        <is>
          <t>—</t>
        </is>
      </c>
      <c r="O272" s="6" t="inlineStr">
        <is>
          <t>— retest assay not yet on file —</t>
        </is>
      </c>
      <c r="P272" s="2" t="inlineStr">
        <is>
          <t>CoQ reissue (assigned on issue)</t>
        </is>
      </c>
      <c r="Q272" s="6" t="inlineStr">
        <is>
          <t>—</t>
        </is>
      </c>
      <c r="R272" s="2" t="inlineStr">
        <is>
          <t>P060362|AB|R</t>
        </is>
      </c>
      <c r="S272" s="8" t="inlineStr">
        <is>
          <t>not yet issuable — retest assay not yet on file</t>
        </is>
      </c>
    </row>
    <row r="273">
      <c r="A273" s="2">
        <f>IF(C273="yes",COUNT(A$1:A272)+1,"")</f>
        <v/>
      </c>
      <c r="B273" s="3">
        <f>IF(A273="","— at issue —","iCoA-PP_26-"&amp;TEXT(A273,"000"))</f>
        <v/>
      </c>
      <c r="C273" s="6" t="inlineStr">
        <is>
          <t>no</t>
        </is>
      </c>
      <c r="D273" s="5">
        <f>IF(A273="","",E273)</f>
        <v/>
      </c>
      <c r="E273" s="5">
        <f>IF(AND(C273="yes",ISNUMBER(G273)),MAX(DATE(2026,5,13),G273),"")</f>
        <v/>
      </c>
      <c r="F273" s="5">
        <f>IFERROR(INDEX('Batch Dates'!$F:$F,MATCH(J273,'Batch Dates'!$C:$C,0)),IFERROR(INDEX('Batch Dates'!$F:$F,MATCH(I273,'Batch Dates'!$B:$B,0)),""))</f>
        <v/>
      </c>
      <c r="G273" s="5">
        <f>IFERROR(INDEX('Batch Dates'!$G:$G,MATCH(J273,'Batch Dates'!$C:$C,0)),IFERROR(INDEX('Batch Dates'!$G:$G,MATCH(I273,'Batch Dates'!$B:$B,0)),""))</f>
        <v/>
      </c>
      <c r="H273" s="2" t="inlineStr">
        <is>
          <t>retest — QP campaign</t>
        </is>
      </c>
      <c r="I273" s="3" t="inlineStr">
        <is>
          <t>JD012603</t>
        </is>
      </c>
      <c r="J273" s="2" t="inlineStr">
        <is>
          <t>P060362</t>
        </is>
      </c>
      <c r="K273" s="2" t="inlineStr"/>
      <c r="L273" s="2" t="inlineStr">
        <is>
          <t>Foreign matter</t>
        </is>
      </c>
      <c r="M273" s="2" t="inlineStr">
        <is>
          <t>iCoA_P07 · Foreign matter</t>
        </is>
      </c>
      <c r="N273" s="6" t="inlineStr">
        <is>
          <t>—</t>
        </is>
      </c>
      <c r="O273" s="6" t="inlineStr">
        <is>
          <t>— retest assay not yet on file —</t>
        </is>
      </c>
      <c r="P273" s="2" t="inlineStr">
        <is>
          <t>CoQ reissue (assigned on issue)</t>
        </is>
      </c>
      <c r="Q273" s="6" t="inlineStr">
        <is>
          <t>—</t>
        </is>
      </c>
      <c r="R273" s="2" t="inlineStr">
        <is>
          <t>P060362|FM|R</t>
        </is>
      </c>
      <c r="S273" s="8" t="inlineStr">
        <is>
          <t>not yet issuable — retest assay not yet on file</t>
        </is>
      </c>
    </row>
    <row r="274">
      <c r="A274" s="2">
        <f>IF(C274="yes",COUNT(A$1:A273)+1,"")</f>
        <v/>
      </c>
      <c r="B274" s="3">
        <f>IF(A274="","— at issue —","iCoA-PP_26-"&amp;TEXT(A274,"000"))</f>
        <v/>
      </c>
      <c r="C274" s="6" t="inlineStr">
        <is>
          <t>no</t>
        </is>
      </c>
      <c r="D274" s="5">
        <f>IF(A274="","",E274)</f>
        <v/>
      </c>
      <c r="E274" s="5">
        <f>IF(AND(C274="yes",ISNUMBER(G274)),MAX(DATE(2026,5,13),G274),"")</f>
        <v/>
      </c>
      <c r="F274" s="5">
        <f>IFERROR(INDEX('Batch Dates'!$F:$F,MATCH(J274,'Batch Dates'!$C:$C,0)),IFERROR(INDEX('Batch Dates'!$F:$F,MATCH(I274,'Batch Dates'!$B:$B,0)),""))</f>
        <v/>
      </c>
      <c r="G274" s="5">
        <f>IFERROR(INDEX('Batch Dates'!$G:$G,MATCH(J274,'Batch Dates'!$C:$C,0)),IFERROR(INDEX('Batch Dates'!$G:$G,MATCH(I274,'Batch Dates'!$B:$B,0)),""))</f>
        <v/>
      </c>
      <c r="H274" s="2" t="inlineStr">
        <is>
          <t>retest — QP campaign</t>
        </is>
      </c>
      <c r="I274" s="3" t="inlineStr">
        <is>
          <t>JD012603</t>
        </is>
      </c>
      <c r="J274" s="2" t="inlineStr">
        <is>
          <t>P060422</t>
        </is>
      </c>
      <c r="K274" s="2" t="inlineStr"/>
      <c r="L274" s="2" t="inlineStr">
        <is>
          <t>Ident A + Ident B</t>
        </is>
      </c>
      <c r="M274" s="2" t="inlineStr">
        <is>
          <t>iCoA_P01-02 · Appearance &amp; Identification A/B</t>
        </is>
      </c>
      <c r="N274" s="6" t="inlineStr">
        <is>
          <t>—</t>
        </is>
      </c>
      <c r="O274" s="6" t="inlineStr">
        <is>
          <t>— retest assay not yet on file —</t>
        </is>
      </c>
      <c r="P274" s="2" t="inlineStr">
        <is>
          <t>CoQ reissue (assigned on issue)</t>
        </is>
      </c>
      <c r="Q274" s="6" t="inlineStr">
        <is>
          <t>—</t>
        </is>
      </c>
      <c r="R274" s="2" t="inlineStr">
        <is>
          <t>P060422|AB|R</t>
        </is>
      </c>
      <c r="S274" s="8" t="inlineStr">
        <is>
          <t>not yet issuable — retest assay not yet on file</t>
        </is>
      </c>
    </row>
    <row r="275">
      <c r="A275" s="2">
        <f>IF(C275="yes",COUNT(A$1:A274)+1,"")</f>
        <v/>
      </c>
      <c r="B275" s="3">
        <f>IF(A275="","— at issue —","iCoA-PP_26-"&amp;TEXT(A275,"000"))</f>
        <v/>
      </c>
      <c r="C275" s="6" t="inlineStr">
        <is>
          <t>no</t>
        </is>
      </c>
      <c r="D275" s="5">
        <f>IF(A275="","",E275)</f>
        <v/>
      </c>
      <c r="E275" s="5">
        <f>IF(AND(C275="yes",ISNUMBER(G275)),MAX(DATE(2026,5,13),G275),"")</f>
        <v/>
      </c>
      <c r="F275" s="5">
        <f>IFERROR(INDEX('Batch Dates'!$F:$F,MATCH(J275,'Batch Dates'!$C:$C,0)),IFERROR(INDEX('Batch Dates'!$F:$F,MATCH(I275,'Batch Dates'!$B:$B,0)),""))</f>
        <v/>
      </c>
      <c r="G275" s="5">
        <f>IFERROR(INDEX('Batch Dates'!$G:$G,MATCH(J275,'Batch Dates'!$C:$C,0)),IFERROR(INDEX('Batch Dates'!$G:$G,MATCH(I275,'Batch Dates'!$B:$B,0)),""))</f>
        <v/>
      </c>
      <c r="H275" s="2" t="inlineStr">
        <is>
          <t>retest — QP campaign</t>
        </is>
      </c>
      <c r="I275" s="3" t="inlineStr">
        <is>
          <t>JD012603</t>
        </is>
      </c>
      <c r="J275" s="2" t="inlineStr">
        <is>
          <t>P060422</t>
        </is>
      </c>
      <c r="K275" s="2" t="inlineStr"/>
      <c r="L275" s="2" t="inlineStr">
        <is>
          <t>Foreign matter</t>
        </is>
      </c>
      <c r="M275" s="2" t="inlineStr">
        <is>
          <t>iCoA_P07 · Foreign matter</t>
        </is>
      </c>
      <c r="N275" s="6" t="inlineStr">
        <is>
          <t>—</t>
        </is>
      </c>
      <c r="O275" s="6" t="inlineStr">
        <is>
          <t>— retest assay not yet on file —</t>
        </is>
      </c>
      <c r="P275" s="2" t="inlineStr">
        <is>
          <t>CoQ reissue (assigned on issue)</t>
        </is>
      </c>
      <c r="Q275" s="6" t="inlineStr">
        <is>
          <t>—</t>
        </is>
      </c>
      <c r="R275" s="2" t="inlineStr">
        <is>
          <t>P060422|FM|R</t>
        </is>
      </c>
      <c r="S275" s="8" t="inlineStr">
        <is>
          <t>not yet issuable — retest assay not yet on file</t>
        </is>
      </c>
    </row>
    <row r="276">
      <c r="A276" s="2">
        <f>IF(C276="yes",COUNT(A$1:A275)+1,"")</f>
        <v/>
      </c>
      <c r="B276" s="3">
        <f>IF(A276="","— at issue —","iCoA-PP_26-"&amp;TEXT(A276,"000"))</f>
        <v/>
      </c>
      <c r="C276" s="6" t="inlineStr">
        <is>
          <t>no</t>
        </is>
      </c>
      <c r="D276" s="5">
        <f>IF(A276="","",E276)</f>
        <v/>
      </c>
      <c r="E276" s="5">
        <f>IF(AND(C276="yes",ISNUMBER(G276)),MAX(DATE(2026,5,13),G276),"")</f>
        <v/>
      </c>
      <c r="F276" s="5">
        <f>IFERROR(INDEX('Batch Dates'!$F:$F,MATCH(J276,'Batch Dates'!$C:$C,0)),IFERROR(INDEX('Batch Dates'!$F:$F,MATCH(I276,'Batch Dates'!$B:$B,0)),""))</f>
        <v/>
      </c>
      <c r="G276" s="5">
        <f>IFERROR(INDEX('Batch Dates'!$G:$G,MATCH(J276,'Batch Dates'!$C:$C,0)),IFERROR(INDEX('Batch Dates'!$G:$G,MATCH(I276,'Batch Dates'!$B:$B,0)),""))</f>
        <v/>
      </c>
      <c r="H276" s="2" t="inlineStr">
        <is>
          <t>retest — QP campaign</t>
        </is>
      </c>
      <c r="I276" s="3" t="inlineStr">
        <is>
          <t>JD012603</t>
        </is>
      </c>
      <c r="J276" s="2" t="inlineStr">
        <is>
          <t>P060412</t>
        </is>
      </c>
      <c r="K276" s="2" t="inlineStr"/>
      <c r="L276" s="2" t="inlineStr">
        <is>
          <t>Ident A + Ident B</t>
        </is>
      </c>
      <c r="M276" s="2" t="inlineStr">
        <is>
          <t>iCoA_P01-02 · Appearance &amp; Identification A/B</t>
        </is>
      </c>
      <c r="N276" s="6" t="inlineStr">
        <is>
          <t>—</t>
        </is>
      </c>
      <c r="O276" s="6" t="inlineStr">
        <is>
          <t>— retest assay not yet on file —</t>
        </is>
      </c>
      <c r="P276" s="2" t="inlineStr">
        <is>
          <t>CoQ reissue (assigned on issue)</t>
        </is>
      </c>
      <c r="Q276" s="6" t="inlineStr">
        <is>
          <t>—</t>
        </is>
      </c>
      <c r="R276" s="2" t="inlineStr">
        <is>
          <t>P060412|AB|R</t>
        </is>
      </c>
      <c r="S276" s="8" t="inlineStr">
        <is>
          <t>not yet issuable — retest assay not yet on file</t>
        </is>
      </c>
    </row>
    <row r="277">
      <c r="A277" s="2">
        <f>IF(C277="yes",COUNT(A$1:A276)+1,"")</f>
        <v/>
      </c>
      <c r="B277" s="3">
        <f>IF(A277="","— at issue —","iCoA-PP_26-"&amp;TEXT(A277,"000"))</f>
        <v/>
      </c>
      <c r="C277" s="6" t="inlineStr">
        <is>
          <t>no</t>
        </is>
      </c>
      <c r="D277" s="5">
        <f>IF(A277="","",E277)</f>
        <v/>
      </c>
      <c r="E277" s="5">
        <f>IF(AND(C277="yes",ISNUMBER(G277)),MAX(DATE(2026,5,13),G277),"")</f>
        <v/>
      </c>
      <c r="F277" s="5">
        <f>IFERROR(INDEX('Batch Dates'!$F:$F,MATCH(J277,'Batch Dates'!$C:$C,0)),IFERROR(INDEX('Batch Dates'!$F:$F,MATCH(I277,'Batch Dates'!$B:$B,0)),""))</f>
        <v/>
      </c>
      <c r="G277" s="5">
        <f>IFERROR(INDEX('Batch Dates'!$G:$G,MATCH(J277,'Batch Dates'!$C:$C,0)),IFERROR(INDEX('Batch Dates'!$G:$G,MATCH(I277,'Batch Dates'!$B:$B,0)),""))</f>
        <v/>
      </c>
      <c r="H277" s="2" t="inlineStr">
        <is>
          <t>retest — QP campaign</t>
        </is>
      </c>
      <c r="I277" s="3" t="inlineStr">
        <is>
          <t>JD012603</t>
        </is>
      </c>
      <c r="J277" s="2" t="inlineStr">
        <is>
          <t>P060412</t>
        </is>
      </c>
      <c r="K277" s="2" t="inlineStr"/>
      <c r="L277" s="2" t="inlineStr">
        <is>
          <t>Foreign matter</t>
        </is>
      </c>
      <c r="M277" s="2" t="inlineStr">
        <is>
          <t>iCoA_P07 · Foreign matter</t>
        </is>
      </c>
      <c r="N277" s="6" t="inlineStr">
        <is>
          <t>—</t>
        </is>
      </c>
      <c r="O277" s="6" t="inlineStr">
        <is>
          <t>— retest assay not yet on file —</t>
        </is>
      </c>
      <c r="P277" s="2" t="inlineStr">
        <is>
          <t>CoQ reissue (assigned on issue)</t>
        </is>
      </c>
      <c r="Q277" s="6" t="inlineStr">
        <is>
          <t>—</t>
        </is>
      </c>
      <c r="R277" s="2" t="inlineStr">
        <is>
          <t>P060412|FM|R</t>
        </is>
      </c>
      <c r="S277" s="8" t="inlineStr">
        <is>
          <t>not yet issuable — retest assay not yet on file</t>
        </is>
      </c>
    </row>
    <row r="278">
      <c r="A278" s="2">
        <f>IF(C278="yes",COUNT(A$1:A277)+1,"")</f>
        <v/>
      </c>
      <c r="B278" s="3">
        <f>IF(A278="","— at issue —","iCoA-PP_26-"&amp;TEXT(A278,"000"))</f>
        <v/>
      </c>
      <c r="C278" s="6" t="inlineStr">
        <is>
          <t>no</t>
        </is>
      </c>
      <c r="D278" s="5">
        <f>IF(A278="","",E278)</f>
        <v/>
      </c>
      <c r="E278" s="5">
        <f>IF(AND(C278="yes",ISNUMBER(G278)),MAX(DATE(2026,5,13),G278),"")</f>
        <v/>
      </c>
      <c r="F278" s="5">
        <f>IFERROR(INDEX('Batch Dates'!$F:$F,MATCH(J278,'Batch Dates'!$C:$C,0)),IFERROR(INDEX('Batch Dates'!$F:$F,MATCH(I278,'Batch Dates'!$B:$B,0)),""))</f>
        <v/>
      </c>
      <c r="G278" s="5">
        <f>IFERROR(INDEX('Batch Dates'!$G:$G,MATCH(J278,'Batch Dates'!$C:$C,0)),IFERROR(INDEX('Batch Dates'!$G:$G,MATCH(I278,'Batch Dates'!$B:$B,0)),""))</f>
        <v/>
      </c>
      <c r="H278" s="2" t="inlineStr">
        <is>
          <t>retest — QP campaign</t>
        </is>
      </c>
      <c r="I278" s="3" t="inlineStr">
        <is>
          <t>FB012603</t>
        </is>
      </c>
      <c r="J278" s="2" t="inlineStr">
        <is>
          <t>P060432</t>
        </is>
      </c>
      <c r="K278" s="2" t="inlineStr">
        <is>
          <t>Fat Bastard</t>
        </is>
      </c>
      <c r="L278" s="2" t="inlineStr">
        <is>
          <t>Ident A + Ident B</t>
        </is>
      </c>
      <c r="M278" s="2" t="inlineStr">
        <is>
          <t>iCoA_P01-02 · Appearance &amp; Identification A/B</t>
        </is>
      </c>
      <c r="N278" s="6" t="inlineStr">
        <is>
          <t>—</t>
        </is>
      </c>
      <c r="O278" s="6" t="inlineStr">
        <is>
          <t>— retest assay not yet on file —</t>
        </is>
      </c>
      <c r="P278" s="2" t="inlineStr">
        <is>
          <t>CoQ reissue (assigned on issue)</t>
        </is>
      </c>
      <c r="Q278" s="6" t="inlineStr">
        <is>
          <t>—</t>
        </is>
      </c>
      <c r="R278" s="2" t="inlineStr">
        <is>
          <t>P060432|AB|R</t>
        </is>
      </c>
      <c r="S278" s="8" t="inlineStr">
        <is>
          <t>not yet issuable — retest assay not yet on file</t>
        </is>
      </c>
    </row>
    <row r="279">
      <c r="A279" s="2">
        <f>IF(C279="yes",COUNT(A$1:A278)+1,"")</f>
        <v/>
      </c>
      <c r="B279" s="3">
        <f>IF(A279="","— at issue —","iCoA-PP_26-"&amp;TEXT(A279,"000"))</f>
        <v/>
      </c>
      <c r="C279" s="6" t="inlineStr">
        <is>
          <t>no</t>
        </is>
      </c>
      <c r="D279" s="5">
        <f>IF(A279="","",E279)</f>
        <v/>
      </c>
      <c r="E279" s="5">
        <f>IF(AND(C279="yes",ISNUMBER(G279)),MAX(DATE(2026,5,13),G279),"")</f>
        <v/>
      </c>
      <c r="F279" s="5">
        <f>IFERROR(INDEX('Batch Dates'!$F:$F,MATCH(J279,'Batch Dates'!$C:$C,0)),IFERROR(INDEX('Batch Dates'!$F:$F,MATCH(I279,'Batch Dates'!$B:$B,0)),""))</f>
        <v/>
      </c>
      <c r="G279" s="5">
        <f>IFERROR(INDEX('Batch Dates'!$G:$G,MATCH(J279,'Batch Dates'!$C:$C,0)),IFERROR(INDEX('Batch Dates'!$G:$G,MATCH(I279,'Batch Dates'!$B:$B,0)),""))</f>
        <v/>
      </c>
      <c r="H279" s="2" t="inlineStr">
        <is>
          <t>retest — QP campaign</t>
        </is>
      </c>
      <c r="I279" s="3" t="inlineStr">
        <is>
          <t>FB012603</t>
        </is>
      </c>
      <c r="J279" s="2" t="inlineStr">
        <is>
          <t>P060432</t>
        </is>
      </c>
      <c r="K279" s="2" t="inlineStr">
        <is>
          <t>Fat Bastard</t>
        </is>
      </c>
      <c r="L279" s="2" t="inlineStr">
        <is>
          <t>Foreign matter</t>
        </is>
      </c>
      <c r="M279" s="2" t="inlineStr">
        <is>
          <t>iCoA_P07 · Foreign matter</t>
        </is>
      </c>
      <c r="N279" s="6" t="inlineStr">
        <is>
          <t>—</t>
        </is>
      </c>
      <c r="O279" s="6" t="inlineStr">
        <is>
          <t>— retest assay not yet on file —</t>
        </is>
      </c>
      <c r="P279" s="2" t="inlineStr">
        <is>
          <t>CoQ reissue (assigned on issue)</t>
        </is>
      </c>
      <c r="Q279" s="6" t="inlineStr">
        <is>
          <t>—</t>
        </is>
      </c>
      <c r="R279" s="2" t="inlineStr">
        <is>
          <t>P060432|FM|R</t>
        </is>
      </c>
      <c r="S279" s="8" t="inlineStr">
        <is>
          <t>not yet issuable — retest assay not yet on file</t>
        </is>
      </c>
    </row>
    <row r="280">
      <c r="A280" s="2">
        <f>IF(C280="yes",COUNT(A$1:A279)+1,"")</f>
        <v/>
      </c>
      <c r="B280" s="3">
        <f>IF(A280="","— at issue —","iCoA-PP_26-"&amp;TEXT(A280,"000"))</f>
        <v/>
      </c>
      <c r="C280" s="6" t="inlineStr">
        <is>
          <t>no</t>
        </is>
      </c>
      <c r="D280" s="5">
        <f>IF(A280="","",E280)</f>
        <v/>
      </c>
      <c r="E280" s="5">
        <f>IF(AND(C280="yes",ISNUMBER(G280)),MAX(DATE(2026,5,13),G280),"")</f>
        <v/>
      </c>
      <c r="F280" s="5">
        <f>IFERROR(INDEX('Batch Dates'!$F:$F,MATCH(J280,'Batch Dates'!$C:$C,0)),IFERROR(INDEX('Batch Dates'!$F:$F,MATCH(I280,'Batch Dates'!$B:$B,0)),""))</f>
        <v/>
      </c>
      <c r="G280" s="5">
        <f>IFERROR(INDEX('Batch Dates'!$G:$G,MATCH(J280,'Batch Dates'!$C:$C,0)),IFERROR(INDEX('Batch Dates'!$G:$G,MATCH(I280,'Batch Dates'!$B:$B,0)),""))</f>
        <v/>
      </c>
      <c r="H280" s="2" t="inlineStr">
        <is>
          <t>retest — QP campaign</t>
        </is>
      </c>
      <c r="I280" s="3" t="inlineStr">
        <is>
          <t>FB012603V</t>
        </is>
      </c>
      <c r="J280" s="2" t="inlineStr">
        <is>
          <t>P060392</t>
        </is>
      </c>
      <c r="K280" s="2" t="inlineStr">
        <is>
          <t>Fat Bastard</t>
        </is>
      </c>
      <c r="L280" s="2" t="inlineStr">
        <is>
          <t>Ident A + Ident B</t>
        </is>
      </c>
      <c r="M280" s="2" t="inlineStr">
        <is>
          <t>iCoA_P01-02 · Appearance &amp; Identification A/B</t>
        </is>
      </c>
      <c r="N280" s="6" t="inlineStr">
        <is>
          <t>—</t>
        </is>
      </c>
      <c r="O280" s="6" t="inlineStr">
        <is>
          <t>— retest assay not yet on file —</t>
        </is>
      </c>
      <c r="P280" s="2" t="inlineStr">
        <is>
          <t>CoQ reissue (assigned on issue)</t>
        </is>
      </c>
      <c r="Q280" s="6" t="inlineStr">
        <is>
          <t>—</t>
        </is>
      </c>
      <c r="R280" s="2" t="inlineStr">
        <is>
          <t>P060392|AB|R</t>
        </is>
      </c>
      <c r="S280" s="8" t="inlineStr">
        <is>
          <t>not yet issuable — retest assay not yet on file</t>
        </is>
      </c>
    </row>
    <row r="281">
      <c r="A281" s="2">
        <f>IF(C281="yes",COUNT(A$1:A280)+1,"")</f>
        <v/>
      </c>
      <c r="B281" s="3">
        <f>IF(A281="","— at issue —","iCoA-PP_26-"&amp;TEXT(A281,"000"))</f>
        <v/>
      </c>
      <c r="C281" s="6" t="inlineStr">
        <is>
          <t>no</t>
        </is>
      </c>
      <c r="D281" s="5">
        <f>IF(A281="","",E281)</f>
        <v/>
      </c>
      <c r="E281" s="5">
        <f>IF(AND(C281="yes",ISNUMBER(G281)),MAX(DATE(2026,5,13),G281),"")</f>
        <v/>
      </c>
      <c r="F281" s="5">
        <f>IFERROR(INDEX('Batch Dates'!$F:$F,MATCH(J281,'Batch Dates'!$C:$C,0)),IFERROR(INDEX('Batch Dates'!$F:$F,MATCH(I281,'Batch Dates'!$B:$B,0)),""))</f>
        <v/>
      </c>
      <c r="G281" s="5">
        <f>IFERROR(INDEX('Batch Dates'!$G:$G,MATCH(J281,'Batch Dates'!$C:$C,0)),IFERROR(INDEX('Batch Dates'!$G:$G,MATCH(I281,'Batch Dates'!$B:$B,0)),""))</f>
        <v/>
      </c>
      <c r="H281" s="2" t="inlineStr">
        <is>
          <t>retest — QP campaign</t>
        </is>
      </c>
      <c r="I281" s="3" t="inlineStr">
        <is>
          <t>FB012603V</t>
        </is>
      </c>
      <c r="J281" s="2" t="inlineStr">
        <is>
          <t>P060392</t>
        </is>
      </c>
      <c r="K281" s="2" t="inlineStr">
        <is>
          <t>Fat Bastard</t>
        </is>
      </c>
      <c r="L281" s="2" t="inlineStr">
        <is>
          <t>Foreign matter</t>
        </is>
      </c>
      <c r="M281" s="2" t="inlineStr">
        <is>
          <t>iCoA_P07 · Foreign matter</t>
        </is>
      </c>
      <c r="N281" s="6" t="inlineStr">
        <is>
          <t>—</t>
        </is>
      </c>
      <c r="O281" s="6" t="inlineStr">
        <is>
          <t>— retest assay not yet on file —</t>
        </is>
      </c>
      <c r="P281" s="2" t="inlineStr">
        <is>
          <t>CoQ reissue (assigned on issue)</t>
        </is>
      </c>
      <c r="Q281" s="6" t="inlineStr">
        <is>
          <t>—</t>
        </is>
      </c>
      <c r="R281" s="2" t="inlineStr">
        <is>
          <t>P060392|FM|R</t>
        </is>
      </c>
      <c r="S281" s="8" t="inlineStr">
        <is>
          <t>not yet issuable — retest assay not yet on file</t>
        </is>
      </c>
    </row>
    <row r="282">
      <c r="A282" s="2">
        <f>IF(C282="yes",COUNT(A$1:A281)+1,"")</f>
        <v/>
      </c>
      <c r="B282" s="3">
        <f>IF(A282="","— at issue —","iCoA-PP_26-"&amp;TEXT(A282,"000"))</f>
        <v/>
      </c>
      <c r="C282" s="6" t="inlineStr">
        <is>
          <t>no</t>
        </is>
      </c>
      <c r="D282" s="5">
        <f>IF(A282="","",E282)</f>
        <v/>
      </c>
      <c r="E282" s="5">
        <f>IF(AND(C282="yes",ISNUMBER(G282)),MAX(DATE(2026,5,13),G282),"")</f>
        <v/>
      </c>
      <c r="F282" s="5">
        <f>IFERROR(INDEX('Batch Dates'!$F:$F,MATCH(J282,'Batch Dates'!$C:$C,0)),IFERROR(INDEX('Batch Dates'!$F:$F,MATCH(I282,'Batch Dates'!$B:$B,0)),""))</f>
        <v/>
      </c>
      <c r="G282" s="5">
        <f>IFERROR(INDEX('Batch Dates'!$G:$G,MATCH(J282,'Batch Dates'!$C:$C,0)),IFERROR(INDEX('Batch Dates'!$G:$G,MATCH(I282,'Batch Dates'!$B:$B,0)),""))</f>
        <v/>
      </c>
      <c r="H282" s="2" t="inlineStr">
        <is>
          <t>retest — QP campaign</t>
        </is>
      </c>
      <c r="I282" s="3" t="inlineStr">
        <is>
          <t>JD022601</t>
        </is>
      </c>
      <c r="J282" s="2" t="inlineStr">
        <is>
          <t>P060482</t>
        </is>
      </c>
      <c r="K282" s="2" t="inlineStr">
        <is>
          <t>JellyDonutz</t>
        </is>
      </c>
      <c r="L282" s="2" t="inlineStr">
        <is>
          <t>Ident A + Ident B</t>
        </is>
      </c>
      <c r="M282" s="2" t="inlineStr">
        <is>
          <t>iCoA_P01-02 · Appearance &amp; Identification A/B</t>
        </is>
      </c>
      <c r="N282" s="6" t="inlineStr">
        <is>
          <t>—</t>
        </is>
      </c>
      <c r="O282" s="6" t="inlineStr">
        <is>
          <t>— retest assay not yet on file —</t>
        </is>
      </c>
      <c r="P282" s="2" t="inlineStr">
        <is>
          <t>CoQ reissue (assigned on issue)</t>
        </is>
      </c>
      <c r="Q282" s="6" t="inlineStr">
        <is>
          <t>—</t>
        </is>
      </c>
      <c r="R282" s="2" t="inlineStr">
        <is>
          <t>P060482|AB|R</t>
        </is>
      </c>
      <c r="S282" s="8" t="inlineStr">
        <is>
          <t>not yet issuable — retest assay not yet on file</t>
        </is>
      </c>
    </row>
    <row r="283">
      <c r="A283" s="2">
        <f>IF(C283="yes",COUNT(A$1:A282)+1,"")</f>
        <v/>
      </c>
      <c r="B283" s="3">
        <f>IF(A283="","— at issue —","iCoA-PP_26-"&amp;TEXT(A283,"000"))</f>
        <v/>
      </c>
      <c r="C283" s="6" t="inlineStr">
        <is>
          <t>no</t>
        </is>
      </c>
      <c r="D283" s="5">
        <f>IF(A283="","",E283)</f>
        <v/>
      </c>
      <c r="E283" s="5">
        <f>IF(AND(C283="yes",ISNUMBER(G283)),MAX(DATE(2026,5,13),G283),"")</f>
        <v/>
      </c>
      <c r="F283" s="5">
        <f>IFERROR(INDEX('Batch Dates'!$F:$F,MATCH(J283,'Batch Dates'!$C:$C,0)),IFERROR(INDEX('Batch Dates'!$F:$F,MATCH(I283,'Batch Dates'!$B:$B,0)),""))</f>
        <v/>
      </c>
      <c r="G283" s="5">
        <f>IFERROR(INDEX('Batch Dates'!$G:$G,MATCH(J283,'Batch Dates'!$C:$C,0)),IFERROR(INDEX('Batch Dates'!$G:$G,MATCH(I283,'Batch Dates'!$B:$B,0)),""))</f>
        <v/>
      </c>
      <c r="H283" s="2" t="inlineStr">
        <is>
          <t>retest — QP campaign</t>
        </is>
      </c>
      <c r="I283" s="3" t="inlineStr">
        <is>
          <t>JD022601</t>
        </is>
      </c>
      <c r="J283" s="2" t="inlineStr">
        <is>
          <t>P060482</t>
        </is>
      </c>
      <c r="K283" s="2" t="inlineStr">
        <is>
          <t>JellyDonutz</t>
        </is>
      </c>
      <c r="L283" s="2" t="inlineStr">
        <is>
          <t>Foreign matter</t>
        </is>
      </c>
      <c r="M283" s="2" t="inlineStr">
        <is>
          <t>iCoA_P07 · Foreign matter</t>
        </is>
      </c>
      <c r="N283" s="6" t="inlineStr">
        <is>
          <t>—</t>
        </is>
      </c>
      <c r="O283" s="6" t="inlineStr">
        <is>
          <t>— retest assay not yet on file —</t>
        </is>
      </c>
      <c r="P283" s="2" t="inlineStr">
        <is>
          <t>CoQ reissue (assigned on issue)</t>
        </is>
      </c>
      <c r="Q283" s="6" t="inlineStr">
        <is>
          <t>—</t>
        </is>
      </c>
      <c r="R283" s="2" t="inlineStr">
        <is>
          <t>P060482|FM|R</t>
        </is>
      </c>
      <c r="S283" s="8" t="inlineStr">
        <is>
          <t>not yet issuable — retest assay not yet on file</t>
        </is>
      </c>
    </row>
    <row r="284">
      <c r="A284" s="2">
        <f>IF(C284="yes",COUNT(A$1:A283)+1,"")</f>
        <v/>
      </c>
      <c r="B284" s="3">
        <f>IF(A284="","— at issue —","iCoA-PP_26-"&amp;TEXT(A284,"000"))</f>
        <v/>
      </c>
      <c r="C284" s="6" t="inlineStr">
        <is>
          <t>no</t>
        </is>
      </c>
      <c r="D284" s="5">
        <f>IF(A284="","",E284)</f>
        <v/>
      </c>
      <c r="E284" s="5">
        <f>IF(AND(C284="yes",ISNUMBER(G284)),MAX(DATE(2026,5,13),G284),"")</f>
        <v/>
      </c>
      <c r="F284" s="5">
        <f>IFERROR(INDEX('Batch Dates'!$F:$F,MATCH(J284,'Batch Dates'!$C:$C,0)),IFERROR(INDEX('Batch Dates'!$F:$F,MATCH(I284,'Batch Dates'!$B:$B,0)),""))</f>
        <v/>
      </c>
      <c r="G284" s="5">
        <f>IFERROR(INDEX('Batch Dates'!$G:$G,MATCH(J284,'Batch Dates'!$C:$C,0)),IFERROR(INDEX('Batch Dates'!$G:$G,MATCH(I284,'Batch Dates'!$B:$B,0)),""))</f>
        <v/>
      </c>
      <c r="H284" s="2" t="inlineStr">
        <is>
          <t>retest — QP campaign</t>
        </is>
      </c>
      <c r="I284" s="3" t="inlineStr">
        <is>
          <t>SCR022601</t>
        </is>
      </c>
      <c r="J284" s="2" t="inlineStr">
        <is>
          <t>P060442</t>
        </is>
      </c>
      <c r="K284" s="2" t="inlineStr">
        <is>
          <t>Scrambler</t>
        </is>
      </c>
      <c r="L284" s="2" t="inlineStr">
        <is>
          <t>Ident A + Ident B</t>
        </is>
      </c>
      <c r="M284" s="2" t="inlineStr">
        <is>
          <t>iCoA_P01-02 · Appearance &amp; Identification A/B</t>
        </is>
      </c>
      <c r="N284" s="6" t="inlineStr">
        <is>
          <t>—</t>
        </is>
      </c>
      <c r="O284" s="6" t="inlineStr">
        <is>
          <t>— retest assay not yet on file —</t>
        </is>
      </c>
      <c r="P284" s="2" t="inlineStr">
        <is>
          <t>CoQ reissue (assigned on issue)</t>
        </is>
      </c>
      <c r="Q284" s="6" t="inlineStr">
        <is>
          <t>—</t>
        </is>
      </c>
      <c r="R284" s="2" t="inlineStr">
        <is>
          <t>P060442|AB|R</t>
        </is>
      </c>
      <c r="S284" s="8" t="inlineStr">
        <is>
          <t>not yet issuable — retest assay not yet on file</t>
        </is>
      </c>
    </row>
    <row r="285">
      <c r="A285" s="2">
        <f>IF(C285="yes",COUNT(A$1:A284)+1,"")</f>
        <v/>
      </c>
      <c r="B285" s="3">
        <f>IF(A285="","— at issue —","iCoA-PP_26-"&amp;TEXT(A285,"000"))</f>
        <v/>
      </c>
      <c r="C285" s="6" t="inlineStr">
        <is>
          <t>no</t>
        </is>
      </c>
      <c r="D285" s="5">
        <f>IF(A285="","",E285)</f>
        <v/>
      </c>
      <c r="E285" s="5">
        <f>IF(AND(C285="yes",ISNUMBER(G285)),MAX(DATE(2026,5,13),G285),"")</f>
        <v/>
      </c>
      <c r="F285" s="5">
        <f>IFERROR(INDEX('Batch Dates'!$F:$F,MATCH(J285,'Batch Dates'!$C:$C,0)),IFERROR(INDEX('Batch Dates'!$F:$F,MATCH(I285,'Batch Dates'!$B:$B,0)),""))</f>
        <v/>
      </c>
      <c r="G285" s="5">
        <f>IFERROR(INDEX('Batch Dates'!$G:$G,MATCH(J285,'Batch Dates'!$C:$C,0)),IFERROR(INDEX('Batch Dates'!$G:$G,MATCH(I285,'Batch Dates'!$B:$B,0)),""))</f>
        <v/>
      </c>
      <c r="H285" s="2" t="inlineStr">
        <is>
          <t>retest — QP campaign</t>
        </is>
      </c>
      <c r="I285" s="3" t="inlineStr">
        <is>
          <t>SCR022601</t>
        </is>
      </c>
      <c r="J285" s="2" t="inlineStr">
        <is>
          <t>P060442</t>
        </is>
      </c>
      <c r="K285" s="2" t="inlineStr">
        <is>
          <t>Scrambler</t>
        </is>
      </c>
      <c r="L285" s="2" t="inlineStr">
        <is>
          <t>Foreign matter</t>
        </is>
      </c>
      <c r="M285" s="2" t="inlineStr">
        <is>
          <t>iCoA_P07 · Foreign matter</t>
        </is>
      </c>
      <c r="N285" s="6" t="inlineStr">
        <is>
          <t>—</t>
        </is>
      </c>
      <c r="O285" s="6" t="inlineStr">
        <is>
          <t>— retest assay not yet on file —</t>
        </is>
      </c>
      <c r="P285" s="2" t="inlineStr">
        <is>
          <t>CoQ reissue (assigned on issue)</t>
        </is>
      </c>
      <c r="Q285" s="6" t="inlineStr">
        <is>
          <t>—</t>
        </is>
      </c>
      <c r="R285" s="2" t="inlineStr">
        <is>
          <t>P060442|FM|R</t>
        </is>
      </c>
      <c r="S285" s="8" t="inlineStr">
        <is>
          <t>not yet issuable — retest assay not yet on file</t>
        </is>
      </c>
    </row>
    <row r="286">
      <c r="A286" s="2">
        <f>IF(C286="yes",COUNT(A$1:A285)+1,"")</f>
        <v/>
      </c>
      <c r="B286" s="3">
        <f>IF(A286="","— at issue —","iCoA-PP_26-"&amp;TEXT(A286,"000"))</f>
        <v/>
      </c>
      <c r="C286" s="6" t="inlineStr">
        <is>
          <t>no</t>
        </is>
      </c>
      <c r="D286" s="5">
        <f>IF(A286="","",E286)</f>
        <v/>
      </c>
      <c r="E286" s="5">
        <f>IF(AND(C286="yes",ISNUMBER(G286)),MAX(DATE(2026,5,13),G286),"")</f>
        <v/>
      </c>
      <c r="F286" s="5">
        <f>IFERROR(INDEX('Batch Dates'!$F:$F,MATCH(J286,'Batch Dates'!$C:$C,0)),IFERROR(INDEX('Batch Dates'!$F:$F,MATCH(I286,'Batch Dates'!$B:$B,0)),""))</f>
        <v/>
      </c>
      <c r="G286" s="5">
        <f>IFERROR(INDEX('Batch Dates'!$G:$G,MATCH(J286,'Batch Dates'!$C:$C,0)),IFERROR(INDEX('Batch Dates'!$G:$G,MATCH(I286,'Batch Dates'!$B:$B,0)),""))</f>
        <v/>
      </c>
      <c r="H286" s="2" t="inlineStr">
        <is>
          <t>retest — QP campaign</t>
        </is>
      </c>
      <c r="I286" s="3" t="inlineStr">
        <is>
          <t>FB032601</t>
        </is>
      </c>
      <c r="J286" s="2" t="inlineStr">
        <is>
          <t>P060452</t>
        </is>
      </c>
      <c r="K286" s="2" t="inlineStr">
        <is>
          <t>FatBastard</t>
        </is>
      </c>
      <c r="L286" s="2" t="inlineStr">
        <is>
          <t>Ident A + Ident B</t>
        </is>
      </c>
      <c r="M286" s="2" t="inlineStr">
        <is>
          <t>iCoA_P01-02 · Appearance &amp; Identification A/B</t>
        </is>
      </c>
      <c r="N286" s="6" t="inlineStr">
        <is>
          <t>—</t>
        </is>
      </c>
      <c r="O286" s="6" t="inlineStr">
        <is>
          <t>— retest assay not yet on file —</t>
        </is>
      </c>
      <c r="P286" s="2" t="inlineStr">
        <is>
          <t>CoQ reissue (assigned on issue)</t>
        </is>
      </c>
      <c r="Q286" s="6" t="inlineStr">
        <is>
          <t>—</t>
        </is>
      </c>
      <c r="R286" s="2" t="inlineStr">
        <is>
          <t>P060452|AB|R</t>
        </is>
      </c>
      <c r="S286" s="8" t="inlineStr">
        <is>
          <t>not yet issuable — retest assay not yet on file</t>
        </is>
      </c>
    </row>
    <row r="287">
      <c r="A287" s="2">
        <f>IF(C287="yes",COUNT(A$1:A286)+1,"")</f>
        <v/>
      </c>
      <c r="B287" s="3">
        <f>IF(A287="","— at issue —","iCoA-PP_26-"&amp;TEXT(A287,"000"))</f>
        <v/>
      </c>
      <c r="C287" s="6" t="inlineStr">
        <is>
          <t>no</t>
        </is>
      </c>
      <c r="D287" s="5">
        <f>IF(A287="","",E287)</f>
        <v/>
      </c>
      <c r="E287" s="5">
        <f>IF(AND(C287="yes",ISNUMBER(G287)),MAX(DATE(2026,5,13),G287),"")</f>
        <v/>
      </c>
      <c r="F287" s="5">
        <f>IFERROR(INDEX('Batch Dates'!$F:$F,MATCH(J287,'Batch Dates'!$C:$C,0)),IFERROR(INDEX('Batch Dates'!$F:$F,MATCH(I287,'Batch Dates'!$B:$B,0)),""))</f>
        <v/>
      </c>
      <c r="G287" s="5">
        <f>IFERROR(INDEX('Batch Dates'!$G:$G,MATCH(J287,'Batch Dates'!$C:$C,0)),IFERROR(INDEX('Batch Dates'!$G:$G,MATCH(I287,'Batch Dates'!$B:$B,0)),""))</f>
        <v/>
      </c>
      <c r="H287" s="2" t="inlineStr">
        <is>
          <t>retest — QP campaign</t>
        </is>
      </c>
      <c r="I287" s="3" t="inlineStr">
        <is>
          <t>FB032601</t>
        </is>
      </c>
      <c r="J287" s="2" t="inlineStr">
        <is>
          <t>P060452</t>
        </is>
      </c>
      <c r="K287" s="2" t="inlineStr">
        <is>
          <t>FatBastard</t>
        </is>
      </c>
      <c r="L287" s="2" t="inlineStr">
        <is>
          <t>Foreign matter</t>
        </is>
      </c>
      <c r="M287" s="2" t="inlineStr">
        <is>
          <t>iCoA_P07 · Foreign matter</t>
        </is>
      </c>
      <c r="N287" s="6" t="inlineStr">
        <is>
          <t>—</t>
        </is>
      </c>
      <c r="O287" s="6" t="inlineStr">
        <is>
          <t>— retest assay not yet on file —</t>
        </is>
      </c>
      <c r="P287" s="2" t="inlineStr">
        <is>
          <t>CoQ reissue (assigned on issue)</t>
        </is>
      </c>
      <c r="Q287" s="6" t="inlineStr">
        <is>
          <t>—</t>
        </is>
      </c>
      <c r="R287" s="2" t="inlineStr">
        <is>
          <t>P060452|FM|R</t>
        </is>
      </c>
      <c r="S287" s="8" t="inlineStr">
        <is>
          <t>not yet issuable — retest assay not yet on file</t>
        </is>
      </c>
    </row>
    <row r="288">
      <c r="A288" s="2">
        <f>IF(C288="yes",COUNT(A$1:A287)+1,"")</f>
        <v/>
      </c>
      <c r="B288" s="3">
        <f>IF(A288="","— at issue —","iCoA-PP_26-"&amp;TEXT(A288,"000"))</f>
        <v/>
      </c>
      <c r="C288" s="6" t="inlineStr">
        <is>
          <t>no</t>
        </is>
      </c>
      <c r="D288" s="5">
        <f>IF(A288="","",E288)</f>
        <v/>
      </c>
      <c r="E288" s="5">
        <f>IF(AND(C288="yes",ISNUMBER(G288)),MAX(DATE(2026,5,13),G288),"")</f>
        <v/>
      </c>
      <c r="F288" s="5">
        <f>IFERROR(INDEX('Batch Dates'!$F:$F,MATCH(J288,'Batch Dates'!$C:$C,0)),IFERROR(INDEX('Batch Dates'!$F:$F,MATCH(I288,'Batch Dates'!$B:$B,0)),""))</f>
        <v/>
      </c>
      <c r="G288" s="5">
        <f>IFERROR(INDEX('Batch Dates'!$G:$G,MATCH(J288,'Batch Dates'!$C:$C,0)),IFERROR(INDEX('Batch Dates'!$G:$G,MATCH(I288,'Batch Dates'!$B:$B,0)),""))</f>
        <v/>
      </c>
      <c r="H288" s="2" t="inlineStr">
        <is>
          <t>retest — QP campaign</t>
        </is>
      </c>
      <c r="I288" s="3" t="inlineStr">
        <is>
          <t>GG032601</t>
        </is>
      </c>
      <c r="J288" s="2" t="inlineStr">
        <is>
          <t>P060462</t>
        </is>
      </c>
      <c r="K288" s="2" t="inlineStr">
        <is>
          <t>GorillaGlue</t>
        </is>
      </c>
      <c r="L288" s="2" t="inlineStr">
        <is>
          <t>Ident A + Ident B</t>
        </is>
      </c>
      <c r="M288" s="2" t="inlineStr">
        <is>
          <t>iCoA_P01-02 · Appearance &amp; Identification A/B</t>
        </is>
      </c>
      <c r="N288" s="6" t="inlineStr">
        <is>
          <t>—</t>
        </is>
      </c>
      <c r="O288" s="6" t="inlineStr">
        <is>
          <t>— retest assay not yet on file —</t>
        </is>
      </c>
      <c r="P288" s="2" t="inlineStr">
        <is>
          <t>CoQ reissue (assigned on issue)</t>
        </is>
      </c>
      <c r="Q288" s="6" t="inlineStr">
        <is>
          <t>—</t>
        </is>
      </c>
      <c r="R288" s="2" t="inlineStr">
        <is>
          <t>P060462|AB|R</t>
        </is>
      </c>
      <c r="S288" s="8" t="inlineStr">
        <is>
          <t>not yet issuable — retest assay not yet on file</t>
        </is>
      </c>
    </row>
    <row r="289">
      <c r="A289" s="2">
        <f>IF(C289="yes",COUNT(A$1:A288)+1,"")</f>
        <v/>
      </c>
      <c r="B289" s="3">
        <f>IF(A289="","— at issue —","iCoA-PP_26-"&amp;TEXT(A289,"000"))</f>
        <v/>
      </c>
      <c r="C289" s="6" t="inlineStr">
        <is>
          <t>no</t>
        </is>
      </c>
      <c r="D289" s="5">
        <f>IF(A289="","",E289)</f>
        <v/>
      </c>
      <c r="E289" s="5">
        <f>IF(AND(C289="yes",ISNUMBER(G289)),MAX(DATE(2026,5,13),G289),"")</f>
        <v/>
      </c>
      <c r="F289" s="5">
        <f>IFERROR(INDEX('Batch Dates'!$F:$F,MATCH(J289,'Batch Dates'!$C:$C,0)),IFERROR(INDEX('Batch Dates'!$F:$F,MATCH(I289,'Batch Dates'!$B:$B,0)),""))</f>
        <v/>
      </c>
      <c r="G289" s="5">
        <f>IFERROR(INDEX('Batch Dates'!$G:$G,MATCH(J289,'Batch Dates'!$C:$C,0)),IFERROR(INDEX('Batch Dates'!$G:$G,MATCH(I289,'Batch Dates'!$B:$B,0)),""))</f>
        <v/>
      </c>
      <c r="H289" s="2" t="inlineStr">
        <is>
          <t>retest — QP campaign</t>
        </is>
      </c>
      <c r="I289" s="3" t="inlineStr">
        <is>
          <t>GG032601</t>
        </is>
      </c>
      <c r="J289" s="2" t="inlineStr">
        <is>
          <t>P060462</t>
        </is>
      </c>
      <c r="K289" s="2" t="inlineStr">
        <is>
          <t>GorillaGlue</t>
        </is>
      </c>
      <c r="L289" s="2" t="inlineStr">
        <is>
          <t>Foreign matter</t>
        </is>
      </c>
      <c r="M289" s="2" t="inlineStr">
        <is>
          <t>iCoA_P07 · Foreign matter</t>
        </is>
      </c>
      <c r="N289" s="6" t="inlineStr">
        <is>
          <t>—</t>
        </is>
      </c>
      <c r="O289" s="6" t="inlineStr">
        <is>
          <t>— retest assay not yet on file —</t>
        </is>
      </c>
      <c r="P289" s="2" t="inlineStr">
        <is>
          <t>CoQ reissue (assigned on issue)</t>
        </is>
      </c>
      <c r="Q289" s="6" t="inlineStr">
        <is>
          <t>—</t>
        </is>
      </c>
      <c r="R289" s="2" t="inlineStr">
        <is>
          <t>P060462|FM|R</t>
        </is>
      </c>
      <c r="S289" s="8" t="inlineStr">
        <is>
          <t>not yet issuable — retest assay not yet on file</t>
        </is>
      </c>
    </row>
    <row r="291" ht="96" customHeight="1">
      <c r="A291" s="9" t="inlineStr">
        <is>
          <t>Head of QC, 05.09.2026: preliminary iCoA issuance register. Document codes iCoA-PP_26-nnn (nnn = 001 … 999), one series for the year of issue, assigned in the order the certificates can be issued: by the earliest permissible issue date, then by the basis date (the first day of packaging, when the sample is taken). Every printed issue date lies in [11.05.2026 … the day of signing] — the CoQ SOP came into use on 11.05.2026 and no document is post-dated — and, Head of QC 05.09.2026, every certificate whose lot was packed before the SOP floor is issued on ONE day, 13.05.2026 (a Wednesday), in chronological order of packaging; the lots packed after it follow, each on its last day of packaging, the numbers running on. No number is reserved for a row that cannot be issued yet: a lot without a packaging date, a held result, and every retest iCoA (identification A, B and foreign matter are tested at the retest sampling, whose date is not on the desk). Where a CNP certificate reports all three, no iCoA is needed. The plan's references of 31.08.2026 (iCoA-PP-YYYY-NNNN) are superseded by these codes and kept beside them. Identification C is not on the iCoA: the CoQ cites the cannabinoid-assay eCoA named here. TWO CERTIFICATES PER P LOT (05.09.2026): identification A and B on the P01-02 master, foreign matter on the P07 master. FORMULAS: No. counts the issuable rows above it, the code is built from No., the earliest and preliminary dates from the SOP floor and the packaging dates looked up on Batch Dates by P batch (or CU batch); insert a row, set Issuable to yes, and every code beneath moves by one — the iCoA Issuance sheet and the tracker cite the register by KEY, so they follow. Rows are not re-sorted by a formula: a changed date is a manual move.</t>
        </is>
      </c>
    </row>
  </sheetData>
  <mergeCells count="1">
    <mergeCell ref="A291:S29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cols>
    <col width="6" customWidth="1" min="1" max="1"/>
    <col width="18" customWidth="1" min="2" max="2"/>
    <col width="12" customWidth="1" min="3" max="3"/>
    <col width="13" customWidth="1" min="4" max="4"/>
    <col width="13" customWidth="1" min="5" max="5"/>
    <col width="14" customWidth="1" min="6" max="6"/>
    <col width="14" customWidth="1" min="7" max="7"/>
    <col width="20" customWidth="1" min="8" max="8"/>
    <col width="16" customWidth="1" min="9" max="9"/>
    <col width="60" customWidth="1" min="10" max="10"/>
  </cols>
  <sheetData>
    <row r="1" ht="22" customHeight="1">
      <c r="A1" s="1" t="inlineStr">
        <is>
          <t>Seq</t>
        </is>
      </c>
      <c r="B1" s="1" t="inlineStr">
        <is>
          <t>Batch (as listed)</t>
        </is>
      </c>
      <c r="C1" s="1" t="inlineStr">
        <is>
          <t>P Batch</t>
        </is>
      </c>
      <c r="D1" s="1" t="inlineStr">
        <is>
          <t>Harvest from</t>
        </is>
      </c>
      <c r="E1" s="1" t="inlineStr">
        <is>
          <t>Harvest to</t>
        </is>
      </c>
      <c r="F1" s="1" t="inlineStr">
        <is>
          <t>Packaging from</t>
        </is>
      </c>
      <c r="G1" s="1" t="inlineStr">
        <is>
          <t>Packaging to</t>
        </is>
      </c>
      <c r="H1" s="1" t="inlineStr">
        <is>
          <t>iCoA basis (first day of packaging)</t>
        </is>
      </c>
      <c r="I1" s="1" t="inlineStr">
        <is>
          <t>Tracker lot</t>
        </is>
      </c>
      <c r="J1" s="1" t="inlineStr">
        <is>
          <t>Note</t>
        </is>
      </c>
    </row>
    <row r="2">
      <c r="A2" s="2" t="n">
        <v>1</v>
      </c>
      <c r="B2" s="3" t="inlineStr">
        <is>
          <t>CJ1024</t>
        </is>
      </c>
      <c r="C2" s="3" t="inlineStr"/>
      <c r="D2" s="5" t="n">
        <v>45677</v>
      </c>
      <c r="E2" s="5" t="n">
        <v>45677</v>
      </c>
      <c r="F2" s="5" t="n">
        <v>45719</v>
      </c>
      <c r="G2" s="5" t="n">
        <v>45719</v>
      </c>
      <c r="H2" s="5">
        <f>F2</f>
        <v/>
      </c>
      <c r="I2" s="2" t="inlineStr">
        <is>
          <t>CJ1024</t>
        </is>
      </c>
      <c r="J2" s="10" t="inlineStr">
        <is>
          <t>listed as 'CJ1024 - R&amp;D'</t>
        </is>
      </c>
    </row>
    <row r="3">
      <c r="A3" s="2" t="n">
        <v>2</v>
      </c>
      <c r="B3" s="3" t="inlineStr">
        <is>
          <t>GG1024</t>
        </is>
      </c>
      <c r="C3" s="3" t="inlineStr"/>
      <c r="D3" s="5" t="n">
        <v>45677</v>
      </c>
      <c r="E3" s="5" t="n">
        <v>45677</v>
      </c>
      <c r="F3" s="5" t="n">
        <v>45727</v>
      </c>
      <c r="G3" s="5" t="n">
        <v>45727</v>
      </c>
      <c r="H3" s="5">
        <f>F3</f>
        <v/>
      </c>
      <c r="I3" s="2" t="inlineStr">
        <is>
          <t>GG1024</t>
        </is>
      </c>
      <c r="J3" s="10" t="inlineStr">
        <is>
          <t>listed as 'GG1024- R&amp;D'</t>
        </is>
      </c>
    </row>
    <row r="4">
      <c r="A4" s="2" t="n">
        <v>3</v>
      </c>
      <c r="B4" s="3" t="inlineStr">
        <is>
          <t>OPM1024</t>
        </is>
      </c>
      <c r="C4" s="3" t="inlineStr"/>
      <c r="D4" s="5" t="n">
        <v>45678</v>
      </c>
      <c r="E4" s="5" t="n">
        <v>45678</v>
      </c>
      <c r="F4" s="5" t="n">
        <v>45771</v>
      </c>
      <c r="G4" s="5" t="n">
        <v>45772</v>
      </c>
      <c r="H4" s="5">
        <f>F4</f>
        <v/>
      </c>
      <c r="I4" s="2" t="inlineStr">
        <is>
          <t>OPM1024</t>
        </is>
      </c>
      <c r="J4" s="10" t="inlineStr">
        <is>
          <t>listed as 'OPM1024- R&amp;D'</t>
        </is>
      </c>
    </row>
    <row r="5">
      <c r="A5" s="2" t="n">
        <v>4</v>
      </c>
      <c r="B5" s="3" t="inlineStr">
        <is>
          <t>BG1024</t>
        </is>
      </c>
      <c r="C5" s="3" t="inlineStr"/>
      <c r="D5" s="5" t="n">
        <v>45678</v>
      </c>
      <c r="E5" s="5" t="n">
        <v>45678</v>
      </c>
      <c r="F5" s="5" t="n">
        <v>45723</v>
      </c>
      <c r="G5" s="5" t="n">
        <v>45723</v>
      </c>
      <c r="H5" s="5">
        <f>F5</f>
        <v/>
      </c>
      <c r="I5" s="2" t="inlineStr">
        <is>
          <t>BG1024</t>
        </is>
      </c>
      <c r="J5" s="10" t="inlineStr">
        <is>
          <t>listed as 'BG1024- R&amp;D'</t>
        </is>
      </c>
    </row>
    <row r="6">
      <c r="A6" s="2" t="n">
        <v>5</v>
      </c>
      <c r="B6" s="3" t="inlineStr">
        <is>
          <t>BSS1024</t>
        </is>
      </c>
      <c r="C6" s="3" t="inlineStr"/>
      <c r="D6" s="5" t="n">
        <v>45679</v>
      </c>
      <c r="E6" s="5" t="n">
        <v>45679</v>
      </c>
      <c r="F6" s="5" t="n">
        <v>45720</v>
      </c>
      <c r="G6" s="5" t="n">
        <v>45720</v>
      </c>
      <c r="H6" s="5">
        <f>F6</f>
        <v/>
      </c>
      <c r="I6" s="2" t="inlineStr">
        <is>
          <t>BSS1024</t>
        </is>
      </c>
      <c r="J6" s="10" t="inlineStr">
        <is>
          <t>listed as 'BSS1024- R&amp;D'</t>
        </is>
      </c>
    </row>
    <row r="7">
      <c r="A7" s="2" t="n">
        <v>6</v>
      </c>
      <c r="B7" s="3" t="inlineStr">
        <is>
          <t>HPA1024</t>
        </is>
      </c>
      <c r="C7" s="3" t="inlineStr"/>
      <c r="D7" s="5" t="n">
        <v>45679</v>
      </c>
      <c r="E7" s="5" t="n">
        <v>45679</v>
      </c>
      <c r="F7" s="5" t="n">
        <v>45758</v>
      </c>
      <c r="G7" s="5" t="n">
        <v>45758</v>
      </c>
      <c r="H7" s="5">
        <f>F7</f>
        <v/>
      </c>
      <c r="I7" s="2" t="inlineStr">
        <is>
          <t>HPA1024</t>
        </is>
      </c>
      <c r="J7" s="10" t="inlineStr">
        <is>
          <t>listed as 'HPA1024- R&amp;D'</t>
        </is>
      </c>
    </row>
    <row r="8">
      <c r="A8" s="2" t="n">
        <v>7</v>
      </c>
      <c r="B8" s="3" t="inlineStr">
        <is>
          <t>GG1024_01</t>
        </is>
      </c>
      <c r="C8" s="3" t="inlineStr">
        <is>
          <t>P050092</t>
        </is>
      </c>
      <c r="D8" s="5" t="n">
        <v>45733</v>
      </c>
      <c r="E8" s="5" t="n">
        <v>45734</v>
      </c>
      <c r="F8" s="5" t="n">
        <v>45869</v>
      </c>
      <c r="G8" s="5" t="n">
        <v>45874</v>
      </c>
      <c r="H8" s="5">
        <f>F8</f>
        <v/>
      </c>
      <c r="I8" s="2" t="inlineStr">
        <is>
          <t>GG1024_01</t>
        </is>
      </c>
      <c r="J8" s="10" t="inlineStr">
        <is>
          <t>packaging: year 2025 inferred (not printed)</t>
        </is>
      </c>
    </row>
    <row r="9">
      <c r="A9" s="2" t="n">
        <v>8</v>
      </c>
      <c r="B9" s="3" t="inlineStr">
        <is>
          <t>GP0824_01</t>
        </is>
      </c>
      <c r="C9" s="3" t="inlineStr">
        <is>
          <t>P050102</t>
        </is>
      </c>
      <c r="D9" s="5" t="n">
        <v>45736</v>
      </c>
      <c r="E9" s="5" t="n">
        <v>45737</v>
      </c>
      <c r="F9" s="5" t="n">
        <v>45874</v>
      </c>
      <c r="G9" s="5" t="n">
        <v>45876</v>
      </c>
      <c r="H9" s="5">
        <f>F9</f>
        <v/>
      </c>
      <c r="I9" s="2" t="inlineStr">
        <is>
          <t>GP0824_01</t>
        </is>
      </c>
      <c r="J9" s="10" t="inlineStr">
        <is>
          <t>packaging: year 2025 inferred (not printed)</t>
        </is>
      </c>
    </row>
    <row r="10">
      <c r="A10" s="2" t="n">
        <v>9</v>
      </c>
      <c r="B10" s="3" t="inlineStr">
        <is>
          <t>OMP1024_01</t>
        </is>
      </c>
      <c r="C10" s="3" t="inlineStr">
        <is>
          <t>P050042</t>
        </is>
      </c>
      <c r="D10" s="5" t="n">
        <v>45742</v>
      </c>
      <c r="E10" s="5" t="n">
        <v>45743</v>
      </c>
      <c r="F10" s="5" t="n">
        <v>45828</v>
      </c>
      <c r="G10" s="5" t="n">
        <v>45828</v>
      </c>
      <c r="H10" s="5">
        <f>F10</f>
        <v/>
      </c>
      <c r="I10" s="2" t="inlineStr">
        <is>
          <t>OMP1024_01</t>
        </is>
      </c>
      <c r="J10" s="10" t="inlineStr"/>
    </row>
    <row r="11">
      <c r="A11" s="2" t="n">
        <v>10</v>
      </c>
      <c r="B11" s="3" t="inlineStr">
        <is>
          <t>MB0824_04</t>
        </is>
      </c>
      <c r="C11" s="3" t="inlineStr">
        <is>
          <t>P050032</t>
        </is>
      </c>
      <c r="D11" s="5" t="n">
        <v>45749</v>
      </c>
      <c r="E11" s="5" t="n">
        <v>45750</v>
      </c>
      <c r="F11" s="5" t="n">
        <v>45824</v>
      </c>
      <c r="G11" s="5" t="n">
        <v>45827</v>
      </c>
      <c r="H11" s="5">
        <f>F11</f>
        <v/>
      </c>
      <c r="I11" s="2" t="inlineStr">
        <is>
          <t>MB0824_04</t>
        </is>
      </c>
      <c r="J11" s="10" t="inlineStr"/>
    </row>
    <row r="12">
      <c r="A12" s="2" t="n">
        <v>11</v>
      </c>
      <c r="B12" s="3" t="inlineStr">
        <is>
          <t>GG1024_02</t>
        </is>
      </c>
      <c r="C12" s="3" t="inlineStr">
        <is>
          <t>P050012</t>
        </is>
      </c>
      <c r="D12" s="5" t="n">
        <v>45761</v>
      </c>
      <c r="E12" s="5" t="n">
        <v>45762</v>
      </c>
      <c r="F12" s="5" t="n">
        <v>45819</v>
      </c>
      <c r="G12" s="5" t="n">
        <v>45824</v>
      </c>
      <c r="H12" s="5">
        <f>F12</f>
        <v/>
      </c>
      <c r="I12" s="2" t="inlineStr">
        <is>
          <t>GG1024_02</t>
        </is>
      </c>
      <c r="J12" s="10" t="inlineStr"/>
    </row>
    <row r="13">
      <c r="A13" s="2" t="n">
        <v>12</v>
      </c>
      <c r="B13" s="3" t="inlineStr">
        <is>
          <t>GP0824_02</t>
        </is>
      </c>
      <c r="C13" s="3" t="inlineStr">
        <is>
          <t>P050022</t>
        </is>
      </c>
      <c r="D13" s="5" t="n">
        <v>45769</v>
      </c>
      <c r="E13" s="5" t="n">
        <v>45770</v>
      </c>
      <c r="F13" s="5" t="n">
        <v>45811</v>
      </c>
      <c r="G13" s="5" t="n">
        <v>45819</v>
      </c>
      <c r="H13" s="5">
        <f>F13</f>
        <v/>
      </c>
      <c r="I13" s="2" t="inlineStr">
        <is>
          <t>GP0824_02</t>
        </is>
      </c>
      <c r="J13" s="10" t="inlineStr"/>
    </row>
    <row r="14">
      <c r="A14" s="2" t="n">
        <v>13</v>
      </c>
      <c r="B14" s="3" t="inlineStr">
        <is>
          <t>HPA1024_01</t>
        </is>
      </c>
      <c r="C14" s="3" t="inlineStr">
        <is>
          <t>P050052</t>
        </is>
      </c>
      <c r="D14" s="5" t="n">
        <v>45804</v>
      </c>
      <c r="E14" s="5" t="n">
        <v>45805</v>
      </c>
      <c r="F14" s="5" t="n">
        <v>45835</v>
      </c>
      <c r="G14" s="5" t="n">
        <v>45842</v>
      </c>
      <c r="H14" s="5">
        <f>F14</f>
        <v/>
      </c>
      <c r="I14" s="2" t="inlineStr">
        <is>
          <t>HPA1024_01</t>
        </is>
      </c>
      <c r="J14" s="10" t="inlineStr"/>
    </row>
    <row r="15">
      <c r="A15" s="2" t="n">
        <v>14</v>
      </c>
      <c r="B15" s="3" t="inlineStr">
        <is>
          <t>OPM1024_02</t>
        </is>
      </c>
      <c r="C15" s="3" t="inlineStr">
        <is>
          <t>P050062</t>
        </is>
      </c>
      <c r="D15" s="5" t="n">
        <v>45806</v>
      </c>
      <c r="E15" s="5" t="n">
        <v>45807</v>
      </c>
      <c r="F15" s="5" t="n">
        <v>45842</v>
      </c>
      <c r="G15" s="5" t="n">
        <v>45848</v>
      </c>
      <c r="H15" s="5">
        <f>F15</f>
        <v/>
      </c>
      <c r="I15" s="2" t="inlineStr">
        <is>
          <t>OPM1024_02</t>
        </is>
      </c>
      <c r="J15" s="10" t="inlineStr"/>
    </row>
    <row r="16">
      <c r="A16" s="2" t="n">
        <v>15</v>
      </c>
      <c r="B16" s="3" t="inlineStr">
        <is>
          <t>BSS1024_01/1</t>
        </is>
      </c>
      <c r="C16" s="3" t="inlineStr">
        <is>
          <t>P050122</t>
        </is>
      </c>
      <c r="D16" s="5" t="n">
        <v>45812</v>
      </c>
      <c r="E16" s="5" t="n">
        <v>45813</v>
      </c>
      <c r="F16" s="5" t="n">
        <v>45901</v>
      </c>
      <c r="G16" s="5" t="n">
        <v>45909</v>
      </c>
      <c r="H16" s="5">
        <f>F16</f>
        <v/>
      </c>
      <c r="I16" s="2" t="inlineStr">
        <is>
          <t>BSS1024_01/1</t>
        </is>
      </c>
      <c r="J16" s="10" t="inlineStr">
        <is>
          <t>packaging: year 2025 inferred (not printed)</t>
        </is>
      </c>
    </row>
    <row r="17">
      <c r="A17" s="2" t="n">
        <v>16</v>
      </c>
      <c r="B17" s="3" t="inlineStr">
        <is>
          <t>BSS1024_01/2</t>
        </is>
      </c>
      <c r="C17" s="3" t="inlineStr">
        <is>
          <t>P050142</t>
        </is>
      </c>
      <c r="D17" s="11" t="inlineStr">
        <is>
          <t>— not given —</t>
        </is>
      </c>
      <c r="E17" s="11" t="inlineStr">
        <is>
          <t>— not given —</t>
        </is>
      </c>
      <c r="F17" s="5" t="n">
        <v>45930</v>
      </c>
      <c r="G17" s="5" t="n">
        <v>45930</v>
      </c>
      <c r="H17" s="5">
        <f>F17</f>
        <v/>
      </c>
      <c r="I17" s="2" t="inlineStr">
        <is>
          <t>P050142</t>
        </is>
      </c>
      <c r="J17" s="10" t="inlineStr">
        <is>
          <t>harvest: no date given; packaging: year 2025 inferred (not printed)</t>
        </is>
      </c>
    </row>
    <row r="18">
      <c r="A18" s="2" t="n">
        <v>17</v>
      </c>
      <c r="B18" s="3" t="inlineStr">
        <is>
          <t>GP0824_03</t>
        </is>
      </c>
      <c r="C18" s="3" t="inlineStr">
        <is>
          <t>P050072</t>
        </is>
      </c>
      <c r="D18" s="5" t="n">
        <v>45817</v>
      </c>
      <c r="E18" s="5" t="n">
        <v>45818</v>
      </c>
      <c r="F18" s="5" t="n">
        <v>45852</v>
      </c>
      <c r="G18" s="5" t="n">
        <v>45855</v>
      </c>
      <c r="H18" s="5">
        <f>F18</f>
        <v/>
      </c>
      <c r="I18" s="2" t="inlineStr">
        <is>
          <t>GP0824_03</t>
        </is>
      </c>
      <c r="J18" s="10" t="inlineStr">
        <is>
          <t>packaging: year 2025 inferred (not printed)</t>
        </is>
      </c>
    </row>
    <row r="19">
      <c r="A19" s="2" t="n">
        <v>18</v>
      </c>
      <c r="B19" s="3" t="inlineStr">
        <is>
          <t>OPM1024_03</t>
        </is>
      </c>
      <c r="C19" s="3" t="inlineStr">
        <is>
          <t>P050082</t>
        </is>
      </c>
      <c r="D19" s="5" t="n">
        <v>45839</v>
      </c>
      <c r="E19" s="5" t="n">
        <v>45840</v>
      </c>
      <c r="F19" s="5" t="n">
        <v>45860</v>
      </c>
      <c r="G19" s="5" t="n">
        <v>45868</v>
      </c>
      <c r="H19" s="5">
        <f>F19</f>
        <v/>
      </c>
      <c r="I19" s="2" t="inlineStr">
        <is>
          <t>OPM1024_03</t>
        </is>
      </c>
      <c r="J19" s="10" t="inlineStr"/>
    </row>
    <row r="20">
      <c r="A20" s="2" t="n">
        <v>19</v>
      </c>
      <c r="B20" s="3" t="inlineStr">
        <is>
          <t>MB0824_05</t>
        </is>
      </c>
      <c r="C20" s="3" t="inlineStr">
        <is>
          <t>P050112</t>
        </is>
      </c>
      <c r="D20" s="5" t="n">
        <v>45846</v>
      </c>
      <c r="E20" s="5" t="n">
        <v>45847</v>
      </c>
      <c r="F20" s="5" t="n">
        <v>45894</v>
      </c>
      <c r="G20" s="5" t="n">
        <v>45900</v>
      </c>
      <c r="H20" s="5">
        <f>F20</f>
        <v/>
      </c>
      <c r="I20" s="2" t="inlineStr">
        <is>
          <t>MB0824_05</t>
        </is>
      </c>
      <c r="J20" s="10" t="inlineStr">
        <is>
          <t>packaging: year 2025 inferred (not printed)</t>
        </is>
      </c>
    </row>
    <row r="21">
      <c r="A21" s="2" t="n">
        <v>20</v>
      </c>
      <c r="B21" s="3" t="inlineStr">
        <is>
          <t>OPM052501</t>
        </is>
      </c>
      <c r="C21" s="3" t="inlineStr">
        <is>
          <t>P050132</t>
        </is>
      </c>
      <c r="D21" s="5" t="n">
        <v>45880</v>
      </c>
      <c r="E21" s="5" t="n">
        <v>45882</v>
      </c>
      <c r="F21" s="5" t="n">
        <v>45909</v>
      </c>
      <c r="G21" s="5" t="n">
        <v>45915</v>
      </c>
      <c r="H21" s="5">
        <f>F21</f>
        <v/>
      </c>
      <c r="I21" s="2" t="inlineStr">
        <is>
          <t>OPM052501</t>
        </is>
      </c>
      <c r="J21" s="10" t="inlineStr">
        <is>
          <t>packaging: year 2025 inferred (not printed)</t>
        </is>
      </c>
    </row>
    <row r="22">
      <c r="A22" s="2" t="n">
        <v>21</v>
      </c>
      <c r="B22" s="3" t="inlineStr">
        <is>
          <t>GP052501</t>
        </is>
      </c>
      <c r="C22" s="3" t="inlineStr">
        <is>
          <t>P050152</t>
        </is>
      </c>
      <c r="D22" s="11" t="inlineStr">
        <is>
          <t>— not given —</t>
        </is>
      </c>
      <c r="E22" s="11" t="inlineStr">
        <is>
          <t>— not given —</t>
        </is>
      </c>
      <c r="F22" s="5" t="n">
        <v>45925</v>
      </c>
      <c r="G22" s="5" t="n">
        <v>45925</v>
      </c>
      <c r="H22" s="5">
        <f>F22</f>
        <v/>
      </c>
      <c r="I22" s="2" t="inlineStr">
        <is>
          <t>GP052501</t>
        </is>
      </c>
      <c r="J22" s="10" t="inlineStr">
        <is>
          <t>harvest: no date given</t>
        </is>
      </c>
    </row>
    <row r="23">
      <c r="A23" s="2" t="n">
        <v>22</v>
      </c>
      <c r="B23" s="3" t="inlineStr">
        <is>
          <t>CJ052501/01</t>
        </is>
      </c>
      <c r="C23" s="3" t="inlineStr">
        <is>
          <t>P050162</t>
        </is>
      </c>
      <c r="D23" s="5" t="n">
        <v>45889</v>
      </c>
      <c r="E23" s="5" t="n">
        <v>45889</v>
      </c>
      <c r="F23" s="5" t="n">
        <v>45930</v>
      </c>
      <c r="G23" s="5" t="n">
        <v>45931</v>
      </c>
      <c r="H23" s="5">
        <f>F23</f>
        <v/>
      </c>
      <c r="I23" s="2" t="inlineStr">
        <is>
          <t>CJ052501/01</t>
        </is>
      </c>
      <c r="J23" s="10" t="inlineStr"/>
    </row>
    <row r="24">
      <c r="A24" s="2" t="n">
        <v>23</v>
      </c>
      <c r="B24" s="3" t="inlineStr">
        <is>
          <t>CJ052501/02</t>
        </is>
      </c>
      <c r="C24" s="3" t="inlineStr">
        <is>
          <t>P050172</t>
        </is>
      </c>
      <c r="D24" s="5" t="n">
        <v>45889</v>
      </c>
      <c r="E24" s="5" t="n">
        <v>45889</v>
      </c>
      <c r="F24" s="5" t="n">
        <v>45931</v>
      </c>
      <c r="G24" s="5" t="n">
        <v>45932</v>
      </c>
      <c r="H24" s="5">
        <f>F24</f>
        <v/>
      </c>
      <c r="I24" s="2" t="inlineStr">
        <is>
          <t>CJ052501/02</t>
        </is>
      </c>
      <c r="J24" s="10" t="inlineStr"/>
    </row>
    <row r="25">
      <c r="A25" s="2" t="n">
        <v>24</v>
      </c>
      <c r="B25" s="3" t="inlineStr">
        <is>
          <t>HPA052501</t>
        </is>
      </c>
      <c r="C25" s="3" t="inlineStr">
        <is>
          <t>P050182</t>
        </is>
      </c>
      <c r="D25" s="5" t="n">
        <v>45890</v>
      </c>
      <c r="E25" s="5" t="n">
        <v>45892</v>
      </c>
      <c r="F25" s="5" t="n">
        <v>45933</v>
      </c>
      <c r="G25" s="5" t="n">
        <v>45939</v>
      </c>
      <c r="H25" s="5">
        <f>F25</f>
        <v/>
      </c>
      <c r="I25" s="2" t="inlineStr">
        <is>
          <t>HPA052501</t>
        </is>
      </c>
      <c r="J25" s="10" t="inlineStr"/>
    </row>
    <row r="26">
      <c r="A26" s="2" t="n">
        <v>25</v>
      </c>
      <c r="B26" s="3" t="inlineStr">
        <is>
          <t>BSS052501</t>
        </is>
      </c>
      <c r="C26" s="3" t="inlineStr">
        <is>
          <t>P050192</t>
        </is>
      </c>
      <c r="D26" s="5" t="n">
        <v>45901</v>
      </c>
      <c r="E26" s="5" t="n">
        <v>45903</v>
      </c>
      <c r="F26" s="5" t="n">
        <v>45940</v>
      </c>
      <c r="G26" s="5" t="n">
        <v>45951</v>
      </c>
      <c r="H26" s="5">
        <f>F26</f>
        <v/>
      </c>
      <c r="I26" s="2" t="inlineStr">
        <is>
          <t>BSS052501</t>
        </is>
      </c>
      <c r="J26" s="10" t="inlineStr"/>
    </row>
    <row r="27">
      <c r="A27" s="2" t="n">
        <v>26</v>
      </c>
      <c r="B27" s="3" t="inlineStr">
        <is>
          <t>GP062501</t>
        </is>
      </c>
      <c r="C27" s="3" t="inlineStr">
        <is>
          <t>P050202</t>
        </is>
      </c>
      <c r="D27" s="5" t="n">
        <v>45915</v>
      </c>
      <c r="E27" s="5" t="n">
        <v>45917</v>
      </c>
      <c r="F27" s="5" t="n">
        <v>45960</v>
      </c>
      <c r="G27" s="5" t="n">
        <v>45968</v>
      </c>
      <c r="H27" s="5">
        <f>F27</f>
        <v/>
      </c>
      <c r="I27" s="2" t="inlineStr">
        <is>
          <t>GP062501</t>
        </is>
      </c>
      <c r="J27" s="10" t="inlineStr"/>
    </row>
    <row r="28">
      <c r="A28" s="2" t="n">
        <v>27</v>
      </c>
      <c r="B28" s="3" t="inlineStr">
        <is>
          <t>SC062501</t>
        </is>
      </c>
      <c r="C28" s="3" t="inlineStr">
        <is>
          <t>P050242</t>
        </is>
      </c>
      <c r="D28" s="5" t="n">
        <v>45917</v>
      </c>
      <c r="E28" s="5" t="n">
        <v>45917</v>
      </c>
      <c r="F28" s="5" t="n">
        <v>45988</v>
      </c>
      <c r="G28" s="5" t="n">
        <v>45988</v>
      </c>
      <c r="H28" s="5">
        <f>F28</f>
        <v/>
      </c>
      <c r="I28" s="6" t="inlineStr">
        <is>
          <t>— not on the tracker —</t>
        </is>
      </c>
      <c r="J28" s="10" t="inlineStr"/>
    </row>
    <row r="29">
      <c r="A29" s="2" t="n">
        <v>28</v>
      </c>
      <c r="B29" s="3" t="inlineStr">
        <is>
          <t>GOG062501</t>
        </is>
      </c>
      <c r="C29" s="3" t="inlineStr">
        <is>
          <t>P050232</t>
        </is>
      </c>
      <c r="D29" s="5" t="n">
        <v>45917</v>
      </c>
      <c r="E29" s="5" t="n">
        <v>45917</v>
      </c>
      <c r="F29" s="5" t="n">
        <v>45988</v>
      </c>
      <c r="G29" s="5" t="n">
        <v>45988</v>
      </c>
      <c r="H29" s="5">
        <f>F29</f>
        <v/>
      </c>
      <c r="I29" s="6" t="inlineStr">
        <is>
          <t>— not on the tracker —</t>
        </is>
      </c>
      <c r="J29" s="10" t="inlineStr"/>
    </row>
    <row r="30">
      <c r="A30" s="2" t="n">
        <v>29</v>
      </c>
      <c r="B30" s="3" t="inlineStr">
        <is>
          <t>CJ062501/1</t>
        </is>
      </c>
      <c r="C30" s="3" t="inlineStr">
        <is>
          <t>P050222</t>
        </is>
      </c>
      <c r="D30" s="5" t="n">
        <v>45923</v>
      </c>
      <c r="E30" s="5" t="n">
        <v>45923</v>
      </c>
      <c r="F30" s="5" t="n">
        <v>45985</v>
      </c>
      <c r="G30" s="5" t="n">
        <v>45986</v>
      </c>
      <c r="H30" s="5">
        <f>F30</f>
        <v/>
      </c>
      <c r="I30" s="2" t="inlineStr">
        <is>
          <t>CJ062501/1</t>
        </is>
      </c>
      <c r="J30" s="10" t="inlineStr"/>
    </row>
    <row r="31">
      <c r="A31" s="2" t="n">
        <v>30</v>
      </c>
      <c r="B31" s="3" t="inlineStr">
        <is>
          <t>CJ062501/2</t>
        </is>
      </c>
      <c r="C31" s="3" t="inlineStr">
        <is>
          <t>P050212</t>
        </is>
      </c>
      <c r="D31" s="5" t="n">
        <v>45923</v>
      </c>
      <c r="E31" s="5" t="n">
        <v>45924</v>
      </c>
      <c r="F31" s="5" t="n">
        <v>45979</v>
      </c>
      <c r="G31" s="5" t="n">
        <v>45985</v>
      </c>
      <c r="H31" s="5">
        <f>F31</f>
        <v/>
      </c>
      <c r="I31" s="2" t="inlineStr">
        <is>
          <t>CJ062501/2</t>
        </is>
      </c>
      <c r="J31" s="10" t="inlineStr"/>
    </row>
    <row r="32">
      <c r="A32" s="2" t="n">
        <v>31</v>
      </c>
      <c r="B32" s="3" t="inlineStr">
        <is>
          <t>CJ072501</t>
        </is>
      </c>
      <c r="C32" s="3" t="inlineStr">
        <is>
          <t>P050252</t>
        </is>
      </c>
      <c r="D32" s="5" t="n">
        <v>45957</v>
      </c>
      <c r="E32" s="5" t="n">
        <v>45957</v>
      </c>
      <c r="F32" s="5" t="n">
        <v>45988</v>
      </c>
      <c r="G32" s="5" t="n">
        <v>45989</v>
      </c>
      <c r="H32" s="5">
        <f>F32</f>
        <v/>
      </c>
      <c r="I32" s="2" t="inlineStr">
        <is>
          <t>CJ072501</t>
        </is>
      </c>
      <c r="J32" s="10" t="inlineStr"/>
    </row>
    <row r="33">
      <c r="A33" s="2" t="n">
        <v>32</v>
      </c>
      <c r="B33" s="3" t="inlineStr">
        <is>
          <t>PM072501</t>
        </is>
      </c>
      <c r="C33" s="3" t="inlineStr">
        <is>
          <t>P050272</t>
        </is>
      </c>
      <c r="D33" s="5" t="n">
        <v>45957</v>
      </c>
      <c r="E33" s="5" t="n">
        <v>45957</v>
      </c>
      <c r="F33" s="5" t="n">
        <v>45993</v>
      </c>
      <c r="G33" s="5" t="n">
        <v>45994</v>
      </c>
      <c r="H33" s="5">
        <f>F33</f>
        <v/>
      </c>
      <c r="I33" s="2" t="inlineStr">
        <is>
          <t>PM072501</t>
        </is>
      </c>
      <c r="J33" s="10" t="inlineStr"/>
    </row>
    <row r="34">
      <c r="A34" s="2" t="n">
        <v>33</v>
      </c>
      <c r="B34" s="3" t="inlineStr">
        <is>
          <t>WC072501</t>
        </is>
      </c>
      <c r="C34" s="3" t="inlineStr">
        <is>
          <t>P050262</t>
        </is>
      </c>
      <c r="D34" s="5" t="n">
        <v>45957</v>
      </c>
      <c r="E34" s="5" t="n">
        <v>45958</v>
      </c>
      <c r="F34" s="5" t="n">
        <v>45992</v>
      </c>
      <c r="G34" s="5" t="n">
        <v>45992</v>
      </c>
      <c r="H34" s="5">
        <f>F34</f>
        <v/>
      </c>
      <c r="I34" s="2" t="inlineStr">
        <is>
          <t>WC072501</t>
        </is>
      </c>
      <c r="J34" s="10" t="inlineStr"/>
    </row>
    <row r="35">
      <c r="A35" s="2" t="n">
        <v>34</v>
      </c>
      <c r="B35" s="3" t="inlineStr">
        <is>
          <t>CLE072501</t>
        </is>
      </c>
      <c r="C35" s="3" t="inlineStr">
        <is>
          <t>P050282</t>
        </is>
      </c>
      <c r="D35" s="5" t="n">
        <v>45958</v>
      </c>
      <c r="E35" s="5" t="n">
        <v>45958</v>
      </c>
      <c r="F35" s="5" t="n">
        <v>45994</v>
      </c>
      <c r="G35" s="5" t="n">
        <v>45995</v>
      </c>
      <c r="H35" s="5">
        <f>F35</f>
        <v/>
      </c>
      <c r="I35" s="2" t="inlineStr">
        <is>
          <t>CLE072501</t>
        </is>
      </c>
      <c r="J35" s="10" t="inlineStr"/>
    </row>
    <row r="36">
      <c r="A36" s="2" t="n">
        <v>35</v>
      </c>
      <c r="B36" s="3" t="inlineStr">
        <is>
          <t>GP072501/1</t>
        </is>
      </c>
      <c r="C36" s="3" t="inlineStr">
        <is>
          <t>P050292</t>
        </is>
      </c>
      <c r="D36" s="5" t="n">
        <v>45972</v>
      </c>
      <c r="E36" s="5" t="n">
        <v>45974</v>
      </c>
      <c r="F36" s="5" t="n">
        <v>46006</v>
      </c>
      <c r="G36" s="5" t="n">
        <v>46012</v>
      </c>
      <c r="H36" s="5">
        <f>F36</f>
        <v/>
      </c>
      <c r="I36" s="2" t="inlineStr">
        <is>
          <t>GP072501/1</t>
        </is>
      </c>
      <c r="J36" s="10" t="inlineStr">
        <is>
          <t>harvest: printed 11-13-11.2025, read as 11-13.11.2025</t>
        </is>
      </c>
    </row>
    <row r="37">
      <c r="A37" s="2" t="n">
        <v>36</v>
      </c>
      <c r="B37" s="3" t="inlineStr">
        <is>
          <t>GP072501/2</t>
        </is>
      </c>
      <c r="C37" s="3" t="inlineStr">
        <is>
          <t>P050302</t>
        </is>
      </c>
      <c r="D37" s="5" t="n">
        <v>45974</v>
      </c>
      <c r="E37" s="5" t="n">
        <v>45974</v>
      </c>
      <c r="F37" s="5" t="n">
        <v>46013</v>
      </c>
      <c r="G37" s="5" t="n">
        <v>46013</v>
      </c>
      <c r="H37" s="5">
        <f>F37</f>
        <v/>
      </c>
      <c r="I37" s="2" t="inlineStr">
        <is>
          <t>GP072501/2</t>
        </is>
      </c>
      <c r="J37" s="10" t="inlineStr"/>
    </row>
    <row r="38">
      <c r="A38" s="2" t="n">
        <v>37</v>
      </c>
      <c r="B38" s="3" t="inlineStr">
        <is>
          <t>GP082501/1</t>
        </is>
      </c>
      <c r="C38" s="3" t="inlineStr">
        <is>
          <t>P050312</t>
        </is>
      </c>
      <c r="D38" s="5" t="n">
        <v>45980</v>
      </c>
      <c r="E38" s="5" t="n">
        <v>45981</v>
      </c>
      <c r="F38" s="5" t="n">
        <v>46014</v>
      </c>
      <c r="G38" s="5" t="n">
        <v>46017</v>
      </c>
      <c r="H38" s="5">
        <f>F38</f>
        <v/>
      </c>
      <c r="I38" s="2" t="inlineStr">
        <is>
          <t>GP082501/1</t>
        </is>
      </c>
      <c r="J38" s="10" t="inlineStr"/>
    </row>
    <row r="39">
      <c r="A39" s="2" t="n">
        <v>38</v>
      </c>
      <c r="B39" s="3" t="inlineStr">
        <is>
          <t>GP082501/2</t>
        </is>
      </c>
      <c r="C39" s="3" t="inlineStr">
        <is>
          <t>P050322</t>
        </is>
      </c>
      <c r="D39" s="5" t="n">
        <v>45981</v>
      </c>
      <c r="E39" s="5" t="n">
        <v>45981</v>
      </c>
      <c r="F39" s="5" t="n">
        <v>46017</v>
      </c>
      <c r="G39" s="5" t="n">
        <v>46017</v>
      </c>
      <c r="H39" s="5">
        <f>F39</f>
        <v/>
      </c>
      <c r="I39" s="2" t="inlineStr">
        <is>
          <t>GP082501/2</t>
        </is>
      </c>
      <c r="J39" s="10" t="inlineStr"/>
    </row>
    <row r="40">
      <c r="A40" s="2" t="n">
        <v>39</v>
      </c>
      <c r="B40" s="3" t="inlineStr">
        <is>
          <t>WC082501</t>
        </is>
      </c>
      <c r="C40" s="3" t="inlineStr">
        <is>
          <t>P060012</t>
        </is>
      </c>
      <c r="D40" s="5" t="n">
        <v>46000</v>
      </c>
      <c r="E40" s="5" t="n">
        <v>46000</v>
      </c>
      <c r="F40" s="5" t="n">
        <v>46035</v>
      </c>
      <c r="G40" s="5" t="n">
        <v>46036</v>
      </c>
      <c r="H40" s="5">
        <f>F40</f>
        <v/>
      </c>
      <c r="I40" s="2" t="inlineStr">
        <is>
          <t>WC082501</t>
        </is>
      </c>
      <c r="J40" s="10" t="inlineStr"/>
    </row>
    <row r="41">
      <c r="A41" s="2" t="n">
        <v>40</v>
      </c>
      <c r="B41" s="3" t="inlineStr">
        <is>
          <t>CJ082501/1</t>
        </is>
      </c>
      <c r="C41" s="3" t="inlineStr">
        <is>
          <t>P060022</t>
        </is>
      </c>
      <c r="D41" s="5" t="n">
        <v>46000</v>
      </c>
      <c r="E41" s="5" t="n">
        <v>46001</v>
      </c>
      <c r="F41" s="5" t="n">
        <v>46038</v>
      </c>
      <c r="G41" s="5" t="n">
        <v>46038</v>
      </c>
      <c r="H41" s="5">
        <f>F41</f>
        <v/>
      </c>
      <c r="I41" s="2" t="inlineStr">
        <is>
          <t>CJ082501/1</t>
        </is>
      </c>
      <c r="J41" s="10" t="inlineStr"/>
    </row>
    <row r="42">
      <c r="A42" s="2" t="n">
        <v>41</v>
      </c>
      <c r="B42" s="3" t="inlineStr">
        <is>
          <t>CJ082501/2</t>
        </is>
      </c>
      <c r="C42" s="3" t="inlineStr">
        <is>
          <t>P060032</t>
        </is>
      </c>
      <c r="D42" s="5" t="n">
        <v>46001</v>
      </c>
      <c r="E42" s="5" t="n">
        <v>46001</v>
      </c>
      <c r="F42" s="5" t="n">
        <v>46051</v>
      </c>
      <c r="G42" s="5" t="n">
        <v>46051</v>
      </c>
      <c r="H42" s="5">
        <f>F42</f>
        <v/>
      </c>
      <c r="I42" s="2" t="inlineStr">
        <is>
          <t>CJ082501/2</t>
        </is>
      </c>
      <c r="J42" s="10" t="inlineStr"/>
    </row>
    <row r="43">
      <c r="A43" s="2" t="n">
        <v>42</v>
      </c>
      <c r="B43" s="3" t="inlineStr">
        <is>
          <t>PM092501</t>
        </is>
      </c>
      <c r="C43" s="3" t="inlineStr">
        <is>
          <t>P060062</t>
        </is>
      </c>
      <c r="D43" s="5" t="n">
        <v>46002</v>
      </c>
      <c r="E43" s="5" t="n">
        <v>46002</v>
      </c>
      <c r="F43" s="5" t="n">
        <v>46052</v>
      </c>
      <c r="G43" s="5" t="n">
        <v>46052</v>
      </c>
      <c r="H43" s="5">
        <f>F43</f>
        <v/>
      </c>
      <c r="I43" s="2" t="inlineStr">
        <is>
          <t>PM092501</t>
        </is>
      </c>
      <c r="J43" s="10" t="inlineStr"/>
    </row>
    <row r="44">
      <c r="A44" s="2" t="n">
        <v>43</v>
      </c>
      <c r="B44" s="3" t="inlineStr">
        <is>
          <t>AB092501</t>
        </is>
      </c>
      <c r="C44" s="3" t="inlineStr">
        <is>
          <t>P060052</t>
        </is>
      </c>
      <c r="D44" s="5" t="n">
        <v>46002</v>
      </c>
      <c r="E44" s="5" t="n">
        <v>46002</v>
      </c>
      <c r="F44" s="5" t="n">
        <v>46052</v>
      </c>
      <c r="G44" s="5" t="n">
        <v>46052</v>
      </c>
      <c r="H44" s="5">
        <f>F44</f>
        <v/>
      </c>
      <c r="I44" s="2" t="inlineStr">
        <is>
          <t>AB092501</t>
        </is>
      </c>
      <c r="J44" s="10" t="inlineStr"/>
    </row>
    <row r="45">
      <c r="A45" s="2" t="n">
        <v>44</v>
      </c>
      <c r="B45" s="3" t="inlineStr">
        <is>
          <t>SJ0925021</t>
        </is>
      </c>
      <c r="C45" s="3" t="inlineStr">
        <is>
          <t>P060082</t>
        </is>
      </c>
      <c r="D45" s="5" t="n">
        <v>46002</v>
      </c>
      <c r="E45" s="5" t="n">
        <v>46003</v>
      </c>
      <c r="F45" s="5" t="n">
        <v>46055</v>
      </c>
      <c r="G45" s="5" t="n">
        <v>46055</v>
      </c>
      <c r="H45" s="5">
        <f>F45</f>
        <v/>
      </c>
      <c r="I45" s="2" t="inlineStr">
        <is>
          <t>SJ0925021</t>
        </is>
      </c>
      <c r="J45" s="10" t="inlineStr"/>
    </row>
    <row r="46">
      <c r="A46" s="2" t="n">
        <v>45</v>
      </c>
      <c r="B46" s="3" t="inlineStr">
        <is>
          <t>CJ092501</t>
        </is>
      </c>
      <c r="C46" s="3" t="inlineStr">
        <is>
          <t>P060072</t>
        </is>
      </c>
      <c r="D46" s="5" t="n">
        <v>46003</v>
      </c>
      <c r="E46" s="5" t="n">
        <v>46003</v>
      </c>
      <c r="F46" s="5" t="n">
        <v>46055</v>
      </c>
      <c r="G46" s="5" t="n">
        <v>46055</v>
      </c>
      <c r="H46" s="5">
        <f>F46</f>
        <v/>
      </c>
      <c r="I46" s="2" t="inlineStr">
        <is>
          <t>CJ092501</t>
        </is>
      </c>
      <c r="J46" s="10" t="inlineStr"/>
    </row>
    <row r="47">
      <c r="A47" s="2" t="n">
        <v>46</v>
      </c>
      <c r="B47" s="3" t="inlineStr">
        <is>
          <t>OPM092501</t>
        </is>
      </c>
      <c r="C47" s="3" t="inlineStr">
        <is>
          <t>P060042</t>
        </is>
      </c>
      <c r="D47" s="5" t="n">
        <v>46003</v>
      </c>
      <c r="E47" s="5" t="n">
        <v>46003</v>
      </c>
      <c r="F47" s="5" t="n">
        <v>46051</v>
      </c>
      <c r="G47" s="5" t="n">
        <v>46051</v>
      </c>
      <c r="H47" s="5">
        <f>F47</f>
        <v/>
      </c>
      <c r="I47" s="2" t="inlineStr">
        <is>
          <t>OPM092501</t>
        </is>
      </c>
      <c r="J47" s="10" t="inlineStr"/>
    </row>
    <row r="48">
      <c r="A48" s="2" t="n">
        <v>47</v>
      </c>
      <c r="B48" s="3" t="inlineStr">
        <is>
          <t>GP092501</t>
        </is>
      </c>
      <c r="C48" s="3" t="inlineStr">
        <is>
          <t>P060092</t>
        </is>
      </c>
      <c r="D48" s="5" t="n">
        <v>46007</v>
      </c>
      <c r="E48" s="5" t="n">
        <v>46008</v>
      </c>
      <c r="F48" s="5" t="n">
        <v>46056</v>
      </c>
      <c r="G48" s="5" t="n">
        <v>46062</v>
      </c>
      <c r="H48" s="5">
        <f>F48</f>
        <v/>
      </c>
      <c r="I48" s="2" t="inlineStr">
        <is>
          <t>GP092501</t>
        </is>
      </c>
      <c r="J48" s="10" t="inlineStr"/>
    </row>
    <row r="49">
      <c r="A49" s="2" t="n">
        <v>48</v>
      </c>
      <c r="B49" s="3" t="inlineStr">
        <is>
          <t>ACC102501</t>
        </is>
      </c>
      <c r="C49" s="3" t="inlineStr">
        <is>
          <t>P060122</t>
        </is>
      </c>
      <c r="D49" s="5" t="n">
        <v>46031</v>
      </c>
      <c r="E49" s="5" t="n">
        <v>46031</v>
      </c>
      <c r="F49" s="5" t="n">
        <v>46071</v>
      </c>
      <c r="G49" s="5" t="n">
        <v>46072</v>
      </c>
      <c r="H49" s="5">
        <f>F49</f>
        <v/>
      </c>
      <c r="I49" s="6" t="inlineStr">
        <is>
          <t>— not on the tracker —</t>
        </is>
      </c>
      <c r="J49" s="10" t="inlineStr"/>
    </row>
    <row r="50">
      <c r="A50" s="2" t="n">
        <v>49</v>
      </c>
      <c r="B50" s="3" t="inlineStr">
        <is>
          <t>PUM102501</t>
        </is>
      </c>
      <c r="C50" s="3" t="inlineStr">
        <is>
          <t>P060112</t>
        </is>
      </c>
      <c r="D50" s="5" t="n">
        <v>46030</v>
      </c>
      <c r="E50" s="5" t="n">
        <v>46031</v>
      </c>
      <c r="F50" s="5" t="n">
        <v>46070</v>
      </c>
      <c r="G50" s="5" t="n">
        <v>46070</v>
      </c>
      <c r="H50" s="5">
        <f>F50</f>
        <v/>
      </c>
      <c r="I50" s="6" t="inlineStr">
        <is>
          <t>— not on the tracker —</t>
        </is>
      </c>
      <c r="J50" s="10" t="inlineStr"/>
    </row>
    <row r="51">
      <c r="A51" s="2" t="n">
        <v>50</v>
      </c>
      <c r="B51" s="3" t="inlineStr">
        <is>
          <t>GRC102501/1</t>
        </is>
      </c>
      <c r="C51" s="3" t="inlineStr">
        <is>
          <t>P060142</t>
        </is>
      </c>
      <c r="D51" s="5" t="n">
        <v>46031</v>
      </c>
      <c r="E51" s="5" t="n">
        <v>46031</v>
      </c>
      <c r="F51" s="5" t="n">
        <v>46076</v>
      </c>
      <c r="G51" s="5" t="n">
        <v>46076</v>
      </c>
      <c r="H51" s="5">
        <f>F51</f>
        <v/>
      </c>
      <c r="I51" s="2" t="inlineStr">
        <is>
          <t>GRC102501</t>
        </is>
      </c>
      <c r="J51" s="10" t="inlineStr"/>
    </row>
    <row r="52">
      <c r="A52" s="2" t="n">
        <v>51</v>
      </c>
      <c r="B52" s="3" t="inlineStr">
        <is>
          <t>WED102501</t>
        </is>
      </c>
      <c r="C52" s="3" t="inlineStr">
        <is>
          <t>P060102</t>
        </is>
      </c>
      <c r="D52" s="5" t="n">
        <v>46030</v>
      </c>
      <c r="E52" s="5" t="n">
        <v>46030</v>
      </c>
      <c r="F52" s="5" t="n">
        <v>46069</v>
      </c>
      <c r="G52" s="5" t="n">
        <v>46069</v>
      </c>
      <c r="H52" s="5">
        <f>F52</f>
        <v/>
      </c>
      <c r="I52" s="2" t="inlineStr">
        <is>
          <t>P060102</t>
        </is>
      </c>
      <c r="J52" s="10" t="inlineStr"/>
    </row>
    <row r="53">
      <c r="A53" s="2" t="n">
        <v>52</v>
      </c>
      <c r="B53" s="3" t="inlineStr">
        <is>
          <t>CF102501</t>
        </is>
      </c>
      <c r="C53" s="3" t="inlineStr">
        <is>
          <t>P060132</t>
        </is>
      </c>
      <c r="D53" s="5" t="n">
        <v>46031</v>
      </c>
      <c r="E53" s="5" t="n">
        <v>46031</v>
      </c>
      <c r="F53" s="5" t="n">
        <v>46072</v>
      </c>
      <c r="G53" s="5" t="n">
        <v>46073</v>
      </c>
      <c r="H53" s="5">
        <f>F53</f>
        <v/>
      </c>
      <c r="I53" s="6" t="inlineStr">
        <is>
          <t>— not on the tracker —</t>
        </is>
      </c>
      <c r="J53" s="10" t="inlineStr"/>
    </row>
    <row r="54">
      <c r="A54" s="2" t="n">
        <v>53</v>
      </c>
      <c r="B54" s="3" t="inlineStr">
        <is>
          <t>GRC102501/2</t>
        </is>
      </c>
      <c r="C54" s="3" t="inlineStr">
        <is>
          <t>P060182</t>
        </is>
      </c>
      <c r="D54" s="5" t="n">
        <v>46042</v>
      </c>
      <c r="E54" s="5" t="n">
        <v>46042</v>
      </c>
      <c r="F54" s="5" t="n">
        <v>46095</v>
      </c>
      <c r="G54" s="5" t="n">
        <v>46095</v>
      </c>
      <c r="H54" s="5">
        <f>F54</f>
        <v/>
      </c>
      <c r="I54" s="2" t="inlineStr">
        <is>
          <t>GRC102501</t>
        </is>
      </c>
      <c r="J54" s="10" t="inlineStr"/>
    </row>
    <row r="55">
      <c r="A55" s="2" t="n">
        <v>54</v>
      </c>
      <c r="B55" s="3" t="inlineStr">
        <is>
          <t>SJ102501</t>
        </is>
      </c>
      <c r="C55" s="3" t="inlineStr">
        <is>
          <t>P060162</t>
        </is>
      </c>
      <c r="D55" s="5" t="n">
        <v>46042</v>
      </c>
      <c r="E55" s="5" t="n">
        <v>46042</v>
      </c>
      <c r="F55" s="5" t="n">
        <v>46090</v>
      </c>
      <c r="G55" s="5" t="n">
        <v>46090</v>
      </c>
      <c r="H55" s="5">
        <f>F55</f>
        <v/>
      </c>
      <c r="I55" s="2" t="inlineStr">
        <is>
          <t>SJ102501</t>
        </is>
      </c>
      <c r="J55" s="10" t="inlineStr"/>
    </row>
    <row r="56">
      <c r="A56" s="2" t="n">
        <v>55</v>
      </c>
      <c r="B56" s="3" t="inlineStr">
        <is>
          <t>KC102501</t>
        </is>
      </c>
      <c r="C56" s="3" t="inlineStr">
        <is>
          <t>P060172</t>
        </is>
      </c>
      <c r="D56" s="5" t="n">
        <v>46042</v>
      </c>
      <c r="E56" s="5" t="n">
        <v>46043</v>
      </c>
      <c r="F56" s="5" t="n">
        <v>46093</v>
      </c>
      <c r="G56" s="5" t="n">
        <v>46093</v>
      </c>
      <c r="H56" s="5">
        <f>F56</f>
        <v/>
      </c>
      <c r="I56" s="2" t="inlineStr">
        <is>
          <t>KC102501</t>
        </is>
      </c>
      <c r="J56" s="10" t="inlineStr"/>
    </row>
    <row r="57">
      <c r="A57" s="2" t="n">
        <v>56</v>
      </c>
      <c r="B57" s="3" t="inlineStr">
        <is>
          <t>J31102501</t>
        </is>
      </c>
      <c r="C57" s="3" t="inlineStr">
        <is>
          <t>P060152</t>
        </is>
      </c>
      <c r="D57" s="5" t="n">
        <v>46043</v>
      </c>
      <c r="E57" s="5" t="n">
        <v>46043</v>
      </c>
      <c r="F57" s="5" t="n">
        <v>46086</v>
      </c>
      <c r="G57" s="5" t="n">
        <v>46086</v>
      </c>
      <c r="H57" s="5">
        <f>F57</f>
        <v/>
      </c>
      <c r="I57" s="2" t="inlineStr">
        <is>
          <t>J31102501</t>
        </is>
      </c>
      <c r="J57" s="10" t="inlineStr"/>
    </row>
    <row r="58">
      <c r="A58" s="2" t="n">
        <v>57</v>
      </c>
      <c r="B58" s="3" t="inlineStr">
        <is>
          <t>J31112501</t>
        </is>
      </c>
      <c r="C58" s="3" t="inlineStr">
        <is>
          <t>P060202</t>
        </is>
      </c>
      <c r="D58" s="5" t="n">
        <v>46048</v>
      </c>
      <c r="E58" s="5" t="n">
        <v>46048</v>
      </c>
      <c r="F58" s="5" t="n">
        <v>46129</v>
      </c>
      <c r="G58" s="5" t="n">
        <v>46129</v>
      </c>
      <c r="H58" s="5">
        <f>F58</f>
        <v/>
      </c>
      <c r="I58" s="2" t="inlineStr">
        <is>
          <t>J31112501</t>
        </is>
      </c>
      <c r="J58" s="10" t="inlineStr"/>
    </row>
    <row r="59">
      <c r="A59" s="2" t="n">
        <v>58</v>
      </c>
      <c r="B59" s="3" t="inlineStr">
        <is>
          <t>SJ112501</t>
        </is>
      </c>
      <c r="C59" s="3" t="inlineStr">
        <is>
          <t>P060192</t>
        </is>
      </c>
      <c r="D59" s="5" t="n">
        <v>46048</v>
      </c>
      <c r="E59" s="5" t="n">
        <v>46049</v>
      </c>
      <c r="F59" s="5" t="n">
        <v>46112</v>
      </c>
      <c r="G59" s="5" t="n">
        <v>46112</v>
      </c>
      <c r="H59" s="5">
        <f>F59</f>
        <v/>
      </c>
      <c r="I59" s="2" t="inlineStr">
        <is>
          <t>SJ112501</t>
        </is>
      </c>
      <c r="J59" s="10" t="inlineStr"/>
    </row>
    <row r="60">
      <c r="A60" s="2" t="n">
        <v>59</v>
      </c>
      <c r="B60" s="3" t="inlineStr">
        <is>
          <t>OPM112501</t>
        </is>
      </c>
      <c r="C60" s="3" t="inlineStr">
        <is>
          <t>P060222</t>
        </is>
      </c>
      <c r="D60" s="5" t="n">
        <v>46058</v>
      </c>
      <c r="E60" s="5" t="n">
        <v>46058</v>
      </c>
      <c r="F60" s="5" t="n">
        <v>46136</v>
      </c>
      <c r="G60" s="5" t="n">
        <v>46136</v>
      </c>
      <c r="H60" s="5">
        <f>F60</f>
        <v/>
      </c>
      <c r="I60" s="2" t="inlineStr">
        <is>
          <t>OPM112501</t>
        </is>
      </c>
      <c r="J60" s="10" t="inlineStr"/>
    </row>
    <row r="61">
      <c r="A61" s="2" t="n">
        <v>60</v>
      </c>
      <c r="B61" s="3" t="inlineStr">
        <is>
          <t>PM112501</t>
        </is>
      </c>
      <c r="C61" s="3" t="inlineStr">
        <is>
          <t>P060232</t>
        </is>
      </c>
      <c r="D61" s="5" t="n">
        <v>46058</v>
      </c>
      <c r="E61" s="5" t="n">
        <v>46058</v>
      </c>
      <c r="F61" s="5" t="n">
        <v>46139</v>
      </c>
      <c r="G61" s="5" t="n">
        <v>46139</v>
      </c>
      <c r="H61" s="5">
        <f>F61</f>
        <v/>
      </c>
      <c r="I61" s="2" t="inlineStr">
        <is>
          <t>PM112501</t>
        </is>
      </c>
      <c r="J61" s="10" t="inlineStr"/>
    </row>
    <row r="62">
      <c r="A62" s="2" t="n">
        <v>61</v>
      </c>
      <c r="B62" s="3" t="inlineStr">
        <is>
          <t>JD112501</t>
        </is>
      </c>
      <c r="C62" s="3" t="inlineStr">
        <is>
          <t>P060212</t>
        </is>
      </c>
      <c r="D62" s="5" t="n">
        <v>46106</v>
      </c>
      <c r="E62" s="5" t="n">
        <v>46106</v>
      </c>
      <c r="F62" s="5" t="n">
        <v>46133</v>
      </c>
      <c r="G62" s="5" t="n">
        <v>46133</v>
      </c>
      <c r="H62" s="5">
        <f>F62</f>
        <v/>
      </c>
      <c r="I62" s="2" t="inlineStr">
        <is>
          <t>JD112501＊</t>
        </is>
      </c>
      <c r="J62" s="10" t="inlineStr"/>
    </row>
    <row r="63">
      <c r="A63" s="2" t="n">
        <v>62</v>
      </c>
      <c r="B63" s="3" t="inlineStr">
        <is>
          <t>OPM122501</t>
        </is>
      </c>
      <c r="C63" s="3" t="inlineStr">
        <is>
          <t>P060242</t>
        </is>
      </c>
      <c r="D63" s="5" t="n">
        <v>46092</v>
      </c>
      <c r="E63" s="5" t="n">
        <v>46092</v>
      </c>
      <c r="F63" s="5" t="n">
        <v>46140</v>
      </c>
      <c r="G63" s="5" t="n">
        <v>46140</v>
      </c>
      <c r="H63" s="5">
        <f>F63</f>
        <v/>
      </c>
      <c r="I63" s="2" t="inlineStr">
        <is>
          <t>OPM122501</t>
        </is>
      </c>
      <c r="J63" s="10" t="inlineStr"/>
    </row>
    <row r="64">
      <c r="A64" s="2" t="n">
        <v>63</v>
      </c>
      <c r="B64" s="3" t="inlineStr">
        <is>
          <t>GG112501</t>
        </is>
      </c>
      <c r="C64" s="3" t="inlineStr">
        <is>
          <t>P060252</t>
        </is>
      </c>
      <c r="D64" s="5" t="n">
        <v>46106</v>
      </c>
      <c r="E64" s="5" t="n">
        <v>46106</v>
      </c>
      <c r="F64" s="5" t="n">
        <v>46147</v>
      </c>
      <c r="G64" s="5" t="n">
        <v>46147</v>
      </c>
      <c r="H64" s="5">
        <f>F64</f>
        <v/>
      </c>
      <c r="I64" s="2" t="inlineStr">
        <is>
          <t>GG112501</t>
        </is>
      </c>
      <c r="J64" s="10" t="inlineStr"/>
    </row>
    <row r="65">
      <c r="A65" s="2" t="n">
        <v>64</v>
      </c>
      <c r="B65" s="3" t="inlineStr">
        <is>
          <t>J31122501</t>
        </is>
      </c>
      <c r="C65" s="3" t="inlineStr">
        <is>
          <t>P060262</t>
        </is>
      </c>
      <c r="D65" s="5" t="n">
        <v>46085</v>
      </c>
      <c r="E65" s="5" t="n">
        <v>46085</v>
      </c>
      <c r="F65" s="5" t="n">
        <v>46156</v>
      </c>
      <c r="G65" s="5" t="n">
        <v>46156</v>
      </c>
      <c r="H65" s="5">
        <f>F65</f>
        <v/>
      </c>
      <c r="I65" s="2" t="inlineStr">
        <is>
          <t>J31122501</t>
        </is>
      </c>
      <c r="J65" s="10" t="inlineStr"/>
    </row>
    <row r="66">
      <c r="A66" s="2" t="n">
        <v>65</v>
      </c>
      <c r="B66" s="3" t="inlineStr">
        <is>
          <t>CC112501</t>
        </is>
      </c>
      <c r="C66" s="3" t="inlineStr">
        <is>
          <t>P060272</t>
        </is>
      </c>
      <c r="D66" s="5" t="n">
        <v>46106</v>
      </c>
      <c r="E66" s="5" t="n">
        <v>46106</v>
      </c>
      <c r="F66" s="5" t="n">
        <v>46160</v>
      </c>
      <c r="G66" s="5" t="n">
        <v>46160</v>
      </c>
      <c r="H66" s="5">
        <f>F66</f>
        <v/>
      </c>
      <c r="I66" s="2" t="inlineStr">
        <is>
          <t>CC112501</t>
        </is>
      </c>
      <c r="J66" s="10" t="inlineStr"/>
    </row>
    <row r="67">
      <c r="A67" s="2" t="n">
        <v>66</v>
      </c>
      <c r="B67" s="3" t="inlineStr">
        <is>
          <t>SCR112501</t>
        </is>
      </c>
      <c r="C67" s="3" t="inlineStr">
        <is>
          <t>P060282</t>
        </is>
      </c>
      <c r="D67" s="5" t="n">
        <v>46106</v>
      </c>
      <c r="E67" s="5" t="n">
        <v>46106</v>
      </c>
      <c r="F67" s="5" t="n">
        <v>46160</v>
      </c>
      <c r="G67" s="5" t="n">
        <v>46160</v>
      </c>
      <c r="H67" s="5">
        <f>F67</f>
        <v/>
      </c>
      <c r="I67" s="2" t="inlineStr">
        <is>
          <t>SCR112501</t>
        </is>
      </c>
      <c r="J67" s="10" t="inlineStr"/>
    </row>
    <row r="68">
      <c r="A68" s="2" t="n">
        <v>67</v>
      </c>
      <c r="B68" s="3" t="inlineStr">
        <is>
          <t>FB112501</t>
        </is>
      </c>
      <c r="C68" s="3" t="inlineStr">
        <is>
          <t>P060292</t>
        </is>
      </c>
      <c r="D68" s="5" t="n">
        <v>46106</v>
      </c>
      <c r="E68" s="5" t="n">
        <v>46106</v>
      </c>
      <c r="F68" s="5" t="n">
        <v>46161</v>
      </c>
      <c r="G68" s="5" t="n">
        <v>46161</v>
      </c>
      <c r="H68" s="5">
        <f>F68</f>
        <v/>
      </c>
      <c r="I68" s="2" t="inlineStr">
        <is>
          <t>FB112501</t>
        </is>
      </c>
      <c r="J68" s="10" t="inlineStr"/>
    </row>
    <row r="69">
      <c r="A69" s="2" t="n">
        <v>68</v>
      </c>
      <c r="B69" s="3" t="inlineStr">
        <is>
          <t>GG012601*</t>
        </is>
      </c>
      <c r="C69" s="3" t="inlineStr">
        <is>
          <t>P060302</t>
        </is>
      </c>
      <c r="D69" s="5" t="n">
        <v>46108</v>
      </c>
      <c r="E69" s="5" t="n">
        <v>46108</v>
      </c>
      <c r="F69" s="5" t="n">
        <v>46162</v>
      </c>
      <c r="G69" s="5" t="n">
        <v>46162</v>
      </c>
      <c r="H69" s="5">
        <f>F69</f>
        <v/>
      </c>
      <c r="I69" s="2" t="inlineStr">
        <is>
          <t>GG012601＊</t>
        </is>
      </c>
      <c r="J69" s="10" t="inlineStr"/>
    </row>
    <row r="70">
      <c r="A70" s="2" t="n">
        <v>69</v>
      </c>
      <c r="B70" s="3" t="inlineStr">
        <is>
          <t>JD012601*</t>
        </is>
      </c>
      <c r="C70" s="3" t="inlineStr">
        <is>
          <t>P060312</t>
        </is>
      </c>
      <c r="D70" s="5" t="n">
        <v>46108</v>
      </c>
      <c r="E70" s="5" t="n">
        <v>46108</v>
      </c>
      <c r="F70" s="5" t="n">
        <v>46163</v>
      </c>
      <c r="G70" s="5" t="n">
        <v>46163</v>
      </c>
      <c r="H70" s="5">
        <f>F70</f>
        <v/>
      </c>
      <c r="I70" s="2" t="inlineStr">
        <is>
          <t>JD012601＊</t>
        </is>
      </c>
      <c r="J70" s="10" t="inlineStr"/>
    </row>
    <row r="71">
      <c r="A71" s="2" t="n">
        <v>70</v>
      </c>
      <c r="B71" s="3" t="inlineStr">
        <is>
          <t>FB012601/1</t>
        </is>
      </c>
      <c r="C71" s="3" t="inlineStr">
        <is>
          <t>P060322</t>
        </is>
      </c>
      <c r="D71" s="5" t="n">
        <v>46108</v>
      </c>
      <c r="E71" s="5" t="n">
        <v>46108</v>
      </c>
      <c r="F71" s="5" t="n">
        <v>46164</v>
      </c>
      <c r="G71" s="5" t="n">
        <v>46164</v>
      </c>
      <c r="H71" s="5">
        <f>F71</f>
        <v/>
      </c>
      <c r="I71" s="2" t="inlineStr">
        <is>
          <t>FB012601_1</t>
        </is>
      </c>
      <c r="J71" s="10" t="inlineStr"/>
    </row>
    <row r="72">
      <c r="A72" s="2" t="n">
        <v>71</v>
      </c>
      <c r="B72" s="3" t="inlineStr">
        <is>
          <t>CC012601/1</t>
        </is>
      </c>
      <c r="C72" s="3" t="inlineStr">
        <is>
          <t>P060332</t>
        </is>
      </c>
      <c r="D72" s="5" t="n">
        <v>46128</v>
      </c>
      <c r="E72" s="5" t="n">
        <v>46128</v>
      </c>
      <c r="F72" s="5" t="n">
        <v>46164</v>
      </c>
      <c r="G72" s="5" t="n">
        <v>46164</v>
      </c>
      <c r="H72" s="5">
        <f>F72</f>
        <v/>
      </c>
      <c r="I72" s="2" t="inlineStr">
        <is>
          <t>CC012601/1</t>
        </is>
      </c>
      <c r="J72" s="10" t="inlineStr"/>
    </row>
    <row r="73">
      <c r="A73" s="2" t="n">
        <v>72</v>
      </c>
      <c r="B73" s="3" t="inlineStr">
        <is>
          <t>SCR012601*</t>
        </is>
      </c>
      <c r="C73" s="3" t="inlineStr">
        <is>
          <t>P060342</t>
        </is>
      </c>
      <c r="D73" s="5" t="n">
        <v>46128</v>
      </c>
      <c r="E73" s="5" t="n">
        <v>46128</v>
      </c>
      <c r="F73" s="5" t="n">
        <v>46167</v>
      </c>
      <c r="G73" s="5" t="n">
        <v>46167</v>
      </c>
      <c r="H73" s="5">
        <f>F73</f>
        <v/>
      </c>
      <c r="I73" s="2" t="inlineStr">
        <is>
          <t>P060342</t>
        </is>
      </c>
      <c r="J73" s="10" t="inlineStr"/>
    </row>
    <row r="74">
      <c r="A74" s="2" t="n">
        <v>73</v>
      </c>
      <c r="B74" s="3" t="inlineStr">
        <is>
          <t>FB012602*</t>
        </is>
      </c>
      <c r="C74" s="3" t="inlineStr">
        <is>
          <t>P060352</t>
        </is>
      </c>
      <c r="D74" s="5" t="n">
        <v>46128</v>
      </c>
      <c r="E74" s="5" t="n">
        <v>46128</v>
      </c>
      <c r="F74" s="5" t="n">
        <v>46165</v>
      </c>
      <c r="G74" s="5" t="n">
        <v>46165</v>
      </c>
      <c r="H74" s="5">
        <f>F74</f>
        <v/>
      </c>
      <c r="I74" s="2" t="inlineStr">
        <is>
          <t>FB012602*</t>
        </is>
      </c>
      <c r="J74" s="10" t="inlineStr"/>
    </row>
    <row r="75">
      <c r="A75" s="2" t="n">
        <v>74</v>
      </c>
      <c r="B75" s="3" t="inlineStr">
        <is>
          <t>JD012603/01</t>
        </is>
      </c>
      <c r="C75" s="3" t="inlineStr">
        <is>
          <t>P060362</t>
        </is>
      </c>
      <c r="D75" s="5" t="n">
        <v>46134</v>
      </c>
      <c r="E75" s="5" t="n">
        <v>46134</v>
      </c>
      <c r="F75" s="5" t="n">
        <v>46165</v>
      </c>
      <c r="G75" s="5" t="n">
        <v>46165</v>
      </c>
      <c r="H75" s="5">
        <f>F75</f>
        <v/>
      </c>
      <c r="I75" s="2" t="inlineStr">
        <is>
          <t>JD012603</t>
        </is>
      </c>
      <c r="J75" s="10" t="inlineStr"/>
    </row>
    <row r="76">
      <c r="A76" s="2" t="n">
        <v>75</v>
      </c>
      <c r="B76" s="3" t="inlineStr">
        <is>
          <t>CC012603</t>
        </is>
      </c>
      <c r="C76" s="3" t="inlineStr">
        <is>
          <t>P060372</t>
        </is>
      </c>
      <c r="D76" s="5" t="n">
        <v>46134</v>
      </c>
      <c r="E76" s="5" t="n">
        <v>46134</v>
      </c>
      <c r="F76" s="5" t="n">
        <v>46166</v>
      </c>
      <c r="G76" s="5" t="n">
        <v>46166</v>
      </c>
      <c r="H76" s="5">
        <f>F76</f>
        <v/>
      </c>
      <c r="I76" s="6" t="inlineStr">
        <is>
          <t>— not on the tracker —</t>
        </is>
      </c>
      <c r="J76" s="10" t="inlineStr"/>
    </row>
    <row r="77">
      <c r="A77" s="2" t="n">
        <v>76</v>
      </c>
      <c r="B77" s="3" t="inlineStr">
        <is>
          <t>SCR012603</t>
        </is>
      </c>
      <c r="C77" s="3" t="inlineStr">
        <is>
          <t>P060382</t>
        </is>
      </c>
      <c r="D77" s="5" t="n">
        <v>46134</v>
      </c>
      <c r="E77" s="5" t="n">
        <v>46134</v>
      </c>
      <c r="F77" s="5" t="n">
        <v>46167</v>
      </c>
      <c r="G77" s="5" t="n">
        <v>46167</v>
      </c>
      <c r="H77" s="5">
        <f>F77</f>
        <v/>
      </c>
      <c r="I77" s="2" t="inlineStr">
        <is>
          <t>SCR012603</t>
        </is>
      </c>
      <c r="J77" s="10" t="inlineStr"/>
    </row>
    <row r="78">
      <c r="A78" s="2" t="n">
        <v>77</v>
      </c>
      <c r="B78" s="3" t="inlineStr">
        <is>
          <t>FB012603V</t>
        </is>
      </c>
      <c r="C78" s="3" t="inlineStr">
        <is>
          <t>P060392</t>
        </is>
      </c>
      <c r="D78" s="5" t="n">
        <v>46141</v>
      </c>
      <c r="E78" s="5" t="n">
        <v>46141</v>
      </c>
      <c r="F78" s="5" t="n">
        <v>46165</v>
      </c>
      <c r="G78" s="5" t="n">
        <v>46165</v>
      </c>
      <c r="H78" s="5">
        <f>F78</f>
        <v/>
      </c>
      <c r="I78" s="2" t="inlineStr">
        <is>
          <t>FB012603V</t>
        </is>
      </c>
      <c r="J78" s="10" t="inlineStr"/>
    </row>
    <row r="79">
      <c r="A79" s="2" t="n">
        <v>78</v>
      </c>
      <c r="B79" s="3" t="inlineStr">
        <is>
          <t>GG012603</t>
        </is>
      </c>
      <c r="C79" s="3" t="inlineStr">
        <is>
          <t>P060402</t>
        </is>
      </c>
      <c r="D79" s="5" t="n">
        <v>46146</v>
      </c>
      <c r="E79" s="5" t="n">
        <v>46146</v>
      </c>
      <c r="F79" s="5" t="n">
        <v>46166</v>
      </c>
      <c r="G79" s="5" t="n">
        <v>46166</v>
      </c>
      <c r="H79" s="5">
        <f>F79</f>
        <v/>
      </c>
      <c r="I79" s="2" t="inlineStr">
        <is>
          <t>GG012603</t>
        </is>
      </c>
      <c r="J79" s="10" t="inlineStr"/>
    </row>
    <row r="80">
      <c r="A80" s="2" t="n">
        <v>79</v>
      </c>
      <c r="B80" s="3" t="inlineStr">
        <is>
          <t>JD012603/02</t>
        </is>
      </c>
      <c r="C80" s="3" t="inlineStr">
        <is>
          <t>P060412</t>
        </is>
      </c>
      <c r="D80" s="5" t="n">
        <v>46146</v>
      </c>
      <c r="E80" s="5" t="n">
        <v>46146</v>
      </c>
      <c r="F80" s="5" t="n">
        <v>46166</v>
      </c>
      <c r="G80" s="5" t="n">
        <v>46166</v>
      </c>
      <c r="H80" s="5">
        <f>F80</f>
        <v/>
      </c>
      <c r="I80" s="2" t="inlineStr">
        <is>
          <t>JD012603</t>
        </is>
      </c>
      <c r="J80" s="10" t="inlineStr"/>
    </row>
    <row r="81">
      <c r="A81" s="2" t="n">
        <v>80</v>
      </c>
      <c r="B81" s="3" t="inlineStr">
        <is>
          <t>JD012603/02V</t>
        </is>
      </c>
      <c r="C81" s="3" t="inlineStr">
        <is>
          <t>P060422</t>
        </is>
      </c>
      <c r="D81" s="5" t="n">
        <v>46141</v>
      </c>
      <c r="E81" s="5" t="n">
        <v>46141</v>
      </c>
      <c r="F81" s="5" t="n">
        <v>46165</v>
      </c>
      <c r="G81" s="5" t="n">
        <v>46165</v>
      </c>
      <c r="H81" s="5">
        <f>F81</f>
        <v/>
      </c>
      <c r="I81" s="2" t="inlineStr">
        <is>
          <t>JD012603</t>
        </is>
      </c>
      <c r="J81" s="10" t="inlineStr"/>
    </row>
    <row r="82">
      <c r="A82" s="2" t="n">
        <v>81</v>
      </c>
      <c r="B82" s="3" t="inlineStr">
        <is>
          <t>FB012603</t>
        </is>
      </c>
      <c r="C82" s="3" t="inlineStr">
        <is>
          <t>P060432</t>
        </is>
      </c>
      <c r="D82" s="5" t="n">
        <v>46146</v>
      </c>
      <c r="E82" s="5" t="n">
        <v>46146</v>
      </c>
      <c r="F82" s="5" t="n">
        <v>46188</v>
      </c>
      <c r="G82" s="5" t="n">
        <v>46188</v>
      </c>
      <c r="H82" s="5">
        <f>F82</f>
        <v/>
      </c>
      <c r="I82" s="2" t="inlineStr">
        <is>
          <t>FB012603</t>
        </is>
      </c>
      <c r="J82" s="10" t="inlineStr"/>
    </row>
    <row r="83">
      <c r="A83" s="2" t="n">
        <v>82</v>
      </c>
      <c r="B83" s="3" t="inlineStr">
        <is>
          <t>SCR022601</t>
        </is>
      </c>
      <c r="C83" s="3" t="inlineStr">
        <is>
          <t>P060442</t>
        </is>
      </c>
      <c r="D83" s="5" t="n">
        <v>46155</v>
      </c>
      <c r="E83" s="5" t="n">
        <v>46155</v>
      </c>
      <c r="F83" s="5" t="n">
        <v>46191</v>
      </c>
      <c r="G83" s="5" t="n">
        <v>46191</v>
      </c>
      <c r="H83" s="5">
        <f>F83</f>
        <v/>
      </c>
      <c r="I83" s="2" t="inlineStr">
        <is>
          <t>SCR022601</t>
        </is>
      </c>
      <c r="J83" s="10" t="inlineStr"/>
    </row>
    <row r="84">
      <c r="A84" s="2" t="n">
        <v>83</v>
      </c>
      <c r="B84" s="3" t="inlineStr">
        <is>
          <t>FB032601</t>
        </is>
      </c>
      <c r="C84" s="3" t="inlineStr">
        <is>
          <t>P060452</t>
        </is>
      </c>
      <c r="D84" s="5" t="n">
        <v>46175</v>
      </c>
      <c r="E84" s="5" t="n">
        <v>46175</v>
      </c>
      <c r="F84" s="5" t="n">
        <v>46202</v>
      </c>
      <c r="G84" s="5" t="n">
        <v>46202</v>
      </c>
      <c r="H84" s="5">
        <f>F84</f>
        <v/>
      </c>
      <c r="I84" s="2" t="inlineStr">
        <is>
          <t>FB032601</t>
        </is>
      </c>
      <c r="J84" s="10" t="inlineStr"/>
    </row>
    <row r="85">
      <c r="A85" s="2" t="n">
        <v>84</v>
      </c>
      <c r="B85" s="3" t="inlineStr">
        <is>
          <t>GG032601</t>
        </is>
      </c>
      <c r="C85" s="3" t="inlineStr">
        <is>
          <t>P060462</t>
        </is>
      </c>
      <c r="D85" s="5" t="n">
        <v>46189</v>
      </c>
      <c r="E85" s="5" t="n">
        <v>46189</v>
      </c>
      <c r="F85" s="5" t="n">
        <v>46219</v>
      </c>
      <c r="G85" s="5" t="n">
        <v>46219</v>
      </c>
      <c r="H85" s="5">
        <f>F85</f>
        <v/>
      </c>
      <c r="I85" s="2" t="inlineStr">
        <is>
          <t>GG032601</t>
        </is>
      </c>
      <c r="J85" s="10" t="inlineStr"/>
    </row>
    <row r="86">
      <c r="A86" s="2" t="n">
        <v>85</v>
      </c>
      <c r="B86" s="3" t="inlineStr">
        <is>
          <t>JD032601</t>
        </is>
      </c>
      <c r="C86" s="3" t="inlineStr">
        <is>
          <t>P060472</t>
        </is>
      </c>
      <c r="D86" s="5" t="n">
        <v>46197</v>
      </c>
      <c r="E86" s="5" t="n">
        <v>46197</v>
      </c>
      <c r="F86" s="5" t="n">
        <v>46224</v>
      </c>
      <c r="G86" s="5" t="n">
        <v>46224</v>
      </c>
      <c r="H86" s="5">
        <f>F86</f>
        <v/>
      </c>
      <c r="I86" s="6" t="inlineStr">
        <is>
          <t>— not on the tracker —</t>
        </is>
      </c>
      <c r="J86" s="10" t="inlineStr"/>
    </row>
    <row r="87">
      <c r="A87" s="2" t="n">
        <v>86</v>
      </c>
      <c r="B87" s="3" t="inlineStr">
        <is>
          <t>JD022601</t>
        </is>
      </c>
      <c r="C87" s="3" t="inlineStr">
        <is>
          <t>P060482</t>
        </is>
      </c>
      <c r="D87" s="5" t="n">
        <v>46160</v>
      </c>
      <c r="E87" s="5" t="n">
        <v>46160</v>
      </c>
      <c r="F87" s="5" t="n">
        <v>46239</v>
      </c>
      <c r="G87" s="5" t="n">
        <v>46239</v>
      </c>
      <c r="H87" s="5">
        <f>F87</f>
        <v/>
      </c>
      <c r="I87" s="2" t="inlineStr">
        <is>
          <t>JD022601</t>
        </is>
      </c>
      <c r="J87" s="10" t="inlineStr"/>
    </row>
    <row r="88">
      <c r="A88" s="2" t="n">
        <v>87</v>
      </c>
      <c r="B88" s="3" t="inlineStr">
        <is>
          <t>JD042601</t>
        </is>
      </c>
      <c r="C88" s="3" t="inlineStr">
        <is>
          <t>P060492</t>
        </is>
      </c>
      <c r="D88" s="5" t="n">
        <v>46224</v>
      </c>
      <c r="E88" s="5" t="n">
        <v>46224</v>
      </c>
      <c r="F88" s="5" t="n">
        <v>46247</v>
      </c>
      <c r="G88" s="5" t="n">
        <v>46247</v>
      </c>
      <c r="H88" s="5">
        <f>F88</f>
        <v/>
      </c>
      <c r="I88" s="6" t="inlineStr">
        <is>
          <t>— not on the tracker —</t>
        </is>
      </c>
      <c r="J88"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s="12" t="inlineStr">
        <is>
          <t>iCoA Issuance Register — preliminary — built with CoQ Analysis Master v11 on 05.09.2026</t>
        </is>
      </c>
    </row>
    <row r="2" ht="120" customHeight="1">
      <c r="A2" s="13" t="inlineStr">
        <is>
          <t>Head of QC, 05.09.2026: preliminary iCoA issuance register. Document codes iCoA-PP_26-nnn (nnn = 001 … 999), one series for the year of issue, assigned in the order the certificates can be issued: by the earliest permissible issue date, then by the basis date (the first day of packaging, when the sample is taken). Every printed issue date lies in [11.05.2026 … the day of signing] — the CoQ SOP came into use on 11.05.2026 and no document is post-dated — and, Head of QC 05.09.2026, every certificate whose lot was packed before the SOP floor is issued on ONE day, 13.05.2026 (a Wednesday), in chronological order of packaging; the lots packed after it follow, each on its last day of packaging, the numbers running on. No number is reserved for a row that cannot be issued yet: a lot without a packaging date, a held result, and every retest iCoA (identification A, B and foreign matter are tested at the retest sampling, whose date is not on the desk). Where a CNP certificate reports all three, no iCoA is needed. The plan's references of 31.08.2026 (iCoA-PP-YYYY-NNNN) are superseded by these codes and kept beside them. Identification C is not on the iCoA: the CoQ cites the cannabinoid-assay eCoA named here. TWO CERTIFICATES PER P LOT (05.09.2026): identification A and B on the P01-02 master, foreign matter on the P07 master. FORMULAS: No. counts the issuable rows above it, the code is built from No., the earliest and preliminary dates from the SOP floor and the packaging dates looked up on Batch Dates by P batch (or CU batch); insert a row, set Issuable to yes, and every code beneath moves by one — the iCoA Issuance sheet and the tracker cite the register by KEY, so they follow. Rows are not re-sorted by a formula: a changed date is a manual move.</t>
        </is>
      </c>
    </row>
    <row r="3">
      <c r="A3" s="13" t="inlineStr">
        <is>
          <t>Source: CoQ_Analysis_Master_v11.xlsx, sheets iCoA Issuance and Batch Dates; dates from the Head of QC's list of 04.09.2026; the issuance plan of 31.08.2026 for the CoQ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2026-09-05T13:41:34Z</dcterms:created>
  <dcterms:modified xmlns:dcterms="http://purl.org/dc/terms/" xmlns:xsi="http://www.w3.org/2001/XMLSchema-instance" xsi:type="dcterms:W3CDTF">2026-09-05T13:41:34Z</dcterms:modified>
</cp:coreProperties>
</file>